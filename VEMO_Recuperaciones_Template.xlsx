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Originaciones" sheetId="2" state="visible" r:id="rId2"/>
    <sheet xmlns:r="http://schemas.openxmlformats.org/officeDocument/2006/relationships" name="Flota Activa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Cohort_Detail" sheetId="5" state="visible" r:id="rId5"/>
    <sheet xmlns:r="http://schemas.openxmlformats.org/officeDocument/2006/relationships" name="Heatmap" sheetId="6" state="visible" r:id="rId6"/>
    <sheet xmlns:r="http://schemas.openxmlformats.org/officeDocument/2006/relationships" name="Orig_vs_Rec" sheetId="7" state="visible" r:id="rId7"/>
    <sheet xmlns:r="http://schemas.openxmlformats.org/officeDocument/2006/relationships" name="Instruccion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%"/>
    <numFmt numFmtId="166" formatCode="0.0"/>
  </numFmts>
  <fonts count="2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FFF3CD"/>
      <sz val="10"/>
    </font>
    <font>
      <name val="Arial"/>
      <color rgb="FF1F5556"/>
      <sz val="9"/>
    </font>
    <font>
      <name val="Arial"/>
      <b val="1"/>
      <color rgb="FF1F5556"/>
      <sz val="10"/>
    </font>
    <font>
      <name val="Arial"/>
      <color rgb="FF000080"/>
      <sz val="10"/>
    </font>
    <font>
      <name val="Arial"/>
      <color rgb="FFBBBBBB"/>
      <sz val="10"/>
    </font>
    <font>
      <name val="Arial"/>
      <i val="1"/>
      <color rgb="FF888888"/>
      <sz val="9"/>
    </font>
    <font>
      <name val="Arial"/>
      <b val="1"/>
      <sz val="10"/>
    </font>
    <font>
      <name val="Arial"/>
      <b val="1"/>
      <color rgb="FF1F5556"/>
      <sz val="11"/>
    </font>
    <font>
      <name val="Arial"/>
      <i val="1"/>
      <color rgb="FF555555"/>
      <sz val="9"/>
    </font>
    <font>
      <name val="Arial"/>
      <color rgb="FF1F5556"/>
      <sz val="10"/>
    </font>
    <font>
      <name val="Arial"/>
      <b val="1"/>
      <color rgb="FF11ABAB"/>
      <sz val="10"/>
    </font>
    <font>
      <name val="Arial"/>
      <color rgb="FFD4830A"/>
      <sz val="10"/>
    </font>
    <font>
      <name val="Arial"/>
      <color rgb="FF555555"/>
      <sz val="10"/>
    </font>
    <font>
      <name val="Arial"/>
      <color rgb="FFC0392B"/>
      <sz val="10"/>
    </font>
    <font>
      <name val="Arial"/>
      <b val="1"/>
      <color rgb="FFFFFFFF"/>
      <sz val="9"/>
    </font>
    <font>
      <name val="Arial"/>
      <b val="1"/>
      <color rgb="FF1F5556"/>
      <sz val="9"/>
    </font>
    <font>
      <name val="Arial"/>
      <color rgb="FF000080"/>
      <sz val="9"/>
    </font>
    <font>
      <name val="Arial"/>
      <sz val="9"/>
    </font>
    <font>
      <name val="Arial"/>
      <b val="1"/>
      <color rgb="FFFFFFFF"/>
      <sz val="14"/>
    </font>
    <font>
      <name val="Arial"/>
      <b val="1"/>
      <color rgb="FFFFFFFF"/>
      <sz val="12"/>
    </font>
    <font>
      <name val="Arial"/>
      <color rgb="FF333333"/>
      <sz val="10"/>
    </font>
    <font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FF11ABAB"/>
      </patternFill>
    </fill>
    <fill>
      <patternFill patternType="solid">
        <fgColor rgb="FF1F5556"/>
      </patternFill>
    </fill>
    <fill>
      <patternFill patternType="solid">
        <fgColor rgb="FF0D6060"/>
      </patternFill>
    </fill>
    <fill>
      <patternFill patternType="solid">
        <fgColor rgb="FFF0FAFA"/>
      </patternFill>
    </fill>
    <fill>
      <patternFill patternType="solid">
        <fgColor rgb="FFE8E8E8"/>
      </patternFill>
    </fill>
    <fill>
      <patternFill patternType="solid">
        <fgColor rgb="FFFFF8F0"/>
      </patternFill>
    </fill>
    <fill>
      <patternFill patternType="solid">
        <fgColor rgb="FFF0FAF0"/>
      </patternFill>
    </fill>
    <fill>
      <patternFill patternType="solid">
        <fgColor rgb="FFE8F8F8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DE8E8"/>
      </patternFill>
    </fill>
    <fill>
      <patternFill patternType="solid">
        <fgColor rgb="FFD0E8FF"/>
      </patternFill>
    </fill>
    <fill>
      <patternFill patternType="solid">
        <fgColor rgb="FFE0F5F5"/>
      </patternFill>
    </fill>
    <fill>
      <patternFill patternType="solid">
        <fgColor rgb="FFF2F2F2"/>
      </patternFill>
    </fill>
    <fill>
      <patternFill patternType="solid">
        <fgColor rgb="FF1A1A2E"/>
      </patternFill>
    </fill>
    <fill>
      <patternFill patternType="solid">
        <fgColor rgb="001F5556"/>
        <bgColor rgb="001F5556"/>
      </patternFill>
    </fill>
  </fills>
  <borders count="3">
    <border>
      <left/>
      <right/>
      <top/>
      <bottom/>
      <diagonal/>
    </border>
    <border>
      <left/>
      <right style="thin">
        <color rgb="FFBBBBBB"/>
      </right>
      <top/>
      <bottom style="thin">
        <color rgb="FF999999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0" fontId="0" fillId="6" borderId="2" pivotButton="0" quotePrefix="0" xfId="0"/>
    <xf numFmtId="0" fontId="5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0" fillId="7" borderId="2" pivotButton="0" quotePrefix="0" xfId="0"/>
    <xf numFmtId="0" fontId="5" fillId="8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0" fillId="8" borderId="2" pivotButton="0" quotePrefix="0" xfId="0"/>
    <xf numFmtId="0" fontId="5" fillId="9" borderId="2" applyAlignment="1" pivotButton="0" quotePrefix="0" xfId="0">
      <alignment horizontal="center"/>
    </xf>
    <xf numFmtId="0" fontId="6" fillId="9" borderId="2" applyAlignment="1" pivotButton="0" quotePrefix="0" xfId="0">
      <alignment horizontal="center"/>
    </xf>
    <xf numFmtId="0" fontId="0" fillId="9" borderId="2" pivotButton="0" quotePrefix="0" xfId="0"/>
    <xf numFmtId="0" fontId="7" fillId="9" borderId="2" applyAlignment="1" pivotButton="0" quotePrefix="0" xfId="0">
      <alignment horizontal="center"/>
    </xf>
    <xf numFmtId="0" fontId="8" fillId="10" borderId="2" applyAlignment="1" pivotButton="0" quotePrefix="0" xfId="0">
      <alignment horizontal="center"/>
    </xf>
    <xf numFmtId="0" fontId="8" fillId="10" borderId="2" pivotButton="0" quotePrefix="0" xfId="0"/>
    <xf numFmtId="0" fontId="9" fillId="11" borderId="2" applyAlignment="1" pivotButton="0" quotePrefix="0" xfId="0">
      <alignment horizontal="left" vertical="center" indent="1"/>
    </xf>
    <xf numFmtId="0" fontId="10" fillId="5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 indent="1"/>
    </xf>
    <xf numFmtId="0" fontId="9" fillId="12" borderId="2" applyAlignment="1" pivotButton="0" quotePrefix="0" xfId="0">
      <alignment horizontal="left" vertical="center" indent="1"/>
    </xf>
    <xf numFmtId="0" fontId="11" fillId="12" borderId="2" applyAlignment="1" pivotButton="0" quotePrefix="0" xfId="0">
      <alignment horizontal="left" vertical="center" indent="1"/>
    </xf>
    <xf numFmtId="0" fontId="9" fillId="10" borderId="2" applyAlignment="1" pivotButton="0" quotePrefix="0" xfId="0">
      <alignment horizontal="left" vertical="center" indent="1"/>
    </xf>
    <xf numFmtId="0" fontId="11" fillId="10" borderId="2" applyAlignment="1" pivotButton="0" quotePrefix="0" xfId="0">
      <alignment horizontal="left" vertical="center" indent="1"/>
    </xf>
    <xf numFmtId="0" fontId="9" fillId="13" borderId="2" applyAlignment="1" pivotButton="0" quotePrefix="0" xfId="0">
      <alignment horizontal="left" vertical="center" indent="1"/>
    </xf>
    <xf numFmtId="0" fontId="11" fillId="13" borderId="2" applyAlignment="1" pivotButton="0" quotePrefix="0" xfId="0">
      <alignment horizontal="left" vertical="center" indent="1"/>
    </xf>
    <xf numFmtId="164" fontId="10" fillId="5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left" vertical="center" indent="1"/>
    </xf>
    <xf numFmtId="0" fontId="11" fillId="14" borderId="2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left" vertical="center" indent="1"/>
    </xf>
    <xf numFmtId="0" fontId="11" fillId="6" borderId="2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0" fontId="17" fillId="4" borderId="1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166" fontId="20" fillId="5" borderId="2" applyAlignment="1" pivotButton="0" quotePrefix="0" xfId="0">
      <alignment horizontal="center"/>
    </xf>
    <xf numFmtId="0" fontId="18" fillId="8" borderId="2" applyAlignment="1" pivotButton="0" quotePrefix="0" xfId="0">
      <alignment horizontal="center"/>
    </xf>
    <xf numFmtId="0" fontId="18" fillId="15" borderId="2" applyAlignment="1" pivotButton="0" quotePrefix="0" xfId="0">
      <alignment horizontal="center"/>
    </xf>
    <xf numFmtId="0" fontId="18" fillId="9" borderId="2" applyAlignment="1" pivotButton="0" quotePrefix="0" xfId="0">
      <alignment horizontal="center"/>
    </xf>
    <xf numFmtId="0" fontId="5" fillId="15" borderId="2" applyAlignment="1" pivotButton="0" quotePrefix="0" xfId="0">
      <alignment horizontal="center"/>
    </xf>
    <xf numFmtId="0" fontId="21" fillId="3" borderId="0" applyAlignment="1" pivotButton="0" quotePrefix="0" xfId="0">
      <alignment vertical="center" indent="1"/>
    </xf>
    <xf numFmtId="0" fontId="2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indent="1"/>
    </xf>
    <xf numFmtId="0" fontId="23" fillId="16" borderId="0" applyAlignment="1" pivotButton="0" quotePrefix="0" xfId="0">
      <alignment vertical="center" indent="1"/>
    </xf>
    <xf numFmtId="0" fontId="13" fillId="16" borderId="0" applyAlignment="1" pivotButton="0" quotePrefix="0" xfId="0">
      <alignment vertical="center" indent="1"/>
    </xf>
    <xf numFmtId="0" fontId="2" fillId="17" borderId="0" applyAlignment="1" pivotButton="0" quotePrefix="0" xfId="0">
      <alignment vertical="center" indent="1"/>
    </xf>
    <xf numFmtId="0" fontId="2" fillId="3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8" fillId="1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0" fontId="24" fillId="18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1ABAB"/>
    <outlinePr summaryBelow="1" summaryRight="1"/>
    <pageSetUpPr/>
  </sheetPr>
  <dimension ref="A1:M2001"/>
  <sheetViews>
    <sheetView workbookViewId="0">
      <pane ySplit="2" topLeftCell="A3" activePane="bottomLeft" state="frozen"/>
      <selection pane="bottomLeft" activeCell="A2" sqref="A2:M2"/>
    </sheetView>
  </sheetViews>
  <sheetFormatPr baseColWidth="10" defaultColWidth="8.7265625" defaultRowHeight="14.5"/>
  <cols>
    <col width="18" customWidth="1" style="65" min="1" max="1"/>
    <col width="8" customWidth="1" style="65" min="2" max="2"/>
    <col width="11" customWidth="1" style="65" min="3" max="3"/>
    <col width="24" customWidth="1" style="65" min="4" max="4"/>
    <col width="12" customWidth="1" style="65" min="5" max="5"/>
    <col width="13" customWidth="1" style="65" min="6" max="6"/>
    <col width="11" customWidth="1" style="65" min="7" max="7"/>
    <col width="14" customWidth="1" style="65" min="8" max="8"/>
    <col width="13" customWidth="1" style="65" min="9" max="9"/>
    <col width="9" customWidth="1" style="65" min="10" max="10"/>
    <col width="18" customWidth="1" style="65" min="11" max="11"/>
    <col width="12" customWidth="1" style="65" min="12" max="12"/>
    <col width="15" customWidth="1" style="65" min="13" max="13"/>
  </cols>
  <sheetData>
    <row r="1" ht="22" customHeight="1" s="65">
      <c r="A1" s="64" t="inlineStr">
        <is>
          <t xml:space="preserve">  ① PEGA AQUÍ EL EXPORT DE POWER BI (desde fila 3, sin encabezados) — Columna M se calcula sola</t>
        </is>
      </c>
    </row>
    <row r="2" ht="32" customHeight="1" s="65">
      <c r="A2" s="1" t="inlineStr">
        <is>
          <t>Cliente</t>
        </is>
      </c>
      <c r="B2" s="1" t="inlineStr">
        <is>
          <t>Sexo</t>
        </is>
      </c>
      <c r="C2" s="1" t="inlineStr">
        <is>
          <t>Contrato</t>
        </is>
      </c>
      <c r="D2" s="1" t="inlineStr">
        <is>
          <t>Estado</t>
        </is>
      </c>
      <c r="E2" s="1" t="inlineStr">
        <is>
          <t>Cosecha
(MM-YYYY)</t>
        </is>
      </c>
      <c r="F2" s="1" t="inlineStr">
        <is>
          <t>Mes Envío
Recuperación</t>
        </is>
      </c>
      <c r="G2" s="1" t="inlineStr">
        <is>
          <t>Meses
Transcurridos</t>
        </is>
      </c>
      <c r="H2" s="1" t="inlineStr">
        <is>
          <t>Estatus
Recuperación</t>
        </is>
      </c>
      <c r="I2" s="1" t="inlineStr">
        <is>
          <t>Mes
Recuperación</t>
        </is>
      </c>
      <c r="J2" s="1" t="inlineStr">
        <is>
          <t>Plate</t>
        </is>
      </c>
      <c r="K2" s="1" t="inlineStr">
        <is>
          <t>Modelo</t>
        </is>
      </c>
      <c r="L2" s="1" t="inlineStr">
        <is>
          <t>Plataforma</t>
        </is>
      </c>
      <c r="M2" s="2" t="inlineStr">
        <is>
          <t>⚙ Meses_Efectivos
(auto-calculado)</t>
        </is>
      </c>
    </row>
    <row r="3">
      <c r="A3" t="inlineStr">
        <is>
          <t>. RODRIGUEZ VICENTE</t>
        </is>
      </c>
      <c r="B3" t="inlineStr">
        <is>
          <t>Hombre</t>
        </is>
      </c>
      <c r="C3" t="inlineStr">
        <is>
          <t>2519AF</t>
        </is>
      </c>
      <c r="D3" t="inlineStr">
        <is>
          <t>BAJA CALIFORNIA</t>
        </is>
      </c>
      <c r="E3" t="inlineStr">
        <is>
          <t>04-2023</t>
        </is>
      </c>
      <c r="F3" t="inlineStr">
        <is>
          <t>04-2026</t>
        </is>
      </c>
      <c r="G3" t="n">
        <v>36</v>
      </c>
      <c r="H3" t="inlineStr">
        <is>
          <t>Efectivo</t>
        </is>
      </c>
      <c r="I3" t="inlineStr">
        <is>
          <t>04-2026</t>
        </is>
      </c>
      <c r="J3" t="inlineStr">
        <is>
          <t>BGH042A</t>
        </is>
      </c>
      <c r="K3" t="inlineStr">
        <is>
          <t>ATTITUDE</t>
        </is>
      </c>
      <c r="L3" t="inlineStr">
        <is>
          <t>UBER</t>
        </is>
      </c>
      <c r="M3" s="3">
        <f>IF(H3="Efectivo",IFERROR((VALUE(RIGHT(I3,4))-VALUE(RIGHT(E3,4)))*12+(VALUE(LEFT(I3,2))-VALUE(LEFT(E3,2))),""),"")</f>
        <v/>
      </c>
    </row>
    <row r="4">
      <c r="A4" t="inlineStr">
        <is>
          <t>. RODRIGUEZ VICENTE</t>
        </is>
      </c>
      <c r="B4" t="inlineStr">
        <is>
          <t>Hombre</t>
        </is>
      </c>
      <c r="C4" t="inlineStr">
        <is>
          <t>6812AF</t>
        </is>
      </c>
      <c r="D4" t="inlineStr">
        <is>
          <t>BAJA CALIFORNIA</t>
        </is>
      </c>
      <c r="E4" t="inlineStr">
        <is>
          <t>01-2026</t>
        </is>
      </c>
      <c r="F4" t="inlineStr">
        <is>
          <t>04-2026</t>
        </is>
      </c>
      <c r="G4" t="n">
        <v>2</v>
      </c>
      <c r="H4" t="inlineStr">
        <is>
          <t>Efectivo</t>
        </is>
      </c>
      <c r="I4" t="inlineStr">
        <is>
          <t>04-2026</t>
        </is>
      </c>
      <c r="J4" t="inlineStr">
        <is>
          <t>CBY512A</t>
        </is>
      </c>
      <c r="K4" t="inlineStr">
        <is>
          <t>CHEVROLET AVEO</t>
        </is>
      </c>
      <c r="L4" t="inlineStr">
        <is>
          <t>DIDI</t>
        </is>
      </c>
      <c r="M4" s="3">
        <f>IF(H4="Efectivo",IFERROR((VALUE(RIGHT(I4,4))-VALUE(RIGHT(E4,4)))*12+(VALUE(LEFT(I4,2))-VALUE(LEFT(E4,2))),""),"")</f>
        <v/>
      </c>
    </row>
    <row r="5">
      <c r="A5" t="inlineStr">
        <is>
          <t>ACEVES OSUNA FRANCISCO XAVIER</t>
        </is>
      </c>
      <c r="B5" t="inlineStr">
        <is>
          <t>Hombre</t>
        </is>
      </c>
      <c r="C5" t="inlineStr">
        <is>
          <t>4990AF</t>
        </is>
      </c>
      <c r="D5" t="inlineStr">
        <is>
          <t>BAJA CALIFORNIA</t>
        </is>
      </c>
      <c r="E5" t="inlineStr">
        <is>
          <t>06-2025</t>
        </is>
      </c>
      <c r="F5" t="inlineStr">
        <is>
          <t>03-2026</t>
        </is>
      </c>
      <c r="G5" t="n">
        <v>9</v>
      </c>
      <c r="H5" t="inlineStr">
        <is>
          <t>Efectivo</t>
        </is>
      </c>
      <c r="I5" t="inlineStr">
        <is>
          <t>03-2026</t>
        </is>
      </c>
      <c r="J5" t="inlineStr">
        <is>
          <t>BYG580A</t>
        </is>
      </c>
      <c r="K5" t="inlineStr">
        <is>
          <t>CHEVROLET AVEO</t>
        </is>
      </c>
      <c r="L5" t="inlineStr">
        <is>
          <t>UBER</t>
        </is>
      </c>
      <c r="M5" s="3">
        <f>IF(H5="Efectivo",IFERROR((VALUE(RIGHT(I5,4))-VALUE(RIGHT(E5,4)))*12+(VALUE(LEFT(I5,2))-VALUE(LEFT(E5,2))),""),"")</f>
        <v/>
      </c>
    </row>
    <row r="6">
      <c r="A6" t="inlineStr">
        <is>
          <t>ACOSTA CALDERON FERNANDO</t>
        </is>
      </c>
      <c r="B6" t="inlineStr">
        <is>
          <t>Hombre</t>
        </is>
      </c>
      <c r="C6" t="inlineStr">
        <is>
          <t>3908AF</t>
        </is>
      </c>
      <c r="D6" t="inlineStr">
        <is>
          <t>CDMX Y AREA METROPOLITANA</t>
        </is>
      </c>
      <c r="E6" t="inlineStr">
        <is>
          <t>10-2024</t>
        </is>
      </c>
      <c r="F6" t="inlineStr">
        <is>
          <t>10-2025</t>
        </is>
      </c>
      <c r="G6" t="n">
        <v>11</v>
      </c>
      <c r="H6" t="inlineStr">
        <is>
          <t>Efectivo</t>
        </is>
      </c>
      <c r="I6" t="inlineStr">
        <is>
          <t>11-2025</t>
        </is>
      </c>
      <c r="J6" t="inlineStr">
        <is>
          <t>C34BPX</t>
        </is>
      </c>
      <c r="K6" t="inlineStr">
        <is>
          <t>TOYOTA AVANZA</t>
        </is>
      </c>
      <c r="L6" t="inlineStr">
        <is>
          <t>UBER</t>
        </is>
      </c>
      <c r="M6" s="3">
        <f>IF(H6="Efectivo",IFERROR((VALUE(RIGHT(I6,4))-VALUE(RIGHT(E6,4)))*12+(VALUE(LEFT(I6,2))-VALUE(LEFT(E6,2))),""),"")</f>
        <v/>
      </c>
    </row>
    <row r="7">
      <c r="A7" t="inlineStr">
        <is>
          <t>ACOSTA MARTINEZ MIGUEL ANGEL</t>
        </is>
      </c>
      <c r="B7" t="inlineStr">
        <is>
          <t>Hombre</t>
        </is>
      </c>
      <c r="C7" t="inlineStr">
        <is>
          <t>5944AF</t>
        </is>
      </c>
      <c r="D7" t="inlineStr">
        <is>
          <t>CDMX Y AREA METROPOLITANA</t>
        </is>
      </c>
      <c r="E7" t="inlineStr">
        <is>
          <t>10-2025</t>
        </is>
      </c>
      <c r="F7" t="inlineStr">
        <is>
          <t>04-2026</t>
        </is>
      </c>
      <c r="G7" t="n">
        <v>6</v>
      </c>
      <c r="H7" t="inlineStr">
        <is>
          <t>Pendiente</t>
        </is>
      </c>
      <c r="J7" t="inlineStr">
        <is>
          <t>51G505</t>
        </is>
      </c>
      <c r="K7" t="inlineStr">
        <is>
          <t>GAC AION S</t>
        </is>
      </c>
      <c r="L7" t="inlineStr">
        <is>
          <t>UBER</t>
        </is>
      </c>
      <c r="M7" s="3">
        <f>IF(H7="Efectivo",IFERROR((VALUE(RIGHT(I7,4))-VALUE(RIGHT(E7,4)))*12+(VALUE(LEFT(I7,2))-VALUE(LEFT(E7,2))),""),"")</f>
        <v/>
      </c>
    </row>
    <row r="8">
      <c r="A8" t="inlineStr">
        <is>
          <t>ADAME SALINAS MICHEL ALBERTO</t>
        </is>
      </c>
      <c r="B8" t="inlineStr">
        <is>
          <t>Hombre</t>
        </is>
      </c>
      <c r="C8" t="inlineStr">
        <is>
          <t>4523AF</t>
        </is>
      </c>
      <c r="D8" t="inlineStr">
        <is>
          <t>CDMX Y AREA METROPOLITANA</t>
        </is>
      </c>
      <c r="E8" t="inlineStr">
        <is>
          <t>03-2025</t>
        </is>
      </c>
      <c r="F8" t="inlineStr">
        <is>
          <t>11-2025</t>
        </is>
      </c>
      <c r="G8" t="n">
        <v>7</v>
      </c>
      <c r="H8" t="inlineStr">
        <is>
          <t>Efectivo</t>
        </is>
      </c>
      <c r="I8" t="inlineStr">
        <is>
          <t>11-2025</t>
        </is>
      </c>
      <c r="J8" t="inlineStr">
        <is>
          <t>39G976</t>
        </is>
      </c>
      <c r="K8" t="inlineStr">
        <is>
          <t>GAC AION S</t>
        </is>
      </c>
      <c r="L8" t="inlineStr">
        <is>
          <t>UBER</t>
        </is>
      </c>
      <c r="M8" s="3">
        <f>IF(H8="Efectivo",IFERROR((VALUE(RIGHT(I8,4))-VALUE(RIGHT(E8,4)))*12+(VALUE(LEFT(I8,2))-VALUE(LEFT(E8,2))),""),"")</f>
        <v/>
      </c>
    </row>
    <row r="9">
      <c r="A9" t="inlineStr">
        <is>
          <t>ADAME TRUJILLO CHRISTIAN ARIEL</t>
        </is>
      </c>
      <c r="B9" t="inlineStr">
        <is>
          <t>Hombre</t>
        </is>
      </c>
      <c r="C9" t="inlineStr">
        <is>
          <t>4399AF</t>
        </is>
      </c>
      <c r="D9" t="inlineStr">
        <is>
          <t>CDMX Y AREA METROPOLITANA</t>
        </is>
      </c>
      <c r="E9" t="inlineStr">
        <is>
          <t>02-2025</t>
        </is>
      </c>
      <c r="F9" t="inlineStr">
        <is>
          <t>01-2026</t>
        </is>
      </c>
      <c r="G9" t="n">
        <v>11</v>
      </c>
      <c r="H9" t="inlineStr">
        <is>
          <t>Efectivo</t>
        </is>
      </c>
      <c r="I9" t="inlineStr">
        <is>
          <t>02-2026</t>
        </is>
      </c>
      <c r="J9" t="inlineStr">
        <is>
          <t>31G452</t>
        </is>
      </c>
      <c r="K9" t="inlineStr">
        <is>
          <t>GAC AION S</t>
        </is>
      </c>
      <c r="L9" t="inlineStr">
        <is>
          <t>UBER</t>
        </is>
      </c>
      <c r="M9" s="3">
        <f>IF(H9="Efectivo",IFERROR((VALUE(RIGHT(I9,4))-VALUE(RIGHT(E9,4)))*12+(VALUE(LEFT(I9,2))-VALUE(LEFT(E9,2))),""),"")</f>
        <v/>
      </c>
    </row>
    <row r="10">
      <c r="A10" t="inlineStr">
        <is>
          <t>AGAMA MEJIA ARTEMIO</t>
        </is>
      </c>
      <c r="B10" t="inlineStr">
        <is>
          <t>Hombre</t>
        </is>
      </c>
      <c r="C10" t="inlineStr">
        <is>
          <t>5022AF</t>
        </is>
      </c>
      <c r="D10" t="inlineStr">
        <is>
          <t>CDMX Y AREA METROPOLITANA</t>
        </is>
      </c>
      <c r="E10" t="inlineStr">
        <is>
          <t>06-2025</t>
        </is>
      </c>
      <c r="F10" t="inlineStr">
        <is>
          <t>03-2026</t>
        </is>
      </c>
      <c r="G10" t="n">
        <v>9</v>
      </c>
      <c r="H10" t="inlineStr">
        <is>
          <t>Efectivo</t>
        </is>
      </c>
      <c r="I10" t="inlineStr">
        <is>
          <t>03-2026</t>
        </is>
      </c>
      <c r="J10" t="inlineStr">
        <is>
          <t>D96BRR</t>
        </is>
      </c>
      <c r="K10" t="inlineStr">
        <is>
          <t>CHEVROLET AVEO</t>
        </is>
      </c>
      <c r="L10" t="inlineStr">
        <is>
          <t>UBER</t>
        </is>
      </c>
      <c r="M10" s="3">
        <f>IF(H10="Efectivo",IFERROR((VALUE(RIGHT(I10,4))-VALUE(RIGHT(E10,4)))*12+(VALUE(LEFT(I10,2))-VALUE(LEFT(E10,2))),""),"")</f>
        <v/>
      </c>
    </row>
    <row r="11">
      <c r="A11" t="inlineStr">
        <is>
          <t>AGUILAR GONZALEZ MARCO ANTONIO</t>
        </is>
      </c>
      <c r="B11" t="inlineStr">
        <is>
          <t>Hombre</t>
        </is>
      </c>
      <c r="C11" t="inlineStr">
        <is>
          <t>5011AF</t>
        </is>
      </c>
      <c r="D11" t="inlineStr">
        <is>
          <t>CDMX Y AREA METROPOLITANA</t>
        </is>
      </c>
      <c r="E11" t="inlineStr">
        <is>
          <t>06-2025</t>
        </is>
      </c>
      <c r="F11" t="inlineStr">
        <is>
          <t>03-2026</t>
        </is>
      </c>
      <c r="G11" t="n">
        <v>10</v>
      </c>
      <c r="H11" t="inlineStr">
        <is>
          <t>Efectivo</t>
        </is>
      </c>
      <c r="I11" t="inlineStr">
        <is>
          <t>04-2026</t>
        </is>
      </c>
      <c r="J11" t="inlineStr">
        <is>
          <t>A84BMP</t>
        </is>
      </c>
      <c r="K11" t="inlineStr">
        <is>
          <t>CHEVROLET AVEO</t>
        </is>
      </c>
      <c r="L11" t="inlineStr">
        <is>
          <t>UBER</t>
        </is>
      </c>
      <c r="M11" s="3">
        <f>IF(H11="Efectivo",IFERROR((VALUE(RIGHT(I11,4))-VALUE(RIGHT(E11,4)))*12+(VALUE(LEFT(I11,2))-VALUE(LEFT(E11,2))),""),"")</f>
        <v/>
      </c>
    </row>
    <row r="12">
      <c r="A12" t="inlineStr">
        <is>
          <t>AGUILAR GONZALEZ MIGUEL ANGEL</t>
        </is>
      </c>
      <c r="B12" t="inlineStr">
        <is>
          <t>Hombre</t>
        </is>
      </c>
      <c r="C12" t="inlineStr">
        <is>
          <t>3889AF</t>
        </is>
      </c>
      <c r="D12" t="inlineStr">
        <is>
          <t>BAJA CALIFORNIA</t>
        </is>
      </c>
      <c r="E12" t="inlineStr">
        <is>
          <t>10-2024</t>
        </is>
      </c>
      <c r="F12" t="inlineStr">
        <is>
          <t>06-2025</t>
        </is>
      </c>
      <c r="G12" t="n">
        <v>8</v>
      </c>
      <c r="H12" t="inlineStr">
        <is>
          <t>Efectivo</t>
        </is>
      </c>
      <c r="I12" t="inlineStr">
        <is>
          <t>07-2025</t>
        </is>
      </c>
      <c r="J12" t="inlineStr">
        <is>
          <t>BSG377A</t>
        </is>
      </c>
      <c r="K12" t="inlineStr">
        <is>
          <t>CHEVROLET AVEO</t>
        </is>
      </c>
      <c r="L12" t="inlineStr">
        <is>
          <t>UBER</t>
        </is>
      </c>
      <c r="M12" s="3">
        <f>IF(H12="Efectivo",IFERROR((VALUE(RIGHT(I12,4))-VALUE(RIGHT(E12,4)))*12+(VALUE(LEFT(I12,2))-VALUE(LEFT(E12,2))),""),"")</f>
        <v/>
      </c>
    </row>
    <row r="13">
      <c r="A13" t="inlineStr">
        <is>
          <t>AGUILAR LOPEZ ALFONSO</t>
        </is>
      </c>
      <c r="B13" t="inlineStr">
        <is>
          <t>Hombre</t>
        </is>
      </c>
      <c r="C13" t="inlineStr">
        <is>
          <t>4270AF</t>
        </is>
      </c>
      <c r="D13" t="inlineStr">
        <is>
          <t>CDMX Y AREA METROPOLITANA</t>
        </is>
      </c>
      <c r="E13" t="inlineStr">
        <is>
          <t>01-2025</t>
        </is>
      </c>
      <c r="F13" t="inlineStr">
        <is>
          <t>02-2026</t>
        </is>
      </c>
      <c r="G13" t="n">
        <v>12</v>
      </c>
      <c r="H13" t="inlineStr">
        <is>
          <t>Pendiente</t>
        </is>
      </c>
      <c r="J13" t="inlineStr">
        <is>
          <t>31G972</t>
        </is>
      </c>
      <c r="K13" t="inlineStr">
        <is>
          <t>GAC AION S</t>
        </is>
      </c>
      <c r="L13" t="inlineStr">
        <is>
          <t>UBER</t>
        </is>
      </c>
      <c r="M13" s="3">
        <f>IF(H13="Efectivo",IFERROR((VALUE(RIGHT(I13,4))-VALUE(RIGHT(E13,4)))*12+(VALUE(LEFT(I13,2))-VALUE(LEFT(E13,2))),""),"")</f>
        <v/>
      </c>
    </row>
    <row r="14">
      <c r="A14" t="inlineStr">
        <is>
          <t>AGUILAR REZA DIEGO ABRAHAM</t>
        </is>
      </c>
      <c r="B14" t="inlineStr">
        <is>
          <t>Hombre</t>
        </is>
      </c>
      <c r="C14" t="inlineStr">
        <is>
          <t>6245AF</t>
        </is>
      </c>
      <c r="D14" t="inlineStr">
        <is>
          <t>CDMX Y AREA METROPOLITANA</t>
        </is>
      </c>
      <c r="E14" t="inlineStr">
        <is>
          <t>11-2025</t>
        </is>
      </c>
      <c r="F14" t="inlineStr">
        <is>
          <t>04-2026</t>
        </is>
      </c>
      <c r="G14" t="n">
        <v>5</v>
      </c>
      <c r="H14" t="inlineStr">
        <is>
          <t>Efectivo</t>
        </is>
      </c>
      <c r="I14" t="inlineStr">
        <is>
          <t>05-2026</t>
        </is>
      </c>
      <c r="J14" t="inlineStr">
        <is>
          <t>62G480</t>
        </is>
      </c>
      <c r="K14" t="inlineStr">
        <is>
          <t>BYD E5</t>
        </is>
      </c>
      <c r="L14" t="inlineStr">
        <is>
          <t>UBER</t>
        </is>
      </c>
      <c r="M14" s="3">
        <f>IF(H14="Efectivo",IFERROR((VALUE(RIGHT(I14,4))-VALUE(RIGHT(E14,4)))*12+(VALUE(LEFT(I14,2))-VALUE(LEFT(E14,2))),""),"")</f>
        <v/>
      </c>
    </row>
    <row r="15">
      <c r="A15" t="inlineStr">
        <is>
          <t>AGUILAR TREJO ADAN</t>
        </is>
      </c>
      <c r="B15" t="inlineStr">
        <is>
          <t>Hombre</t>
        </is>
      </c>
      <c r="C15" t="inlineStr">
        <is>
          <t>5909AF</t>
        </is>
      </c>
      <c r="D15" t="inlineStr">
        <is>
          <t>BAJA CALIFORNIA</t>
        </is>
      </c>
      <c r="E15" t="inlineStr">
        <is>
          <t>10-2025</t>
        </is>
      </c>
      <c r="F15" t="inlineStr">
        <is>
          <t>04-2026</t>
        </is>
      </c>
      <c r="G15" t="n">
        <v>6</v>
      </c>
      <c r="H15" t="inlineStr">
        <is>
          <t>Efectivo</t>
        </is>
      </c>
      <c r="I15" t="inlineStr">
        <is>
          <t>04-2026</t>
        </is>
      </c>
      <c r="J15" t="inlineStr">
        <is>
          <t>CAJ035A</t>
        </is>
      </c>
      <c r="K15" t="inlineStr">
        <is>
          <t>CHEVROLET AVEO</t>
        </is>
      </c>
      <c r="L15" t="inlineStr">
        <is>
          <t>DIDI</t>
        </is>
      </c>
      <c r="M15" s="3">
        <f>IF(H15="Efectivo",IFERROR((VALUE(RIGHT(I15,4))-VALUE(RIGHT(E15,4)))*12+(VALUE(LEFT(I15,2))-VALUE(LEFT(E15,2))),""),"")</f>
        <v/>
      </c>
    </row>
    <row r="16">
      <c r="A16" t="inlineStr">
        <is>
          <t>AGUILAR VERA OSCAR MAURICIO</t>
        </is>
      </c>
      <c r="B16" t="inlineStr">
        <is>
          <t>Hombre</t>
        </is>
      </c>
      <c r="C16" t="inlineStr">
        <is>
          <t>4247AF</t>
        </is>
      </c>
      <c r="D16" t="inlineStr">
        <is>
          <t>JALISCO</t>
        </is>
      </c>
      <c r="E16" t="inlineStr">
        <is>
          <t>01-2025</t>
        </is>
      </c>
      <c r="F16" t="inlineStr">
        <is>
          <t>11-2025</t>
        </is>
      </c>
      <c r="G16" t="n">
        <v>9</v>
      </c>
      <c r="H16" t="inlineStr">
        <is>
          <t>Efectivo</t>
        </is>
      </c>
      <c r="I16" t="inlineStr">
        <is>
          <t>03-2026</t>
        </is>
      </c>
      <c r="J16" t="inlineStr">
        <is>
          <t>HWS688A</t>
        </is>
      </c>
      <c r="K16" t="inlineStr">
        <is>
          <t>CHEVROLET AVEO</t>
        </is>
      </c>
      <c r="L16" t="inlineStr">
        <is>
          <t>UBER</t>
        </is>
      </c>
      <c r="M16" s="3">
        <f>IF(H16="Efectivo",IFERROR((VALUE(RIGHT(I16,4))-VALUE(RIGHT(E16,4)))*12+(VALUE(LEFT(I16,2))-VALUE(LEFT(E16,2))),""),"")</f>
        <v/>
      </c>
    </row>
    <row r="17">
      <c r="A17" t="inlineStr">
        <is>
          <t>AGUIRRE AVALOS CARLOS ALBERTO</t>
        </is>
      </c>
      <c r="B17" t="inlineStr">
        <is>
          <t>Hombre</t>
        </is>
      </c>
      <c r="C17" t="inlineStr">
        <is>
          <t>4078AF</t>
        </is>
      </c>
      <c r="D17" t="inlineStr">
        <is>
          <t>JALISCO</t>
        </is>
      </c>
      <c r="E17" t="inlineStr">
        <is>
          <t>12-2024</t>
        </is>
      </c>
      <c r="F17" t="inlineStr">
        <is>
          <t>01-2026</t>
        </is>
      </c>
      <c r="G17" t="n">
        <v>13</v>
      </c>
      <c r="H17" t="inlineStr">
        <is>
          <t>Efectivo</t>
        </is>
      </c>
      <c r="I17" t="inlineStr">
        <is>
          <t>01-2026</t>
        </is>
      </c>
      <c r="J17" t="inlineStr">
        <is>
          <t>HWS689A</t>
        </is>
      </c>
      <c r="K17" t="inlineStr">
        <is>
          <t>CHEVROLET AVEO</t>
        </is>
      </c>
      <c r="L17" t="inlineStr">
        <is>
          <t>UBER</t>
        </is>
      </c>
      <c r="M17" s="3">
        <f>IF(H17="Efectivo",IFERROR((VALUE(RIGHT(I17,4))-VALUE(RIGHT(E17,4)))*12+(VALUE(LEFT(I17,2))-VALUE(LEFT(E17,2))),""),"")</f>
        <v/>
      </c>
    </row>
    <row r="18">
      <c r="A18" t="inlineStr">
        <is>
          <t>AGUIRRE VELAZQUEZ MARIA ANTONIETA</t>
        </is>
      </c>
      <c r="B18" t="inlineStr">
        <is>
          <t>Mujer</t>
        </is>
      </c>
      <c r="C18" t="inlineStr">
        <is>
          <t>6862AF</t>
        </is>
      </c>
      <c r="D18" t="inlineStr">
        <is>
          <t>CDMX Y AREA METROPOLITANA</t>
        </is>
      </c>
      <c r="E18" t="inlineStr">
        <is>
          <t>01-2026</t>
        </is>
      </c>
      <c r="F18" t="inlineStr">
        <is>
          <t>02-2026</t>
        </is>
      </c>
      <c r="G18" t="n">
        <v>1</v>
      </c>
      <c r="H18" t="inlineStr">
        <is>
          <t>Efectivo</t>
        </is>
      </c>
      <c r="I18" t="inlineStr">
        <is>
          <t>02-2026</t>
        </is>
      </c>
      <c r="J18" t="inlineStr">
        <is>
          <t>29G385</t>
        </is>
      </c>
      <c r="K18" t="inlineStr">
        <is>
          <t>GAC AION S</t>
        </is>
      </c>
      <c r="L18" t="inlineStr">
        <is>
          <t>UBER</t>
        </is>
      </c>
      <c r="M18" s="3">
        <f>IF(H18="Efectivo",IFERROR((VALUE(RIGHT(I18,4))-VALUE(RIGHT(E18,4)))*12+(VALUE(LEFT(I18,2))-VALUE(LEFT(E18,2))),""),"")</f>
        <v/>
      </c>
    </row>
    <row r="19">
      <c r="A19" t="inlineStr">
        <is>
          <t>AGUIRRE ZAZUETA XIUMARA SERAIN</t>
        </is>
      </c>
      <c r="B19" t="inlineStr">
        <is>
          <t>Mujer</t>
        </is>
      </c>
      <c r="C19" t="inlineStr">
        <is>
          <t>5875AF</t>
        </is>
      </c>
      <c r="D19" t="inlineStr">
        <is>
          <t>NUEVO LEON</t>
        </is>
      </c>
      <c r="E19" t="inlineStr">
        <is>
          <t>10-2025</t>
        </is>
      </c>
      <c r="F19" t="inlineStr">
        <is>
          <t>02-2026</t>
        </is>
      </c>
      <c r="G19" t="n">
        <v>4</v>
      </c>
      <c r="H19" t="inlineStr">
        <is>
          <t>Efectivo</t>
        </is>
      </c>
      <c r="I19" t="inlineStr">
        <is>
          <t>02-2026</t>
        </is>
      </c>
      <c r="J19" t="inlineStr">
        <is>
          <t>RXW058C</t>
        </is>
      </c>
      <c r="K19" t="inlineStr">
        <is>
          <t>CHEVROLET AVEO</t>
        </is>
      </c>
      <c r="L19" t="inlineStr">
        <is>
          <t>DIDI</t>
        </is>
      </c>
      <c r="M19" s="3">
        <f>IF(H19="Efectivo",IFERROR((VALUE(RIGHT(I19,4))-VALUE(RIGHT(E19,4)))*12+(VALUE(LEFT(I19,2))-VALUE(LEFT(E19,2))),""),"")</f>
        <v/>
      </c>
    </row>
    <row r="20">
      <c r="A20" t="inlineStr">
        <is>
          <t>ALAMILLO CONTRERAS DANIEL</t>
        </is>
      </c>
      <c r="B20" t="inlineStr">
        <is>
          <t>Hombre</t>
        </is>
      </c>
      <c r="C20" t="inlineStr">
        <is>
          <t>4082AF</t>
        </is>
      </c>
      <c r="D20" t="inlineStr">
        <is>
          <t>NUEVO LEON</t>
        </is>
      </c>
      <c r="E20" t="inlineStr">
        <is>
          <t>12-2024</t>
        </is>
      </c>
      <c r="F20" t="inlineStr">
        <is>
          <t>04-2026</t>
        </is>
      </c>
      <c r="G20" t="n">
        <v>16</v>
      </c>
      <c r="H20" t="inlineStr">
        <is>
          <t>Efectivo</t>
        </is>
      </c>
      <c r="I20" t="inlineStr">
        <is>
          <t>04-2026</t>
        </is>
      </c>
      <c r="J20" t="inlineStr">
        <is>
          <t>TFP758B</t>
        </is>
      </c>
      <c r="K20" t="inlineStr">
        <is>
          <t>CHEVROLET AVEO</t>
        </is>
      </c>
      <c r="L20" t="inlineStr">
        <is>
          <t>UBER</t>
        </is>
      </c>
      <c r="M20" s="3">
        <f>IF(H20="Efectivo",IFERROR((VALUE(RIGHT(I20,4))-VALUE(RIGHT(E20,4)))*12+(VALUE(LEFT(I20,2))-VALUE(LEFT(E20,2))),""),"")</f>
        <v/>
      </c>
    </row>
    <row r="21">
      <c r="A21" t="inlineStr">
        <is>
          <t>ALANIS ARELLANO LUIS GERARDO</t>
        </is>
      </c>
      <c r="B21" t="inlineStr">
        <is>
          <t>Hombre</t>
        </is>
      </c>
      <c r="C21" t="inlineStr">
        <is>
          <t>5589AF</t>
        </is>
      </c>
      <c r="D21" t="inlineStr">
        <is>
          <t>NUEVO LEON</t>
        </is>
      </c>
      <c r="E21" t="inlineStr">
        <is>
          <t>08-2025</t>
        </is>
      </c>
      <c r="F21" t="inlineStr">
        <is>
          <t>04-2026</t>
        </is>
      </c>
      <c r="G21" t="n">
        <v>7</v>
      </c>
      <c r="H21" t="inlineStr">
        <is>
          <t>Efectivo</t>
        </is>
      </c>
      <c r="I21" t="inlineStr">
        <is>
          <t>04-2026</t>
        </is>
      </c>
      <c r="J21" t="inlineStr">
        <is>
          <t>RWL277C</t>
        </is>
      </c>
      <c r="K21" t="inlineStr">
        <is>
          <t>TOYOTA AVANZA</t>
        </is>
      </c>
      <c r="L21" t="inlineStr">
        <is>
          <t>DIDI</t>
        </is>
      </c>
      <c r="M21" s="3">
        <f>IF(H21="Efectivo",IFERROR((VALUE(RIGHT(I21,4))-VALUE(RIGHT(E21,4)))*12+(VALUE(LEFT(I21,2))-VALUE(LEFT(E21,2))),""),"")</f>
        <v/>
      </c>
    </row>
    <row r="22">
      <c r="A22" t="inlineStr">
        <is>
          <t>ALANIS SANTILLAN VICTOR MANUEL</t>
        </is>
      </c>
      <c r="B22" t="inlineStr">
        <is>
          <t>Hombre</t>
        </is>
      </c>
      <c r="C22" t="inlineStr">
        <is>
          <t>4282AF</t>
        </is>
      </c>
      <c r="D22" t="inlineStr">
        <is>
          <t>CDMX Y AREA METROPOLITANA</t>
        </is>
      </c>
      <c r="E22" t="inlineStr">
        <is>
          <t>02-2025</t>
        </is>
      </c>
      <c r="F22" t="inlineStr">
        <is>
          <t>04-2026</t>
        </is>
      </c>
      <c r="G22" t="n">
        <v>14</v>
      </c>
      <c r="H22" t="inlineStr">
        <is>
          <t>Efectivo</t>
        </is>
      </c>
      <c r="I22" t="inlineStr">
        <is>
          <t>04-2026</t>
        </is>
      </c>
      <c r="J22" t="inlineStr">
        <is>
          <t>R25BRD</t>
        </is>
      </c>
      <c r="K22" t="inlineStr">
        <is>
          <t>CHEVROLET AVEO</t>
        </is>
      </c>
      <c r="L22" t="inlineStr">
        <is>
          <t>UBER</t>
        </is>
      </c>
      <c r="M22" s="3">
        <f>IF(H22="Efectivo",IFERROR((VALUE(RIGHT(I22,4))-VALUE(RIGHT(E22,4)))*12+(VALUE(LEFT(I22,2))-VALUE(LEFT(E22,2))),""),"")</f>
        <v/>
      </c>
    </row>
    <row r="23">
      <c r="A23" t="inlineStr">
        <is>
          <t>ALARCON MARTINEZ ABRAHAM DANIEL</t>
        </is>
      </c>
      <c r="B23" t="inlineStr">
        <is>
          <t>Hombre</t>
        </is>
      </c>
      <c r="C23" t="inlineStr">
        <is>
          <t>4771AF</t>
        </is>
      </c>
      <c r="D23" t="inlineStr">
        <is>
          <t>CDMX Y AREA METROPOLITANA</t>
        </is>
      </c>
      <c r="E23" t="inlineStr">
        <is>
          <t>05-2025</t>
        </is>
      </c>
      <c r="F23" t="inlineStr">
        <is>
          <t>01-2026</t>
        </is>
      </c>
      <c r="G23" t="n">
        <v>9</v>
      </c>
      <c r="H23" t="inlineStr">
        <is>
          <t>Efectivo</t>
        </is>
      </c>
      <c r="I23" t="inlineStr">
        <is>
          <t>02-2026</t>
        </is>
      </c>
      <c r="J23" t="inlineStr">
        <is>
          <t>E68BRR</t>
        </is>
      </c>
      <c r="K23" t="inlineStr">
        <is>
          <t>CHEVROLET AVEO</t>
        </is>
      </c>
      <c r="L23" t="inlineStr">
        <is>
          <t>DIDI</t>
        </is>
      </c>
      <c r="M23" s="3">
        <f>IF(H23="Efectivo",IFERROR((VALUE(RIGHT(I23,4))-VALUE(RIGHT(E23,4)))*12+(VALUE(LEFT(I23,2))-VALUE(LEFT(E23,2))),""),"")</f>
        <v/>
      </c>
    </row>
    <row r="24">
      <c r="A24" t="inlineStr">
        <is>
          <t>ALATORRE MARQUEZ JORGE ALEJANDRO</t>
        </is>
      </c>
      <c r="B24" t="inlineStr">
        <is>
          <t>Hombre</t>
        </is>
      </c>
      <c r="C24" t="inlineStr">
        <is>
          <t>2944AF</t>
        </is>
      </c>
      <c r="D24" t="inlineStr">
        <is>
          <t>JALISCO</t>
        </is>
      </c>
      <c r="E24" t="inlineStr">
        <is>
          <t>01-2024</t>
        </is>
      </c>
      <c r="F24" t="inlineStr">
        <is>
          <t>03-2026</t>
        </is>
      </c>
      <c r="G24" t="n">
        <v>26</v>
      </c>
      <c r="H24" t="inlineStr">
        <is>
          <t>Cancelado</t>
        </is>
      </c>
      <c r="J24" t="inlineStr">
        <is>
          <t>HSJ725A</t>
        </is>
      </c>
      <c r="K24" t="inlineStr">
        <is>
          <t>CHEVROLET AVEO</t>
        </is>
      </c>
      <c r="L24" t="inlineStr">
        <is>
          <t>UBER</t>
        </is>
      </c>
      <c r="M24" s="3">
        <f>IF(H24="Efectivo",IFERROR((VALUE(RIGHT(I24,4))-VALUE(RIGHT(E24,4)))*12+(VALUE(LEFT(I24,2))-VALUE(LEFT(E24,2))),""),"")</f>
        <v/>
      </c>
    </row>
    <row r="25">
      <c r="A25" t="inlineStr">
        <is>
          <t>ALBA PARAMO NOE</t>
        </is>
      </c>
      <c r="B25" t="inlineStr">
        <is>
          <t>Hombre</t>
        </is>
      </c>
      <c r="C25" t="inlineStr">
        <is>
          <t>5625AF</t>
        </is>
      </c>
      <c r="D25" t="inlineStr">
        <is>
          <t>CDMX Y AREA METROPOLITANA</t>
        </is>
      </c>
      <c r="E25" t="inlineStr">
        <is>
          <t>08-2025</t>
        </is>
      </c>
      <c r="F25" t="inlineStr">
        <is>
          <t>12-2025</t>
        </is>
      </c>
      <c r="G25" t="n">
        <v>3</v>
      </c>
      <c r="H25" t="inlineStr">
        <is>
          <t>Pendiente</t>
        </is>
      </c>
      <c r="J25" t="inlineStr">
        <is>
          <t>48G241</t>
        </is>
      </c>
      <c r="K25" t="inlineStr">
        <is>
          <t>BYD MINIDOLPHIN</t>
        </is>
      </c>
      <c r="L25" t="inlineStr">
        <is>
          <t>DIDI</t>
        </is>
      </c>
      <c r="M25" s="3">
        <f>IF(H25="Efectivo",IFERROR((VALUE(RIGHT(I25,4))-VALUE(RIGHT(E25,4)))*12+(VALUE(LEFT(I25,2))-VALUE(LEFT(E25,2))),""),"")</f>
        <v/>
      </c>
    </row>
    <row r="26">
      <c r="A26" t="inlineStr">
        <is>
          <t>ALCALA NOVEROLA MARIO JONATHAN</t>
        </is>
      </c>
      <c r="B26" t="inlineStr">
        <is>
          <t>Hombre</t>
        </is>
      </c>
      <c r="C26" t="inlineStr">
        <is>
          <t>5784AF</t>
        </is>
      </c>
      <c r="D26" t="inlineStr">
        <is>
          <t>CDMX Y AREA METROPOLITANA</t>
        </is>
      </c>
      <c r="E26" t="inlineStr">
        <is>
          <t>09-2025</t>
        </is>
      </c>
      <c r="F26" t="inlineStr">
        <is>
          <t>02-2026</t>
        </is>
      </c>
      <c r="G26" t="n">
        <v>4</v>
      </c>
      <c r="H26" t="inlineStr">
        <is>
          <t>Efectivo</t>
        </is>
      </c>
      <c r="I26" t="inlineStr">
        <is>
          <t>02-2026</t>
        </is>
      </c>
      <c r="J26" t="inlineStr">
        <is>
          <t>10K823</t>
        </is>
      </c>
      <c r="K26" t="inlineStr">
        <is>
          <t>BYD MINIDOLPHIN</t>
        </is>
      </c>
      <c r="L26" t="inlineStr">
        <is>
          <t>UBER</t>
        </is>
      </c>
      <c r="M26" s="3">
        <f>IF(H26="Efectivo",IFERROR((VALUE(RIGHT(I26,4))-VALUE(RIGHT(E26,4)))*12+(VALUE(LEFT(I26,2))-VALUE(LEFT(E26,2))),""),"")</f>
        <v/>
      </c>
    </row>
    <row r="27">
      <c r="A27" t="inlineStr">
        <is>
          <t>ALCANTAR SILVA ARMANDO</t>
        </is>
      </c>
      <c r="B27" t="inlineStr">
        <is>
          <t>Hombre</t>
        </is>
      </c>
      <c r="C27" t="inlineStr">
        <is>
          <t>2745AF</t>
        </is>
      </c>
      <c r="D27" t="inlineStr">
        <is>
          <t>BAJA CALIFORNIA</t>
        </is>
      </c>
      <c r="E27" t="inlineStr">
        <is>
          <t>09-2023</t>
        </is>
      </c>
      <c r="F27" t="inlineStr">
        <is>
          <t>06-2025</t>
        </is>
      </c>
      <c r="G27" t="n">
        <v>21</v>
      </c>
      <c r="H27" t="inlineStr">
        <is>
          <t>Efectivo</t>
        </is>
      </c>
      <c r="I27" t="inlineStr">
        <is>
          <t>06-2025</t>
        </is>
      </c>
      <c r="J27" t="inlineStr">
        <is>
          <t>BJX359A</t>
        </is>
      </c>
      <c r="K27" t="inlineStr">
        <is>
          <t>CHEVROLET AVEO</t>
        </is>
      </c>
      <c r="L27" t="inlineStr">
        <is>
          <t>UBER</t>
        </is>
      </c>
      <c r="M27" s="3">
        <f>IF(H27="Efectivo",IFERROR((VALUE(RIGHT(I27,4))-VALUE(RIGHT(E27,4)))*12+(VALUE(LEFT(I27,2))-VALUE(LEFT(E27,2))),""),"")</f>
        <v/>
      </c>
    </row>
    <row r="28">
      <c r="A28" t="inlineStr">
        <is>
          <t>ALCANTARA SANCHEZ ENRIQUE ABRAHAM</t>
        </is>
      </c>
      <c r="B28" t="inlineStr">
        <is>
          <t>Hombre</t>
        </is>
      </c>
      <c r="C28" t="inlineStr">
        <is>
          <t>5800AF</t>
        </is>
      </c>
      <c r="D28" t="inlineStr">
        <is>
          <t>CDMX Y AREA METROPOLITANA</t>
        </is>
      </c>
      <c r="E28" t="inlineStr">
        <is>
          <t>09-2025</t>
        </is>
      </c>
      <c r="F28" t="inlineStr">
        <is>
          <t>05-2026</t>
        </is>
      </c>
      <c r="G28" t="n">
        <v>7</v>
      </c>
      <c r="H28" t="inlineStr">
        <is>
          <t>Efectivo</t>
        </is>
      </c>
      <c r="I28" t="inlineStr">
        <is>
          <t>05-2026</t>
        </is>
      </c>
      <c r="J28" t="inlineStr">
        <is>
          <t>10K840</t>
        </is>
      </c>
      <c r="K28" t="inlineStr">
        <is>
          <t>BYD MINIDOLPHIN</t>
        </is>
      </c>
      <c r="L28" t="inlineStr">
        <is>
          <t>UBER</t>
        </is>
      </c>
      <c r="M28" s="3">
        <f>IF(H28="Efectivo",IFERROR((VALUE(RIGHT(I28,4))-VALUE(RIGHT(E28,4)))*12+(VALUE(LEFT(I28,2))-VALUE(LEFT(E28,2))),""),"")</f>
        <v/>
      </c>
    </row>
    <row r="29">
      <c r="A29" t="inlineStr">
        <is>
          <t>ALCANTARA SEGURA JUAN</t>
        </is>
      </c>
      <c r="B29" t="inlineStr">
        <is>
          <t>Hombre</t>
        </is>
      </c>
      <c r="C29" t="inlineStr">
        <is>
          <t>4370AF</t>
        </is>
      </c>
      <c r="D29" t="inlineStr">
        <is>
          <t>CDMX Y AREA METROPOLITANA</t>
        </is>
      </c>
      <c r="E29" t="inlineStr">
        <is>
          <t>02-2025</t>
        </is>
      </c>
      <c r="F29" t="inlineStr">
        <is>
          <t>06-2025</t>
        </is>
      </c>
      <c r="G29" t="n">
        <v>3</v>
      </c>
      <c r="H29" t="inlineStr">
        <is>
          <t>Efectivo</t>
        </is>
      </c>
      <c r="I29" t="inlineStr">
        <is>
          <t>06-2025</t>
        </is>
      </c>
      <c r="J29" t="inlineStr">
        <is>
          <t>19G586</t>
        </is>
      </c>
      <c r="K29" t="inlineStr">
        <is>
          <t>BYD D1</t>
        </is>
      </c>
      <c r="L29" t="inlineStr">
        <is>
          <t>UBER</t>
        </is>
      </c>
      <c r="M29" s="3">
        <f>IF(H29="Efectivo",IFERROR((VALUE(RIGHT(I29,4))-VALUE(RIGHT(E29,4)))*12+(VALUE(LEFT(I29,2))-VALUE(LEFT(E29,2))),""),"")</f>
        <v/>
      </c>
    </row>
    <row r="30">
      <c r="A30" t="inlineStr">
        <is>
          <t>ALCIBAR PEÑA DANIEL</t>
        </is>
      </c>
      <c r="B30" t="inlineStr">
        <is>
          <t>Hombre</t>
        </is>
      </c>
      <c r="C30" t="inlineStr">
        <is>
          <t>4368AF</t>
        </is>
      </c>
      <c r="D30" t="inlineStr">
        <is>
          <t>CDMX Y AREA METROPOLITANA</t>
        </is>
      </c>
      <c r="E30" t="inlineStr">
        <is>
          <t>02-2025</t>
        </is>
      </c>
      <c r="F30" t="inlineStr">
        <is>
          <t>04-2025</t>
        </is>
      </c>
      <c r="G30" t="n">
        <v>2</v>
      </c>
      <c r="H30" t="inlineStr">
        <is>
          <t>Efectivo</t>
        </is>
      </c>
      <c r="I30" t="inlineStr">
        <is>
          <t>05-2025</t>
        </is>
      </c>
      <c r="J30" t="inlineStr">
        <is>
          <t>31G788</t>
        </is>
      </c>
      <c r="K30" t="inlineStr">
        <is>
          <t>GAC AION S</t>
        </is>
      </c>
      <c r="L30" t="inlineStr">
        <is>
          <t>DIDI</t>
        </is>
      </c>
      <c r="M30" s="3">
        <f>IF(H30="Efectivo",IFERROR((VALUE(RIGHT(I30,4))-VALUE(RIGHT(E30,4)))*12+(VALUE(LEFT(I30,2))-VALUE(LEFT(E30,2))),""),"")</f>
        <v/>
      </c>
    </row>
    <row r="31">
      <c r="A31" t="inlineStr">
        <is>
          <t>ALDANA RUIZ ISRAEL</t>
        </is>
      </c>
      <c r="B31" t="inlineStr">
        <is>
          <t>Hombre</t>
        </is>
      </c>
      <c r="C31" t="inlineStr">
        <is>
          <t>5409AF</t>
        </is>
      </c>
      <c r="D31" t="inlineStr">
        <is>
          <t>CDMX Y AREA METROPOLITANA</t>
        </is>
      </c>
      <c r="E31" t="inlineStr">
        <is>
          <t>07-2025</t>
        </is>
      </c>
      <c r="F31" t="inlineStr">
        <is>
          <t>03-2026</t>
        </is>
      </c>
      <c r="G31" t="n">
        <v>8</v>
      </c>
      <c r="H31" t="inlineStr">
        <is>
          <t>Efectivo</t>
        </is>
      </c>
      <c r="I31" t="inlineStr">
        <is>
          <t>03-2026</t>
        </is>
      </c>
      <c r="J31" t="inlineStr">
        <is>
          <t>48G145</t>
        </is>
      </c>
      <c r="K31" t="inlineStr">
        <is>
          <t>BYD MINIDOLPHIN</t>
        </is>
      </c>
      <c r="L31" t="inlineStr">
        <is>
          <t>DIDI</t>
        </is>
      </c>
      <c r="M31" s="3">
        <f>IF(H31="Efectivo",IFERROR((VALUE(RIGHT(I31,4))-VALUE(RIGHT(E31,4)))*12+(VALUE(LEFT(I31,2))-VALUE(LEFT(E31,2))),""),"")</f>
        <v/>
      </c>
    </row>
    <row r="32">
      <c r="A32" t="inlineStr">
        <is>
          <t>ALDAPE BARCENAS ILSE ABIGAIL</t>
        </is>
      </c>
      <c r="B32" t="inlineStr">
        <is>
          <t>Mujer</t>
        </is>
      </c>
      <c r="C32" t="inlineStr">
        <is>
          <t>5889AF</t>
        </is>
      </c>
      <c r="D32" t="inlineStr">
        <is>
          <t>NUEVO LEON</t>
        </is>
      </c>
      <c r="E32" t="inlineStr">
        <is>
          <t>10-2025</t>
        </is>
      </c>
      <c r="F32" t="inlineStr">
        <is>
          <t>03-2026</t>
        </is>
      </c>
      <c r="G32" t="n">
        <v>6</v>
      </c>
      <c r="H32" t="inlineStr">
        <is>
          <t>Pendiente</t>
        </is>
      </c>
      <c r="J32" t="inlineStr">
        <is>
          <t>RXC615C</t>
        </is>
      </c>
      <c r="K32" t="inlineStr">
        <is>
          <t>TOYOTA AVANZA</t>
        </is>
      </c>
      <c r="L32" t="inlineStr">
        <is>
          <t>UBER</t>
        </is>
      </c>
      <c r="M32" s="3">
        <f>IF(H32="Efectivo",IFERROR((VALUE(RIGHT(I32,4))-VALUE(RIGHT(E32,4)))*12+(VALUE(LEFT(I32,2))-VALUE(LEFT(E32,2))),""),"")</f>
        <v/>
      </c>
    </row>
    <row r="33">
      <c r="A33" t="inlineStr">
        <is>
          <t>ALEJANDRE GABRIEL DIEGO</t>
        </is>
      </c>
      <c r="B33" t="inlineStr">
        <is>
          <t>Hombre</t>
        </is>
      </c>
      <c r="C33" t="inlineStr">
        <is>
          <t>6382AF</t>
        </is>
      </c>
      <c r="D33" t="inlineStr">
        <is>
          <t>NUEVO LEON</t>
        </is>
      </c>
      <c r="E33" t="inlineStr">
        <is>
          <t>11-2025</t>
        </is>
      </c>
      <c r="F33" t="inlineStr">
        <is>
          <t>04-2026</t>
        </is>
      </c>
      <c r="G33" t="n">
        <v>4</v>
      </c>
      <c r="H33" t="inlineStr">
        <is>
          <t>Pendiente</t>
        </is>
      </c>
      <c r="J33" t="inlineStr">
        <is>
          <t>RZB056C</t>
        </is>
      </c>
      <c r="K33" t="inlineStr">
        <is>
          <t>CHEVROLET AVEO</t>
        </is>
      </c>
      <c r="L33" t="inlineStr">
        <is>
          <t>DIDI</t>
        </is>
      </c>
      <c r="M33" s="3">
        <f>IF(H33="Efectivo",IFERROR((VALUE(RIGHT(I33,4))-VALUE(RIGHT(E33,4)))*12+(VALUE(LEFT(I33,2))-VALUE(LEFT(E33,2))),""),"")</f>
        <v/>
      </c>
    </row>
    <row r="34">
      <c r="A34" t="inlineStr">
        <is>
          <t>ALEMAN CONTRERAS MANUEL ALEJANDRO</t>
        </is>
      </c>
      <c r="B34" t="inlineStr">
        <is>
          <t>Hombre</t>
        </is>
      </c>
      <c r="C34" t="inlineStr">
        <is>
          <t>6440AF</t>
        </is>
      </c>
      <c r="D34" t="inlineStr">
        <is>
          <t>CDMX Y AREA METROPOLITANA</t>
        </is>
      </c>
      <c r="E34" t="inlineStr">
        <is>
          <t>12-2025</t>
        </is>
      </c>
      <c r="F34" t="inlineStr">
        <is>
          <t>02-2026</t>
        </is>
      </c>
      <c r="G34" t="n">
        <v>2</v>
      </c>
      <c r="H34" t="inlineStr">
        <is>
          <t>Pendiente</t>
        </is>
      </c>
      <c r="J34" t="inlineStr">
        <is>
          <t>51G818</t>
        </is>
      </c>
      <c r="K34" t="inlineStr">
        <is>
          <t>BYD MINIDOLPHIN</t>
        </is>
      </c>
      <c r="L34" t="inlineStr">
        <is>
          <t>UBER</t>
        </is>
      </c>
      <c r="M34" s="3">
        <f>IF(H34="Efectivo",IFERROR((VALUE(RIGHT(I34,4))-VALUE(RIGHT(E34,4)))*12+(VALUE(LEFT(I34,2))-VALUE(LEFT(E34,2))),""),"")</f>
        <v/>
      </c>
    </row>
    <row r="35">
      <c r="A35" t="inlineStr">
        <is>
          <t>ALFARO MARTINEZ LUIS ENRIQUE</t>
        </is>
      </c>
      <c r="B35" t="inlineStr">
        <is>
          <t>Hombre</t>
        </is>
      </c>
      <c r="C35" t="inlineStr">
        <is>
          <t>3767AF</t>
        </is>
      </c>
      <c r="D35" t="inlineStr">
        <is>
          <t>CDMX Y AREA METROPOLITANA</t>
        </is>
      </c>
      <c r="E35" t="inlineStr">
        <is>
          <t>09-2024</t>
        </is>
      </c>
      <c r="F35" t="inlineStr">
        <is>
          <t>04-2025</t>
        </is>
      </c>
      <c r="G35" t="n">
        <v>6</v>
      </c>
      <c r="H35" t="inlineStr">
        <is>
          <t>Efectivo</t>
        </is>
      </c>
      <c r="I35" t="inlineStr">
        <is>
          <t>04-2025</t>
        </is>
      </c>
      <c r="J35" t="inlineStr">
        <is>
          <t>05G231</t>
        </is>
      </c>
      <c r="K35" t="inlineStr">
        <is>
          <t>BYD D1</t>
        </is>
      </c>
      <c r="L35" t="inlineStr">
        <is>
          <t>UBER</t>
        </is>
      </c>
      <c r="M35" s="3">
        <f>IF(H35="Efectivo",IFERROR((VALUE(RIGHT(I35,4))-VALUE(RIGHT(E35,4)))*12+(VALUE(LEFT(I35,2))-VALUE(LEFT(E35,2))),""),"")</f>
        <v/>
      </c>
    </row>
    <row r="36">
      <c r="A36" t="inlineStr">
        <is>
          <t>ALMANZA VITE OCTAVIO DAMIAN</t>
        </is>
      </c>
      <c r="B36" t="inlineStr">
        <is>
          <t>Hombre</t>
        </is>
      </c>
      <c r="C36" t="inlineStr">
        <is>
          <t>4506AF</t>
        </is>
      </c>
      <c r="D36" t="inlineStr">
        <is>
          <t>CDMX Y AREA METROPOLITANA</t>
        </is>
      </c>
      <c r="E36" t="inlineStr">
        <is>
          <t>03-2025</t>
        </is>
      </c>
      <c r="F36" t="inlineStr">
        <is>
          <t>06-2025</t>
        </is>
      </c>
      <c r="G36" t="n">
        <v>2</v>
      </c>
      <c r="H36" t="inlineStr">
        <is>
          <t>Efectivo</t>
        </is>
      </c>
      <c r="I36" t="inlineStr">
        <is>
          <t>06-2025</t>
        </is>
      </c>
      <c r="J36" t="inlineStr">
        <is>
          <t>Y47BNL</t>
        </is>
      </c>
      <c r="K36" t="inlineStr">
        <is>
          <t>CHEVROLET AVEO</t>
        </is>
      </c>
      <c r="L36" t="inlineStr">
        <is>
          <t>UBER</t>
        </is>
      </c>
      <c r="M36" s="3">
        <f>IF(H36="Efectivo",IFERROR((VALUE(RIGHT(I36,4))-VALUE(RIGHT(E36,4)))*12+(VALUE(LEFT(I36,2))-VALUE(LEFT(E36,2))),""),"")</f>
        <v/>
      </c>
    </row>
    <row r="37">
      <c r="A37" t="inlineStr">
        <is>
          <t>ALONSO ALONSO ROSA CARMEN</t>
        </is>
      </c>
      <c r="B37" t="inlineStr">
        <is>
          <t>Mujer</t>
        </is>
      </c>
      <c r="C37" t="inlineStr">
        <is>
          <t>4904AF</t>
        </is>
      </c>
      <c r="D37" t="inlineStr">
        <is>
          <t>NUEVO LEON</t>
        </is>
      </c>
      <c r="E37" t="inlineStr">
        <is>
          <t>05-2025</t>
        </is>
      </c>
      <c r="F37" t="inlineStr">
        <is>
          <t>07-2025</t>
        </is>
      </c>
      <c r="G37" t="n">
        <v>2</v>
      </c>
      <c r="H37" t="inlineStr">
        <is>
          <t>Efectivo</t>
        </is>
      </c>
      <c r="I37" t="inlineStr">
        <is>
          <t>08-2025</t>
        </is>
      </c>
      <c r="J37" t="inlineStr">
        <is>
          <t>RUB750C</t>
        </is>
      </c>
      <c r="K37" t="inlineStr">
        <is>
          <t>TOYOTA AVANZA</t>
        </is>
      </c>
      <c r="L37" t="inlineStr">
        <is>
          <t>DIDI</t>
        </is>
      </c>
      <c r="M37" s="3">
        <f>IF(H37="Efectivo",IFERROR((VALUE(RIGHT(I37,4))-VALUE(RIGHT(E37,4)))*12+(VALUE(LEFT(I37,2))-VALUE(LEFT(E37,2))),""),"")</f>
        <v/>
      </c>
    </row>
    <row r="38">
      <c r="A38" t="inlineStr">
        <is>
          <t>ALONSO DEL ANGEL ALEJANDRO</t>
        </is>
      </c>
      <c r="B38" t="inlineStr">
        <is>
          <t>Hombre</t>
        </is>
      </c>
      <c r="C38" t="inlineStr">
        <is>
          <t>4167AF</t>
        </is>
      </c>
      <c r="D38" t="inlineStr">
        <is>
          <t>CDMX Y AREA METROPOLITANA</t>
        </is>
      </c>
      <c r="E38" t="inlineStr">
        <is>
          <t>12-2024</t>
        </is>
      </c>
      <c r="F38" t="inlineStr">
        <is>
          <t>03-2026</t>
        </is>
      </c>
      <c r="G38" t="n">
        <v>15</v>
      </c>
      <c r="H38" t="inlineStr">
        <is>
          <t>Efectivo</t>
        </is>
      </c>
      <c r="I38" t="inlineStr">
        <is>
          <t>04-2026</t>
        </is>
      </c>
      <c r="J38" t="inlineStr">
        <is>
          <t>19G518</t>
        </is>
      </c>
      <c r="K38" t="inlineStr">
        <is>
          <t>BYD D1</t>
        </is>
      </c>
      <c r="L38" t="inlineStr">
        <is>
          <t>UBER</t>
        </is>
      </c>
      <c r="M38" s="3">
        <f>IF(H38="Efectivo",IFERROR((VALUE(RIGHT(I38,4))-VALUE(RIGHT(E38,4)))*12+(VALUE(LEFT(I38,2))-VALUE(LEFT(E38,2))),""),"")</f>
        <v/>
      </c>
    </row>
    <row r="39">
      <c r="A39" t="inlineStr">
        <is>
          <t>ALONSO GUERRA LUIS ALONSO</t>
        </is>
      </c>
      <c r="B39" t="inlineStr">
        <is>
          <t>Hombre</t>
        </is>
      </c>
      <c r="C39" t="inlineStr">
        <is>
          <t>5550AF</t>
        </is>
      </c>
      <c r="D39" t="inlineStr">
        <is>
          <t>NUEVO LEON</t>
        </is>
      </c>
      <c r="E39" t="inlineStr">
        <is>
          <t>08-2025</t>
        </is>
      </c>
      <c r="F39" t="inlineStr">
        <is>
          <t>02-2026</t>
        </is>
      </c>
      <c r="G39" t="n">
        <v>6</v>
      </c>
      <c r="H39" t="inlineStr">
        <is>
          <t>Cancelado</t>
        </is>
      </c>
      <c r="J39" t="inlineStr">
        <is>
          <t>RVX593C</t>
        </is>
      </c>
      <c r="K39" t="inlineStr">
        <is>
          <t>CHEVROLET AVEO</t>
        </is>
      </c>
      <c r="L39" t="inlineStr">
        <is>
          <t>UBER</t>
        </is>
      </c>
      <c r="M39" s="3">
        <f>IF(H39="Efectivo",IFERROR((VALUE(RIGHT(I39,4))-VALUE(RIGHT(E39,4)))*12+(VALUE(LEFT(I39,2))-VALUE(LEFT(E39,2))),""),"")</f>
        <v/>
      </c>
    </row>
    <row r="40">
      <c r="A40" t="inlineStr">
        <is>
          <t>ALONSO ROJAS LUIS ENRIQUE</t>
        </is>
      </c>
      <c r="B40" t="inlineStr">
        <is>
          <t>Hombre</t>
        </is>
      </c>
      <c r="C40" t="inlineStr">
        <is>
          <t>3032AF</t>
        </is>
      </c>
      <c r="D40" t="inlineStr">
        <is>
          <t>CDMX Y AREA METROPOLITANA</t>
        </is>
      </c>
      <c r="E40" t="inlineStr">
        <is>
          <t>02-2024</t>
        </is>
      </c>
      <c r="F40" t="inlineStr">
        <is>
          <t>08-2025</t>
        </is>
      </c>
      <c r="G40" t="n">
        <v>18</v>
      </c>
      <c r="H40" t="inlineStr">
        <is>
          <t>Cancelado</t>
        </is>
      </c>
      <c r="J40" t="inlineStr">
        <is>
          <t>T14BNL</t>
        </is>
      </c>
      <c r="K40" t="inlineStr">
        <is>
          <t>CHEVROLET AVEO</t>
        </is>
      </c>
      <c r="L40" t="inlineStr">
        <is>
          <t>UBER</t>
        </is>
      </c>
      <c r="M40" s="3">
        <f>IF(H40="Efectivo",IFERROR((VALUE(RIGHT(I40,4))-VALUE(RIGHT(E40,4)))*12+(VALUE(LEFT(I40,2))-VALUE(LEFT(E40,2))),""),"")</f>
        <v/>
      </c>
    </row>
    <row r="41">
      <c r="A41" t="inlineStr">
        <is>
          <t>ALTAMIRANO FLORES ANGEL EDUARDO</t>
        </is>
      </c>
      <c r="B41" t="inlineStr">
        <is>
          <t>Hombre</t>
        </is>
      </c>
      <c r="C41" t="inlineStr">
        <is>
          <t>5058AF</t>
        </is>
      </c>
      <c r="D41" t="inlineStr">
        <is>
          <t>CDMX Y AREA METROPOLITANA</t>
        </is>
      </c>
      <c r="E41" t="inlineStr">
        <is>
          <t>06-2025</t>
        </is>
      </c>
      <c r="F41" t="inlineStr">
        <is>
          <t>11-2025</t>
        </is>
      </c>
      <c r="G41" t="n">
        <v>5</v>
      </c>
      <c r="H41" t="inlineStr">
        <is>
          <t>Pendiente</t>
        </is>
      </c>
      <c r="J41" t="inlineStr">
        <is>
          <t>B87BPD</t>
        </is>
      </c>
      <c r="K41" t="inlineStr">
        <is>
          <t>CHEVROLET AVEO</t>
        </is>
      </c>
      <c r="L41" t="inlineStr">
        <is>
          <t>DIDI</t>
        </is>
      </c>
      <c r="M41" s="3">
        <f>IF(H41="Efectivo",IFERROR((VALUE(RIGHT(I41,4))-VALUE(RIGHT(E41,4)))*12+(VALUE(LEFT(I41,2))-VALUE(LEFT(E41,2))),""),"")</f>
        <v/>
      </c>
    </row>
    <row r="42">
      <c r="A42" t="inlineStr">
        <is>
          <t>ALVA RAMIREZ GABRIEL ALEJANDRO</t>
        </is>
      </c>
      <c r="B42" t="inlineStr">
        <is>
          <t>Hombre</t>
        </is>
      </c>
      <c r="C42" t="inlineStr">
        <is>
          <t>6507AF</t>
        </is>
      </c>
      <c r="D42" t="inlineStr">
        <is>
          <t>JALISCO</t>
        </is>
      </c>
      <c r="E42" t="inlineStr">
        <is>
          <t>12-2025</t>
        </is>
      </c>
      <c r="F42" t="inlineStr">
        <is>
          <t>03-2026</t>
        </is>
      </c>
      <c r="G42" t="n">
        <v>2</v>
      </c>
      <c r="H42" t="inlineStr">
        <is>
          <t>Efectivo</t>
        </is>
      </c>
      <c r="I42" t="inlineStr">
        <is>
          <t>03-2026</t>
        </is>
      </c>
      <c r="J42" t="inlineStr">
        <is>
          <t>KDM116A</t>
        </is>
      </c>
      <c r="K42" t="inlineStr">
        <is>
          <t>TOYOTA AVANZA</t>
        </is>
      </c>
      <c r="L42" t="inlineStr">
        <is>
          <t>UBER</t>
        </is>
      </c>
      <c r="M42" s="3">
        <f>IF(H42="Efectivo",IFERROR((VALUE(RIGHT(I42,4))-VALUE(RIGHT(E42,4)))*12+(VALUE(LEFT(I42,2))-VALUE(LEFT(E42,2))),""),"")</f>
        <v/>
      </c>
    </row>
    <row r="43">
      <c r="A43" t="inlineStr">
        <is>
          <t>ALVARADO CERVANTES JONATHAN JACOB</t>
        </is>
      </c>
      <c r="B43" t="inlineStr">
        <is>
          <t>Hombre</t>
        </is>
      </c>
      <c r="C43" t="inlineStr">
        <is>
          <t>4571AF</t>
        </is>
      </c>
      <c r="D43" t="inlineStr">
        <is>
          <t>BAJA CALIFORNIA</t>
        </is>
      </c>
      <c r="E43" t="inlineStr">
        <is>
          <t>04-2025</t>
        </is>
      </c>
      <c r="F43" t="inlineStr">
        <is>
          <t>09-2025</t>
        </is>
      </c>
      <c r="G43" t="n">
        <v>5</v>
      </c>
      <c r="H43" t="inlineStr">
        <is>
          <t>Efectivo</t>
        </is>
      </c>
      <c r="I43" t="inlineStr">
        <is>
          <t>10-2025</t>
        </is>
      </c>
      <c r="J43" t="inlineStr">
        <is>
          <t>BWX672A</t>
        </is>
      </c>
      <c r="K43" t="inlineStr">
        <is>
          <t>CHEVROLET AVEO</t>
        </is>
      </c>
      <c r="L43" t="inlineStr">
        <is>
          <t>UBER</t>
        </is>
      </c>
      <c r="M43" s="3">
        <f>IF(H43="Efectivo",IFERROR((VALUE(RIGHT(I43,4))-VALUE(RIGHT(E43,4)))*12+(VALUE(LEFT(I43,2))-VALUE(LEFT(E43,2))),""),"")</f>
        <v/>
      </c>
    </row>
    <row r="44">
      <c r="A44" t="inlineStr">
        <is>
          <t>ALVARADO DE LA ROCHA CARLOS ALBERTO</t>
        </is>
      </c>
      <c r="B44" t="inlineStr">
        <is>
          <t>Hombre</t>
        </is>
      </c>
      <c r="C44" t="inlineStr">
        <is>
          <t>3962AF</t>
        </is>
      </c>
      <c r="D44" t="inlineStr">
        <is>
          <t>CDMX Y AREA METROPOLITANA</t>
        </is>
      </c>
      <c r="E44" t="inlineStr">
        <is>
          <t>11-2024</t>
        </is>
      </c>
      <c r="F44" t="inlineStr">
        <is>
          <t>12-2025</t>
        </is>
      </c>
      <c r="G44" t="n">
        <v>13</v>
      </c>
      <c r="H44" t="inlineStr">
        <is>
          <t>Efectivo</t>
        </is>
      </c>
      <c r="I44" t="inlineStr">
        <is>
          <t>01-2026</t>
        </is>
      </c>
      <c r="J44" t="inlineStr">
        <is>
          <t>13G727</t>
        </is>
      </c>
      <c r="K44" t="inlineStr">
        <is>
          <t>BYD D1</t>
        </is>
      </c>
      <c r="L44" t="inlineStr">
        <is>
          <t>UBER</t>
        </is>
      </c>
      <c r="M44" s="3">
        <f>IF(H44="Efectivo",IFERROR((VALUE(RIGHT(I44,4))-VALUE(RIGHT(E44,4)))*12+(VALUE(LEFT(I44,2))-VALUE(LEFT(E44,2))),""),"")</f>
        <v/>
      </c>
    </row>
    <row r="45">
      <c r="A45" t="inlineStr">
        <is>
          <t>ALVARADO DIAZ ADRIAN</t>
        </is>
      </c>
      <c r="B45" t="inlineStr">
        <is>
          <t>Hombre</t>
        </is>
      </c>
      <c r="C45" t="inlineStr">
        <is>
          <t>4125AF</t>
        </is>
      </c>
      <c r="D45" t="inlineStr">
        <is>
          <t>CDMX Y AREA METROPOLITANA</t>
        </is>
      </c>
      <c r="E45" t="inlineStr">
        <is>
          <t>12-2024</t>
        </is>
      </c>
      <c r="F45" t="inlineStr">
        <is>
          <t>07-2025</t>
        </is>
      </c>
      <c r="G45" t="n">
        <v>7</v>
      </c>
      <c r="H45" t="inlineStr">
        <is>
          <t>Efectivo</t>
        </is>
      </c>
      <c r="I45" t="inlineStr">
        <is>
          <t>08-2025</t>
        </is>
      </c>
      <c r="J45" t="inlineStr">
        <is>
          <t>19G588</t>
        </is>
      </c>
      <c r="K45" t="inlineStr">
        <is>
          <t>BYD D1</t>
        </is>
      </c>
      <c r="L45" t="inlineStr">
        <is>
          <t>UBER</t>
        </is>
      </c>
      <c r="M45" s="3">
        <f>IF(H45="Efectivo",IFERROR((VALUE(RIGHT(I45,4))-VALUE(RIGHT(E45,4)))*12+(VALUE(LEFT(I45,2))-VALUE(LEFT(E45,2))),""),"")</f>
        <v/>
      </c>
    </row>
    <row r="46">
      <c r="A46" t="inlineStr">
        <is>
          <t>ALVARADO FLORES ERIK</t>
        </is>
      </c>
      <c r="B46" t="inlineStr">
        <is>
          <t>Hombre</t>
        </is>
      </c>
      <c r="C46" t="inlineStr">
        <is>
          <t>3871AF</t>
        </is>
      </c>
      <c r="D46" t="inlineStr">
        <is>
          <t>CDMX Y AREA METROPOLITANA</t>
        </is>
      </c>
      <c r="E46" t="inlineStr">
        <is>
          <t>10-2024</t>
        </is>
      </c>
      <c r="F46" t="inlineStr">
        <is>
          <t>09-2025</t>
        </is>
      </c>
      <c r="G46" t="n">
        <v>11</v>
      </c>
      <c r="H46" t="inlineStr">
        <is>
          <t>Efectivo</t>
        </is>
      </c>
      <c r="I46" t="inlineStr">
        <is>
          <t>09-2025</t>
        </is>
      </c>
      <c r="J46" t="inlineStr">
        <is>
          <t>E10BPT</t>
        </is>
      </c>
      <c r="K46" t="inlineStr">
        <is>
          <t>TOYOTA AVANZA</t>
        </is>
      </c>
      <c r="L46" t="inlineStr">
        <is>
          <t>UBER</t>
        </is>
      </c>
      <c r="M46" s="3">
        <f>IF(H46="Efectivo",IFERROR((VALUE(RIGHT(I46,4))-VALUE(RIGHT(E46,4)))*12+(VALUE(LEFT(I46,2))-VALUE(LEFT(E46,2))),""),"")</f>
        <v/>
      </c>
    </row>
    <row r="47">
      <c r="A47" t="inlineStr">
        <is>
          <t>ALVARADO JUAREZ LUIS ADAN</t>
        </is>
      </c>
      <c r="B47" t="inlineStr">
        <is>
          <t>Hombre</t>
        </is>
      </c>
      <c r="C47" t="inlineStr">
        <is>
          <t>5633AF</t>
        </is>
      </c>
      <c r="D47" t="inlineStr">
        <is>
          <t>CDMX Y AREA METROPOLITANA</t>
        </is>
      </c>
      <c r="E47" t="inlineStr">
        <is>
          <t>08-2025</t>
        </is>
      </c>
      <c r="F47" t="inlineStr">
        <is>
          <t>04-2026</t>
        </is>
      </c>
      <c r="G47" t="n">
        <v>7</v>
      </c>
      <c r="H47" t="inlineStr">
        <is>
          <t>Efectivo</t>
        </is>
      </c>
      <c r="I47" t="inlineStr">
        <is>
          <t>04-2026</t>
        </is>
      </c>
      <c r="J47" t="inlineStr">
        <is>
          <t>48G289</t>
        </is>
      </c>
      <c r="K47" t="inlineStr">
        <is>
          <t>BYD MINIDOLPHIN</t>
        </is>
      </c>
      <c r="L47" t="inlineStr">
        <is>
          <t>UBER</t>
        </is>
      </c>
      <c r="M47" s="3">
        <f>IF(H47="Efectivo",IFERROR((VALUE(RIGHT(I47,4))-VALUE(RIGHT(E47,4)))*12+(VALUE(LEFT(I47,2))-VALUE(LEFT(E47,2))),""),"")</f>
        <v/>
      </c>
    </row>
    <row r="48">
      <c r="A48" t="inlineStr">
        <is>
          <t>ALVARADO MARTINEZ ENRIQUE ALFREDO</t>
        </is>
      </c>
      <c r="B48" t="inlineStr">
        <is>
          <t>Hombre</t>
        </is>
      </c>
      <c r="C48" t="inlineStr">
        <is>
          <t>6374AF</t>
        </is>
      </c>
      <c r="D48" t="inlineStr">
        <is>
          <t>NUEVO LEON</t>
        </is>
      </c>
      <c r="E48" t="inlineStr">
        <is>
          <t>11-2025</t>
        </is>
      </c>
      <c r="F48" t="inlineStr">
        <is>
          <t>03-2026</t>
        </is>
      </c>
      <c r="G48" t="n">
        <v>3</v>
      </c>
      <c r="H48" t="inlineStr">
        <is>
          <t>Efectivo</t>
        </is>
      </c>
      <c r="I48" t="inlineStr">
        <is>
          <t>03-2026</t>
        </is>
      </c>
      <c r="J48" t="inlineStr">
        <is>
          <t>RYJ862C</t>
        </is>
      </c>
      <c r="K48" t="inlineStr">
        <is>
          <t>TOYOTA AVANZA</t>
        </is>
      </c>
      <c r="L48" t="inlineStr">
        <is>
          <t>UBER</t>
        </is>
      </c>
      <c r="M48" s="3">
        <f>IF(H48="Efectivo",IFERROR((VALUE(RIGHT(I48,4))-VALUE(RIGHT(E48,4)))*12+(VALUE(LEFT(I48,2))-VALUE(LEFT(E48,2))),""),"")</f>
        <v/>
      </c>
    </row>
    <row r="49">
      <c r="A49" t="inlineStr">
        <is>
          <t>ALVARADO MORENO FRANCISCO JAVIER</t>
        </is>
      </c>
      <c r="B49" t="inlineStr">
        <is>
          <t>Hombre</t>
        </is>
      </c>
      <c r="C49" t="inlineStr">
        <is>
          <t>4202AF</t>
        </is>
      </c>
      <c r="D49" t="inlineStr">
        <is>
          <t>NUEVO LEON</t>
        </is>
      </c>
      <c r="E49" t="inlineStr">
        <is>
          <t>01-2025</t>
        </is>
      </c>
      <c r="F49" t="inlineStr">
        <is>
          <t>10-2025</t>
        </is>
      </c>
      <c r="G49" t="n">
        <v>9</v>
      </c>
      <c r="H49" t="inlineStr">
        <is>
          <t>Cancelado</t>
        </is>
      </c>
      <c r="J49" t="inlineStr">
        <is>
          <t>TCV544B</t>
        </is>
      </c>
      <c r="K49" t="inlineStr">
        <is>
          <t>ONIX</t>
        </is>
      </c>
      <c r="L49" t="inlineStr">
        <is>
          <t>UBER</t>
        </is>
      </c>
      <c r="M49" s="3">
        <f>IF(H49="Efectivo",IFERROR((VALUE(RIGHT(I49,4))-VALUE(RIGHT(E49,4)))*12+(VALUE(LEFT(I49,2))-VALUE(LEFT(E49,2))),""),"")</f>
        <v/>
      </c>
    </row>
    <row r="50">
      <c r="A50" t="inlineStr">
        <is>
          <t>ALVARADO ORDUÑA LUIS</t>
        </is>
      </c>
      <c r="B50" t="inlineStr">
        <is>
          <t>Hombre</t>
        </is>
      </c>
      <c r="C50" t="inlineStr">
        <is>
          <t>4252AF</t>
        </is>
      </c>
      <c r="D50" t="inlineStr">
        <is>
          <t>CDMX Y AREA METROPOLITANA</t>
        </is>
      </c>
      <c r="E50" t="inlineStr">
        <is>
          <t>01-2025</t>
        </is>
      </c>
      <c r="F50" t="inlineStr">
        <is>
          <t>03-2026</t>
        </is>
      </c>
      <c r="G50" t="n">
        <v>13</v>
      </c>
      <c r="H50" t="inlineStr">
        <is>
          <t>Efectivo</t>
        </is>
      </c>
      <c r="I50" t="inlineStr">
        <is>
          <t>03-2026</t>
        </is>
      </c>
      <c r="J50" t="inlineStr">
        <is>
          <t>A08BNM</t>
        </is>
      </c>
      <c r="K50" t="inlineStr">
        <is>
          <t>CHEVROLET AVEO</t>
        </is>
      </c>
      <c r="L50" t="inlineStr">
        <is>
          <t>UBER</t>
        </is>
      </c>
      <c r="M50" s="3">
        <f>IF(H50="Efectivo",IFERROR((VALUE(RIGHT(I50,4))-VALUE(RIGHT(E50,4)))*12+(VALUE(LEFT(I50,2))-VALUE(LEFT(E50,2))),""),"")</f>
        <v/>
      </c>
    </row>
    <row r="51">
      <c r="A51" t="inlineStr">
        <is>
          <t>ALVARADO SANTIBAÑEZ ALAN MANUEL</t>
        </is>
      </c>
      <c r="B51" t="inlineStr">
        <is>
          <t>Hombre</t>
        </is>
      </c>
      <c r="C51" t="inlineStr">
        <is>
          <t>6486AF</t>
        </is>
      </c>
      <c r="D51" t="inlineStr">
        <is>
          <t>CDMX Y AREA METROPOLITANA</t>
        </is>
      </c>
      <c r="E51" t="inlineStr">
        <is>
          <t>12-2025</t>
        </is>
      </c>
      <c r="F51" t="inlineStr">
        <is>
          <t>05-2026</t>
        </is>
      </c>
      <c r="G51" t="n">
        <v>5</v>
      </c>
      <c r="H51" t="inlineStr">
        <is>
          <t>Pendiente</t>
        </is>
      </c>
      <c r="J51" t="inlineStr">
        <is>
          <t>15K091</t>
        </is>
      </c>
      <c r="K51" t="inlineStr">
        <is>
          <t>BYD MINIDOLPHIN</t>
        </is>
      </c>
      <c r="L51" t="inlineStr">
        <is>
          <t>DIDI</t>
        </is>
      </c>
      <c r="M51" s="3">
        <f>IF(H51="Efectivo",IFERROR((VALUE(RIGHT(I51,4))-VALUE(RIGHT(E51,4)))*12+(VALUE(LEFT(I51,2))-VALUE(LEFT(E51,2))),""),"")</f>
        <v/>
      </c>
    </row>
    <row r="52">
      <c r="A52" t="inlineStr">
        <is>
          <t>ALVARADO SORIA MARCOS GAMALIEL</t>
        </is>
      </c>
      <c r="B52" t="inlineStr">
        <is>
          <t>Hombre</t>
        </is>
      </c>
      <c r="C52" t="inlineStr">
        <is>
          <t>5095AF</t>
        </is>
      </c>
      <c r="D52" t="inlineStr">
        <is>
          <t>CDMX Y AREA METROPOLITANA</t>
        </is>
      </c>
      <c r="E52" t="inlineStr">
        <is>
          <t>06-2025</t>
        </is>
      </c>
      <c r="F52" t="inlineStr">
        <is>
          <t>09-2025</t>
        </is>
      </c>
      <c r="G52" t="n">
        <v>3</v>
      </c>
      <c r="H52" t="inlineStr">
        <is>
          <t>Pendiente</t>
        </is>
      </c>
      <c r="J52" t="inlineStr">
        <is>
          <t>28G728</t>
        </is>
      </c>
      <c r="K52" t="inlineStr">
        <is>
          <t>GAC AION S</t>
        </is>
      </c>
      <c r="L52" t="inlineStr">
        <is>
          <t>UBER</t>
        </is>
      </c>
      <c r="M52" s="3">
        <f>IF(H52="Efectivo",IFERROR((VALUE(RIGHT(I52,4))-VALUE(RIGHT(E52,4)))*12+(VALUE(LEFT(I52,2))-VALUE(LEFT(E52,2))),""),"")</f>
        <v/>
      </c>
    </row>
    <row r="53">
      <c r="A53" t="inlineStr">
        <is>
          <t>ALVAREZ BARROSO LUIS ARTURO</t>
        </is>
      </c>
      <c r="B53" t="inlineStr">
        <is>
          <t>Hombre</t>
        </is>
      </c>
      <c r="C53" t="inlineStr">
        <is>
          <t>5379AF</t>
        </is>
      </c>
      <c r="D53" t="inlineStr">
        <is>
          <t>CDMX Y AREA METROPOLITANA</t>
        </is>
      </c>
      <c r="E53" t="inlineStr">
        <is>
          <t>07-2025</t>
        </is>
      </c>
      <c r="F53" t="inlineStr">
        <is>
          <t>01-2026</t>
        </is>
      </c>
      <c r="G53" t="n">
        <v>6</v>
      </c>
      <c r="H53" t="inlineStr">
        <is>
          <t>Efectivo</t>
        </is>
      </c>
      <c r="I53" t="inlineStr">
        <is>
          <t>01-2026</t>
        </is>
      </c>
      <c r="J53" t="inlineStr">
        <is>
          <t>48G159</t>
        </is>
      </c>
      <c r="K53" t="inlineStr">
        <is>
          <t>BYD MINIDOLPHIN</t>
        </is>
      </c>
      <c r="L53" t="inlineStr">
        <is>
          <t>UBER</t>
        </is>
      </c>
      <c r="M53" s="3">
        <f>IF(H53="Efectivo",IFERROR((VALUE(RIGHT(I53,4))-VALUE(RIGHT(E53,4)))*12+(VALUE(LEFT(I53,2))-VALUE(LEFT(E53,2))),""),"")</f>
        <v/>
      </c>
    </row>
    <row r="54">
      <c r="A54" t="inlineStr">
        <is>
          <t>ALVAREZ BONES OSVALDO</t>
        </is>
      </c>
      <c r="B54" t="inlineStr">
        <is>
          <t>Hombre</t>
        </is>
      </c>
      <c r="C54" t="inlineStr">
        <is>
          <t>4899AF</t>
        </is>
      </c>
      <c r="D54" t="inlineStr">
        <is>
          <t>CDMX Y AREA METROPOLITANA</t>
        </is>
      </c>
      <c r="E54" t="inlineStr">
        <is>
          <t>05-2025</t>
        </is>
      </c>
      <c r="F54" t="inlineStr">
        <is>
          <t>11-2025</t>
        </is>
      </c>
      <c r="G54" t="n">
        <v>5</v>
      </c>
      <c r="H54" t="inlineStr">
        <is>
          <t>Efectivo</t>
        </is>
      </c>
      <c r="I54" t="inlineStr">
        <is>
          <t>11-2025</t>
        </is>
      </c>
      <c r="J54" t="inlineStr">
        <is>
          <t>13G735</t>
        </is>
      </c>
      <c r="K54" t="inlineStr">
        <is>
          <t>BYD D1</t>
        </is>
      </c>
      <c r="L54" t="inlineStr">
        <is>
          <t>UBER</t>
        </is>
      </c>
      <c r="M54" s="3">
        <f>IF(H54="Efectivo",IFERROR((VALUE(RIGHT(I54,4))-VALUE(RIGHT(E54,4)))*12+(VALUE(LEFT(I54,2))-VALUE(LEFT(E54,2))),""),"")</f>
        <v/>
      </c>
    </row>
    <row r="55">
      <c r="A55" t="inlineStr">
        <is>
          <t>ALVAREZ HUIPE GABINO</t>
        </is>
      </c>
      <c r="B55" t="inlineStr">
        <is>
          <t>Hombre</t>
        </is>
      </c>
      <c r="C55" t="inlineStr">
        <is>
          <t>5933AF</t>
        </is>
      </c>
      <c r="D55" t="inlineStr">
        <is>
          <t>BAJA CALIFORNIA</t>
        </is>
      </c>
      <c r="E55" t="inlineStr">
        <is>
          <t>10-2025</t>
        </is>
      </c>
      <c r="F55" t="inlineStr">
        <is>
          <t>02-2026</t>
        </is>
      </c>
      <c r="G55" t="n">
        <v>4</v>
      </c>
      <c r="H55" t="inlineStr">
        <is>
          <t>Efectivo</t>
        </is>
      </c>
      <c r="I55" t="inlineStr">
        <is>
          <t>03-2026</t>
        </is>
      </c>
      <c r="J55" t="inlineStr">
        <is>
          <t>BVG822A</t>
        </is>
      </c>
      <c r="K55" t="inlineStr">
        <is>
          <t>CHEVROLET AVEO</t>
        </is>
      </c>
      <c r="L55" t="inlineStr">
        <is>
          <t>UBER</t>
        </is>
      </c>
      <c r="M55" s="3">
        <f>IF(H55="Efectivo",IFERROR((VALUE(RIGHT(I55,4))-VALUE(RIGHT(E55,4)))*12+(VALUE(LEFT(I55,2))-VALUE(LEFT(E55,2))),""),"")</f>
        <v/>
      </c>
    </row>
    <row r="56">
      <c r="A56" t="inlineStr">
        <is>
          <t>ALVAREZ MERIDA GABINO</t>
        </is>
      </c>
      <c r="B56" t="inlineStr">
        <is>
          <t>Hombre</t>
        </is>
      </c>
      <c r="C56" t="inlineStr">
        <is>
          <t>4184AF</t>
        </is>
      </c>
      <c r="D56" t="inlineStr">
        <is>
          <t>CDMX Y AREA METROPOLITANA</t>
        </is>
      </c>
      <c r="E56" t="inlineStr">
        <is>
          <t>01-2025</t>
        </is>
      </c>
      <c r="F56" t="inlineStr">
        <is>
          <t>07-2025</t>
        </is>
      </c>
      <c r="G56" t="n">
        <v>6</v>
      </c>
      <c r="H56" t="inlineStr">
        <is>
          <t>Cancelado</t>
        </is>
      </c>
      <c r="J56" t="inlineStr">
        <is>
          <t>19G598</t>
        </is>
      </c>
      <c r="K56" t="inlineStr">
        <is>
          <t>BYD D1</t>
        </is>
      </c>
      <c r="L56" t="inlineStr">
        <is>
          <t>UBER</t>
        </is>
      </c>
      <c r="M56" s="3">
        <f>IF(H56="Efectivo",IFERROR((VALUE(RIGHT(I56,4))-VALUE(RIGHT(E56,4)))*12+(VALUE(LEFT(I56,2))-VALUE(LEFT(E56,2))),""),"")</f>
        <v/>
      </c>
    </row>
    <row r="57">
      <c r="A57" t="inlineStr">
        <is>
          <t>ALVAREZ MERIDA GABINO</t>
        </is>
      </c>
      <c r="B57" t="inlineStr">
        <is>
          <t>Hombre</t>
        </is>
      </c>
      <c r="C57" t="inlineStr">
        <is>
          <t>4184AF</t>
        </is>
      </c>
      <c r="D57" t="inlineStr">
        <is>
          <t>CDMX Y AREA METROPOLITANA</t>
        </is>
      </c>
      <c r="E57" t="inlineStr">
        <is>
          <t>01-2025</t>
        </is>
      </c>
      <c r="F57" t="inlineStr">
        <is>
          <t>04-2026</t>
        </is>
      </c>
      <c r="G57" t="n">
        <v>15</v>
      </c>
      <c r="H57" t="inlineStr">
        <is>
          <t>Pendiente</t>
        </is>
      </c>
      <c r="J57" t="inlineStr">
        <is>
          <t>19G598</t>
        </is>
      </c>
      <c r="K57" t="inlineStr">
        <is>
          <t>BYD D1</t>
        </is>
      </c>
      <c r="L57" t="inlineStr">
        <is>
          <t>UBER</t>
        </is>
      </c>
      <c r="M57" s="3">
        <f>IF(H57="Efectivo",IFERROR((VALUE(RIGHT(I57,4))-VALUE(RIGHT(E57,4)))*12+(VALUE(LEFT(I57,2))-VALUE(LEFT(E57,2))),""),"")</f>
        <v/>
      </c>
    </row>
    <row r="58">
      <c r="A58" t="inlineStr">
        <is>
          <t>ALVAREZ NARVAEZ WILLIAM</t>
        </is>
      </c>
      <c r="B58" t="inlineStr">
        <is>
          <t>Hombre</t>
        </is>
      </c>
      <c r="C58" t="inlineStr">
        <is>
          <t>6479AF</t>
        </is>
      </c>
      <c r="D58" t="inlineStr">
        <is>
          <t>NUEVO LEON</t>
        </is>
      </c>
      <c r="E58" t="inlineStr">
        <is>
          <t>12-2025</t>
        </is>
      </c>
      <c r="F58" t="inlineStr">
        <is>
          <t>05-2026</t>
        </is>
      </c>
      <c r="G58" t="n">
        <v>5</v>
      </c>
      <c r="H58" t="inlineStr">
        <is>
          <t>Pendiente</t>
        </is>
      </c>
      <c r="J58" t="inlineStr">
        <is>
          <t>56S304</t>
        </is>
      </c>
      <c r="K58" t="inlineStr">
        <is>
          <t>BYD MINIDOLPHIN</t>
        </is>
      </c>
      <c r="L58" t="inlineStr">
        <is>
          <t>DIDI</t>
        </is>
      </c>
      <c r="M58" s="3">
        <f>IF(H58="Efectivo",IFERROR((VALUE(RIGHT(I58,4))-VALUE(RIGHT(E58,4)))*12+(VALUE(LEFT(I58,2))-VALUE(LEFT(E58,2))),""),"")</f>
        <v/>
      </c>
    </row>
    <row r="59">
      <c r="A59" t="inlineStr">
        <is>
          <t>ALVAREZ RAMIREZ JUAN LUIS</t>
        </is>
      </c>
      <c r="B59" t="inlineStr">
        <is>
          <t>Hombre</t>
        </is>
      </c>
      <c r="C59" t="inlineStr">
        <is>
          <t>4021AF</t>
        </is>
      </c>
      <c r="D59" t="inlineStr">
        <is>
          <t>CDMX Y AREA METROPOLITANA</t>
        </is>
      </c>
      <c r="E59" t="inlineStr">
        <is>
          <t>11-2024</t>
        </is>
      </c>
      <c r="F59" t="inlineStr">
        <is>
          <t>09-2025</t>
        </is>
      </c>
      <c r="G59" t="n">
        <v>9</v>
      </c>
      <c r="H59" t="inlineStr">
        <is>
          <t>Efectivo</t>
        </is>
      </c>
      <c r="I59" t="inlineStr">
        <is>
          <t>10-2025</t>
        </is>
      </c>
      <c r="J59" t="inlineStr">
        <is>
          <t>13G876</t>
        </is>
      </c>
      <c r="K59" t="inlineStr">
        <is>
          <t>BYD D1</t>
        </is>
      </c>
      <c r="L59" t="inlineStr">
        <is>
          <t>DIDI</t>
        </is>
      </c>
      <c r="M59" s="3">
        <f>IF(H59="Efectivo",IFERROR((VALUE(RIGHT(I59,4))-VALUE(RIGHT(E59,4)))*12+(VALUE(LEFT(I59,2))-VALUE(LEFT(E59,2))),""),"")</f>
        <v/>
      </c>
    </row>
    <row r="60">
      <c r="A60" t="inlineStr">
        <is>
          <t>ALVAREZ RUIZ JOSE JOEL</t>
        </is>
      </c>
      <c r="B60" t="inlineStr">
        <is>
          <t>Hombre</t>
        </is>
      </c>
      <c r="C60" t="inlineStr">
        <is>
          <t>6555AF</t>
        </is>
      </c>
      <c r="D60" t="inlineStr">
        <is>
          <t>BAJA CALIFORNIA</t>
        </is>
      </c>
      <c r="E60" t="inlineStr">
        <is>
          <t>12-2025</t>
        </is>
      </c>
      <c r="F60" t="inlineStr">
        <is>
          <t>03-2026</t>
        </is>
      </c>
      <c r="G60" t="n">
        <v>2</v>
      </c>
      <c r="H60" t="inlineStr">
        <is>
          <t>Efectivo</t>
        </is>
      </c>
      <c r="I60" t="inlineStr">
        <is>
          <t>03-2026</t>
        </is>
      </c>
      <c r="J60" t="inlineStr">
        <is>
          <t>CBL128A</t>
        </is>
      </c>
      <c r="K60" t="inlineStr">
        <is>
          <t>CHEVROLET AVEO</t>
        </is>
      </c>
      <c r="L60" t="inlineStr">
        <is>
          <t>DIDI</t>
        </is>
      </c>
      <c r="M60" s="3">
        <f>IF(H60="Efectivo",IFERROR((VALUE(RIGHT(I60,4))-VALUE(RIGHT(E60,4)))*12+(VALUE(LEFT(I60,2))-VALUE(LEFT(E60,2))),""),"")</f>
        <v/>
      </c>
    </row>
    <row r="61">
      <c r="A61" t="inlineStr">
        <is>
          <t>AMARO CARRILLO ABEL</t>
        </is>
      </c>
      <c r="B61" t="inlineStr">
        <is>
          <t>Hombre</t>
        </is>
      </c>
      <c r="C61" t="inlineStr">
        <is>
          <t>5694AF</t>
        </is>
      </c>
      <c r="D61" t="inlineStr">
        <is>
          <t>CDMX Y AREA METROPOLITANA</t>
        </is>
      </c>
      <c r="E61" t="inlineStr">
        <is>
          <t>09-2025</t>
        </is>
      </c>
      <c r="F61" t="inlineStr">
        <is>
          <t>04-2026</t>
        </is>
      </c>
      <c r="G61" t="n">
        <v>7</v>
      </c>
      <c r="H61" t="inlineStr">
        <is>
          <t>Efectivo</t>
        </is>
      </c>
      <c r="I61" t="inlineStr">
        <is>
          <t>04-2026</t>
        </is>
      </c>
      <c r="J61" t="inlineStr">
        <is>
          <t>09K866</t>
        </is>
      </c>
      <c r="K61" t="inlineStr">
        <is>
          <t>GAC AION S</t>
        </is>
      </c>
      <c r="L61" t="inlineStr">
        <is>
          <t>UBER</t>
        </is>
      </c>
      <c r="M61" s="3">
        <f>IF(H61="Efectivo",IFERROR((VALUE(RIGHT(I61,4))-VALUE(RIGHT(E61,4)))*12+(VALUE(LEFT(I61,2))-VALUE(LEFT(E61,2))),""),"")</f>
        <v/>
      </c>
    </row>
    <row r="62">
      <c r="A62" t="inlineStr">
        <is>
          <t>AMAYA HUERTA ERIK ALFREDO</t>
        </is>
      </c>
      <c r="B62" t="inlineStr">
        <is>
          <t>Hombre</t>
        </is>
      </c>
      <c r="C62" t="inlineStr">
        <is>
          <t>5531AF</t>
        </is>
      </c>
      <c r="D62" t="inlineStr">
        <is>
          <t>CDMX Y AREA METROPOLITANA</t>
        </is>
      </c>
      <c r="E62" t="inlineStr">
        <is>
          <t>08-2025</t>
        </is>
      </c>
      <c r="F62" t="inlineStr">
        <is>
          <t>04-2026</t>
        </is>
      </c>
      <c r="G62" t="n">
        <v>7</v>
      </c>
      <c r="H62" t="inlineStr">
        <is>
          <t>Efectivo</t>
        </is>
      </c>
      <c r="I62" t="inlineStr">
        <is>
          <t>05-2026</t>
        </is>
      </c>
      <c r="J62" t="inlineStr">
        <is>
          <t>48G183</t>
        </is>
      </c>
      <c r="K62" t="inlineStr">
        <is>
          <t>BYD MINIDOLPHIN</t>
        </is>
      </c>
      <c r="L62" t="inlineStr">
        <is>
          <t>UBER</t>
        </is>
      </c>
      <c r="M62" s="3">
        <f>IF(H62="Efectivo",IFERROR((VALUE(RIGHT(I62,4))-VALUE(RIGHT(E62,4)))*12+(VALUE(LEFT(I62,2))-VALUE(LEFT(E62,2))),""),"")</f>
        <v/>
      </c>
    </row>
    <row r="63">
      <c r="A63" t="inlineStr">
        <is>
          <t>AMBROSIO ESPINOSA DAVID</t>
        </is>
      </c>
      <c r="B63" t="inlineStr">
        <is>
          <t>Hombre</t>
        </is>
      </c>
      <c r="C63" t="inlineStr">
        <is>
          <t>4875AF</t>
        </is>
      </c>
      <c r="D63" t="inlineStr">
        <is>
          <t>CDMX Y AREA METROPOLITANA</t>
        </is>
      </c>
      <c r="E63" t="inlineStr">
        <is>
          <t>05-2025</t>
        </is>
      </c>
      <c r="F63" t="inlineStr">
        <is>
          <t>11-2025</t>
        </is>
      </c>
      <c r="G63" t="n">
        <v>5</v>
      </c>
      <c r="H63" t="inlineStr">
        <is>
          <t>Pendiente</t>
        </is>
      </c>
      <c r="J63" t="inlineStr">
        <is>
          <t>47G524</t>
        </is>
      </c>
      <c r="K63" t="inlineStr">
        <is>
          <t>BYD MINIDOLPHIN</t>
        </is>
      </c>
      <c r="L63" t="inlineStr">
        <is>
          <t>UBER</t>
        </is>
      </c>
      <c r="M63" s="3">
        <f>IF(H63="Efectivo",IFERROR((VALUE(RIGHT(I63,4))-VALUE(RIGHT(E63,4)))*12+(VALUE(LEFT(I63,2))-VALUE(LEFT(E63,2))),""),"")</f>
        <v/>
      </c>
    </row>
    <row r="64">
      <c r="A64" t="inlineStr">
        <is>
          <t>ANGELES GARCIA JOSE EDUARDO</t>
        </is>
      </c>
      <c r="B64" t="inlineStr">
        <is>
          <t>Hombre</t>
        </is>
      </c>
      <c r="C64" t="inlineStr">
        <is>
          <t>5661AF</t>
        </is>
      </c>
      <c r="D64" t="inlineStr">
        <is>
          <t>CDMX Y AREA METROPOLITANA</t>
        </is>
      </c>
      <c r="E64" t="inlineStr">
        <is>
          <t>09-2025</t>
        </is>
      </c>
      <c r="F64" t="inlineStr">
        <is>
          <t>04-2026</t>
        </is>
      </c>
      <c r="G64" t="n">
        <v>8</v>
      </c>
      <c r="H64" t="inlineStr">
        <is>
          <t>Efectivo</t>
        </is>
      </c>
      <c r="I64" t="inlineStr">
        <is>
          <t>05-2026</t>
        </is>
      </c>
      <c r="J64" t="inlineStr">
        <is>
          <t>31G794</t>
        </is>
      </c>
      <c r="K64" t="inlineStr">
        <is>
          <t>GAC AION S</t>
        </is>
      </c>
      <c r="L64" t="inlineStr">
        <is>
          <t>DIDI</t>
        </is>
      </c>
      <c r="M64" s="3">
        <f>IF(H64="Efectivo",IFERROR((VALUE(RIGHT(I64,4))-VALUE(RIGHT(E64,4)))*12+(VALUE(LEFT(I64,2))-VALUE(LEFT(E64,2))),""),"")</f>
        <v/>
      </c>
    </row>
    <row r="65">
      <c r="A65" t="inlineStr">
        <is>
          <t>APARICIO GALENO HERIBERTO</t>
        </is>
      </c>
      <c r="B65" t="inlineStr">
        <is>
          <t>Hombre</t>
        </is>
      </c>
      <c r="C65" t="inlineStr">
        <is>
          <t>4152AF</t>
        </is>
      </c>
      <c r="D65" t="inlineStr">
        <is>
          <t>CDMX Y AREA METROPOLITANA</t>
        </is>
      </c>
      <c r="E65" t="inlineStr">
        <is>
          <t>12-2024</t>
        </is>
      </c>
      <c r="F65" t="inlineStr">
        <is>
          <t>02-2026</t>
        </is>
      </c>
      <c r="G65" t="n">
        <v>13</v>
      </c>
      <c r="H65" t="inlineStr">
        <is>
          <t>Efectivo</t>
        </is>
      </c>
      <c r="I65" t="inlineStr">
        <is>
          <t>02-2026</t>
        </is>
      </c>
      <c r="J65" t="inlineStr">
        <is>
          <t>81F233</t>
        </is>
      </c>
      <c r="K65" t="inlineStr">
        <is>
          <t>SUZUKI ERTIGA</t>
        </is>
      </c>
      <c r="L65" t="inlineStr">
        <is>
          <t>UBER</t>
        </is>
      </c>
      <c r="M65" s="3">
        <f>IF(H65="Efectivo",IFERROR((VALUE(RIGHT(I65,4))-VALUE(RIGHT(E65,4)))*12+(VALUE(LEFT(I65,2))-VALUE(LEFT(E65,2))),""),"")</f>
        <v/>
      </c>
    </row>
    <row r="66">
      <c r="A66" t="inlineStr">
        <is>
          <t>AQUINO LOPEZ TOMAS</t>
        </is>
      </c>
      <c r="B66" t="inlineStr">
        <is>
          <t>Hombre</t>
        </is>
      </c>
      <c r="C66" t="inlineStr">
        <is>
          <t>3319AF</t>
        </is>
      </c>
      <c r="D66" t="inlineStr">
        <is>
          <t>BAJA CALIFORNIA</t>
        </is>
      </c>
      <c r="E66" t="inlineStr">
        <is>
          <t>05-2024</t>
        </is>
      </c>
      <c r="F66" t="inlineStr">
        <is>
          <t>12-2025</t>
        </is>
      </c>
      <c r="G66" t="n">
        <v>19</v>
      </c>
      <c r="H66" t="inlineStr">
        <is>
          <t>Efectivo</t>
        </is>
      </c>
      <c r="I66" t="inlineStr">
        <is>
          <t>01-2026</t>
        </is>
      </c>
      <c r="J66" t="inlineStr">
        <is>
          <t>BPC077A</t>
        </is>
      </c>
      <c r="K66" t="inlineStr">
        <is>
          <t>CHEVROLET AVEO</t>
        </is>
      </c>
      <c r="L66" t="inlineStr">
        <is>
          <t>UBER</t>
        </is>
      </c>
      <c r="M66" s="3">
        <f>IF(H66="Efectivo",IFERROR((VALUE(RIGHT(I66,4))-VALUE(RIGHT(E66,4)))*12+(VALUE(LEFT(I66,2))-VALUE(LEFT(E66,2))),""),"")</f>
        <v/>
      </c>
    </row>
    <row r="67">
      <c r="A67" t="inlineStr">
        <is>
          <t>ARAGON POLANCO HECTOR MANUEL</t>
        </is>
      </c>
      <c r="B67" t="inlineStr">
        <is>
          <t>Hombre</t>
        </is>
      </c>
      <c r="C67" t="inlineStr">
        <is>
          <t>2893AF</t>
        </is>
      </c>
      <c r="D67" t="inlineStr">
        <is>
          <t>BAJA CALIFORNIA</t>
        </is>
      </c>
      <c r="E67" t="inlineStr">
        <is>
          <t>11-2023</t>
        </is>
      </c>
      <c r="F67" t="inlineStr">
        <is>
          <t>05-2026</t>
        </is>
      </c>
      <c r="G67" t="n">
        <v>30</v>
      </c>
      <c r="H67" t="inlineStr">
        <is>
          <t>Pendiente</t>
        </is>
      </c>
      <c r="J67" t="inlineStr">
        <is>
          <t>BKM644A</t>
        </is>
      </c>
      <c r="K67" t="inlineStr">
        <is>
          <t>CHEVROLET AVEO</t>
        </is>
      </c>
      <c r="L67" t="inlineStr">
        <is>
          <t>UBER</t>
        </is>
      </c>
      <c r="M67" s="3">
        <f>IF(H67="Efectivo",IFERROR((VALUE(RIGHT(I67,4))-VALUE(RIGHT(E67,4)))*12+(VALUE(LEFT(I67,2))-VALUE(LEFT(E67,2))),""),"")</f>
        <v/>
      </c>
    </row>
    <row r="68">
      <c r="A68" t="inlineStr">
        <is>
          <t>ARELLANO CERVANTES JUAN PABLO</t>
        </is>
      </c>
      <c r="B68" t="inlineStr">
        <is>
          <t>Hombre</t>
        </is>
      </c>
      <c r="C68" t="inlineStr">
        <is>
          <t>3454AF</t>
        </is>
      </c>
      <c r="D68" t="inlineStr">
        <is>
          <t>JALISCO</t>
        </is>
      </c>
      <c r="E68" t="inlineStr">
        <is>
          <t>07-2024</t>
        </is>
      </c>
      <c r="F68" t="inlineStr">
        <is>
          <t>12-2025</t>
        </is>
      </c>
      <c r="G68" t="n">
        <v>18</v>
      </c>
      <c r="H68" t="inlineStr">
        <is>
          <t>Efectivo</t>
        </is>
      </c>
      <c r="I68" t="inlineStr">
        <is>
          <t>01-2026</t>
        </is>
      </c>
      <c r="J68" t="inlineStr">
        <is>
          <t>HWE170A</t>
        </is>
      </c>
      <c r="K68" t="inlineStr">
        <is>
          <t>CHEVROLET AVEO</t>
        </is>
      </c>
      <c r="L68" t="inlineStr">
        <is>
          <t>UBER</t>
        </is>
      </c>
      <c r="M68" s="3">
        <f>IF(H68="Efectivo",IFERROR((VALUE(RIGHT(I68,4))-VALUE(RIGHT(E68,4)))*12+(VALUE(LEFT(I68,2))-VALUE(LEFT(E68,2))),""),"")</f>
        <v/>
      </c>
    </row>
    <row r="69">
      <c r="A69" t="inlineStr">
        <is>
          <t>ARELLANO JIMENEZ EDUARDO</t>
        </is>
      </c>
      <c r="B69" t="inlineStr">
        <is>
          <t>Hombre</t>
        </is>
      </c>
      <c r="C69" t="inlineStr">
        <is>
          <t>4573AF</t>
        </is>
      </c>
      <c r="D69" t="inlineStr">
        <is>
          <t>BAJA CALIFORNIA</t>
        </is>
      </c>
      <c r="E69" t="inlineStr">
        <is>
          <t>04-2025</t>
        </is>
      </c>
      <c r="F69" t="inlineStr">
        <is>
          <t>09-2025</t>
        </is>
      </c>
      <c r="G69" t="n">
        <v>5</v>
      </c>
      <c r="H69" t="inlineStr">
        <is>
          <t>Pendiente</t>
        </is>
      </c>
      <c r="J69" t="inlineStr">
        <is>
          <t>BWX671A</t>
        </is>
      </c>
      <c r="K69" t="inlineStr">
        <is>
          <t>CHEVROLET AVEO</t>
        </is>
      </c>
      <c r="L69" t="inlineStr">
        <is>
          <t>UBER</t>
        </is>
      </c>
      <c r="M69" s="3">
        <f>IF(H69="Efectivo",IFERROR((VALUE(RIGHT(I69,4))-VALUE(RIGHT(E69,4)))*12+(VALUE(LEFT(I69,2))-VALUE(LEFT(E69,2))),""),"")</f>
        <v/>
      </c>
    </row>
    <row r="70">
      <c r="A70" t="inlineStr">
        <is>
          <t>ARENAS MACIAS RICARDO</t>
        </is>
      </c>
      <c r="B70" t="inlineStr">
        <is>
          <t>Hombre</t>
        </is>
      </c>
      <c r="C70" t="inlineStr">
        <is>
          <t>2149AF</t>
        </is>
      </c>
      <c r="D70" t="inlineStr">
        <is>
          <t>JALISCO</t>
        </is>
      </c>
      <c r="E70" t="inlineStr">
        <is>
          <t>06-2022</t>
        </is>
      </c>
      <c r="F70" t="inlineStr">
        <is>
          <t>04-2025</t>
        </is>
      </c>
      <c r="G70" t="n">
        <v>35</v>
      </c>
      <c r="H70" t="inlineStr">
        <is>
          <t>Efectivo</t>
        </is>
      </c>
      <c r="I70" t="inlineStr">
        <is>
          <t>05-2025</t>
        </is>
      </c>
      <c r="J70" t="inlineStr">
        <is>
          <t>JSX3949</t>
        </is>
      </c>
      <c r="K70" t="inlineStr">
        <is>
          <t>CHEVROLET AVEO</t>
        </is>
      </c>
      <c r="L70" t="inlineStr">
        <is>
          <t>UBER</t>
        </is>
      </c>
      <c r="M70" s="3">
        <f>IF(H70="Efectivo",IFERROR((VALUE(RIGHT(I70,4))-VALUE(RIGHT(E70,4)))*12+(VALUE(LEFT(I70,2))-VALUE(LEFT(E70,2))),""),"")</f>
        <v/>
      </c>
    </row>
    <row r="71">
      <c r="A71" t="inlineStr">
        <is>
          <t>AREVALO DATTOLI RAFAEL</t>
        </is>
      </c>
      <c r="B71" t="inlineStr">
        <is>
          <t>Hombre</t>
        </is>
      </c>
      <c r="C71" t="inlineStr">
        <is>
          <t>6243AF</t>
        </is>
      </c>
      <c r="D71" t="inlineStr">
        <is>
          <t>CDMX Y AREA METROPOLITANA</t>
        </is>
      </c>
      <c r="E71" t="inlineStr">
        <is>
          <t>11-2025</t>
        </is>
      </c>
      <c r="F71" t="inlineStr">
        <is>
          <t>02-2026</t>
        </is>
      </c>
      <c r="G71" t="n">
        <v>3</v>
      </c>
      <c r="H71" t="inlineStr">
        <is>
          <t>Efectivo</t>
        </is>
      </c>
      <c r="I71" t="inlineStr">
        <is>
          <t>04-2026</t>
        </is>
      </c>
      <c r="J71" t="inlineStr">
        <is>
          <t>62G237</t>
        </is>
      </c>
      <c r="K71" t="inlineStr">
        <is>
          <t>BYD E5</t>
        </is>
      </c>
      <c r="L71" t="inlineStr">
        <is>
          <t>UBER</t>
        </is>
      </c>
      <c r="M71" s="3">
        <f>IF(H71="Efectivo",IFERROR((VALUE(RIGHT(I71,4))-VALUE(RIGHT(E71,4)))*12+(VALUE(LEFT(I71,2))-VALUE(LEFT(E71,2))),""),"")</f>
        <v/>
      </c>
    </row>
    <row r="72">
      <c r="A72" t="inlineStr">
        <is>
          <t>AREVALO GARCIA ISRAEL JONATHAN</t>
        </is>
      </c>
      <c r="B72" t="inlineStr">
        <is>
          <t>Hombre</t>
        </is>
      </c>
      <c r="C72" t="inlineStr">
        <is>
          <t>4944AF</t>
        </is>
      </c>
      <c r="D72" t="inlineStr">
        <is>
          <t>CDMX Y AREA METROPOLITANA</t>
        </is>
      </c>
      <c r="E72" t="inlineStr">
        <is>
          <t>05-2025</t>
        </is>
      </c>
      <c r="F72" t="inlineStr">
        <is>
          <t>09-2025</t>
        </is>
      </c>
      <c r="G72" t="n">
        <v>3</v>
      </c>
      <c r="H72" t="inlineStr">
        <is>
          <t>Pendiente</t>
        </is>
      </c>
      <c r="J72" t="inlineStr">
        <is>
          <t>47G512</t>
        </is>
      </c>
      <c r="K72" t="inlineStr">
        <is>
          <t>BYD MINIDOLPHIN</t>
        </is>
      </c>
      <c r="L72" t="inlineStr">
        <is>
          <t>DIDI</t>
        </is>
      </c>
      <c r="M72" s="3">
        <f>IF(H72="Efectivo",IFERROR((VALUE(RIGHT(I72,4))-VALUE(RIGHT(E72,4)))*12+(VALUE(LEFT(I72,2))-VALUE(LEFT(E72,2))),""),"")</f>
        <v/>
      </c>
    </row>
    <row r="73">
      <c r="A73" t="inlineStr">
        <is>
          <t>AREVALO HERNANDEZ MARCOS DANIEL</t>
        </is>
      </c>
      <c r="B73" t="inlineStr">
        <is>
          <t>Hombre</t>
        </is>
      </c>
      <c r="C73" t="inlineStr">
        <is>
          <t>5332AF</t>
        </is>
      </c>
      <c r="D73" t="inlineStr">
        <is>
          <t>CDMX Y AREA METROPOLITANA</t>
        </is>
      </c>
      <c r="E73" t="inlineStr">
        <is>
          <t>07-2025</t>
        </is>
      </c>
      <c r="F73" t="inlineStr">
        <is>
          <t>02-2026</t>
        </is>
      </c>
      <c r="G73" t="n">
        <v>7</v>
      </c>
      <c r="H73" t="inlineStr">
        <is>
          <t>Pendiente</t>
        </is>
      </c>
      <c r="J73" t="inlineStr">
        <is>
          <t>31G619</t>
        </is>
      </c>
      <c r="K73" t="inlineStr">
        <is>
          <t>GAC AION S</t>
        </is>
      </c>
      <c r="L73" t="inlineStr">
        <is>
          <t>UBER</t>
        </is>
      </c>
      <c r="M73" s="3">
        <f>IF(H73="Efectivo",IFERROR((VALUE(RIGHT(I73,4))-VALUE(RIGHT(E73,4)))*12+(VALUE(LEFT(I73,2))-VALUE(LEFT(E73,2))),""),"")</f>
        <v/>
      </c>
    </row>
    <row r="74">
      <c r="A74" t="inlineStr">
        <is>
          <t>ARGUELLES AGUIRRE ISAAC ANGEL</t>
        </is>
      </c>
      <c r="B74" t="inlineStr">
        <is>
          <t>Hombre</t>
        </is>
      </c>
      <c r="C74" t="inlineStr">
        <is>
          <t>5211AF</t>
        </is>
      </c>
      <c r="D74" t="inlineStr">
        <is>
          <t>BAJA CALIFORNIA</t>
        </is>
      </c>
      <c r="E74" t="inlineStr">
        <is>
          <t>07-2025</t>
        </is>
      </c>
      <c r="F74" t="inlineStr">
        <is>
          <t>11-2025</t>
        </is>
      </c>
      <c r="G74" t="n">
        <v>5</v>
      </c>
      <c r="H74" t="inlineStr">
        <is>
          <t>Cancelado</t>
        </is>
      </c>
      <c r="J74" t="inlineStr">
        <is>
          <t>BYY747A</t>
        </is>
      </c>
      <c r="K74" t="inlineStr">
        <is>
          <t>CHEVROLET AVEO</t>
        </is>
      </c>
      <c r="L74" t="inlineStr">
        <is>
          <t>UBER</t>
        </is>
      </c>
      <c r="M74" s="3">
        <f>IF(H74="Efectivo",IFERROR((VALUE(RIGHT(I74,4))-VALUE(RIGHT(E74,4)))*12+(VALUE(LEFT(I74,2))-VALUE(LEFT(E74,2))),""),"")</f>
        <v/>
      </c>
    </row>
    <row r="75">
      <c r="A75" t="inlineStr">
        <is>
          <t>ARIAS CABRERA LUIS ALBERTO</t>
        </is>
      </c>
      <c r="B75" t="inlineStr">
        <is>
          <t>Hombre</t>
        </is>
      </c>
      <c r="C75" t="inlineStr">
        <is>
          <t>3140AF</t>
        </is>
      </c>
      <c r="D75" t="inlineStr">
        <is>
          <t>CDMX Y AREA METROPOLITANA</t>
        </is>
      </c>
      <c r="E75" t="inlineStr">
        <is>
          <t>03-2024</t>
        </is>
      </c>
      <c r="F75" t="inlineStr">
        <is>
          <t>03-2026</t>
        </is>
      </c>
      <c r="G75" t="n">
        <v>24</v>
      </c>
      <c r="H75" t="inlineStr">
        <is>
          <t>Efectivo</t>
        </is>
      </c>
      <c r="I75" t="inlineStr">
        <is>
          <t>05-2026</t>
        </is>
      </c>
      <c r="J75" t="inlineStr">
        <is>
          <t>84F061</t>
        </is>
      </c>
      <c r="K75" t="inlineStr">
        <is>
          <t>BYD D1</t>
        </is>
      </c>
      <c r="L75" t="inlineStr">
        <is>
          <t>UBER</t>
        </is>
      </c>
      <c r="M75" s="3">
        <f>IF(H75="Efectivo",IFERROR((VALUE(RIGHT(I75,4))-VALUE(RIGHT(E75,4)))*12+(VALUE(LEFT(I75,2))-VALUE(LEFT(E75,2))),""),"")</f>
        <v/>
      </c>
    </row>
    <row r="76">
      <c r="A76" t="inlineStr">
        <is>
          <t>ARIAS VILLALPANDO ERICK LEOBARDO</t>
        </is>
      </c>
      <c r="B76" t="inlineStr">
        <is>
          <t>Hombre</t>
        </is>
      </c>
      <c r="C76" t="inlineStr">
        <is>
          <t>5686AF</t>
        </is>
      </c>
      <c r="D76" t="inlineStr">
        <is>
          <t>NUEVO LEON</t>
        </is>
      </c>
      <c r="E76" t="inlineStr">
        <is>
          <t>09-2025</t>
        </is>
      </c>
      <c r="F76" t="inlineStr">
        <is>
          <t>11-2025</t>
        </is>
      </c>
      <c r="G76" t="n">
        <v>2</v>
      </c>
      <c r="H76" t="inlineStr">
        <is>
          <t>Pendiente</t>
        </is>
      </c>
      <c r="J76" t="inlineStr">
        <is>
          <t>RXN889C</t>
        </is>
      </c>
      <c r="K76" t="inlineStr">
        <is>
          <t>CHEVROLET AVEO</t>
        </is>
      </c>
      <c r="L76" t="inlineStr">
        <is>
          <t>DIDI</t>
        </is>
      </c>
      <c r="M76" s="3">
        <f>IF(H76="Efectivo",IFERROR((VALUE(RIGHT(I76,4))-VALUE(RIGHT(E76,4)))*12+(VALUE(LEFT(I76,2))-VALUE(LEFT(E76,2))),""),"")</f>
        <v/>
      </c>
    </row>
    <row r="77">
      <c r="A77" t="inlineStr">
        <is>
          <t>ARREDON BATTA ROBERTO</t>
        </is>
      </c>
      <c r="B77" t="inlineStr">
        <is>
          <t>Hombre</t>
        </is>
      </c>
      <c r="C77" t="inlineStr">
        <is>
          <t>5583AF</t>
        </is>
      </c>
      <c r="D77" t="inlineStr">
        <is>
          <t>JALISCO</t>
        </is>
      </c>
      <c r="E77" t="inlineStr">
        <is>
          <t>08-2025</t>
        </is>
      </c>
      <c r="F77" t="inlineStr">
        <is>
          <t>04-2026</t>
        </is>
      </c>
      <c r="G77" t="n">
        <v>8</v>
      </c>
      <c r="H77" t="inlineStr">
        <is>
          <t>Pendiente</t>
        </is>
      </c>
      <c r="J77" t="inlineStr">
        <is>
          <t>JNU148A</t>
        </is>
      </c>
      <c r="K77" t="inlineStr">
        <is>
          <t>TOYOTA AVANZA</t>
        </is>
      </c>
      <c r="L77" t="inlineStr">
        <is>
          <t>UBER</t>
        </is>
      </c>
      <c r="M77" s="3">
        <f>IF(H77="Efectivo",IFERROR((VALUE(RIGHT(I77,4))-VALUE(RIGHT(E77,4)))*12+(VALUE(LEFT(I77,2))-VALUE(LEFT(E77,2))),""),"")</f>
        <v/>
      </c>
    </row>
    <row r="78">
      <c r="A78" t="inlineStr">
        <is>
          <t>ARREDONDO SOLORIO JUAN ALBERTO</t>
        </is>
      </c>
      <c r="B78" t="inlineStr">
        <is>
          <t>Hombre</t>
        </is>
      </c>
      <c r="C78" t="inlineStr">
        <is>
          <t>4107AF</t>
        </is>
      </c>
      <c r="D78" t="inlineStr">
        <is>
          <t>CDMX Y AREA METROPOLITANA</t>
        </is>
      </c>
      <c r="E78" t="inlineStr">
        <is>
          <t>12-2024</t>
        </is>
      </c>
      <c r="F78" t="inlineStr">
        <is>
          <t>04-2026</t>
        </is>
      </c>
      <c r="G78" t="n">
        <v>16</v>
      </c>
      <c r="H78" t="inlineStr">
        <is>
          <t>Efectivo</t>
        </is>
      </c>
      <c r="I78" t="inlineStr">
        <is>
          <t>04-2026</t>
        </is>
      </c>
      <c r="J78" t="inlineStr">
        <is>
          <t>19G469</t>
        </is>
      </c>
      <c r="K78" t="inlineStr">
        <is>
          <t>BYD D1</t>
        </is>
      </c>
      <c r="L78" t="inlineStr">
        <is>
          <t>UBER</t>
        </is>
      </c>
      <c r="M78" s="3">
        <f>IF(H78="Efectivo",IFERROR((VALUE(RIGHT(I78,4))-VALUE(RIGHT(E78,4)))*12+(VALUE(LEFT(I78,2))-VALUE(LEFT(E78,2))),""),"")</f>
        <v/>
      </c>
    </row>
    <row r="79">
      <c r="A79" t="inlineStr">
        <is>
          <t>ARREDONDO VILLANUEVA JORGE DAMIAN</t>
        </is>
      </c>
      <c r="B79" t="inlineStr">
        <is>
          <t>Hombre</t>
        </is>
      </c>
      <c r="C79" t="inlineStr">
        <is>
          <t>4154AF</t>
        </is>
      </c>
      <c r="D79" t="inlineStr">
        <is>
          <t>CDMX Y AREA METROPOLITANA</t>
        </is>
      </c>
      <c r="E79" t="inlineStr">
        <is>
          <t>12-2024</t>
        </is>
      </c>
      <c r="F79" t="inlineStr">
        <is>
          <t>01-2025</t>
        </is>
      </c>
      <c r="G79" t="n">
        <v>1</v>
      </c>
      <c r="H79" t="inlineStr">
        <is>
          <t>Efectivo</t>
        </is>
      </c>
      <c r="I79" t="inlineStr">
        <is>
          <t>02-2025</t>
        </is>
      </c>
      <c r="J79" t="inlineStr">
        <is>
          <t>19G361</t>
        </is>
      </c>
      <c r="K79" t="inlineStr">
        <is>
          <t>BYD D1</t>
        </is>
      </c>
      <c r="L79" t="inlineStr">
        <is>
          <t>DIDI</t>
        </is>
      </c>
      <c r="M79" s="3">
        <f>IF(H79="Efectivo",IFERROR((VALUE(RIGHT(I79,4))-VALUE(RIGHT(E79,4)))*12+(VALUE(LEFT(I79,2))-VALUE(LEFT(E79,2))),""),"")</f>
        <v/>
      </c>
    </row>
    <row r="80">
      <c r="A80" t="inlineStr">
        <is>
          <t>ARREOLA TORRES DIEGO</t>
        </is>
      </c>
      <c r="B80" t="inlineStr">
        <is>
          <t>Hombre</t>
        </is>
      </c>
      <c r="C80" t="inlineStr">
        <is>
          <t>2199AF</t>
        </is>
      </c>
      <c r="D80" t="inlineStr">
        <is>
          <t>CDMX Y AREA METROPOLITANA</t>
        </is>
      </c>
      <c r="E80" t="inlineStr">
        <is>
          <t>08-2022</t>
        </is>
      </c>
      <c r="F80" t="inlineStr">
        <is>
          <t>04-2025</t>
        </is>
      </c>
      <c r="G80" t="n">
        <v>33</v>
      </c>
      <c r="H80" t="inlineStr">
        <is>
          <t>Cancelado</t>
        </is>
      </c>
      <c r="J80" t="inlineStr">
        <is>
          <t>J12BMZ</t>
        </is>
      </c>
      <c r="K80" t="inlineStr">
        <is>
          <t>IGNIS</t>
        </is>
      </c>
      <c r="L80" t="inlineStr">
        <is>
          <t>UBER</t>
        </is>
      </c>
      <c r="M80" s="3">
        <f>IF(H80="Efectivo",IFERROR((VALUE(RIGHT(I80,4))-VALUE(RIGHT(E80,4)))*12+(VALUE(LEFT(I80,2))-VALUE(LEFT(E80,2))),""),"")</f>
        <v/>
      </c>
    </row>
    <row r="81">
      <c r="A81" t="inlineStr">
        <is>
          <t>ARRIAGA DIAZ ALEJANDRO</t>
        </is>
      </c>
      <c r="B81" t="inlineStr">
        <is>
          <t>Hombre</t>
        </is>
      </c>
      <c r="C81" t="inlineStr">
        <is>
          <t>5860AF</t>
        </is>
      </c>
      <c r="D81" t="inlineStr">
        <is>
          <t>CDMX Y AREA METROPOLITANA</t>
        </is>
      </c>
      <c r="E81" t="inlineStr">
        <is>
          <t>09-2025</t>
        </is>
      </c>
      <c r="F81" t="inlineStr">
        <is>
          <t>12-2025</t>
        </is>
      </c>
      <c r="G81" t="n">
        <v>3</v>
      </c>
      <c r="H81" t="inlineStr">
        <is>
          <t>Efectivo</t>
        </is>
      </c>
      <c r="I81" t="inlineStr">
        <is>
          <t>01-2026</t>
        </is>
      </c>
      <c r="J81" t="inlineStr">
        <is>
          <t>11K502</t>
        </is>
      </c>
      <c r="K81" t="inlineStr">
        <is>
          <t>BYD MINIDOLPHIN</t>
        </is>
      </c>
      <c r="L81" t="inlineStr">
        <is>
          <t>DIDI</t>
        </is>
      </c>
      <c r="M81" s="3">
        <f>IF(H81="Efectivo",IFERROR((VALUE(RIGHT(I81,4))-VALUE(RIGHT(E81,4)))*12+(VALUE(LEFT(I81,2))-VALUE(LEFT(E81,2))),""),"")</f>
        <v/>
      </c>
    </row>
    <row r="82">
      <c r="A82" t="inlineStr">
        <is>
          <t>ARZATE JIMENEZ JOSE ANTONIO</t>
        </is>
      </c>
      <c r="B82" t="inlineStr">
        <is>
          <t>Hombre</t>
        </is>
      </c>
      <c r="C82" t="inlineStr">
        <is>
          <t>4148AF</t>
        </is>
      </c>
      <c r="D82" t="inlineStr">
        <is>
          <t>CDMX Y AREA METROPOLITANA</t>
        </is>
      </c>
      <c r="E82" t="inlineStr">
        <is>
          <t>12-2024</t>
        </is>
      </c>
      <c r="F82" t="inlineStr">
        <is>
          <t>08-2025</t>
        </is>
      </c>
      <c r="G82" t="n">
        <v>8</v>
      </c>
      <c r="H82" t="inlineStr">
        <is>
          <t>Efectivo</t>
        </is>
      </c>
      <c r="I82" t="inlineStr">
        <is>
          <t>09-2025</t>
        </is>
      </c>
      <c r="J82" t="inlineStr">
        <is>
          <t>19G582</t>
        </is>
      </c>
      <c r="K82" t="inlineStr">
        <is>
          <t>BYD D1</t>
        </is>
      </c>
      <c r="L82" t="inlineStr">
        <is>
          <t>UBER</t>
        </is>
      </c>
      <c r="M82" s="3">
        <f>IF(H82="Efectivo",IFERROR((VALUE(RIGHT(I82,4))-VALUE(RIGHT(E82,4)))*12+(VALUE(LEFT(I82,2))-VALUE(LEFT(E82,2))),""),"")</f>
        <v/>
      </c>
    </row>
    <row r="83">
      <c r="A83" t="inlineStr">
        <is>
          <t>ASCENCIO AMPARANO SERGIO ALEJANDRO</t>
        </is>
      </c>
      <c r="B83" t="inlineStr">
        <is>
          <t>Hombre</t>
        </is>
      </c>
      <c r="C83" t="inlineStr">
        <is>
          <t>2825AF</t>
        </is>
      </c>
      <c r="D83" t="inlineStr">
        <is>
          <t>BAJA CALIFORNIA</t>
        </is>
      </c>
      <c r="E83" t="inlineStr">
        <is>
          <t>10-2023</t>
        </is>
      </c>
      <c r="F83" t="inlineStr">
        <is>
          <t>04-2026</t>
        </is>
      </c>
      <c r="G83" t="n">
        <v>29</v>
      </c>
      <c r="H83" t="inlineStr">
        <is>
          <t>Pendiente</t>
        </is>
      </c>
      <c r="J83" t="inlineStr">
        <is>
          <t>BKB317A</t>
        </is>
      </c>
      <c r="K83" t="inlineStr">
        <is>
          <t>CHEVROLET AVEO</t>
        </is>
      </c>
      <c r="L83" t="inlineStr">
        <is>
          <t>UBER</t>
        </is>
      </c>
      <c r="M83" s="3">
        <f>IF(H83="Efectivo",IFERROR((VALUE(RIGHT(I83,4))-VALUE(RIGHT(E83,4)))*12+(VALUE(LEFT(I83,2))-VALUE(LEFT(E83,2))),""),"")</f>
        <v/>
      </c>
    </row>
    <row r="84">
      <c r="A84" t="inlineStr">
        <is>
          <t>AVALOS CALIXTO SALVADOR</t>
        </is>
      </c>
      <c r="B84" t="inlineStr">
        <is>
          <t>Hombre</t>
        </is>
      </c>
      <c r="C84" t="inlineStr">
        <is>
          <t>4423AF</t>
        </is>
      </c>
      <c r="D84" t="inlineStr">
        <is>
          <t>CDMX Y AREA METROPOLITANA</t>
        </is>
      </c>
      <c r="E84" t="inlineStr">
        <is>
          <t>03-2025</t>
        </is>
      </c>
      <c r="F84" t="inlineStr">
        <is>
          <t>06-2025</t>
        </is>
      </c>
      <c r="G84" t="n">
        <v>3</v>
      </c>
      <c r="H84" t="inlineStr">
        <is>
          <t>Efectivo</t>
        </is>
      </c>
      <c r="I84" t="inlineStr">
        <is>
          <t>06-2025</t>
        </is>
      </c>
      <c r="J84" t="inlineStr">
        <is>
          <t>31G769</t>
        </is>
      </c>
      <c r="K84" t="inlineStr">
        <is>
          <t>GAC AION S</t>
        </is>
      </c>
      <c r="L84" t="inlineStr">
        <is>
          <t>UBER</t>
        </is>
      </c>
      <c r="M84" s="3">
        <f>IF(H84="Efectivo",IFERROR((VALUE(RIGHT(I84,4))-VALUE(RIGHT(E84,4)))*12+(VALUE(LEFT(I84,2))-VALUE(LEFT(E84,2))),""),"")</f>
        <v/>
      </c>
    </row>
    <row r="85">
      <c r="A85" t="inlineStr">
        <is>
          <t>AVALOS HERNANDEZ AGUSTIN</t>
        </is>
      </c>
      <c r="B85" t="inlineStr">
        <is>
          <t>Hombre</t>
        </is>
      </c>
      <c r="C85" t="inlineStr">
        <is>
          <t>5209AF</t>
        </is>
      </c>
      <c r="D85" t="inlineStr">
        <is>
          <t>NUEVO LEON</t>
        </is>
      </c>
      <c r="E85" t="inlineStr">
        <is>
          <t>07-2025</t>
        </is>
      </c>
      <c r="F85" t="inlineStr">
        <is>
          <t>11-2025</t>
        </is>
      </c>
      <c r="G85" t="n">
        <v>5</v>
      </c>
      <c r="H85" t="inlineStr">
        <is>
          <t>Efectivo</t>
        </is>
      </c>
      <c r="I85" t="inlineStr">
        <is>
          <t>12-2025</t>
        </is>
      </c>
      <c r="J85" t="inlineStr">
        <is>
          <t>RUW804C</t>
        </is>
      </c>
      <c r="K85" t="inlineStr">
        <is>
          <t>TOYOTA AVANZA</t>
        </is>
      </c>
      <c r="L85" t="inlineStr">
        <is>
          <t>DIDI</t>
        </is>
      </c>
      <c r="M85" s="3">
        <f>IF(H85="Efectivo",IFERROR((VALUE(RIGHT(I85,4))-VALUE(RIGHT(E85,4)))*12+(VALUE(LEFT(I85,2))-VALUE(LEFT(E85,2))),""),"")</f>
        <v/>
      </c>
    </row>
    <row r="86">
      <c r="A86" t="inlineStr">
        <is>
          <t>AVALOS HERNANDEZ GERARDO</t>
        </is>
      </c>
      <c r="B86" t="inlineStr">
        <is>
          <t>Hombre</t>
        </is>
      </c>
      <c r="C86" t="inlineStr">
        <is>
          <t>5793AF</t>
        </is>
      </c>
      <c r="D86" t="inlineStr">
        <is>
          <t>NUEVO LEON</t>
        </is>
      </c>
      <c r="E86" t="inlineStr">
        <is>
          <t>09-2025</t>
        </is>
      </c>
      <c r="F86" t="inlineStr">
        <is>
          <t>12-2025</t>
        </is>
      </c>
      <c r="G86" t="n">
        <v>2</v>
      </c>
      <c r="H86" t="inlineStr">
        <is>
          <t>Efectivo</t>
        </is>
      </c>
      <c r="I86" t="inlineStr">
        <is>
          <t>02-2026</t>
        </is>
      </c>
      <c r="J86" t="inlineStr">
        <is>
          <t>RXC633C</t>
        </is>
      </c>
      <c r="K86" t="inlineStr">
        <is>
          <t>TOYOTA AVANZA</t>
        </is>
      </c>
      <c r="L86" t="inlineStr">
        <is>
          <t>DIDI</t>
        </is>
      </c>
      <c r="M86" s="3">
        <f>IF(H86="Efectivo",IFERROR((VALUE(RIGHT(I86,4))-VALUE(RIGHT(E86,4)))*12+(VALUE(LEFT(I86,2))-VALUE(LEFT(E86,2))),""),"")</f>
        <v/>
      </c>
    </row>
    <row r="87">
      <c r="A87" t="inlineStr">
        <is>
          <t>AVELINO QUEZADA ARTURO</t>
        </is>
      </c>
      <c r="B87" t="inlineStr">
        <is>
          <t>Hombre</t>
        </is>
      </c>
      <c r="C87" t="inlineStr">
        <is>
          <t>5624AF</t>
        </is>
      </c>
      <c r="D87" t="inlineStr">
        <is>
          <t>CDMX Y AREA METROPOLITANA</t>
        </is>
      </c>
      <c r="E87" t="inlineStr">
        <is>
          <t>08-2025</t>
        </is>
      </c>
      <c r="F87" t="inlineStr">
        <is>
          <t>12-2025</t>
        </is>
      </c>
      <c r="G87" t="n">
        <v>4</v>
      </c>
      <c r="H87" t="inlineStr">
        <is>
          <t>Efectivo</t>
        </is>
      </c>
      <c r="I87" t="inlineStr">
        <is>
          <t>01-2026</t>
        </is>
      </c>
      <c r="J87" t="inlineStr">
        <is>
          <t>48G299</t>
        </is>
      </c>
      <c r="K87" t="inlineStr">
        <is>
          <t>BYD MINIDOLPHIN</t>
        </is>
      </c>
      <c r="L87" t="inlineStr">
        <is>
          <t>DIDI</t>
        </is>
      </c>
      <c r="M87" s="3">
        <f>IF(H87="Efectivo",IFERROR((VALUE(RIGHT(I87,4))-VALUE(RIGHT(E87,4)))*12+(VALUE(LEFT(I87,2))-VALUE(LEFT(E87,2))),""),"")</f>
        <v/>
      </c>
    </row>
    <row r="88">
      <c r="A88" t="inlineStr">
        <is>
          <t>AVENDAÑO LOPEZ MARCELO</t>
        </is>
      </c>
      <c r="B88" t="inlineStr">
        <is>
          <t>Hombre</t>
        </is>
      </c>
      <c r="C88" t="inlineStr">
        <is>
          <t>3972AF</t>
        </is>
      </c>
      <c r="D88" t="inlineStr">
        <is>
          <t>CDMX Y AREA METROPOLITANA</t>
        </is>
      </c>
      <c r="E88" t="inlineStr">
        <is>
          <t>11-2024</t>
        </is>
      </c>
      <c r="F88" t="inlineStr">
        <is>
          <t>09-2025</t>
        </is>
      </c>
      <c r="G88" t="n">
        <v>10</v>
      </c>
      <c r="H88" t="inlineStr">
        <is>
          <t>Pendiente</t>
        </is>
      </c>
      <c r="J88" t="inlineStr">
        <is>
          <t>D70BPN</t>
        </is>
      </c>
      <c r="K88" t="inlineStr">
        <is>
          <t>CHEVROLET AVEO</t>
        </is>
      </c>
      <c r="L88" t="inlineStr">
        <is>
          <t>UBER</t>
        </is>
      </c>
      <c r="M88" s="3">
        <f>IF(H88="Efectivo",IFERROR((VALUE(RIGHT(I88,4))-VALUE(RIGHT(E88,4)))*12+(VALUE(LEFT(I88,2))-VALUE(LEFT(E88,2))),""),"")</f>
        <v/>
      </c>
    </row>
    <row r="89">
      <c r="A89" t="inlineStr">
        <is>
          <t>AVILA ALVA HECTOR RAFAEL</t>
        </is>
      </c>
      <c r="B89" t="inlineStr">
        <is>
          <t>Hombre</t>
        </is>
      </c>
      <c r="C89" t="inlineStr">
        <is>
          <t>4196AF</t>
        </is>
      </c>
      <c r="D89" t="inlineStr">
        <is>
          <t>CDMX Y AREA METROPOLITANA</t>
        </is>
      </c>
      <c r="E89" t="inlineStr">
        <is>
          <t>01-2025</t>
        </is>
      </c>
      <c r="F89" t="inlineStr">
        <is>
          <t>02-2026</t>
        </is>
      </c>
      <c r="G89" t="n">
        <v>13</v>
      </c>
      <c r="H89" t="inlineStr">
        <is>
          <t>Pendiente</t>
        </is>
      </c>
      <c r="J89" t="inlineStr">
        <is>
          <t>M84BRD</t>
        </is>
      </c>
      <c r="K89" t="inlineStr">
        <is>
          <t>CHEVROLET AVEO</t>
        </is>
      </c>
      <c r="L89" t="inlineStr">
        <is>
          <t>UBER</t>
        </is>
      </c>
      <c r="M89" s="3">
        <f>IF(H89="Efectivo",IFERROR((VALUE(RIGHT(I89,4))-VALUE(RIGHT(E89,4)))*12+(VALUE(LEFT(I89,2))-VALUE(LEFT(E89,2))),""),"")</f>
        <v/>
      </c>
    </row>
    <row r="90">
      <c r="A90" t="inlineStr">
        <is>
          <t>AVILA ANGULO OMAR</t>
        </is>
      </c>
      <c r="B90" t="inlineStr">
        <is>
          <t>Hombre</t>
        </is>
      </c>
      <c r="C90" t="inlineStr">
        <is>
          <t>6445AF</t>
        </is>
      </c>
      <c r="D90" t="inlineStr">
        <is>
          <t>BAJA CALIFORNIA</t>
        </is>
      </c>
      <c r="E90" t="inlineStr">
        <is>
          <t>12-2025</t>
        </is>
      </c>
      <c r="F90" t="inlineStr">
        <is>
          <t>04-2026</t>
        </is>
      </c>
      <c r="G90" t="n">
        <v>4</v>
      </c>
      <c r="H90" t="inlineStr">
        <is>
          <t>Efectivo</t>
        </is>
      </c>
      <c r="I90" t="inlineStr">
        <is>
          <t>04-2026</t>
        </is>
      </c>
      <c r="J90" t="inlineStr">
        <is>
          <t>CBL126A</t>
        </is>
      </c>
      <c r="K90" t="inlineStr">
        <is>
          <t>CHEVROLET AVEO</t>
        </is>
      </c>
      <c r="L90" t="inlineStr">
        <is>
          <t>DIDI</t>
        </is>
      </c>
      <c r="M90" s="3">
        <f>IF(H90="Efectivo",IFERROR((VALUE(RIGHT(I90,4))-VALUE(RIGHT(E90,4)))*12+(VALUE(LEFT(I90,2))-VALUE(LEFT(E90,2))),""),"")</f>
        <v/>
      </c>
    </row>
    <row r="91">
      <c r="A91" t="inlineStr">
        <is>
          <t>AVILA COLUNGA MIGUEL ESTEBAN</t>
        </is>
      </c>
      <c r="B91" t="inlineStr">
        <is>
          <t>Hombre</t>
        </is>
      </c>
      <c r="C91" t="inlineStr">
        <is>
          <t>5086AF</t>
        </is>
      </c>
      <c r="D91" t="inlineStr">
        <is>
          <t>NUEVO LEON</t>
        </is>
      </c>
      <c r="E91" t="inlineStr">
        <is>
          <t>06-2025</t>
        </is>
      </c>
      <c r="F91" t="inlineStr">
        <is>
          <t>04-2026</t>
        </is>
      </c>
      <c r="G91" t="n">
        <v>10</v>
      </c>
      <c r="H91" t="inlineStr">
        <is>
          <t>Efectivo</t>
        </is>
      </c>
      <c r="I91" t="inlineStr">
        <is>
          <t>04-2026</t>
        </is>
      </c>
      <c r="J91" t="inlineStr">
        <is>
          <t>RUW785C</t>
        </is>
      </c>
      <c r="K91" t="inlineStr">
        <is>
          <t>CHEVROLET AVEO</t>
        </is>
      </c>
      <c r="L91" t="inlineStr">
        <is>
          <t>UBER</t>
        </is>
      </c>
      <c r="M91" s="3">
        <f>IF(H91="Efectivo",IFERROR((VALUE(RIGHT(I91,4))-VALUE(RIGHT(E91,4)))*12+(VALUE(LEFT(I91,2))-VALUE(LEFT(E91,2))),""),"")</f>
        <v/>
      </c>
    </row>
    <row r="92">
      <c r="A92" t="inlineStr">
        <is>
          <t>AVIÑA PADILLA CARLOS AUGUSTO</t>
        </is>
      </c>
      <c r="B92" t="inlineStr">
        <is>
          <t>Hombre</t>
        </is>
      </c>
      <c r="C92" t="inlineStr">
        <is>
          <t>5023AF</t>
        </is>
      </c>
      <c r="D92" t="inlineStr">
        <is>
          <t>JALISCO</t>
        </is>
      </c>
      <c r="E92" t="inlineStr">
        <is>
          <t>06-2025</t>
        </is>
      </c>
      <c r="F92" t="inlineStr">
        <is>
          <t>10-2025</t>
        </is>
      </c>
      <c r="G92" t="n">
        <v>4</v>
      </c>
      <c r="H92" t="inlineStr">
        <is>
          <t>Efectivo</t>
        </is>
      </c>
      <c r="I92" t="inlineStr">
        <is>
          <t>11-2025</t>
        </is>
      </c>
      <c r="J92" t="inlineStr">
        <is>
          <t>JAY052A</t>
        </is>
      </c>
      <c r="K92" t="inlineStr">
        <is>
          <t>CHEVROLET AVEO</t>
        </is>
      </c>
      <c r="L92" t="inlineStr">
        <is>
          <t>UBER</t>
        </is>
      </c>
      <c r="M92" s="3">
        <f>IF(H92="Efectivo",IFERROR((VALUE(RIGHT(I92,4))-VALUE(RIGHT(E92,4)))*12+(VALUE(LEFT(I92,2))-VALUE(LEFT(E92,2))),""),"")</f>
        <v/>
      </c>
    </row>
    <row r="93">
      <c r="A93" t="inlineStr">
        <is>
          <t>AYALA JIMENEZ RICARDO ROBERTO</t>
        </is>
      </c>
      <c r="B93" t="inlineStr">
        <is>
          <t>Hombre</t>
        </is>
      </c>
      <c r="C93" t="inlineStr">
        <is>
          <t>5872AF</t>
        </is>
      </c>
      <c r="D93" t="inlineStr">
        <is>
          <t>BAJA CALIFORNIA</t>
        </is>
      </c>
      <c r="E93" t="inlineStr">
        <is>
          <t>10-2025</t>
        </is>
      </c>
      <c r="F93" t="inlineStr">
        <is>
          <t>04-2026</t>
        </is>
      </c>
      <c r="G93" t="n">
        <v>7</v>
      </c>
      <c r="H93" t="inlineStr">
        <is>
          <t>Cancelado</t>
        </is>
      </c>
      <c r="J93" t="inlineStr">
        <is>
          <t>CAD713A</t>
        </is>
      </c>
      <c r="K93" t="inlineStr">
        <is>
          <t>CHEVROLET AVEO</t>
        </is>
      </c>
      <c r="L93" t="inlineStr">
        <is>
          <t>UBER</t>
        </is>
      </c>
      <c r="M93" s="3">
        <f>IF(H93="Efectivo",IFERROR((VALUE(RIGHT(I93,4))-VALUE(RIGHT(E93,4)))*12+(VALUE(LEFT(I93,2))-VALUE(LEFT(E93,2))),""),"")</f>
        <v/>
      </c>
    </row>
    <row r="94">
      <c r="A94" t="inlineStr">
        <is>
          <t>AYALA SANCHEZ IGNACIO</t>
        </is>
      </c>
      <c r="B94" t="inlineStr">
        <is>
          <t>Hombre</t>
        </is>
      </c>
      <c r="C94" t="inlineStr">
        <is>
          <t>4341AF</t>
        </is>
      </c>
      <c r="D94" t="inlineStr">
        <is>
          <t>CDMX Y AREA METROPOLITANA</t>
        </is>
      </c>
      <c r="E94" t="inlineStr">
        <is>
          <t>02-2025</t>
        </is>
      </c>
      <c r="F94" t="inlineStr">
        <is>
          <t>06-2025</t>
        </is>
      </c>
      <c r="G94" t="n">
        <v>4</v>
      </c>
      <c r="H94" t="inlineStr">
        <is>
          <t>Efectivo</t>
        </is>
      </c>
      <c r="I94" t="inlineStr">
        <is>
          <t>07-2025</t>
        </is>
      </c>
      <c r="J94" t="inlineStr">
        <is>
          <t>31G717</t>
        </is>
      </c>
      <c r="K94" t="inlineStr">
        <is>
          <t>GAC AION S</t>
        </is>
      </c>
      <c r="L94" t="inlineStr">
        <is>
          <t>UBER</t>
        </is>
      </c>
      <c r="M94" s="3">
        <f>IF(H94="Efectivo",IFERROR((VALUE(RIGHT(I94,4))-VALUE(RIGHT(E94,4)))*12+(VALUE(LEFT(I94,2))-VALUE(LEFT(E94,2))),""),"")</f>
        <v/>
      </c>
    </row>
    <row r="95">
      <c r="A95" t="inlineStr">
        <is>
          <t>BADILLO PEREZ CHRISTOPHER ALEXIS</t>
        </is>
      </c>
      <c r="B95" t="inlineStr">
        <is>
          <t>Hombre</t>
        </is>
      </c>
      <c r="C95" t="inlineStr">
        <is>
          <t>5857AF</t>
        </is>
      </c>
      <c r="D95" t="inlineStr">
        <is>
          <t>CDMX Y AREA METROPOLITANA</t>
        </is>
      </c>
      <c r="E95" t="inlineStr">
        <is>
          <t>09-2025</t>
        </is>
      </c>
      <c r="F95" t="inlineStr">
        <is>
          <t>02-2026</t>
        </is>
      </c>
      <c r="G95" t="n">
        <v>4</v>
      </c>
      <c r="H95" t="inlineStr">
        <is>
          <t>Efectivo</t>
        </is>
      </c>
      <c r="I95" t="inlineStr">
        <is>
          <t>04-2026</t>
        </is>
      </c>
      <c r="J95" t="inlineStr">
        <is>
          <t>11K500</t>
        </is>
      </c>
      <c r="K95" t="inlineStr">
        <is>
          <t>BYD MINIDOLPHIN</t>
        </is>
      </c>
      <c r="L95" t="inlineStr">
        <is>
          <t>DIDI</t>
        </is>
      </c>
      <c r="M95" s="3">
        <f>IF(H95="Efectivo",IFERROR((VALUE(RIGHT(I95,4))-VALUE(RIGHT(E95,4)))*12+(VALUE(LEFT(I95,2))-VALUE(LEFT(E95,2))),""),"")</f>
        <v/>
      </c>
    </row>
    <row r="96">
      <c r="A96" t="inlineStr">
        <is>
          <t>BADILLO VALLE ZAIRA</t>
        </is>
      </c>
      <c r="B96" t="inlineStr">
        <is>
          <t>Mujer</t>
        </is>
      </c>
      <c r="C96" t="inlineStr">
        <is>
          <t>3528AF</t>
        </is>
      </c>
      <c r="D96" t="inlineStr">
        <is>
          <t>CDMX Y AREA METROPOLITANA</t>
        </is>
      </c>
      <c r="E96" t="inlineStr">
        <is>
          <t>07-2024</t>
        </is>
      </c>
      <c r="F96" t="inlineStr">
        <is>
          <t>11-2025</t>
        </is>
      </c>
      <c r="G96" t="n">
        <v>16</v>
      </c>
      <c r="H96" t="inlineStr">
        <is>
          <t>Efectivo</t>
        </is>
      </c>
      <c r="I96" t="inlineStr">
        <is>
          <t>12-2025</t>
        </is>
      </c>
      <c r="J96" t="inlineStr">
        <is>
          <t>89F764</t>
        </is>
      </c>
      <c r="K96" t="inlineStr">
        <is>
          <t>BYD D1</t>
        </is>
      </c>
      <c r="L96" t="inlineStr">
        <is>
          <t>UBER</t>
        </is>
      </c>
      <c r="M96" s="3">
        <f>IF(H96="Efectivo",IFERROR((VALUE(RIGHT(I96,4))-VALUE(RIGHT(E96,4)))*12+(VALUE(LEFT(I96,2))-VALUE(LEFT(E96,2))),""),"")</f>
        <v/>
      </c>
    </row>
    <row r="97">
      <c r="A97" t="inlineStr">
        <is>
          <t>BALTAZAR QUIROZ FELIPE</t>
        </is>
      </c>
      <c r="B97" t="inlineStr">
        <is>
          <t>Hombre</t>
        </is>
      </c>
      <c r="C97" t="inlineStr">
        <is>
          <t>4210AF</t>
        </is>
      </c>
      <c r="D97" t="inlineStr">
        <is>
          <t>CDMX Y AREA METROPOLITANA</t>
        </is>
      </c>
      <c r="E97" t="inlineStr">
        <is>
          <t>01-2025</t>
        </is>
      </c>
      <c r="F97" t="inlineStr">
        <is>
          <t>04-2025</t>
        </is>
      </c>
      <c r="G97" t="n">
        <v>2</v>
      </c>
      <c r="H97" t="inlineStr">
        <is>
          <t>Pendiente</t>
        </is>
      </c>
      <c r="J97" t="inlineStr">
        <is>
          <t>62F589</t>
        </is>
      </c>
      <c r="K97" t="inlineStr">
        <is>
          <t>GAC AION S</t>
        </is>
      </c>
      <c r="L97" t="inlineStr">
        <is>
          <t>UBER</t>
        </is>
      </c>
      <c r="M97" s="3">
        <f>IF(H97="Efectivo",IFERROR((VALUE(RIGHT(I97,4))-VALUE(RIGHT(E97,4)))*12+(VALUE(LEFT(I97,2))-VALUE(LEFT(E97,2))),""),"")</f>
        <v/>
      </c>
    </row>
    <row r="98">
      <c r="A98" t="inlineStr">
        <is>
          <t>BAÑOS HERNANDEZ GERARDO</t>
        </is>
      </c>
      <c r="B98" t="inlineStr">
        <is>
          <t>Hombre</t>
        </is>
      </c>
      <c r="C98" t="inlineStr">
        <is>
          <t>5004AF</t>
        </is>
      </c>
      <c r="D98" t="inlineStr">
        <is>
          <t>CDMX Y AREA METROPOLITANA</t>
        </is>
      </c>
      <c r="E98" t="inlineStr">
        <is>
          <t>06-2025</t>
        </is>
      </c>
      <c r="F98" t="inlineStr">
        <is>
          <t>09-2025</t>
        </is>
      </c>
      <c r="G98" t="n">
        <v>3</v>
      </c>
      <c r="H98" t="inlineStr">
        <is>
          <t>Pendiente</t>
        </is>
      </c>
      <c r="J98" t="inlineStr">
        <is>
          <t>31G853</t>
        </is>
      </c>
      <c r="K98" t="inlineStr">
        <is>
          <t>GAC AION S</t>
        </is>
      </c>
      <c r="L98" t="inlineStr">
        <is>
          <t>UBER</t>
        </is>
      </c>
      <c r="M98" s="3">
        <f>IF(H98="Efectivo",IFERROR((VALUE(RIGHT(I98,4))-VALUE(RIGHT(E98,4)))*12+(VALUE(LEFT(I98,2))-VALUE(LEFT(E98,2))),""),"")</f>
        <v/>
      </c>
    </row>
    <row r="99">
      <c r="A99" t="inlineStr">
        <is>
          <t>BAÑUELOS MENDOZA RICARDO</t>
        </is>
      </c>
      <c r="B99" t="inlineStr">
        <is>
          <t>Hombre</t>
        </is>
      </c>
      <c r="C99" t="inlineStr">
        <is>
          <t>4437AF</t>
        </is>
      </c>
      <c r="D99" t="inlineStr">
        <is>
          <t>CDMX Y AREA METROPOLITANA</t>
        </is>
      </c>
      <c r="E99" t="inlineStr">
        <is>
          <t>03-2025</t>
        </is>
      </c>
      <c r="F99" t="inlineStr">
        <is>
          <t>09-2025</t>
        </is>
      </c>
      <c r="G99" t="n">
        <v>6</v>
      </c>
      <c r="H99" t="inlineStr">
        <is>
          <t>Efectivo</t>
        </is>
      </c>
      <c r="I99" t="inlineStr">
        <is>
          <t>08-2025</t>
        </is>
      </c>
      <c r="J99" t="inlineStr">
        <is>
          <t>31G708</t>
        </is>
      </c>
      <c r="K99" t="inlineStr">
        <is>
          <t>GAC AION S</t>
        </is>
      </c>
      <c r="L99" t="inlineStr">
        <is>
          <t>DIDI</t>
        </is>
      </c>
      <c r="M99" s="3">
        <f>IF(H99="Efectivo",IFERROR((VALUE(RIGHT(I99,4))-VALUE(RIGHT(E99,4)))*12+(VALUE(LEFT(I99,2))-VALUE(LEFT(E99,2))),""),"")</f>
        <v/>
      </c>
    </row>
    <row r="100">
      <c r="A100" t="inlineStr">
        <is>
          <t>BARON BARAHONA FRANCISCO</t>
        </is>
      </c>
      <c r="B100" t="inlineStr">
        <is>
          <t>Hombre</t>
        </is>
      </c>
      <c r="C100" t="inlineStr">
        <is>
          <t>4570AF</t>
        </is>
      </c>
      <c r="D100" t="inlineStr">
        <is>
          <t>BAJA CALIFORNIA</t>
        </is>
      </c>
      <c r="E100" t="inlineStr">
        <is>
          <t>04-2025</t>
        </is>
      </c>
      <c r="F100" t="inlineStr">
        <is>
          <t>12-2025</t>
        </is>
      </c>
      <c r="G100" t="n">
        <v>8</v>
      </c>
      <c r="H100" t="inlineStr">
        <is>
          <t>Efectivo</t>
        </is>
      </c>
      <c r="I100" t="inlineStr">
        <is>
          <t>12-2025</t>
        </is>
      </c>
      <c r="J100" t="inlineStr">
        <is>
          <t>BWX659A</t>
        </is>
      </c>
      <c r="K100" t="inlineStr">
        <is>
          <t>CHEVROLET AVEO</t>
        </is>
      </c>
      <c r="L100" t="inlineStr">
        <is>
          <t>UBER</t>
        </is>
      </c>
      <c r="M100" s="3">
        <f>IF(H100="Efectivo",IFERROR((VALUE(RIGHT(I100,4))-VALUE(RIGHT(E100,4)))*12+(VALUE(LEFT(I100,2))-VALUE(LEFT(E100,2))),""),"")</f>
        <v/>
      </c>
    </row>
    <row r="101">
      <c r="A101" t="inlineStr">
        <is>
          <t>BARONA RAMIREZ ANDRES ABELINO</t>
        </is>
      </c>
      <c r="B101" t="inlineStr">
        <is>
          <t>Hombre</t>
        </is>
      </c>
      <c r="C101" t="inlineStr">
        <is>
          <t>2762AF</t>
        </is>
      </c>
      <c r="D101" t="inlineStr">
        <is>
          <t>CDMX Y AREA METROPOLITANA</t>
        </is>
      </c>
      <c r="E101" t="inlineStr">
        <is>
          <t>09-2023</t>
        </is>
      </c>
      <c r="F101" t="inlineStr">
        <is>
          <t>04-2025</t>
        </is>
      </c>
      <c r="G101" t="n">
        <v>18</v>
      </c>
      <c r="H101" t="inlineStr">
        <is>
          <t>Efectivo</t>
        </is>
      </c>
      <c r="I101" t="inlineStr">
        <is>
          <t>04-2025</t>
        </is>
      </c>
      <c r="J101" t="inlineStr">
        <is>
          <t>63F847</t>
        </is>
      </c>
      <c r="K101" t="inlineStr">
        <is>
          <t>SUZUKI ERTIGA</t>
        </is>
      </c>
      <c r="L101" t="inlineStr">
        <is>
          <t>UBER</t>
        </is>
      </c>
      <c r="M101" s="3">
        <f>IF(H101="Efectivo",IFERROR((VALUE(RIGHT(I101,4))-VALUE(RIGHT(E101,4)))*12+(VALUE(LEFT(I101,2))-VALUE(LEFT(E101,2))),""),"")</f>
        <v/>
      </c>
    </row>
    <row r="102">
      <c r="A102" t="inlineStr">
        <is>
          <t>BARRANCO GALLEGOS ISRAEL</t>
        </is>
      </c>
      <c r="B102" t="inlineStr">
        <is>
          <t>Hombre</t>
        </is>
      </c>
      <c r="C102" t="inlineStr">
        <is>
          <t>5340AF</t>
        </is>
      </c>
      <c r="D102" t="inlineStr">
        <is>
          <t>CDMX Y AREA METROPOLITANA</t>
        </is>
      </c>
      <c r="E102" t="inlineStr">
        <is>
          <t>07-2025</t>
        </is>
      </c>
      <c r="F102" t="inlineStr">
        <is>
          <t>09-2025</t>
        </is>
      </c>
      <c r="G102" t="n">
        <v>2</v>
      </c>
      <c r="H102" t="inlineStr">
        <is>
          <t>Efectivo</t>
        </is>
      </c>
      <c r="I102" t="inlineStr">
        <is>
          <t>09-2025</t>
        </is>
      </c>
      <c r="J102" t="inlineStr">
        <is>
          <t>50G522</t>
        </is>
      </c>
      <c r="K102" t="inlineStr">
        <is>
          <t>GAC AION S</t>
        </is>
      </c>
      <c r="L102" t="inlineStr">
        <is>
          <t>UBER</t>
        </is>
      </c>
      <c r="M102" s="3">
        <f>IF(H102="Efectivo",IFERROR((VALUE(RIGHT(I102,4))-VALUE(RIGHT(E102,4)))*12+(VALUE(LEFT(I102,2))-VALUE(LEFT(E102,2))),""),"")</f>
        <v/>
      </c>
    </row>
    <row r="103">
      <c r="A103" t="inlineStr">
        <is>
          <t>BARRETO CORONA RICARDO MANUEL</t>
        </is>
      </c>
      <c r="B103" t="inlineStr">
        <is>
          <t>Hombre</t>
        </is>
      </c>
      <c r="C103" t="inlineStr">
        <is>
          <t>2464AF</t>
        </is>
      </c>
      <c r="D103" t="inlineStr">
        <is>
          <t>QUERETARO</t>
        </is>
      </c>
      <c r="E103" t="inlineStr">
        <is>
          <t>02-2023</t>
        </is>
      </c>
      <c r="F103" t="inlineStr">
        <is>
          <t>09-2025</t>
        </is>
      </c>
      <c r="G103" t="n">
        <v>31</v>
      </c>
      <c r="H103" t="inlineStr">
        <is>
          <t>Efectivo</t>
        </is>
      </c>
      <c r="I103" t="inlineStr">
        <is>
          <t>10-2025</t>
        </is>
      </c>
      <c r="J103" t="inlineStr">
        <is>
          <t>UNU601H</t>
        </is>
      </c>
      <c r="K103" t="inlineStr">
        <is>
          <t>CHEVROLET AVEO</t>
        </is>
      </c>
      <c r="L103" t="inlineStr">
        <is>
          <t>UBER</t>
        </is>
      </c>
      <c r="M103" s="3">
        <f>IF(H103="Efectivo",IFERROR((VALUE(RIGHT(I103,4))-VALUE(RIGHT(E103,4)))*12+(VALUE(LEFT(I103,2))-VALUE(LEFT(E103,2))),""),"")</f>
        <v/>
      </c>
    </row>
    <row r="104">
      <c r="A104" t="inlineStr">
        <is>
          <t>BARRIOS MONDRAGON CRISTIAN</t>
        </is>
      </c>
      <c r="B104" t="inlineStr">
        <is>
          <t>Hombre</t>
        </is>
      </c>
      <c r="C104" t="inlineStr">
        <is>
          <t>4306AF</t>
        </is>
      </c>
      <c r="D104" t="inlineStr">
        <is>
          <t>CDMX Y AREA METROPOLITANA</t>
        </is>
      </c>
      <c r="E104" t="inlineStr">
        <is>
          <t>02-2025</t>
        </is>
      </c>
      <c r="F104" t="inlineStr">
        <is>
          <t>09-2025</t>
        </is>
      </c>
      <c r="G104" t="n">
        <v>7</v>
      </c>
      <c r="H104" t="inlineStr">
        <is>
          <t>Efectivo</t>
        </is>
      </c>
      <c r="I104" t="inlineStr">
        <is>
          <t>09-2025</t>
        </is>
      </c>
      <c r="J104" t="inlineStr">
        <is>
          <t>13G826</t>
        </is>
      </c>
      <c r="K104" t="inlineStr">
        <is>
          <t>BYD D1</t>
        </is>
      </c>
      <c r="L104" t="inlineStr">
        <is>
          <t>UBER</t>
        </is>
      </c>
      <c r="M104" s="3">
        <f>IF(H104="Efectivo",IFERROR((VALUE(RIGHT(I104,4))-VALUE(RIGHT(E104,4)))*12+(VALUE(LEFT(I104,2))-VALUE(LEFT(E104,2))),""),"")</f>
        <v/>
      </c>
    </row>
    <row r="105">
      <c r="A105" t="inlineStr">
        <is>
          <t>BARRIOS SARAZUA JULIAN</t>
        </is>
      </c>
      <c r="B105" t="inlineStr">
        <is>
          <t>Hombre</t>
        </is>
      </c>
      <c r="C105" t="inlineStr">
        <is>
          <t>3285AF</t>
        </is>
      </c>
      <c r="D105" t="inlineStr">
        <is>
          <t>BAJA CALIFORNIA</t>
        </is>
      </c>
      <c r="E105" t="inlineStr">
        <is>
          <t>05-2024</t>
        </is>
      </c>
      <c r="F105" t="inlineStr">
        <is>
          <t>04-2025</t>
        </is>
      </c>
      <c r="G105" t="n">
        <v>11</v>
      </c>
      <c r="H105" t="inlineStr">
        <is>
          <t>Efectivo</t>
        </is>
      </c>
      <c r="I105" t="inlineStr">
        <is>
          <t>04-2025</t>
        </is>
      </c>
      <c r="J105" t="inlineStr">
        <is>
          <t>BNE981A</t>
        </is>
      </c>
      <c r="K105" t="inlineStr">
        <is>
          <t>CHEVROLET AVEO</t>
        </is>
      </c>
      <c r="L105" t="inlineStr">
        <is>
          <t>UBER</t>
        </is>
      </c>
      <c r="M105" s="3">
        <f>IF(H105="Efectivo",IFERROR((VALUE(RIGHT(I105,4))-VALUE(RIGHT(E105,4)))*12+(VALUE(LEFT(I105,2))-VALUE(LEFT(E105,2))),""),"")</f>
        <v/>
      </c>
    </row>
    <row r="106">
      <c r="A106" t="inlineStr">
        <is>
          <t>BASTIDA MORAN OLAF</t>
        </is>
      </c>
      <c r="B106" t="inlineStr">
        <is>
          <t>Hombre</t>
        </is>
      </c>
      <c r="C106" t="inlineStr">
        <is>
          <t>4679AF</t>
        </is>
      </c>
      <c r="D106" t="inlineStr">
        <is>
          <t>CDMX Y AREA METROPOLITANA</t>
        </is>
      </c>
      <c r="E106" t="inlineStr">
        <is>
          <t>04-2025</t>
        </is>
      </c>
      <c r="F106" t="inlineStr">
        <is>
          <t>03-2026</t>
        </is>
      </c>
      <c r="G106" t="n">
        <v>11</v>
      </c>
      <c r="H106" t="inlineStr">
        <is>
          <t>Efectivo</t>
        </is>
      </c>
      <c r="I106" t="inlineStr">
        <is>
          <t>04-2026</t>
        </is>
      </c>
      <c r="J106" t="inlineStr">
        <is>
          <t>41G437</t>
        </is>
      </c>
      <c r="K106" t="inlineStr">
        <is>
          <t>BYD MINIDOLPHIN</t>
        </is>
      </c>
      <c r="L106" t="inlineStr">
        <is>
          <t>UBER</t>
        </is>
      </c>
      <c r="M106" s="3">
        <f>IF(H106="Efectivo",IFERROR((VALUE(RIGHT(I106,4))-VALUE(RIGHT(E106,4)))*12+(VALUE(LEFT(I106,2))-VALUE(LEFT(E106,2))),""),"")</f>
        <v/>
      </c>
    </row>
    <row r="107">
      <c r="A107" t="inlineStr">
        <is>
          <t>BASTIDA SANCHEZ HECTOR HUGO</t>
        </is>
      </c>
      <c r="B107" t="inlineStr">
        <is>
          <t>Hombre</t>
        </is>
      </c>
      <c r="C107" t="inlineStr">
        <is>
          <t>3439AF</t>
        </is>
      </c>
      <c r="D107" t="inlineStr">
        <is>
          <t>CDMX Y AREA METROPOLITANA</t>
        </is>
      </c>
      <c r="E107" t="inlineStr">
        <is>
          <t>07-2024</t>
        </is>
      </c>
      <c r="F107" t="inlineStr">
        <is>
          <t>03-2025</t>
        </is>
      </c>
      <c r="G107" t="n">
        <v>9</v>
      </c>
      <c r="H107" t="inlineStr">
        <is>
          <t>Efectivo</t>
        </is>
      </c>
      <c r="I107" t="inlineStr">
        <is>
          <t>03-2025</t>
        </is>
      </c>
      <c r="J107" t="inlineStr">
        <is>
          <t>E49BPF</t>
        </is>
      </c>
      <c r="K107" t="inlineStr">
        <is>
          <t>CHEVROLET AVEO</t>
        </is>
      </c>
      <c r="L107" t="inlineStr">
        <is>
          <t>UBER</t>
        </is>
      </c>
      <c r="M107" s="3">
        <f>IF(H107="Efectivo",IFERROR((VALUE(RIGHT(I107,4))-VALUE(RIGHT(E107,4)))*12+(VALUE(LEFT(I107,2))-VALUE(LEFT(E107,2))),""),"")</f>
        <v/>
      </c>
    </row>
    <row r="108">
      <c r="A108" t="inlineStr">
        <is>
          <t>BAUTISTA MANCILLA PATRICIA</t>
        </is>
      </c>
      <c r="B108" t="inlineStr">
        <is>
          <t>Mujer</t>
        </is>
      </c>
      <c r="C108" t="inlineStr">
        <is>
          <t>5546AF</t>
        </is>
      </c>
      <c r="D108" t="inlineStr">
        <is>
          <t>JALISCO</t>
        </is>
      </c>
      <c r="E108" t="inlineStr">
        <is>
          <t>08-2025</t>
        </is>
      </c>
      <c r="F108" t="inlineStr">
        <is>
          <t>02-2026</t>
        </is>
      </c>
      <c r="G108" t="n">
        <v>6</v>
      </c>
      <c r="H108" t="inlineStr">
        <is>
          <t>Efectivo</t>
        </is>
      </c>
      <c r="I108" t="inlineStr">
        <is>
          <t>03-2026</t>
        </is>
      </c>
      <c r="J108" t="inlineStr">
        <is>
          <t>JNU127A</t>
        </is>
      </c>
      <c r="K108" t="inlineStr">
        <is>
          <t>TOYOTA AVANZA</t>
        </is>
      </c>
      <c r="L108" t="inlineStr">
        <is>
          <t>UBER</t>
        </is>
      </c>
      <c r="M108" s="3">
        <f>IF(H108="Efectivo",IFERROR((VALUE(RIGHT(I108,4))-VALUE(RIGHT(E108,4)))*12+(VALUE(LEFT(I108,2))-VALUE(LEFT(E108,2))),""),"")</f>
        <v/>
      </c>
    </row>
    <row r="109">
      <c r="A109" t="inlineStr">
        <is>
          <t>BAUTISTA ROSALES JAIME</t>
        </is>
      </c>
      <c r="B109" t="inlineStr">
        <is>
          <t>Hombre</t>
        </is>
      </c>
      <c r="C109" t="inlineStr">
        <is>
          <t>4629AF</t>
        </is>
      </c>
      <c r="D109" t="inlineStr">
        <is>
          <t>CDMX Y AREA METROPOLITANA</t>
        </is>
      </c>
      <c r="E109" t="inlineStr">
        <is>
          <t>04-2025</t>
        </is>
      </c>
      <c r="F109" t="inlineStr">
        <is>
          <t>11-2025</t>
        </is>
      </c>
      <c r="G109" t="n">
        <v>7</v>
      </c>
      <c r="H109" t="inlineStr">
        <is>
          <t>Efectivo</t>
        </is>
      </c>
      <c r="I109" t="inlineStr">
        <is>
          <t>11-2025</t>
        </is>
      </c>
      <c r="J109" t="inlineStr">
        <is>
          <t>38G295</t>
        </is>
      </c>
      <c r="K109" t="inlineStr">
        <is>
          <t>GAC AION S</t>
        </is>
      </c>
      <c r="L109" t="inlineStr">
        <is>
          <t>UBER</t>
        </is>
      </c>
      <c r="M109" s="3">
        <f>IF(H109="Efectivo",IFERROR((VALUE(RIGHT(I109,4))-VALUE(RIGHT(E109,4)))*12+(VALUE(LEFT(I109,2))-VALUE(LEFT(E109,2))),""),"")</f>
        <v/>
      </c>
    </row>
    <row r="110">
      <c r="A110" t="inlineStr">
        <is>
          <t>BECERRA HERNANDEZ JUAN CARLOS</t>
        </is>
      </c>
      <c r="B110" t="inlineStr">
        <is>
          <t>Hombre</t>
        </is>
      </c>
      <c r="C110" t="inlineStr">
        <is>
          <t>3822AF</t>
        </is>
      </c>
      <c r="D110" t="inlineStr">
        <is>
          <t>CDMX Y AREA METROPOLITANA</t>
        </is>
      </c>
      <c r="E110" t="inlineStr">
        <is>
          <t>10-2024</t>
        </is>
      </c>
      <c r="F110" t="inlineStr">
        <is>
          <t>06-2025</t>
        </is>
      </c>
      <c r="G110" t="n">
        <v>8</v>
      </c>
      <c r="H110" t="inlineStr">
        <is>
          <t>Cancelado</t>
        </is>
      </c>
      <c r="J110" t="inlineStr">
        <is>
          <t>08G190</t>
        </is>
      </c>
      <c r="K110" t="inlineStr">
        <is>
          <t>BYD D1</t>
        </is>
      </c>
      <c r="L110" t="inlineStr">
        <is>
          <t>DIDI</t>
        </is>
      </c>
      <c r="M110" s="3">
        <f>IF(H110="Efectivo",IFERROR((VALUE(RIGHT(I110,4))-VALUE(RIGHT(E110,4)))*12+(VALUE(LEFT(I110,2))-VALUE(LEFT(E110,2))),""),"")</f>
        <v/>
      </c>
    </row>
    <row r="111">
      <c r="A111" t="inlineStr">
        <is>
          <t>BECERRIL MERCADO JUAN</t>
        </is>
      </c>
      <c r="B111" t="inlineStr">
        <is>
          <t>Hombre</t>
        </is>
      </c>
      <c r="C111" t="inlineStr">
        <is>
          <t>3231AF</t>
        </is>
      </c>
      <c r="D111" t="inlineStr">
        <is>
          <t>CDMX Y AREA METROPOLITANA</t>
        </is>
      </c>
      <c r="E111" t="inlineStr">
        <is>
          <t>05-2024</t>
        </is>
      </c>
      <c r="F111" t="inlineStr">
        <is>
          <t>02-2026</t>
        </is>
      </c>
      <c r="G111" t="n">
        <v>22</v>
      </c>
      <c r="H111" t="inlineStr">
        <is>
          <t>Efectivo</t>
        </is>
      </c>
      <c r="I111" t="inlineStr">
        <is>
          <t>02-2026</t>
        </is>
      </c>
      <c r="J111" t="inlineStr">
        <is>
          <t>B32BNY</t>
        </is>
      </c>
      <c r="K111" t="inlineStr">
        <is>
          <t>CHEVROLET AVEO</t>
        </is>
      </c>
      <c r="L111" t="inlineStr">
        <is>
          <t>UBER</t>
        </is>
      </c>
      <c r="M111" s="3">
        <f>IF(H111="Efectivo",IFERROR((VALUE(RIGHT(I111,4))-VALUE(RIGHT(E111,4)))*12+(VALUE(LEFT(I111,2))-VALUE(LEFT(E111,2))),""),"")</f>
        <v/>
      </c>
    </row>
    <row r="112">
      <c r="A112" t="inlineStr">
        <is>
          <t>BELLO VALDEZ SALVADOR</t>
        </is>
      </c>
      <c r="B112" t="inlineStr">
        <is>
          <t>Hombre</t>
        </is>
      </c>
      <c r="C112" t="inlineStr">
        <is>
          <t>2233AF</t>
        </is>
      </c>
      <c r="D112" t="inlineStr">
        <is>
          <t>CDMX Y AREA METROPOLITANA</t>
        </is>
      </c>
      <c r="E112" t="inlineStr">
        <is>
          <t>09-2022</t>
        </is>
      </c>
      <c r="F112" t="inlineStr">
        <is>
          <t>04-2025</t>
        </is>
      </c>
      <c r="G112" t="n">
        <v>32</v>
      </c>
      <c r="H112" t="inlineStr">
        <is>
          <t>Efectivo</t>
        </is>
      </c>
      <c r="I112" t="inlineStr">
        <is>
          <t>05-2025</t>
        </is>
      </c>
      <c r="J112" t="inlineStr">
        <is>
          <t>P05BMY</t>
        </is>
      </c>
      <c r="K112" t="inlineStr">
        <is>
          <t>CHEVROLET AVEO</t>
        </is>
      </c>
      <c r="L112" t="inlineStr">
        <is>
          <t>UBER</t>
        </is>
      </c>
      <c r="M112" s="3">
        <f>IF(H112="Efectivo",IFERROR((VALUE(RIGHT(I112,4))-VALUE(RIGHT(E112,4)))*12+(VALUE(LEFT(I112,2))-VALUE(LEFT(E112,2))),""),"")</f>
        <v/>
      </c>
    </row>
    <row r="113">
      <c r="A113" t="inlineStr">
        <is>
          <t>BELMONT ARREGUIN FERNANDO GUADALUPE</t>
        </is>
      </c>
      <c r="B113" t="inlineStr">
        <is>
          <t>Hombre</t>
        </is>
      </c>
      <c r="C113" t="inlineStr">
        <is>
          <t>5932AF</t>
        </is>
      </c>
      <c r="D113" t="inlineStr">
        <is>
          <t>CDMX Y AREA METROPOLITANA</t>
        </is>
      </c>
      <c r="E113" t="inlineStr">
        <is>
          <t>10-2025</t>
        </is>
      </c>
      <c r="F113" t="inlineStr">
        <is>
          <t>01-2026</t>
        </is>
      </c>
      <c r="G113" t="n">
        <v>4</v>
      </c>
      <c r="H113" t="inlineStr">
        <is>
          <t>Efectivo</t>
        </is>
      </c>
      <c r="I113" t="inlineStr">
        <is>
          <t>03-2026</t>
        </is>
      </c>
      <c r="J113" t="inlineStr">
        <is>
          <t>39G813</t>
        </is>
      </c>
      <c r="K113" t="inlineStr">
        <is>
          <t>GAC AION S</t>
        </is>
      </c>
      <c r="L113" t="inlineStr">
        <is>
          <t>DIDI</t>
        </is>
      </c>
      <c r="M113" s="3">
        <f>IF(H113="Efectivo",IFERROR((VALUE(RIGHT(I113,4))-VALUE(RIGHT(E113,4)))*12+(VALUE(LEFT(I113,2))-VALUE(LEFT(E113,2))),""),"")</f>
        <v/>
      </c>
    </row>
    <row r="114">
      <c r="A114" t="inlineStr">
        <is>
          <t>BELTRAN GUADARRAMA VICTOR MANUEL</t>
        </is>
      </c>
      <c r="B114" t="inlineStr">
        <is>
          <t>Hombre</t>
        </is>
      </c>
      <c r="C114" t="inlineStr">
        <is>
          <t>4329AF</t>
        </is>
      </c>
      <c r="D114" t="inlineStr">
        <is>
          <t>CDMX Y AREA METROPOLITANA</t>
        </is>
      </c>
      <c r="E114" t="inlineStr">
        <is>
          <t>02-2025</t>
        </is>
      </c>
      <c r="F114" t="inlineStr">
        <is>
          <t>01-2026</t>
        </is>
      </c>
      <c r="G114" t="n">
        <v>11</v>
      </c>
      <c r="H114" t="inlineStr">
        <is>
          <t>Efectivo</t>
        </is>
      </c>
      <c r="I114" t="inlineStr">
        <is>
          <t>02-2026</t>
        </is>
      </c>
      <c r="J114" t="inlineStr">
        <is>
          <t>E22BRJ</t>
        </is>
      </c>
      <c r="K114" t="inlineStr">
        <is>
          <t>CHEVROLET AVEO</t>
        </is>
      </c>
      <c r="L114" t="inlineStr">
        <is>
          <t>UBER</t>
        </is>
      </c>
      <c r="M114" s="3">
        <f>IF(H114="Efectivo",IFERROR((VALUE(RIGHT(I114,4))-VALUE(RIGHT(E114,4)))*12+(VALUE(LEFT(I114,2))-VALUE(LEFT(E114,2))),""),"")</f>
        <v/>
      </c>
    </row>
    <row r="115">
      <c r="A115" t="inlineStr">
        <is>
          <t>BENITEZ MATIAS JUAN MANUEL</t>
        </is>
      </c>
      <c r="B115" t="inlineStr">
        <is>
          <t>Hombre</t>
        </is>
      </c>
      <c r="C115" t="inlineStr">
        <is>
          <t>5448AF</t>
        </is>
      </c>
      <c r="D115" t="inlineStr">
        <is>
          <t>CDMX Y AREA METROPOLITANA</t>
        </is>
      </c>
      <c r="E115" t="inlineStr">
        <is>
          <t>07-2025</t>
        </is>
      </c>
      <c r="F115" t="inlineStr">
        <is>
          <t>11-2025</t>
        </is>
      </c>
      <c r="G115" t="n">
        <v>3</v>
      </c>
      <c r="H115" t="inlineStr">
        <is>
          <t>Pendiente</t>
        </is>
      </c>
      <c r="J115" t="inlineStr">
        <is>
          <t>47G498</t>
        </is>
      </c>
      <c r="K115" t="inlineStr">
        <is>
          <t>BYD MINIDOLPHIN</t>
        </is>
      </c>
      <c r="L115" t="inlineStr">
        <is>
          <t>DIDI</t>
        </is>
      </c>
      <c r="M115" s="3">
        <f>IF(H115="Efectivo",IFERROR((VALUE(RIGHT(I115,4))-VALUE(RIGHT(E115,4)))*12+(VALUE(LEFT(I115,2))-VALUE(LEFT(E115,2))),""),"")</f>
        <v/>
      </c>
    </row>
    <row r="116">
      <c r="A116" t="inlineStr">
        <is>
          <t>BERMUDEZ CARREON JORGE MANUEL</t>
        </is>
      </c>
      <c r="B116" t="inlineStr">
        <is>
          <t>Hombre</t>
        </is>
      </c>
      <c r="C116" t="inlineStr">
        <is>
          <t>5316AF</t>
        </is>
      </c>
      <c r="D116" t="inlineStr">
        <is>
          <t>CDMX Y AREA METROPOLITANA</t>
        </is>
      </c>
      <c r="E116" t="inlineStr">
        <is>
          <t>07-2025</t>
        </is>
      </c>
      <c r="F116" t="inlineStr">
        <is>
          <t>08-2025</t>
        </is>
      </c>
      <c r="G116" t="n">
        <v>1</v>
      </c>
      <c r="H116" t="inlineStr">
        <is>
          <t>Efectivo</t>
        </is>
      </c>
      <c r="I116" t="inlineStr">
        <is>
          <t>08-2025</t>
        </is>
      </c>
      <c r="J116" t="inlineStr">
        <is>
          <t>29G226</t>
        </is>
      </c>
      <c r="K116" t="inlineStr">
        <is>
          <t>GAC AION S</t>
        </is>
      </c>
      <c r="L116" t="inlineStr">
        <is>
          <t>UBER</t>
        </is>
      </c>
      <c r="M116" s="3">
        <f>IF(H116="Efectivo",IFERROR((VALUE(RIGHT(I116,4))-VALUE(RIGHT(E116,4)))*12+(VALUE(LEFT(I116,2))-VALUE(LEFT(E116,2))),""),"")</f>
        <v/>
      </c>
    </row>
    <row r="117">
      <c r="A117" t="inlineStr">
        <is>
          <t>BERNALDEZ MALDONADO MAURICIO</t>
        </is>
      </c>
      <c r="B117" t="inlineStr">
        <is>
          <t>Hombre</t>
        </is>
      </c>
      <c r="C117" t="inlineStr">
        <is>
          <t>4453AF</t>
        </is>
      </c>
      <c r="D117" t="inlineStr">
        <is>
          <t>CDMX Y AREA METROPOLITANA</t>
        </is>
      </c>
      <c r="E117" t="inlineStr">
        <is>
          <t>03-2025</t>
        </is>
      </c>
      <c r="F117" t="inlineStr">
        <is>
          <t>07-2025</t>
        </is>
      </c>
      <c r="G117" t="n">
        <v>4</v>
      </c>
      <c r="H117" t="inlineStr">
        <is>
          <t>Efectivo</t>
        </is>
      </c>
      <c r="I117" t="inlineStr">
        <is>
          <t>07-2025</t>
        </is>
      </c>
      <c r="J117" t="inlineStr">
        <is>
          <t>19G633</t>
        </is>
      </c>
      <c r="K117" t="inlineStr">
        <is>
          <t>BYD D1</t>
        </is>
      </c>
      <c r="L117" t="inlineStr">
        <is>
          <t>UBER</t>
        </is>
      </c>
      <c r="M117" s="3">
        <f>IF(H117="Efectivo",IFERROR((VALUE(RIGHT(I117,4))-VALUE(RIGHT(E117,4)))*12+(VALUE(LEFT(I117,2))-VALUE(LEFT(E117,2))),""),"")</f>
        <v/>
      </c>
    </row>
    <row r="118">
      <c r="A118" t="inlineStr">
        <is>
          <t>BETANZOS CASTRO VICTOR MARIO</t>
        </is>
      </c>
      <c r="B118" t="inlineStr">
        <is>
          <t>Hombre</t>
        </is>
      </c>
      <c r="C118" t="inlineStr">
        <is>
          <t>4218AF</t>
        </is>
      </c>
      <c r="D118" t="inlineStr">
        <is>
          <t>CDMX Y AREA METROPOLITANA</t>
        </is>
      </c>
      <c r="E118" t="inlineStr">
        <is>
          <t>01-2025</t>
        </is>
      </c>
      <c r="F118" t="inlineStr">
        <is>
          <t>03-2026</t>
        </is>
      </c>
      <c r="G118" t="n">
        <v>14</v>
      </c>
      <c r="H118" t="inlineStr">
        <is>
          <t>Efectivo</t>
        </is>
      </c>
      <c r="I118" t="inlineStr">
        <is>
          <t>03-2026</t>
        </is>
      </c>
      <c r="J118" t="inlineStr">
        <is>
          <t>56F792</t>
        </is>
      </c>
      <c r="K118" t="inlineStr">
        <is>
          <t>GAC AION S</t>
        </is>
      </c>
      <c r="L118" t="inlineStr">
        <is>
          <t>UBER</t>
        </is>
      </c>
      <c r="M118" s="3">
        <f>IF(H118="Efectivo",IFERROR((VALUE(RIGHT(I118,4))-VALUE(RIGHT(E118,4)))*12+(VALUE(LEFT(I118,2))-VALUE(LEFT(E118,2))),""),"")</f>
        <v/>
      </c>
    </row>
    <row r="119">
      <c r="A119" t="inlineStr">
        <is>
          <t>BIBIANO GALICIA RUBEN</t>
        </is>
      </c>
      <c r="B119" t="inlineStr">
        <is>
          <t>Hombre</t>
        </is>
      </c>
      <c r="C119" t="inlineStr">
        <is>
          <t>3031AF</t>
        </is>
      </c>
      <c r="D119" t="inlineStr">
        <is>
          <t>CDMX Y AREA METROPOLITANA</t>
        </is>
      </c>
      <c r="E119" t="inlineStr">
        <is>
          <t>02-2024</t>
        </is>
      </c>
      <c r="F119" t="inlineStr">
        <is>
          <t>09-2025</t>
        </is>
      </c>
      <c r="G119" t="n">
        <v>19</v>
      </c>
      <c r="H119" t="inlineStr">
        <is>
          <t>Cancelado</t>
        </is>
      </c>
      <c r="J119" t="inlineStr">
        <is>
          <t>T96BNL</t>
        </is>
      </c>
      <c r="K119" t="inlineStr">
        <is>
          <t>CHEVROLET AVEO</t>
        </is>
      </c>
      <c r="L119" t="inlineStr">
        <is>
          <t>UBER</t>
        </is>
      </c>
      <c r="M119" s="3">
        <f>IF(H119="Efectivo",IFERROR((VALUE(RIGHT(I119,4))-VALUE(RIGHT(E119,4)))*12+(VALUE(LEFT(I119,2))-VALUE(LEFT(E119,2))),""),"")</f>
        <v/>
      </c>
    </row>
    <row r="120">
      <c r="A120" t="inlineStr">
        <is>
          <t>BLANCAS AGONIZANTE ERNESTO TEOFILO</t>
        </is>
      </c>
      <c r="B120" t="inlineStr">
        <is>
          <t>Hombre</t>
        </is>
      </c>
      <c r="C120" t="inlineStr">
        <is>
          <t>4225AF</t>
        </is>
      </c>
      <c r="D120" t="inlineStr">
        <is>
          <t>CDMX Y AREA METROPOLITANA</t>
        </is>
      </c>
      <c r="E120" t="inlineStr">
        <is>
          <t>01-2025</t>
        </is>
      </c>
      <c r="F120" t="inlineStr">
        <is>
          <t>06-2025</t>
        </is>
      </c>
      <c r="G120" t="n">
        <v>4</v>
      </c>
      <c r="H120" t="inlineStr">
        <is>
          <t>Efectivo</t>
        </is>
      </c>
      <c r="I120" t="inlineStr">
        <is>
          <t>06-2025</t>
        </is>
      </c>
      <c r="J120" t="inlineStr">
        <is>
          <t>P48BRD</t>
        </is>
      </c>
      <c r="K120" t="inlineStr">
        <is>
          <t>CHEVROLET AVEO</t>
        </is>
      </c>
      <c r="L120" t="inlineStr">
        <is>
          <t>UBER</t>
        </is>
      </c>
      <c r="M120" s="3">
        <f>IF(H120="Efectivo",IFERROR((VALUE(RIGHT(I120,4))-VALUE(RIGHT(E120,4)))*12+(VALUE(LEFT(I120,2))-VALUE(LEFT(E120,2))),""),"")</f>
        <v/>
      </c>
    </row>
    <row r="121">
      <c r="A121" t="inlineStr">
        <is>
          <t>BLANDO QUIJADA BRAYAN ALTAIR</t>
        </is>
      </c>
      <c r="B121" t="inlineStr">
        <is>
          <t>Hombre</t>
        </is>
      </c>
      <c r="C121" t="inlineStr">
        <is>
          <t>5129AF</t>
        </is>
      </c>
      <c r="D121" t="inlineStr">
        <is>
          <t>CDMX Y AREA METROPOLITANA</t>
        </is>
      </c>
      <c r="E121" t="inlineStr">
        <is>
          <t>06-2025</t>
        </is>
      </c>
      <c r="F121" t="inlineStr">
        <is>
          <t>12-2025</t>
        </is>
      </c>
      <c r="G121" t="n">
        <v>6</v>
      </c>
      <c r="H121" t="inlineStr">
        <is>
          <t>Efectivo</t>
        </is>
      </c>
      <c r="I121" t="inlineStr">
        <is>
          <t>02-2026</t>
        </is>
      </c>
      <c r="J121" t="inlineStr">
        <is>
          <t>47G977</t>
        </is>
      </c>
      <c r="K121" t="inlineStr">
        <is>
          <t>BYD MINIDOLPHIN</t>
        </is>
      </c>
      <c r="L121" t="inlineStr">
        <is>
          <t>UBER</t>
        </is>
      </c>
      <c r="M121" s="3">
        <f>IF(H121="Efectivo",IFERROR((VALUE(RIGHT(I121,4))-VALUE(RIGHT(E121,4)))*12+(VALUE(LEFT(I121,2))-VALUE(LEFT(E121,2))),""),"")</f>
        <v/>
      </c>
    </row>
    <row r="122">
      <c r="A122" t="inlineStr">
        <is>
          <t>BLASI VELAZQUEZ CESAR SALVADOR</t>
        </is>
      </c>
      <c r="B122" t="inlineStr">
        <is>
          <t>Hombre</t>
        </is>
      </c>
      <c r="C122" t="inlineStr">
        <is>
          <t>4433AF</t>
        </is>
      </c>
      <c r="D122" t="inlineStr">
        <is>
          <t>CDMX Y AREA METROPOLITANA</t>
        </is>
      </c>
      <c r="E122" t="inlineStr">
        <is>
          <t>03-2025</t>
        </is>
      </c>
      <c r="F122" t="inlineStr">
        <is>
          <t>04-2026</t>
        </is>
      </c>
      <c r="G122" t="n">
        <v>13</v>
      </c>
      <c r="H122" t="inlineStr">
        <is>
          <t>Efectivo</t>
        </is>
      </c>
      <c r="I122" t="inlineStr">
        <is>
          <t>04-2026</t>
        </is>
      </c>
      <c r="J122" t="inlineStr">
        <is>
          <t>19G624</t>
        </is>
      </c>
      <c r="K122" t="inlineStr">
        <is>
          <t>BYD D1</t>
        </is>
      </c>
      <c r="L122" t="inlineStr">
        <is>
          <t>UBER</t>
        </is>
      </c>
      <c r="M122" s="3">
        <f>IF(H122="Efectivo",IFERROR((VALUE(RIGHT(I122,4))-VALUE(RIGHT(E122,4)))*12+(VALUE(LEFT(I122,2))-VALUE(LEFT(E122,2))),""),"")</f>
        <v/>
      </c>
    </row>
    <row r="123">
      <c r="A123" t="inlineStr">
        <is>
          <t>BONILLA ALARCON SAUL</t>
        </is>
      </c>
      <c r="B123" t="inlineStr">
        <is>
          <t>Hombre</t>
        </is>
      </c>
      <c r="C123" t="inlineStr">
        <is>
          <t>5634AF</t>
        </is>
      </c>
      <c r="D123" t="inlineStr">
        <is>
          <t>CDMX Y AREA METROPOLITANA</t>
        </is>
      </c>
      <c r="E123" t="inlineStr">
        <is>
          <t>08-2025</t>
        </is>
      </c>
      <c r="F123" t="inlineStr">
        <is>
          <t>01-2026</t>
        </is>
      </c>
      <c r="G123" t="n">
        <v>5</v>
      </c>
      <c r="H123" t="inlineStr">
        <is>
          <t>Efectivo</t>
        </is>
      </c>
      <c r="I123" t="inlineStr">
        <is>
          <t>02-2026</t>
        </is>
      </c>
      <c r="J123" t="inlineStr">
        <is>
          <t>48G105</t>
        </is>
      </c>
      <c r="K123" t="inlineStr">
        <is>
          <t>BYD MINIDOLPHIN</t>
        </is>
      </c>
      <c r="L123" t="inlineStr">
        <is>
          <t>UBER</t>
        </is>
      </c>
      <c r="M123" s="3">
        <f>IF(H123="Efectivo",IFERROR((VALUE(RIGHT(I123,4))-VALUE(RIGHT(E123,4)))*12+(VALUE(LEFT(I123,2))-VALUE(LEFT(E123,2))),""),"")</f>
        <v/>
      </c>
    </row>
    <row r="124">
      <c r="A124" t="inlineStr">
        <is>
          <t>BORBOLLA CAMARENA KARLA ALEJANDRA</t>
        </is>
      </c>
      <c r="B124" t="inlineStr">
        <is>
          <t>Mujer</t>
        </is>
      </c>
      <c r="C124" t="inlineStr">
        <is>
          <t>5076AF</t>
        </is>
      </c>
      <c r="D124" t="inlineStr">
        <is>
          <t>CDMX Y AREA METROPOLITANA</t>
        </is>
      </c>
      <c r="E124" t="inlineStr">
        <is>
          <t>06-2025</t>
        </is>
      </c>
      <c r="F124" t="inlineStr">
        <is>
          <t>04-2026</t>
        </is>
      </c>
      <c r="G124" t="n">
        <v>10</v>
      </c>
      <c r="H124" t="inlineStr">
        <is>
          <t>Pendiente</t>
        </is>
      </c>
      <c r="J124" t="inlineStr">
        <is>
          <t>47G843</t>
        </is>
      </c>
      <c r="K124" t="inlineStr">
        <is>
          <t>BYD MINIDOLPHIN</t>
        </is>
      </c>
      <c r="L124" t="inlineStr">
        <is>
          <t>UBER</t>
        </is>
      </c>
      <c r="M124" s="3">
        <f>IF(H124="Efectivo",IFERROR((VALUE(RIGHT(I124,4))-VALUE(RIGHT(E124,4)))*12+(VALUE(LEFT(I124,2))-VALUE(LEFT(E124,2))),""),"")</f>
        <v/>
      </c>
    </row>
    <row r="125">
      <c r="A125" t="inlineStr">
        <is>
          <t>BRAVO JIMENEZ EDGAR ADRIAN</t>
        </is>
      </c>
      <c r="B125" t="inlineStr">
        <is>
          <t>Hombre</t>
        </is>
      </c>
      <c r="C125" t="inlineStr">
        <is>
          <t>2811AF</t>
        </is>
      </c>
      <c r="D125" t="inlineStr">
        <is>
          <t>CDMX Y AREA METROPOLITANA</t>
        </is>
      </c>
      <c r="E125" t="inlineStr">
        <is>
          <t>10-2023</t>
        </is>
      </c>
      <c r="F125" t="inlineStr">
        <is>
          <t>07-2025</t>
        </is>
      </c>
      <c r="G125" t="n">
        <v>21</v>
      </c>
      <c r="H125" t="inlineStr">
        <is>
          <t>Cancelado</t>
        </is>
      </c>
      <c r="J125" t="inlineStr">
        <is>
          <t>57F969</t>
        </is>
      </c>
      <c r="K125" t="inlineStr">
        <is>
          <t>SUZUKI ERTIGA</t>
        </is>
      </c>
      <c r="L125" t="inlineStr">
        <is>
          <t>UBER</t>
        </is>
      </c>
      <c r="M125" s="3">
        <f>IF(H125="Efectivo",IFERROR((VALUE(RIGHT(I125,4))-VALUE(RIGHT(E125,4)))*12+(VALUE(LEFT(I125,2))-VALUE(LEFT(E125,2))),""),"")</f>
        <v/>
      </c>
    </row>
    <row r="126">
      <c r="A126" t="inlineStr">
        <is>
          <t>BRIONES GALVAN PEDRO</t>
        </is>
      </c>
      <c r="B126" t="inlineStr">
        <is>
          <t>Hombre</t>
        </is>
      </c>
      <c r="C126" t="inlineStr">
        <is>
          <t>5119AF</t>
        </is>
      </c>
      <c r="D126" t="inlineStr">
        <is>
          <t>CDMX Y AREA METROPOLITANA</t>
        </is>
      </c>
      <c r="E126" t="inlineStr">
        <is>
          <t>06-2025</t>
        </is>
      </c>
      <c r="F126" t="inlineStr">
        <is>
          <t>03-2026</t>
        </is>
      </c>
      <c r="G126" t="n">
        <v>8</v>
      </c>
      <c r="H126" t="inlineStr">
        <is>
          <t>Efectivo</t>
        </is>
      </c>
      <c r="I126" t="inlineStr">
        <is>
          <t>03-2026</t>
        </is>
      </c>
      <c r="J126" t="inlineStr">
        <is>
          <t>47G556</t>
        </is>
      </c>
      <c r="K126" t="inlineStr">
        <is>
          <t>BYD MINIDOLPHIN</t>
        </is>
      </c>
      <c r="L126" t="inlineStr">
        <is>
          <t>DIDI</t>
        </is>
      </c>
      <c r="M126" s="3">
        <f>IF(H126="Efectivo",IFERROR((VALUE(RIGHT(I126,4))-VALUE(RIGHT(E126,4)))*12+(VALUE(LEFT(I126,2))-VALUE(LEFT(E126,2))),""),"")</f>
        <v/>
      </c>
    </row>
    <row r="127">
      <c r="A127" t="inlineStr">
        <is>
          <t>BRITO SOSA ALVARO EFREN</t>
        </is>
      </c>
      <c r="B127" t="inlineStr">
        <is>
          <t>Hombre</t>
        </is>
      </c>
      <c r="C127" t="inlineStr">
        <is>
          <t>2852AF</t>
        </is>
      </c>
      <c r="D127" t="inlineStr">
        <is>
          <t>CDMX Y AREA METROPOLITANA</t>
        </is>
      </c>
      <c r="E127" t="inlineStr">
        <is>
          <t>11-2023</t>
        </is>
      </c>
      <c r="F127" t="inlineStr">
        <is>
          <t>02-2025</t>
        </is>
      </c>
      <c r="G127" t="n">
        <v>15</v>
      </c>
      <c r="H127" t="inlineStr">
        <is>
          <t>Efectivo</t>
        </is>
      </c>
      <c r="I127" t="inlineStr">
        <is>
          <t>02-2025</t>
        </is>
      </c>
      <c r="J127" t="inlineStr">
        <is>
          <t>A91BND</t>
        </is>
      </c>
      <c r="K127" t="inlineStr">
        <is>
          <t>CHEVROLET AVEO</t>
        </is>
      </c>
      <c r="L127" t="inlineStr">
        <is>
          <t>UBER</t>
        </is>
      </c>
      <c r="M127" s="3">
        <f>IF(H127="Efectivo",IFERROR((VALUE(RIGHT(I127,4))-VALUE(RIGHT(E127,4)))*12+(VALUE(LEFT(I127,2))-VALUE(LEFT(E127,2))),""),"")</f>
        <v/>
      </c>
    </row>
    <row r="128">
      <c r="A128" t="inlineStr">
        <is>
          <t>BUCIO GONZALEZ JULIO ALEJANDRO</t>
        </is>
      </c>
      <c r="B128" t="inlineStr">
        <is>
          <t>Hombre</t>
        </is>
      </c>
      <c r="C128" t="inlineStr">
        <is>
          <t>3733AF</t>
        </is>
      </c>
      <c r="D128" t="inlineStr">
        <is>
          <t>JALISCO</t>
        </is>
      </c>
      <c r="E128" t="inlineStr">
        <is>
          <t>09-2024</t>
        </is>
      </c>
      <c r="F128" t="inlineStr">
        <is>
          <t>04-2025</t>
        </is>
      </c>
      <c r="G128" t="n">
        <v>7</v>
      </c>
      <c r="H128" t="inlineStr">
        <is>
          <t>Efectivo</t>
        </is>
      </c>
      <c r="I128" t="inlineStr">
        <is>
          <t>05-2025</t>
        </is>
      </c>
      <c r="J128" t="inlineStr">
        <is>
          <t>HXC200A</t>
        </is>
      </c>
      <c r="K128" t="inlineStr">
        <is>
          <t>CHEVROLET AVEO</t>
        </is>
      </c>
      <c r="L128" t="inlineStr">
        <is>
          <t>UBER</t>
        </is>
      </c>
      <c r="M128" s="3">
        <f>IF(H128="Efectivo",IFERROR((VALUE(RIGHT(I128,4))-VALUE(RIGHT(E128,4)))*12+(VALUE(LEFT(I128,2))-VALUE(LEFT(E128,2))),""),"")</f>
        <v/>
      </c>
    </row>
    <row r="129">
      <c r="A129" t="inlineStr">
        <is>
          <t>BUENDIA CORONEL JOSE OSCAR</t>
        </is>
      </c>
      <c r="B129" t="inlineStr">
        <is>
          <t>Hombre</t>
        </is>
      </c>
      <c r="C129" t="inlineStr">
        <is>
          <t>5112AF</t>
        </is>
      </c>
      <c r="D129" t="inlineStr">
        <is>
          <t>CDMX Y AREA METROPOLITANA</t>
        </is>
      </c>
      <c r="E129" t="inlineStr">
        <is>
          <t>06-2025</t>
        </is>
      </c>
      <c r="F129" t="inlineStr">
        <is>
          <t>10-2025</t>
        </is>
      </c>
      <c r="G129" t="n">
        <v>3</v>
      </c>
      <c r="H129" t="inlineStr">
        <is>
          <t>Pendiente</t>
        </is>
      </c>
      <c r="J129" t="inlineStr">
        <is>
          <t>47G968</t>
        </is>
      </c>
      <c r="K129" t="inlineStr">
        <is>
          <t>BYD MINIDOLPHIN</t>
        </is>
      </c>
      <c r="L129" t="inlineStr">
        <is>
          <t>UBER</t>
        </is>
      </c>
      <c r="M129" s="3">
        <f>IF(H129="Efectivo",IFERROR((VALUE(RIGHT(I129,4))-VALUE(RIGHT(E129,4)))*12+(VALUE(LEFT(I129,2))-VALUE(LEFT(E129,2))),""),"")</f>
        <v/>
      </c>
    </row>
    <row r="130">
      <c r="A130" t="inlineStr">
        <is>
          <t>BUENFIL SAGASTEGUI GABRIEL NAPOLEON</t>
        </is>
      </c>
      <c r="B130" t="inlineStr">
        <is>
          <t>Hombre</t>
        </is>
      </c>
      <c r="C130" t="inlineStr">
        <is>
          <t>6358AF</t>
        </is>
      </c>
      <c r="D130" t="inlineStr">
        <is>
          <t>NUEVO LEON</t>
        </is>
      </c>
      <c r="E130" t="inlineStr">
        <is>
          <t>11-2025</t>
        </is>
      </c>
      <c r="F130" t="inlineStr">
        <is>
          <t>03-2026</t>
        </is>
      </c>
      <c r="G130" t="n">
        <v>4</v>
      </c>
      <c r="H130" t="inlineStr">
        <is>
          <t>Efectivo</t>
        </is>
      </c>
      <c r="I130" t="inlineStr">
        <is>
          <t>04-2026</t>
        </is>
      </c>
      <c r="J130" t="inlineStr">
        <is>
          <t>53S661</t>
        </is>
      </c>
      <c r="K130" t="inlineStr">
        <is>
          <t>BYD MINIDOLPHIN</t>
        </is>
      </c>
      <c r="L130" t="inlineStr">
        <is>
          <t>UBER</t>
        </is>
      </c>
      <c r="M130" s="3">
        <f>IF(H130="Efectivo",IFERROR((VALUE(RIGHT(I130,4))-VALUE(RIGHT(E130,4)))*12+(VALUE(LEFT(I130,2))-VALUE(LEFT(E130,2))),""),"")</f>
        <v/>
      </c>
    </row>
    <row r="131">
      <c r="A131" t="inlineStr">
        <is>
          <t>BUENO PEREZ EDWIN ISAI</t>
        </is>
      </c>
      <c r="B131" t="inlineStr">
        <is>
          <t>Hombre</t>
        </is>
      </c>
      <c r="C131" t="inlineStr">
        <is>
          <t>4311AF</t>
        </is>
      </c>
      <c r="D131" t="inlineStr">
        <is>
          <t>CDMX Y AREA METROPOLITANA</t>
        </is>
      </c>
      <c r="E131" t="inlineStr">
        <is>
          <t>02-2025</t>
        </is>
      </c>
      <c r="F131" t="inlineStr">
        <is>
          <t>09-2025</t>
        </is>
      </c>
      <c r="G131" t="n">
        <v>7</v>
      </c>
      <c r="H131" t="inlineStr">
        <is>
          <t>Cancelado</t>
        </is>
      </c>
      <c r="J131" t="inlineStr">
        <is>
          <t>E67BRJ</t>
        </is>
      </c>
      <c r="K131" t="inlineStr">
        <is>
          <t>CHEVROLET AVEO</t>
        </is>
      </c>
      <c r="L131" t="inlineStr">
        <is>
          <t>UBER</t>
        </is>
      </c>
      <c r="M131" s="3">
        <f>IF(H131="Efectivo",IFERROR((VALUE(RIGHT(I131,4))-VALUE(RIGHT(E131,4)))*12+(VALUE(LEFT(I131,2))-VALUE(LEFT(E131,2))),""),"")</f>
        <v/>
      </c>
    </row>
    <row r="132">
      <c r="A132" t="inlineStr">
        <is>
          <t>CABRERA GONZALEZ LUIS EDER</t>
        </is>
      </c>
      <c r="B132" t="inlineStr">
        <is>
          <t>Hombre</t>
        </is>
      </c>
      <c r="C132" t="inlineStr">
        <is>
          <t>3186AF</t>
        </is>
      </c>
      <c r="D132" t="inlineStr">
        <is>
          <t>CDMX Y AREA METROPOLITANA</t>
        </is>
      </c>
      <c r="E132" t="inlineStr">
        <is>
          <t>04-2024</t>
        </is>
      </c>
      <c r="F132" t="inlineStr">
        <is>
          <t>02-2026</t>
        </is>
      </c>
      <c r="G132" t="n">
        <v>22</v>
      </c>
      <c r="H132" t="inlineStr">
        <is>
          <t>Efectivo</t>
        </is>
      </c>
      <c r="I132" t="inlineStr">
        <is>
          <t>02-2026</t>
        </is>
      </c>
      <c r="J132" t="inlineStr">
        <is>
          <t>A16BNM</t>
        </is>
      </c>
      <c r="K132" t="inlineStr">
        <is>
          <t>CHEVROLET AVEO</t>
        </is>
      </c>
      <c r="L132" t="inlineStr">
        <is>
          <t>UBER</t>
        </is>
      </c>
      <c r="M132" s="3">
        <f>IF(H132="Efectivo",IFERROR((VALUE(RIGHT(I132,4))-VALUE(RIGHT(E132,4)))*12+(VALUE(LEFT(I132,2))-VALUE(LEFT(E132,2))),""),"")</f>
        <v/>
      </c>
    </row>
    <row r="133">
      <c r="A133" t="inlineStr">
        <is>
          <t>CABRERA MEDLEG SALVADOR ANDRES</t>
        </is>
      </c>
      <c r="B133" t="inlineStr">
        <is>
          <t>Hombre</t>
        </is>
      </c>
      <c r="C133" t="inlineStr">
        <is>
          <t>3387AF</t>
        </is>
      </c>
      <c r="D133" t="inlineStr">
        <is>
          <t>CDMX Y AREA METROPOLITANA</t>
        </is>
      </c>
      <c r="E133" t="inlineStr">
        <is>
          <t>06-2024</t>
        </is>
      </c>
      <c r="F133" t="inlineStr">
        <is>
          <t>02-2026</t>
        </is>
      </c>
      <c r="G133" t="n">
        <v>20</v>
      </c>
      <c r="H133" t="inlineStr">
        <is>
          <t>Efectivo</t>
        </is>
      </c>
      <c r="I133" t="inlineStr">
        <is>
          <t>02-2026</t>
        </is>
      </c>
      <c r="J133" t="inlineStr">
        <is>
          <t>84F283</t>
        </is>
      </c>
      <c r="K133" t="inlineStr">
        <is>
          <t>BYD D1</t>
        </is>
      </c>
      <c r="L133" t="inlineStr">
        <is>
          <t>UBER</t>
        </is>
      </c>
      <c r="M133" s="3">
        <f>IF(H133="Efectivo",IFERROR((VALUE(RIGHT(I133,4))-VALUE(RIGHT(E133,4)))*12+(VALUE(LEFT(I133,2))-VALUE(LEFT(E133,2))),""),"")</f>
        <v/>
      </c>
    </row>
    <row r="134">
      <c r="A134" t="inlineStr">
        <is>
          <t>CADENA SANCHEZ JUAN ISMAEL</t>
        </is>
      </c>
      <c r="B134" t="inlineStr">
        <is>
          <t>Hombre</t>
        </is>
      </c>
      <c r="C134" t="inlineStr">
        <is>
          <t>2777AF</t>
        </is>
      </c>
      <c r="D134" t="inlineStr">
        <is>
          <t>BAJA CALIFORNIA</t>
        </is>
      </c>
      <c r="E134" t="inlineStr">
        <is>
          <t>10-2023</t>
        </is>
      </c>
      <c r="F134" t="inlineStr">
        <is>
          <t>11-2025</t>
        </is>
      </c>
      <c r="G134" t="n">
        <v>26</v>
      </c>
      <c r="H134" t="inlineStr">
        <is>
          <t>Pendiente</t>
        </is>
      </c>
      <c r="J134" t="inlineStr">
        <is>
          <t>BGL987A</t>
        </is>
      </c>
      <c r="K134" t="inlineStr">
        <is>
          <t>SUZUKI ERTIGA</t>
        </is>
      </c>
      <c r="L134" t="inlineStr">
        <is>
          <t>UBER</t>
        </is>
      </c>
      <c r="M134" s="3">
        <f>IF(H134="Efectivo",IFERROR((VALUE(RIGHT(I134,4))-VALUE(RIGHT(E134,4)))*12+(VALUE(LEFT(I134,2))-VALUE(LEFT(E134,2))),""),"")</f>
        <v/>
      </c>
    </row>
    <row r="135">
      <c r="A135" t="inlineStr">
        <is>
          <t>CADIZ AVILES EDGAR</t>
        </is>
      </c>
      <c r="B135" t="inlineStr">
        <is>
          <t>Hombre</t>
        </is>
      </c>
      <c r="C135" t="inlineStr">
        <is>
          <t>6168AF</t>
        </is>
      </c>
      <c r="D135" t="inlineStr">
        <is>
          <t>BAJA CALIFORNIA</t>
        </is>
      </c>
      <c r="E135" t="inlineStr">
        <is>
          <t>11-2025</t>
        </is>
      </c>
      <c r="F135" t="inlineStr">
        <is>
          <t>03-2026</t>
        </is>
      </c>
      <c r="G135" t="n">
        <v>4</v>
      </c>
      <c r="H135" t="inlineStr">
        <is>
          <t>Efectivo</t>
        </is>
      </c>
      <c r="I135" t="inlineStr">
        <is>
          <t>03-2026</t>
        </is>
      </c>
      <c r="J135" t="inlineStr">
        <is>
          <t>CAS981A</t>
        </is>
      </c>
      <c r="K135" t="inlineStr">
        <is>
          <t>CHEVROLET AVEO</t>
        </is>
      </c>
      <c r="L135" t="inlineStr">
        <is>
          <t>DIDI</t>
        </is>
      </c>
      <c r="M135" s="3">
        <f>IF(H135="Efectivo",IFERROR((VALUE(RIGHT(I135,4))-VALUE(RIGHT(E135,4)))*12+(VALUE(LEFT(I135,2))-VALUE(LEFT(E135,2))),""),"")</f>
        <v/>
      </c>
    </row>
    <row r="136">
      <c r="A136" t="inlineStr">
        <is>
          <t>CALDERON DIAZ SAID SAUL</t>
        </is>
      </c>
      <c r="B136" t="inlineStr">
        <is>
          <t>Hombre</t>
        </is>
      </c>
      <c r="C136" t="inlineStr">
        <is>
          <t>3541AF</t>
        </is>
      </c>
      <c r="D136" t="inlineStr">
        <is>
          <t>CDMX Y AREA METROPOLITANA</t>
        </is>
      </c>
      <c r="E136" t="inlineStr">
        <is>
          <t>07-2024</t>
        </is>
      </c>
      <c r="F136" t="inlineStr">
        <is>
          <t>02-2025</t>
        </is>
      </c>
      <c r="G136" t="n">
        <v>6</v>
      </c>
      <c r="H136" t="inlineStr">
        <is>
          <t>Efectivo</t>
        </is>
      </c>
      <c r="I136" t="inlineStr">
        <is>
          <t>03-2025</t>
        </is>
      </c>
      <c r="J136" t="inlineStr">
        <is>
          <t>89F763</t>
        </is>
      </c>
      <c r="K136" t="inlineStr">
        <is>
          <t>BYD D1</t>
        </is>
      </c>
      <c r="L136" t="inlineStr">
        <is>
          <t>UBER</t>
        </is>
      </c>
      <c r="M136" s="3">
        <f>IF(H136="Efectivo",IFERROR((VALUE(RIGHT(I136,4))-VALUE(RIGHT(E136,4)))*12+(VALUE(LEFT(I136,2))-VALUE(LEFT(E136,2))),""),"")</f>
        <v/>
      </c>
    </row>
    <row r="137">
      <c r="A137" t="inlineStr">
        <is>
          <t>CALDERON LOPEZ MANUEL GERVASIO</t>
        </is>
      </c>
      <c r="B137" t="inlineStr">
        <is>
          <t>Hombre</t>
        </is>
      </c>
      <c r="C137" t="inlineStr">
        <is>
          <t>5472AF</t>
        </is>
      </c>
      <c r="D137" t="inlineStr">
        <is>
          <t>CDMX Y AREA METROPOLITANA</t>
        </is>
      </c>
      <c r="E137" t="inlineStr">
        <is>
          <t>08-2025</t>
        </is>
      </c>
      <c r="F137" t="inlineStr">
        <is>
          <t>05-2026</t>
        </is>
      </c>
      <c r="G137" t="n">
        <v>9</v>
      </c>
      <c r="H137" t="inlineStr">
        <is>
          <t>Efectivo</t>
        </is>
      </c>
      <c r="I137" t="inlineStr">
        <is>
          <t>05-2026</t>
        </is>
      </c>
      <c r="J137" t="inlineStr">
        <is>
          <t>48G143</t>
        </is>
      </c>
      <c r="K137" t="inlineStr">
        <is>
          <t>BYD MINIDOLPHIN</t>
        </is>
      </c>
      <c r="L137" t="inlineStr">
        <is>
          <t>UBER</t>
        </is>
      </c>
      <c r="M137" s="3">
        <f>IF(H137="Efectivo",IFERROR((VALUE(RIGHT(I137,4))-VALUE(RIGHT(E137,4)))*12+(VALUE(LEFT(I137,2))-VALUE(LEFT(E137,2))),""),"")</f>
        <v/>
      </c>
    </row>
    <row r="138">
      <c r="A138" t="inlineStr">
        <is>
          <t>CALDERON SANTOYO ALFONSO</t>
        </is>
      </c>
      <c r="B138" t="inlineStr">
        <is>
          <t>Hombre</t>
        </is>
      </c>
      <c r="C138" t="inlineStr">
        <is>
          <t>4439AF</t>
        </is>
      </c>
      <c r="D138" t="inlineStr">
        <is>
          <t>CDMX Y AREA METROPOLITANA</t>
        </is>
      </c>
      <c r="E138" t="inlineStr">
        <is>
          <t>03-2025</t>
        </is>
      </c>
      <c r="F138" t="inlineStr">
        <is>
          <t>02-2026</t>
        </is>
      </c>
      <c r="G138" t="n">
        <v>11</v>
      </c>
      <c r="H138" t="inlineStr">
        <is>
          <t>Pendiente</t>
        </is>
      </c>
      <c r="J138" t="inlineStr">
        <is>
          <t>19G687</t>
        </is>
      </c>
      <c r="K138" t="inlineStr">
        <is>
          <t>BYD D1</t>
        </is>
      </c>
      <c r="L138" t="inlineStr">
        <is>
          <t>UBER</t>
        </is>
      </c>
      <c r="M138" s="3">
        <f>IF(H138="Efectivo",IFERROR((VALUE(RIGHT(I138,4))-VALUE(RIGHT(E138,4)))*12+(VALUE(LEFT(I138,2))-VALUE(LEFT(E138,2))),""),"")</f>
        <v/>
      </c>
    </row>
    <row r="139">
      <c r="A139" t="inlineStr">
        <is>
          <t>CALLEJAS MARTINEZ MIGUEL</t>
        </is>
      </c>
      <c r="B139" t="inlineStr">
        <is>
          <t>Hombre</t>
        </is>
      </c>
      <c r="C139" t="inlineStr">
        <is>
          <t>5656AF</t>
        </is>
      </c>
      <c r="D139" t="inlineStr">
        <is>
          <t>CDMX Y AREA METROPOLITANA</t>
        </is>
      </c>
      <c r="E139" t="inlineStr">
        <is>
          <t>09-2025</t>
        </is>
      </c>
      <c r="F139" t="inlineStr">
        <is>
          <t>05-2026</t>
        </is>
      </c>
      <c r="G139" t="n">
        <v>8</v>
      </c>
      <c r="H139" t="inlineStr">
        <is>
          <t>Efectivo</t>
        </is>
      </c>
      <c r="I139" t="inlineStr">
        <is>
          <t>05-2026</t>
        </is>
      </c>
      <c r="J139" t="inlineStr">
        <is>
          <t>09K372</t>
        </is>
      </c>
      <c r="K139" t="inlineStr">
        <is>
          <t>GAC AION S</t>
        </is>
      </c>
      <c r="L139" t="inlineStr">
        <is>
          <t>UBER</t>
        </is>
      </c>
      <c r="M139" s="3">
        <f>IF(H139="Efectivo",IFERROR((VALUE(RIGHT(I139,4))-VALUE(RIGHT(E139,4)))*12+(VALUE(LEFT(I139,2))-VALUE(LEFT(E139,2))),""),"")</f>
        <v/>
      </c>
    </row>
    <row r="140">
      <c r="A140" t="inlineStr">
        <is>
          <t>CALVA GUTIERREZ MARTIN EVERARDO</t>
        </is>
      </c>
      <c r="B140" t="inlineStr">
        <is>
          <t>Hombre</t>
        </is>
      </c>
      <c r="C140" t="inlineStr">
        <is>
          <t>4597AF</t>
        </is>
      </c>
      <c r="D140" t="inlineStr">
        <is>
          <t>CDMX Y AREA METROPOLITANA</t>
        </is>
      </c>
      <c r="E140" t="inlineStr">
        <is>
          <t>04-2025</t>
        </is>
      </c>
      <c r="F140" t="inlineStr">
        <is>
          <t>01-2026</t>
        </is>
      </c>
      <c r="G140" t="n">
        <v>10</v>
      </c>
      <c r="H140" t="inlineStr">
        <is>
          <t>Pendiente</t>
        </is>
      </c>
      <c r="J140" t="inlineStr">
        <is>
          <t>27G744</t>
        </is>
      </c>
      <c r="K140" t="inlineStr">
        <is>
          <t>BYD MINIDOLPHIN</t>
        </is>
      </c>
      <c r="L140" t="inlineStr">
        <is>
          <t>UBER</t>
        </is>
      </c>
      <c r="M140" s="3">
        <f>IF(H140="Efectivo",IFERROR((VALUE(RIGHT(I140,4))-VALUE(RIGHT(E140,4)))*12+(VALUE(LEFT(I140,2))-VALUE(LEFT(E140,2))),""),"")</f>
        <v/>
      </c>
    </row>
    <row r="141">
      <c r="A141" t="inlineStr">
        <is>
          <t>CALVILLO CORDERO ARLEY FEDERICO</t>
        </is>
      </c>
      <c r="B141" t="inlineStr">
        <is>
          <t>Hombre</t>
        </is>
      </c>
      <c r="C141" t="inlineStr">
        <is>
          <t>4165AF</t>
        </is>
      </c>
      <c r="D141" t="inlineStr">
        <is>
          <t>CDMX Y AREA METROPOLITANA</t>
        </is>
      </c>
      <c r="E141" t="inlineStr">
        <is>
          <t>12-2024</t>
        </is>
      </c>
      <c r="F141" t="inlineStr">
        <is>
          <t>04-2025</t>
        </is>
      </c>
      <c r="G141" t="n">
        <v>4</v>
      </c>
      <c r="H141" t="inlineStr">
        <is>
          <t>Efectivo</t>
        </is>
      </c>
      <c r="I141" t="inlineStr">
        <is>
          <t>05-2025</t>
        </is>
      </c>
      <c r="J141" t="inlineStr">
        <is>
          <t>19G325</t>
        </is>
      </c>
      <c r="K141" t="inlineStr">
        <is>
          <t>BYD D1</t>
        </is>
      </c>
      <c r="L141" t="inlineStr">
        <is>
          <t>UBER</t>
        </is>
      </c>
      <c r="M141" s="3">
        <f>IF(H141="Efectivo",IFERROR((VALUE(RIGHT(I141,4))-VALUE(RIGHT(E141,4)))*12+(VALUE(LEFT(I141,2))-VALUE(LEFT(E141,2))),""),"")</f>
        <v/>
      </c>
    </row>
    <row r="142">
      <c r="A142" t="inlineStr">
        <is>
          <t>CAMACHO DIAZ ALEXIS</t>
        </is>
      </c>
      <c r="B142" t="inlineStr">
        <is>
          <t>Hombre</t>
        </is>
      </c>
      <c r="C142" t="inlineStr">
        <is>
          <t>4666AF</t>
        </is>
      </c>
      <c r="D142" t="inlineStr">
        <is>
          <t>CDMX Y AREA METROPOLITANA</t>
        </is>
      </c>
      <c r="E142" t="inlineStr">
        <is>
          <t>04-2025</t>
        </is>
      </c>
      <c r="F142" t="inlineStr">
        <is>
          <t>07-2025</t>
        </is>
      </c>
      <c r="G142" t="n">
        <v>3</v>
      </c>
      <c r="H142" t="inlineStr">
        <is>
          <t>Efectivo</t>
        </is>
      </c>
      <c r="I142" t="inlineStr">
        <is>
          <t>08-2025</t>
        </is>
      </c>
      <c r="J142" t="inlineStr">
        <is>
          <t>41G418</t>
        </is>
      </c>
      <c r="K142" t="inlineStr">
        <is>
          <t>BYD MINIDOLPHIN</t>
        </is>
      </c>
      <c r="L142" t="inlineStr">
        <is>
          <t>DIDI</t>
        </is>
      </c>
      <c r="M142" s="3">
        <f>IF(H142="Efectivo",IFERROR((VALUE(RIGHT(I142,4))-VALUE(RIGHT(E142,4)))*12+(VALUE(LEFT(I142,2))-VALUE(LEFT(E142,2))),""),"")</f>
        <v/>
      </c>
    </row>
    <row r="143">
      <c r="A143" t="inlineStr">
        <is>
          <t>CAMACHO DIAZ ARTURO</t>
        </is>
      </c>
      <c r="B143" t="inlineStr">
        <is>
          <t>Hombre</t>
        </is>
      </c>
      <c r="C143" t="inlineStr">
        <is>
          <t>3321AF</t>
        </is>
      </c>
      <c r="D143" t="inlineStr">
        <is>
          <t>CDMX Y AREA METROPOLITANA</t>
        </is>
      </c>
      <c r="E143" t="inlineStr">
        <is>
          <t>05-2024</t>
        </is>
      </c>
      <c r="F143" t="inlineStr">
        <is>
          <t>09-2025</t>
        </is>
      </c>
      <c r="G143" t="n">
        <v>16</v>
      </c>
      <c r="H143" t="inlineStr">
        <is>
          <t>Cancelado</t>
        </is>
      </c>
      <c r="J143" t="inlineStr">
        <is>
          <t>84F099</t>
        </is>
      </c>
      <c r="K143" t="inlineStr">
        <is>
          <t>BYD D1</t>
        </is>
      </c>
      <c r="L143" t="inlineStr">
        <is>
          <t>UBER</t>
        </is>
      </c>
      <c r="M143" s="3">
        <f>IF(H143="Efectivo",IFERROR((VALUE(RIGHT(I143,4))-VALUE(RIGHT(E143,4)))*12+(VALUE(LEFT(I143,2))-VALUE(LEFT(E143,2))),""),"")</f>
        <v/>
      </c>
    </row>
    <row r="144">
      <c r="A144" t="inlineStr">
        <is>
          <t>CAMACHO GARCIA STIF ALEJANDRO</t>
        </is>
      </c>
      <c r="B144" t="inlineStr">
        <is>
          <t>Hombre</t>
        </is>
      </c>
      <c r="C144" t="inlineStr">
        <is>
          <t>5969AF</t>
        </is>
      </c>
      <c r="D144" t="inlineStr">
        <is>
          <t>JALISCO</t>
        </is>
      </c>
      <c r="E144" t="inlineStr">
        <is>
          <t>10-2025</t>
        </is>
      </c>
      <c r="F144" t="inlineStr">
        <is>
          <t>04-2026</t>
        </is>
      </c>
      <c r="G144" t="n">
        <v>6</v>
      </c>
      <c r="H144" t="inlineStr">
        <is>
          <t>Efectivo</t>
        </is>
      </c>
      <c r="I144" t="inlineStr">
        <is>
          <t>04-2026</t>
        </is>
      </c>
      <c r="J144" t="inlineStr">
        <is>
          <t>JZK638A</t>
        </is>
      </c>
      <c r="K144" t="inlineStr">
        <is>
          <t>TOYOTA AVANZA</t>
        </is>
      </c>
      <c r="L144" t="inlineStr">
        <is>
          <t>DIDI</t>
        </is>
      </c>
      <c r="M144" s="3">
        <f>IF(H144="Efectivo",IFERROR((VALUE(RIGHT(I144,4))-VALUE(RIGHT(E144,4)))*12+(VALUE(LEFT(I144,2))-VALUE(LEFT(E144,2))),""),"")</f>
        <v/>
      </c>
    </row>
    <row r="145">
      <c r="A145" t="inlineStr">
        <is>
          <t>CAMACHO GONZALEZ CARLOS ALEJANDRO</t>
        </is>
      </c>
      <c r="B145" t="inlineStr">
        <is>
          <t>Hombre</t>
        </is>
      </c>
      <c r="C145" t="inlineStr">
        <is>
          <t>4356AF</t>
        </is>
      </c>
      <c r="D145" t="inlineStr">
        <is>
          <t>CDMX Y AREA METROPOLITANA</t>
        </is>
      </c>
      <c r="E145" t="inlineStr">
        <is>
          <t>02-2025</t>
        </is>
      </c>
      <c r="F145" t="inlineStr">
        <is>
          <t>10-2025</t>
        </is>
      </c>
      <c r="G145" t="n">
        <v>7</v>
      </c>
      <c r="H145" t="inlineStr">
        <is>
          <t>Efectivo</t>
        </is>
      </c>
      <c r="I145" t="inlineStr">
        <is>
          <t>03-2026</t>
        </is>
      </c>
      <c r="J145" t="inlineStr">
        <is>
          <t>B74BNY</t>
        </is>
      </c>
      <c r="K145" t="inlineStr">
        <is>
          <t>CHEVROLET AVEO</t>
        </is>
      </c>
      <c r="L145" t="inlineStr">
        <is>
          <t>UBER</t>
        </is>
      </c>
      <c r="M145" s="3">
        <f>IF(H145="Efectivo",IFERROR((VALUE(RIGHT(I145,4))-VALUE(RIGHT(E145,4)))*12+(VALUE(LEFT(I145,2))-VALUE(LEFT(E145,2))),""),"")</f>
        <v/>
      </c>
    </row>
    <row r="146">
      <c r="A146" t="inlineStr">
        <is>
          <t>CAMARGO ARTEAGA JUAN CESAREO</t>
        </is>
      </c>
      <c r="B146" t="inlineStr">
        <is>
          <t>Hombre</t>
        </is>
      </c>
      <c r="C146" t="inlineStr">
        <is>
          <t>3572AF</t>
        </is>
      </c>
      <c r="D146" t="inlineStr">
        <is>
          <t>CDMX Y AREA METROPOLITANA</t>
        </is>
      </c>
      <c r="E146" t="inlineStr">
        <is>
          <t>08-2024</t>
        </is>
      </c>
      <c r="F146" t="inlineStr">
        <is>
          <t>07-2025</t>
        </is>
      </c>
      <c r="G146" t="n">
        <v>12</v>
      </c>
      <c r="H146" t="inlineStr">
        <is>
          <t>Efectivo</t>
        </is>
      </c>
      <c r="I146" t="inlineStr">
        <is>
          <t>08-2025</t>
        </is>
      </c>
      <c r="J146" t="inlineStr">
        <is>
          <t>89F796</t>
        </is>
      </c>
      <c r="K146" t="inlineStr">
        <is>
          <t>BYD D1</t>
        </is>
      </c>
      <c r="L146" t="inlineStr">
        <is>
          <t>UBER</t>
        </is>
      </c>
      <c r="M146" s="3">
        <f>IF(H146="Efectivo",IFERROR((VALUE(RIGHT(I146,4))-VALUE(RIGHT(E146,4)))*12+(VALUE(LEFT(I146,2))-VALUE(LEFT(E146,2))),""),"")</f>
        <v/>
      </c>
    </row>
    <row r="147">
      <c r="A147" t="inlineStr">
        <is>
          <t>CAMARGO MEJIA JOSE MANUEL</t>
        </is>
      </c>
      <c r="B147" t="inlineStr">
        <is>
          <t>Hombre</t>
        </is>
      </c>
      <c r="C147" t="inlineStr">
        <is>
          <t>4946AF</t>
        </is>
      </c>
      <c r="D147" t="inlineStr">
        <is>
          <t>CDMX Y AREA METROPOLITANA</t>
        </is>
      </c>
      <c r="E147" t="inlineStr">
        <is>
          <t>05-2025</t>
        </is>
      </c>
      <c r="F147" t="inlineStr">
        <is>
          <t>11-2025</t>
        </is>
      </c>
      <c r="G147" t="n">
        <v>6</v>
      </c>
      <c r="H147" t="inlineStr">
        <is>
          <t>Efectivo</t>
        </is>
      </c>
      <c r="I147" t="inlineStr">
        <is>
          <t>12-2025</t>
        </is>
      </c>
      <c r="J147" t="inlineStr">
        <is>
          <t>41G533</t>
        </is>
      </c>
      <c r="K147" t="inlineStr">
        <is>
          <t>BYD MINIDOLPHIN</t>
        </is>
      </c>
      <c r="L147" t="inlineStr">
        <is>
          <t>DIDI</t>
        </is>
      </c>
      <c r="M147" s="3">
        <f>IF(H147="Efectivo",IFERROR((VALUE(RIGHT(I147,4))-VALUE(RIGHT(E147,4)))*12+(VALUE(LEFT(I147,2))-VALUE(LEFT(E147,2))),""),"")</f>
        <v/>
      </c>
    </row>
    <row r="148">
      <c r="A148" t="inlineStr">
        <is>
          <t>CAMARGO NAVARRETE LUIS ALBERTO</t>
        </is>
      </c>
      <c r="B148" t="inlineStr">
        <is>
          <t>Hombre</t>
        </is>
      </c>
      <c r="C148" t="inlineStr">
        <is>
          <t>3762AF</t>
        </is>
      </c>
      <c r="D148" t="inlineStr">
        <is>
          <t>BAJA CALIFORNIA</t>
        </is>
      </c>
      <c r="E148" t="inlineStr">
        <is>
          <t>09-2024</t>
        </is>
      </c>
      <c r="F148" t="inlineStr">
        <is>
          <t>09-2025</t>
        </is>
      </c>
      <c r="G148" t="n">
        <v>12</v>
      </c>
      <c r="H148" t="inlineStr">
        <is>
          <t>Efectivo</t>
        </is>
      </c>
      <c r="I148" t="inlineStr">
        <is>
          <t>10-2025</t>
        </is>
      </c>
      <c r="J148" t="inlineStr">
        <is>
          <t>BSG230A</t>
        </is>
      </c>
      <c r="K148" t="inlineStr">
        <is>
          <t>CHEVROLET AVEO</t>
        </is>
      </c>
      <c r="L148" t="inlineStr">
        <is>
          <t>UBER</t>
        </is>
      </c>
      <c r="M148" s="3">
        <f>IF(H148="Efectivo",IFERROR((VALUE(RIGHT(I148,4))-VALUE(RIGHT(E148,4)))*12+(VALUE(LEFT(I148,2))-VALUE(LEFT(E148,2))),""),"")</f>
        <v/>
      </c>
    </row>
    <row r="149">
      <c r="A149" t="inlineStr">
        <is>
          <t>CAMPOS PEREZ JORGE MICHEL</t>
        </is>
      </c>
      <c r="B149" t="inlineStr">
        <is>
          <t>Hombre</t>
        </is>
      </c>
      <c r="C149" t="inlineStr">
        <is>
          <t>6211AF</t>
        </is>
      </c>
      <c r="D149" t="inlineStr">
        <is>
          <t>NUEVO LEON</t>
        </is>
      </c>
      <c r="E149" t="inlineStr">
        <is>
          <t>11-2025</t>
        </is>
      </c>
      <c r="F149" t="inlineStr">
        <is>
          <t>12-2025</t>
        </is>
      </c>
      <c r="G149" t="n">
        <v>1</v>
      </c>
      <c r="H149" t="inlineStr">
        <is>
          <t>Efectivo</t>
        </is>
      </c>
      <c r="I149" t="inlineStr">
        <is>
          <t>01-2026</t>
        </is>
      </c>
      <c r="J149" t="inlineStr">
        <is>
          <t>RXW251C</t>
        </is>
      </c>
      <c r="K149" t="inlineStr">
        <is>
          <t>CHEVROLET AVEO</t>
        </is>
      </c>
      <c r="L149" t="inlineStr">
        <is>
          <t>UBER</t>
        </is>
      </c>
      <c r="M149" s="3">
        <f>IF(H149="Efectivo",IFERROR((VALUE(RIGHT(I149,4))-VALUE(RIGHT(E149,4)))*12+(VALUE(LEFT(I149,2))-VALUE(LEFT(E149,2))),""),"")</f>
        <v/>
      </c>
    </row>
    <row r="150">
      <c r="A150" t="inlineStr">
        <is>
          <t>CAMPOS ZUÑIGA SERGIO EFRAIN</t>
        </is>
      </c>
      <c r="B150" t="inlineStr">
        <is>
          <t>Hombre</t>
        </is>
      </c>
      <c r="C150" t="inlineStr">
        <is>
          <t>5473AF</t>
        </is>
      </c>
      <c r="D150" t="inlineStr">
        <is>
          <t>CDMX Y AREA METROPOLITANA</t>
        </is>
      </c>
      <c r="E150" t="inlineStr">
        <is>
          <t>08-2025</t>
        </is>
      </c>
      <c r="F150" t="inlineStr">
        <is>
          <t>11-2025</t>
        </is>
      </c>
      <c r="G150" t="n">
        <v>4</v>
      </c>
      <c r="H150" t="inlineStr">
        <is>
          <t>Efectivo</t>
        </is>
      </c>
      <c r="I150" t="inlineStr">
        <is>
          <t>12-2025</t>
        </is>
      </c>
      <c r="J150" t="inlineStr">
        <is>
          <t>48G166</t>
        </is>
      </c>
      <c r="K150" t="inlineStr">
        <is>
          <t>BYD MINIDOLPHIN</t>
        </is>
      </c>
      <c r="L150" t="inlineStr">
        <is>
          <t>UBER</t>
        </is>
      </c>
      <c r="M150" s="3">
        <f>IF(H150="Efectivo",IFERROR((VALUE(RIGHT(I150,4))-VALUE(RIGHT(E150,4)))*12+(VALUE(LEFT(I150,2))-VALUE(LEFT(E150,2))),""),"")</f>
        <v/>
      </c>
    </row>
    <row r="151">
      <c r="A151" t="inlineStr">
        <is>
          <t>CAMPUZANO BORJA ALAN</t>
        </is>
      </c>
      <c r="B151" t="inlineStr">
        <is>
          <t>Hombre</t>
        </is>
      </c>
      <c r="C151" t="inlineStr">
        <is>
          <t>4598AF</t>
        </is>
      </c>
      <c r="D151" t="inlineStr">
        <is>
          <t>CDMX Y AREA METROPOLITANA</t>
        </is>
      </c>
      <c r="E151" t="inlineStr">
        <is>
          <t>04-2025</t>
        </is>
      </c>
      <c r="F151" t="inlineStr">
        <is>
          <t>09-2025</t>
        </is>
      </c>
      <c r="G151" t="n">
        <v>5</v>
      </c>
      <c r="H151" t="inlineStr">
        <is>
          <t>Pendiente</t>
        </is>
      </c>
      <c r="J151" t="inlineStr">
        <is>
          <t>27G704</t>
        </is>
      </c>
      <c r="K151" t="inlineStr">
        <is>
          <t>BYD MINIDOLPHIN</t>
        </is>
      </c>
      <c r="L151" t="inlineStr">
        <is>
          <t>UBER</t>
        </is>
      </c>
      <c r="M151" s="3">
        <f>IF(H151="Efectivo",IFERROR((VALUE(RIGHT(I151,4))-VALUE(RIGHT(E151,4)))*12+(VALUE(LEFT(I151,2))-VALUE(LEFT(E151,2))),""),"")</f>
        <v/>
      </c>
    </row>
    <row r="152">
      <c r="A152" t="inlineStr">
        <is>
          <t>CANALES GARCIA MARIO ALBERTO</t>
        </is>
      </c>
      <c r="B152" t="inlineStr">
        <is>
          <t>Hombre</t>
        </is>
      </c>
      <c r="C152" t="inlineStr">
        <is>
          <t>5856AF</t>
        </is>
      </c>
      <c r="D152" t="inlineStr">
        <is>
          <t>CDMX Y AREA METROPOLITANA</t>
        </is>
      </c>
      <c r="E152" t="inlineStr">
        <is>
          <t>09-2025</t>
        </is>
      </c>
      <c r="F152" t="inlineStr">
        <is>
          <t>03-2026</t>
        </is>
      </c>
      <c r="G152" t="n">
        <v>6</v>
      </c>
      <c r="H152" t="inlineStr">
        <is>
          <t>Efectivo</t>
        </is>
      </c>
      <c r="I152" t="inlineStr">
        <is>
          <t>03-2026</t>
        </is>
      </c>
      <c r="J152" t="inlineStr">
        <is>
          <t>11K170</t>
        </is>
      </c>
      <c r="K152" t="inlineStr">
        <is>
          <t>BYD MINIDOLPHIN</t>
        </is>
      </c>
      <c r="L152" t="inlineStr">
        <is>
          <t>DIDI</t>
        </is>
      </c>
      <c r="M152" s="3">
        <f>IF(H152="Efectivo",IFERROR((VALUE(RIGHT(I152,4))-VALUE(RIGHT(E152,4)))*12+(VALUE(LEFT(I152,2))-VALUE(LEFT(E152,2))),""),"")</f>
        <v/>
      </c>
    </row>
    <row r="153">
      <c r="A153" t="inlineStr">
        <is>
          <t>CANCHOLA GUADARRAMA JOSE LUIS</t>
        </is>
      </c>
      <c r="B153" t="inlineStr">
        <is>
          <t>Hombre</t>
        </is>
      </c>
      <c r="C153" t="inlineStr">
        <is>
          <t>5417AF</t>
        </is>
      </c>
      <c r="D153" t="inlineStr">
        <is>
          <t>CDMX Y AREA METROPOLITANA</t>
        </is>
      </c>
      <c r="E153" t="inlineStr">
        <is>
          <t>07-2025</t>
        </is>
      </c>
      <c r="F153" t="inlineStr">
        <is>
          <t>02-2026</t>
        </is>
      </c>
      <c r="G153" t="n">
        <v>7</v>
      </c>
      <c r="H153" t="inlineStr">
        <is>
          <t>Efectivo</t>
        </is>
      </c>
      <c r="I153" t="inlineStr">
        <is>
          <t>02-2026</t>
        </is>
      </c>
      <c r="J153" t="inlineStr">
        <is>
          <t>28G708</t>
        </is>
      </c>
      <c r="K153" t="inlineStr">
        <is>
          <t>GAC AION S</t>
        </is>
      </c>
      <c r="L153" t="inlineStr">
        <is>
          <t>DIDI</t>
        </is>
      </c>
      <c r="M153" s="3">
        <f>IF(H153="Efectivo",IFERROR((VALUE(RIGHT(I153,4))-VALUE(RIGHT(E153,4)))*12+(VALUE(LEFT(I153,2))-VALUE(LEFT(E153,2))),""),"")</f>
        <v/>
      </c>
    </row>
    <row r="154">
      <c r="A154" t="inlineStr">
        <is>
          <t>CANDELARIA LINERIO ALEJANDRO</t>
        </is>
      </c>
      <c r="B154" t="inlineStr">
        <is>
          <t>Hombre</t>
        </is>
      </c>
      <c r="C154" t="inlineStr">
        <is>
          <t>5269AF</t>
        </is>
      </c>
      <c r="D154" t="inlineStr">
        <is>
          <t>CDMX Y AREA METROPOLITANA</t>
        </is>
      </c>
      <c r="E154" t="inlineStr">
        <is>
          <t>07-2025</t>
        </is>
      </c>
      <c r="F154" t="inlineStr">
        <is>
          <t>04-2026</t>
        </is>
      </c>
      <c r="G154" t="n">
        <v>9</v>
      </c>
      <c r="H154" t="inlineStr">
        <is>
          <t>Efectivo</t>
        </is>
      </c>
      <c r="I154" t="inlineStr">
        <is>
          <t>04-2026</t>
        </is>
      </c>
      <c r="J154" t="inlineStr">
        <is>
          <t>43G806</t>
        </is>
      </c>
      <c r="K154" t="inlineStr">
        <is>
          <t>GAC AION S</t>
        </is>
      </c>
      <c r="L154" t="inlineStr">
        <is>
          <t>UBER</t>
        </is>
      </c>
      <c r="M154" s="3">
        <f>IF(H154="Efectivo",IFERROR((VALUE(RIGHT(I154,4))-VALUE(RIGHT(E154,4)))*12+(VALUE(LEFT(I154,2))-VALUE(LEFT(E154,2))),""),"")</f>
        <v/>
      </c>
    </row>
    <row r="155">
      <c r="A155" t="inlineStr">
        <is>
          <t>CANDELARIA RODRIGUEZ ALEJANDRO</t>
        </is>
      </c>
      <c r="B155" t="inlineStr">
        <is>
          <t>Hombre</t>
        </is>
      </c>
      <c r="C155" t="inlineStr">
        <is>
          <t>5990AF</t>
        </is>
      </c>
      <c r="D155" t="inlineStr">
        <is>
          <t>CDMX Y AREA METROPOLITANA</t>
        </is>
      </c>
      <c r="E155" t="inlineStr">
        <is>
          <t>10-2025</t>
        </is>
      </c>
      <c r="F155" t="inlineStr">
        <is>
          <t>02-2026</t>
        </is>
      </c>
      <c r="G155" t="n">
        <v>4</v>
      </c>
      <c r="H155" t="inlineStr">
        <is>
          <t>Efectivo</t>
        </is>
      </c>
      <c r="I155" t="inlineStr">
        <is>
          <t>02-2026</t>
        </is>
      </c>
      <c r="J155" t="inlineStr">
        <is>
          <t>15K196</t>
        </is>
      </c>
      <c r="K155" t="inlineStr">
        <is>
          <t>BYD MINIDOLPHIN</t>
        </is>
      </c>
      <c r="L155" t="inlineStr">
        <is>
          <t>DIDI</t>
        </is>
      </c>
      <c r="M155" s="3">
        <f>IF(H155="Efectivo",IFERROR((VALUE(RIGHT(I155,4))-VALUE(RIGHT(E155,4)))*12+(VALUE(LEFT(I155,2))-VALUE(LEFT(E155,2))),""),"")</f>
        <v/>
      </c>
    </row>
    <row r="156">
      <c r="A156" t="inlineStr">
        <is>
          <t>CANELA GUZMAN ESTEBAN</t>
        </is>
      </c>
      <c r="B156" t="inlineStr">
        <is>
          <t>Hombre</t>
        </is>
      </c>
      <c r="C156" t="inlineStr">
        <is>
          <t>4728AF</t>
        </is>
      </c>
      <c r="D156" t="inlineStr">
        <is>
          <t>BAJA CALIFORNIA</t>
        </is>
      </c>
      <c r="E156" t="inlineStr">
        <is>
          <t>04-2025</t>
        </is>
      </c>
      <c r="F156" t="inlineStr">
        <is>
          <t>05-2026</t>
        </is>
      </c>
      <c r="G156" t="n">
        <v>13</v>
      </c>
      <c r="H156" t="inlineStr">
        <is>
          <t>Pendiente</t>
        </is>
      </c>
      <c r="J156" t="inlineStr">
        <is>
          <t>BXT278A</t>
        </is>
      </c>
      <c r="K156" t="inlineStr">
        <is>
          <t>CHEVROLET AVEO</t>
        </is>
      </c>
      <c r="L156" t="inlineStr">
        <is>
          <t>UBER</t>
        </is>
      </c>
      <c r="M156" s="3">
        <f>IF(H156="Efectivo",IFERROR((VALUE(RIGHT(I156,4))-VALUE(RIGHT(E156,4)))*12+(VALUE(LEFT(I156,2))-VALUE(LEFT(E156,2))),""),"")</f>
        <v/>
      </c>
    </row>
    <row r="157">
      <c r="A157" t="inlineStr">
        <is>
          <t>CANO MENDOZA CARLOS MAURICIO</t>
        </is>
      </c>
      <c r="B157" t="inlineStr">
        <is>
          <t>Hombre</t>
        </is>
      </c>
      <c r="C157" t="inlineStr">
        <is>
          <t>3615AF</t>
        </is>
      </c>
      <c r="D157" t="inlineStr">
        <is>
          <t>CDMX Y AREA METROPOLITANA</t>
        </is>
      </c>
      <c r="E157" t="inlineStr">
        <is>
          <t>08-2024</t>
        </is>
      </c>
      <c r="F157" t="inlineStr">
        <is>
          <t>04-2026</t>
        </is>
      </c>
      <c r="G157" t="n">
        <v>21</v>
      </c>
      <c r="H157" t="inlineStr">
        <is>
          <t>Efectivo</t>
        </is>
      </c>
      <c r="I157" t="inlineStr">
        <is>
          <t>04-2026</t>
        </is>
      </c>
      <c r="J157" t="inlineStr">
        <is>
          <t>89F858</t>
        </is>
      </c>
      <c r="K157" t="inlineStr">
        <is>
          <t>BYD D1</t>
        </is>
      </c>
      <c r="L157" t="inlineStr">
        <is>
          <t>UBER</t>
        </is>
      </c>
      <c r="M157" s="3">
        <f>IF(H157="Efectivo",IFERROR((VALUE(RIGHT(I157,4))-VALUE(RIGHT(E157,4)))*12+(VALUE(LEFT(I157,2))-VALUE(LEFT(E157,2))),""),"")</f>
        <v/>
      </c>
    </row>
    <row r="158">
      <c r="A158" t="inlineStr">
        <is>
          <t>CARDENAS CORTEZ JOSE LUIS</t>
        </is>
      </c>
      <c r="B158" t="inlineStr">
        <is>
          <t>Hombre</t>
        </is>
      </c>
      <c r="C158" t="inlineStr">
        <is>
          <t>6213AF</t>
        </is>
      </c>
      <c r="D158" t="inlineStr">
        <is>
          <t>NUEVO LEON</t>
        </is>
      </c>
      <c r="E158" t="inlineStr">
        <is>
          <t>11-2025</t>
        </is>
      </c>
      <c r="F158" t="inlineStr">
        <is>
          <t>01-2026</t>
        </is>
      </c>
      <c r="G158" t="n">
        <v>2</v>
      </c>
      <c r="H158" t="inlineStr">
        <is>
          <t>Efectivo</t>
        </is>
      </c>
      <c r="I158" t="inlineStr">
        <is>
          <t>02-2026</t>
        </is>
      </c>
      <c r="J158" t="inlineStr">
        <is>
          <t>RXW247C</t>
        </is>
      </c>
      <c r="K158" t="inlineStr">
        <is>
          <t>CHEVROLET AVEO</t>
        </is>
      </c>
      <c r="L158" t="inlineStr">
        <is>
          <t>DIDI</t>
        </is>
      </c>
      <c r="M158" s="3">
        <f>IF(H158="Efectivo",IFERROR((VALUE(RIGHT(I158,4))-VALUE(RIGHT(E158,4)))*12+(VALUE(LEFT(I158,2))-VALUE(LEFT(E158,2))),""),"")</f>
        <v/>
      </c>
    </row>
    <row r="159">
      <c r="A159" t="inlineStr">
        <is>
          <t>CARDIEL HERNANDEZ EDUARDO</t>
        </is>
      </c>
      <c r="B159" t="inlineStr">
        <is>
          <t>Hombre</t>
        </is>
      </c>
      <c r="C159" t="inlineStr">
        <is>
          <t>4662AF</t>
        </is>
      </c>
      <c r="D159" t="inlineStr">
        <is>
          <t>CDMX Y AREA METROPOLITANA</t>
        </is>
      </c>
      <c r="E159" t="inlineStr">
        <is>
          <t>04-2025</t>
        </is>
      </c>
      <c r="F159" t="inlineStr">
        <is>
          <t>11-2025</t>
        </is>
      </c>
      <c r="G159" t="n">
        <v>6</v>
      </c>
      <c r="H159" t="inlineStr">
        <is>
          <t>Pendiente</t>
        </is>
      </c>
      <c r="J159" t="inlineStr">
        <is>
          <t>38G351</t>
        </is>
      </c>
      <c r="K159" t="inlineStr">
        <is>
          <t>GAC AION S</t>
        </is>
      </c>
      <c r="L159" t="inlineStr">
        <is>
          <t>UBER</t>
        </is>
      </c>
      <c r="M159" s="3">
        <f>IF(H159="Efectivo",IFERROR((VALUE(RIGHT(I159,4))-VALUE(RIGHT(E159,4)))*12+(VALUE(LEFT(I159,2))-VALUE(LEFT(E159,2))),""),"")</f>
        <v/>
      </c>
    </row>
    <row r="160">
      <c r="A160" t="inlineStr">
        <is>
          <t>CARDONA LOPEZ LUIS ANGEL</t>
        </is>
      </c>
      <c r="B160" t="inlineStr">
        <is>
          <t>Hombre</t>
        </is>
      </c>
      <c r="C160" t="inlineStr">
        <is>
          <t>5814AF</t>
        </is>
      </c>
      <c r="D160" t="inlineStr">
        <is>
          <t>CDMX Y AREA METROPOLITANA</t>
        </is>
      </c>
      <c r="E160" t="inlineStr">
        <is>
          <t>09-2025</t>
        </is>
      </c>
      <c r="F160" t="inlineStr">
        <is>
          <t>01-2026</t>
        </is>
      </c>
      <c r="G160" t="n">
        <v>3</v>
      </c>
      <c r="H160" t="inlineStr">
        <is>
          <t>Cancelado</t>
        </is>
      </c>
      <c r="J160" t="inlineStr">
        <is>
          <t>10K839</t>
        </is>
      </c>
      <c r="K160" t="inlineStr">
        <is>
          <t>BYD MINIDOLPHIN</t>
        </is>
      </c>
      <c r="L160" t="inlineStr">
        <is>
          <t>UBER</t>
        </is>
      </c>
      <c r="M160" s="3">
        <f>IF(H160="Efectivo",IFERROR((VALUE(RIGHT(I160,4))-VALUE(RIGHT(E160,4)))*12+(VALUE(LEFT(I160,2))-VALUE(LEFT(E160,2))),""),"")</f>
        <v/>
      </c>
    </row>
    <row r="161">
      <c r="A161" t="inlineStr">
        <is>
          <t>CARDONA LOPEZ LUIS ANGEL</t>
        </is>
      </c>
      <c r="B161" t="inlineStr">
        <is>
          <t>Hombre</t>
        </is>
      </c>
      <c r="C161" t="inlineStr">
        <is>
          <t>5814AF</t>
        </is>
      </c>
      <c r="D161" t="inlineStr">
        <is>
          <t>CDMX Y AREA METROPOLITANA</t>
        </is>
      </c>
      <c r="E161" t="inlineStr">
        <is>
          <t>09-2025</t>
        </is>
      </c>
      <c r="F161" t="inlineStr">
        <is>
          <t>03-2026</t>
        </is>
      </c>
      <c r="G161" t="n">
        <v>6</v>
      </c>
      <c r="H161" t="inlineStr">
        <is>
          <t>Cancelado</t>
        </is>
      </c>
      <c r="J161" t="inlineStr">
        <is>
          <t>10K839</t>
        </is>
      </c>
      <c r="K161" t="inlineStr">
        <is>
          <t>BYD MINIDOLPHIN</t>
        </is>
      </c>
      <c r="L161" t="inlineStr">
        <is>
          <t>UBER</t>
        </is>
      </c>
      <c r="M161" s="3">
        <f>IF(H161="Efectivo",IFERROR((VALUE(RIGHT(I161,4))-VALUE(RIGHT(E161,4)))*12+(VALUE(LEFT(I161,2))-VALUE(LEFT(E161,2))),""),"")</f>
        <v/>
      </c>
    </row>
    <row r="162">
      <c r="A162" t="inlineStr">
        <is>
          <t>CARDOSO TAPIA RUBEN</t>
        </is>
      </c>
      <c r="B162" t="inlineStr">
        <is>
          <t>Hombre</t>
        </is>
      </c>
      <c r="C162" t="inlineStr">
        <is>
          <t>5406AF</t>
        </is>
      </c>
      <c r="D162" t="inlineStr">
        <is>
          <t>NUEVO LEON</t>
        </is>
      </c>
      <c r="E162" t="inlineStr">
        <is>
          <t>07-2025</t>
        </is>
      </c>
      <c r="F162" t="inlineStr">
        <is>
          <t>03-2026</t>
        </is>
      </c>
      <c r="G162" t="n">
        <v>7</v>
      </c>
      <c r="H162" t="inlineStr">
        <is>
          <t>Efectivo</t>
        </is>
      </c>
      <c r="I162" t="inlineStr">
        <is>
          <t>03-2026</t>
        </is>
      </c>
      <c r="J162" t="inlineStr">
        <is>
          <t>RVX601C</t>
        </is>
      </c>
      <c r="K162" t="inlineStr">
        <is>
          <t>CHEVROLET AVEO</t>
        </is>
      </c>
      <c r="L162" t="inlineStr">
        <is>
          <t>UBER</t>
        </is>
      </c>
      <c r="M162" s="3">
        <f>IF(H162="Efectivo",IFERROR((VALUE(RIGHT(I162,4))-VALUE(RIGHT(E162,4)))*12+(VALUE(LEFT(I162,2))-VALUE(LEFT(E162,2))),""),"")</f>
        <v/>
      </c>
    </row>
    <row r="163">
      <c r="A163" t="inlineStr">
        <is>
          <t>CARIÑO HERRERA ALAN CHRISTIAN</t>
        </is>
      </c>
      <c r="B163" t="inlineStr">
        <is>
          <t>Hombre</t>
        </is>
      </c>
      <c r="C163" t="inlineStr">
        <is>
          <t>2632AF</t>
        </is>
      </c>
      <c r="D163" t="inlineStr">
        <is>
          <t>CDMX Y AREA METROPOLITANA</t>
        </is>
      </c>
      <c r="E163" t="inlineStr">
        <is>
          <t>07-2023</t>
        </is>
      </c>
      <c r="F163" t="inlineStr">
        <is>
          <t>04-2025</t>
        </is>
      </c>
      <c r="G163" t="n">
        <v>22</v>
      </c>
      <c r="H163" t="inlineStr">
        <is>
          <t>Efectivo</t>
        </is>
      </c>
      <c r="I163" t="inlineStr">
        <is>
          <t>05-2025</t>
        </is>
      </c>
      <c r="J163" t="inlineStr">
        <is>
          <t>J45BMC</t>
        </is>
      </c>
      <c r="K163" t="inlineStr">
        <is>
          <t>ATTITUDE</t>
        </is>
      </c>
      <c r="L163" t="inlineStr">
        <is>
          <t>UBER</t>
        </is>
      </c>
      <c r="M163" s="3">
        <f>IF(H163="Efectivo",IFERROR((VALUE(RIGHT(I163,4))-VALUE(RIGHT(E163,4)))*12+(VALUE(LEFT(I163,2))-VALUE(LEFT(E163,2))),""),"")</f>
        <v/>
      </c>
    </row>
    <row r="164">
      <c r="A164" t="inlineStr">
        <is>
          <t>CARLON JUAREZ ALAN EFRAIN</t>
        </is>
      </c>
      <c r="B164" t="inlineStr">
        <is>
          <t>Hombre</t>
        </is>
      </c>
      <c r="C164" t="inlineStr">
        <is>
          <t>4670AF</t>
        </is>
      </c>
      <c r="D164" t="inlineStr">
        <is>
          <t>CDMX Y AREA METROPOLITANA</t>
        </is>
      </c>
      <c r="E164" t="inlineStr">
        <is>
          <t>04-2025</t>
        </is>
      </c>
      <c r="F164" t="inlineStr">
        <is>
          <t>12-2025</t>
        </is>
      </c>
      <c r="G164" t="n">
        <v>8</v>
      </c>
      <c r="H164" t="inlineStr">
        <is>
          <t>Efectivo</t>
        </is>
      </c>
      <c r="I164" t="inlineStr">
        <is>
          <t>01-2026</t>
        </is>
      </c>
      <c r="J164" t="inlineStr">
        <is>
          <t>41G424</t>
        </is>
      </c>
      <c r="K164" t="inlineStr">
        <is>
          <t>BYD MINIDOLPHIN</t>
        </is>
      </c>
      <c r="L164" t="inlineStr">
        <is>
          <t>UBER</t>
        </is>
      </c>
      <c r="M164" s="3">
        <f>IF(H164="Efectivo",IFERROR((VALUE(RIGHT(I164,4))-VALUE(RIGHT(E164,4)))*12+(VALUE(LEFT(I164,2))-VALUE(LEFT(E164,2))),""),"")</f>
        <v/>
      </c>
    </row>
    <row r="165">
      <c r="A165" t="inlineStr">
        <is>
          <t>CARRANZA BUSTOS LUIS MIGUEL</t>
        </is>
      </c>
      <c r="B165" t="inlineStr">
        <is>
          <t>Hombre</t>
        </is>
      </c>
      <c r="C165" t="inlineStr">
        <is>
          <t>2403AF</t>
        </is>
      </c>
      <c r="D165" t="inlineStr">
        <is>
          <t>JALISCO</t>
        </is>
      </c>
      <c r="E165" t="inlineStr">
        <is>
          <t>01-2023</t>
        </is>
      </c>
      <c r="F165" t="inlineStr">
        <is>
          <t>05-2025</t>
        </is>
      </c>
      <c r="G165" t="n">
        <v>29</v>
      </c>
      <c r="H165" t="inlineStr">
        <is>
          <t>Cancelado</t>
        </is>
      </c>
      <c r="J165" t="inlineStr">
        <is>
          <t>JTP5824</t>
        </is>
      </c>
      <c r="K165" t="inlineStr">
        <is>
          <t>ONIX</t>
        </is>
      </c>
      <c r="L165" t="inlineStr">
        <is>
          <t>UBER</t>
        </is>
      </c>
      <c r="M165" s="3">
        <f>IF(H165="Efectivo",IFERROR((VALUE(RIGHT(I165,4))-VALUE(RIGHT(E165,4)))*12+(VALUE(LEFT(I165,2))-VALUE(LEFT(E165,2))),""),"")</f>
        <v/>
      </c>
    </row>
    <row r="166">
      <c r="A166" t="inlineStr">
        <is>
          <t>CARRANZA DAMIAN JONHATAN DAVID</t>
        </is>
      </c>
      <c r="B166" t="inlineStr">
        <is>
          <t>Hombre</t>
        </is>
      </c>
      <c r="C166" t="inlineStr">
        <is>
          <t>4268AF</t>
        </is>
      </c>
      <c r="D166" t="inlineStr">
        <is>
          <t>CDMX Y AREA METROPOLITANA</t>
        </is>
      </c>
      <c r="E166" t="inlineStr">
        <is>
          <t>01-2025</t>
        </is>
      </c>
      <c r="F166" t="inlineStr">
        <is>
          <t>04-2025</t>
        </is>
      </c>
      <c r="G166" t="n">
        <v>2</v>
      </c>
      <c r="H166" t="inlineStr">
        <is>
          <t>Efectivo</t>
        </is>
      </c>
      <c r="I166" t="inlineStr">
        <is>
          <t>04-2025</t>
        </is>
      </c>
      <c r="J166" t="inlineStr">
        <is>
          <t>27G510</t>
        </is>
      </c>
      <c r="K166" t="inlineStr">
        <is>
          <t>BYD MINIDOLPHIN</t>
        </is>
      </c>
      <c r="L166" t="inlineStr">
        <is>
          <t>UBER</t>
        </is>
      </c>
      <c r="M166" s="3">
        <f>IF(H166="Efectivo",IFERROR((VALUE(RIGHT(I166,4))-VALUE(RIGHT(E166,4)))*12+(VALUE(LEFT(I166,2))-VALUE(LEFT(E166,2))),""),"")</f>
        <v/>
      </c>
    </row>
    <row r="167">
      <c r="A167" t="inlineStr">
        <is>
          <t>CARREON VELAZQUEZ CESAR ADRIAN</t>
        </is>
      </c>
      <c r="B167" t="inlineStr">
        <is>
          <t>Hombre</t>
        </is>
      </c>
      <c r="C167" t="inlineStr">
        <is>
          <t>5942AF</t>
        </is>
      </c>
      <c r="D167" t="inlineStr">
        <is>
          <t>CDMX Y AREA METROPOLITANA</t>
        </is>
      </c>
      <c r="E167" t="inlineStr">
        <is>
          <t>10-2025</t>
        </is>
      </c>
      <c r="F167" t="inlineStr">
        <is>
          <t>02-2026</t>
        </is>
      </c>
      <c r="G167" t="n">
        <v>4</v>
      </c>
      <c r="H167" t="inlineStr">
        <is>
          <t>Efectivo</t>
        </is>
      </c>
      <c r="I167" t="inlineStr">
        <is>
          <t>02-2026</t>
        </is>
      </c>
      <c r="J167" t="inlineStr">
        <is>
          <t>51G536</t>
        </is>
      </c>
      <c r="K167" t="inlineStr">
        <is>
          <t>GAC AION S</t>
        </is>
      </c>
      <c r="L167" t="inlineStr">
        <is>
          <t>UBER</t>
        </is>
      </c>
      <c r="M167" s="3">
        <f>IF(H167="Efectivo",IFERROR((VALUE(RIGHT(I167,4))-VALUE(RIGHT(E167,4)))*12+(VALUE(LEFT(I167,2))-VALUE(LEFT(E167,2))),""),"")</f>
        <v/>
      </c>
    </row>
    <row r="168">
      <c r="A168" t="inlineStr">
        <is>
          <t>CARRERA SERRANO RAUL</t>
        </is>
      </c>
      <c r="B168" t="inlineStr">
        <is>
          <t>Hombre</t>
        </is>
      </c>
      <c r="C168" t="inlineStr">
        <is>
          <t>4834AF</t>
        </is>
      </c>
      <c r="D168" t="inlineStr">
        <is>
          <t>CDMX Y AREA METROPOLITANA</t>
        </is>
      </c>
      <c r="E168" t="inlineStr">
        <is>
          <t>05-2025</t>
        </is>
      </c>
      <c r="F168" t="inlineStr">
        <is>
          <t>04-2026</t>
        </is>
      </c>
      <c r="G168" t="n">
        <v>10</v>
      </c>
      <c r="H168" t="inlineStr">
        <is>
          <t>Efectivo</t>
        </is>
      </c>
      <c r="I168" t="inlineStr">
        <is>
          <t>04-2026</t>
        </is>
      </c>
      <c r="J168" t="inlineStr">
        <is>
          <t>D15BRR</t>
        </is>
      </c>
      <c r="K168" t="inlineStr">
        <is>
          <t>CHEVROLET AVEO</t>
        </is>
      </c>
      <c r="L168" t="inlineStr">
        <is>
          <t>UBER</t>
        </is>
      </c>
      <c r="M168" s="3">
        <f>IF(H168="Efectivo",IFERROR((VALUE(RIGHT(I168,4))-VALUE(RIGHT(E168,4)))*12+(VALUE(LEFT(I168,2))-VALUE(LEFT(E168,2))),""),"")</f>
        <v/>
      </c>
    </row>
    <row r="169">
      <c r="A169" t="inlineStr">
        <is>
          <t>CARRILLO ALVAREZ BRANDON IRVIN</t>
        </is>
      </c>
      <c r="B169" t="inlineStr">
        <is>
          <t>Hombre</t>
        </is>
      </c>
      <c r="C169" t="inlineStr">
        <is>
          <t>5449AF</t>
        </is>
      </c>
      <c r="D169" t="inlineStr">
        <is>
          <t>NUEVO LEON</t>
        </is>
      </c>
      <c r="E169" t="inlineStr">
        <is>
          <t>07-2025</t>
        </is>
      </c>
      <c r="F169" t="inlineStr">
        <is>
          <t>03-2026</t>
        </is>
      </c>
      <c r="G169" t="n">
        <v>8</v>
      </c>
      <c r="H169" t="inlineStr">
        <is>
          <t>Efectivo</t>
        </is>
      </c>
      <c r="I169" t="inlineStr">
        <is>
          <t>04-2026</t>
        </is>
      </c>
      <c r="J169" t="inlineStr">
        <is>
          <t>RVX604C</t>
        </is>
      </c>
      <c r="K169" t="inlineStr">
        <is>
          <t>CHEVROLET AVEO</t>
        </is>
      </c>
      <c r="L169" t="inlineStr">
        <is>
          <t>UBER</t>
        </is>
      </c>
      <c r="M169" s="3">
        <f>IF(H169="Efectivo",IFERROR((VALUE(RIGHT(I169,4))-VALUE(RIGHT(E169,4)))*12+(VALUE(LEFT(I169,2))-VALUE(LEFT(E169,2))),""),"")</f>
        <v/>
      </c>
    </row>
    <row r="170">
      <c r="A170" t="inlineStr">
        <is>
          <t>CARRILLO CAMPOS CHRISTOFER ALAN</t>
        </is>
      </c>
      <c r="B170" t="inlineStr">
        <is>
          <t>Hombre</t>
        </is>
      </c>
      <c r="C170" t="inlineStr">
        <is>
          <t>3742AF</t>
        </is>
      </c>
      <c r="D170" t="inlineStr">
        <is>
          <t>CDMX Y AREA METROPOLITANA</t>
        </is>
      </c>
      <c r="E170" t="inlineStr">
        <is>
          <t>09-2024</t>
        </is>
      </c>
      <c r="F170" t="inlineStr">
        <is>
          <t>02-2026</t>
        </is>
      </c>
      <c r="G170" t="n">
        <v>17</v>
      </c>
      <c r="H170" t="inlineStr">
        <is>
          <t>Efectivo</t>
        </is>
      </c>
      <c r="I170" t="inlineStr">
        <is>
          <t>03-2026</t>
        </is>
      </c>
      <c r="J170" t="inlineStr">
        <is>
          <t>94F912</t>
        </is>
      </c>
      <c r="K170" t="inlineStr">
        <is>
          <t>BYD D1</t>
        </is>
      </c>
      <c r="L170" t="inlineStr">
        <is>
          <t>DIDI</t>
        </is>
      </c>
      <c r="M170" s="3">
        <f>IF(H170="Efectivo",IFERROR((VALUE(RIGHT(I170,4))-VALUE(RIGHT(E170,4)))*12+(VALUE(LEFT(I170,2))-VALUE(LEFT(E170,2))),""),"")</f>
        <v/>
      </c>
    </row>
    <row r="171">
      <c r="A171" t="inlineStr">
        <is>
          <t>CARRILLO CASTRO HECTOR VALENTIN</t>
        </is>
      </c>
      <c r="B171" t="inlineStr">
        <is>
          <t>Hombre</t>
        </is>
      </c>
      <c r="C171" t="inlineStr">
        <is>
          <t>4554AF</t>
        </is>
      </c>
      <c r="D171" t="inlineStr">
        <is>
          <t>CDMX Y AREA METROPOLITANA</t>
        </is>
      </c>
      <c r="E171" t="inlineStr">
        <is>
          <t>03-2025</t>
        </is>
      </c>
      <c r="F171" t="inlineStr">
        <is>
          <t>03-2026</t>
        </is>
      </c>
      <c r="G171" t="n">
        <v>11</v>
      </c>
      <c r="H171" t="inlineStr">
        <is>
          <t>Pendiente</t>
        </is>
      </c>
      <c r="J171" t="inlineStr">
        <is>
          <t>C68BRH</t>
        </is>
      </c>
      <c r="K171" t="inlineStr">
        <is>
          <t>CHEVROLET AVEO</t>
        </is>
      </c>
      <c r="L171" t="inlineStr">
        <is>
          <t>UBER</t>
        </is>
      </c>
      <c r="M171" s="3">
        <f>IF(H171="Efectivo",IFERROR((VALUE(RIGHT(I171,4))-VALUE(RIGHT(E171,4)))*12+(VALUE(LEFT(I171,2))-VALUE(LEFT(E171,2))),""),"")</f>
        <v/>
      </c>
    </row>
    <row r="172">
      <c r="A172" t="inlineStr">
        <is>
          <t>CARRILLO CLAUDIO HEBER PAUL</t>
        </is>
      </c>
      <c r="B172" t="inlineStr">
        <is>
          <t>Hombre</t>
        </is>
      </c>
      <c r="C172" t="inlineStr">
        <is>
          <t>6511AF</t>
        </is>
      </c>
      <c r="D172" t="inlineStr">
        <is>
          <t>CDMX Y AREA METROPOLITANA</t>
        </is>
      </c>
      <c r="E172" t="inlineStr">
        <is>
          <t>12-2025</t>
        </is>
      </c>
      <c r="F172" t="inlineStr">
        <is>
          <t>05-2026</t>
        </is>
      </c>
      <c r="G172" t="n">
        <v>4</v>
      </c>
      <c r="H172" t="inlineStr">
        <is>
          <t>Pendiente</t>
        </is>
      </c>
      <c r="J172" t="inlineStr">
        <is>
          <t>F99BSP</t>
        </is>
      </c>
      <c r="K172" t="inlineStr">
        <is>
          <t>CHEVROLET AVEO</t>
        </is>
      </c>
      <c r="L172" t="inlineStr">
        <is>
          <t>DIDI</t>
        </is>
      </c>
      <c r="M172" s="3">
        <f>IF(H172="Efectivo",IFERROR((VALUE(RIGHT(I172,4))-VALUE(RIGHT(E172,4)))*12+(VALUE(LEFT(I172,2))-VALUE(LEFT(E172,2))),""),"")</f>
        <v/>
      </c>
    </row>
    <row r="173">
      <c r="A173" t="inlineStr">
        <is>
          <t>CARRILLO FUENTES NOE RAUL JUNIOR</t>
        </is>
      </c>
      <c r="B173" t="inlineStr">
        <is>
          <t>Hombre</t>
        </is>
      </c>
      <c r="C173" t="inlineStr">
        <is>
          <t>5712AF</t>
        </is>
      </c>
      <c r="D173" t="inlineStr">
        <is>
          <t>NUEVO LEON</t>
        </is>
      </c>
      <c r="E173" t="inlineStr">
        <is>
          <t>09-2025</t>
        </is>
      </c>
      <c r="F173" t="inlineStr">
        <is>
          <t>04-2026</t>
        </is>
      </c>
      <c r="G173" t="n">
        <v>6</v>
      </c>
      <c r="H173" t="inlineStr">
        <is>
          <t>Efectivo</t>
        </is>
      </c>
      <c r="I173" t="inlineStr">
        <is>
          <t>04-2026</t>
        </is>
      </c>
      <c r="J173" t="inlineStr">
        <is>
          <t>RXW061C</t>
        </is>
      </c>
      <c r="K173" t="inlineStr">
        <is>
          <t>CHEVROLET AVEO</t>
        </is>
      </c>
      <c r="L173" t="inlineStr">
        <is>
          <t>DIDI</t>
        </is>
      </c>
      <c r="M173" s="3">
        <f>IF(H173="Efectivo",IFERROR((VALUE(RIGHT(I173,4))-VALUE(RIGHT(E173,4)))*12+(VALUE(LEFT(I173,2))-VALUE(LEFT(E173,2))),""),"")</f>
        <v/>
      </c>
    </row>
    <row r="174">
      <c r="A174" t="inlineStr">
        <is>
          <t>CARRILLO GUERRA GREGORIO</t>
        </is>
      </c>
      <c r="B174" t="inlineStr">
        <is>
          <t>Hombre</t>
        </is>
      </c>
      <c r="C174" t="inlineStr">
        <is>
          <t>6291AF</t>
        </is>
      </c>
      <c r="D174" t="inlineStr">
        <is>
          <t>CDMX Y AREA METROPOLITANA</t>
        </is>
      </c>
      <c r="E174" t="inlineStr">
        <is>
          <t>11-2025</t>
        </is>
      </c>
      <c r="F174" t="inlineStr">
        <is>
          <t>02-2026</t>
        </is>
      </c>
      <c r="G174" t="n">
        <v>2</v>
      </c>
      <c r="H174" t="inlineStr">
        <is>
          <t>Cancelado</t>
        </is>
      </c>
      <c r="J174" t="inlineStr">
        <is>
          <t>15K506</t>
        </is>
      </c>
      <c r="K174" t="inlineStr">
        <is>
          <t>BYD MINIDOLPHIN</t>
        </is>
      </c>
      <c r="L174" t="inlineStr">
        <is>
          <t>UBER</t>
        </is>
      </c>
      <c r="M174" s="3">
        <f>IF(H174="Efectivo",IFERROR((VALUE(RIGHT(I174,4))-VALUE(RIGHT(E174,4)))*12+(VALUE(LEFT(I174,2))-VALUE(LEFT(E174,2))),""),"")</f>
        <v/>
      </c>
    </row>
    <row r="175">
      <c r="A175" t="inlineStr">
        <is>
          <t>CARRILLO JIMENEZ SERGIO</t>
        </is>
      </c>
      <c r="B175" t="inlineStr">
        <is>
          <t>Hombre</t>
        </is>
      </c>
      <c r="C175" t="inlineStr">
        <is>
          <t>4285AF</t>
        </is>
      </c>
      <c r="D175" t="inlineStr">
        <is>
          <t>JALISCO</t>
        </is>
      </c>
      <c r="E175" t="inlineStr">
        <is>
          <t>02-2025</t>
        </is>
      </c>
      <c r="F175" t="inlineStr">
        <is>
          <t>09-2025</t>
        </is>
      </c>
      <c r="G175" t="n">
        <v>7</v>
      </c>
      <c r="H175" t="inlineStr">
        <is>
          <t>Efectivo</t>
        </is>
      </c>
      <c r="I175" t="inlineStr">
        <is>
          <t>09-2025</t>
        </is>
      </c>
      <c r="J175" t="inlineStr">
        <is>
          <t>HZT605A</t>
        </is>
      </c>
      <c r="K175" t="inlineStr">
        <is>
          <t>CHEVROLET AVEO</t>
        </is>
      </c>
      <c r="L175" t="inlineStr">
        <is>
          <t>UBER</t>
        </is>
      </c>
      <c r="M175" s="3">
        <f>IF(H175="Efectivo",IFERROR((VALUE(RIGHT(I175,4))-VALUE(RIGHT(E175,4)))*12+(VALUE(LEFT(I175,2))-VALUE(LEFT(E175,2))),""),"")</f>
        <v/>
      </c>
    </row>
    <row r="176">
      <c r="A176" t="inlineStr">
        <is>
          <t>CARRILLO LECHERO HUGO RUBEN</t>
        </is>
      </c>
      <c r="B176" t="inlineStr">
        <is>
          <t>Hombre</t>
        </is>
      </c>
      <c r="C176" t="inlineStr">
        <is>
          <t>4276AF</t>
        </is>
      </c>
      <c r="D176" t="inlineStr">
        <is>
          <t>CDMX Y AREA METROPOLITANA</t>
        </is>
      </c>
      <c r="E176" t="inlineStr">
        <is>
          <t>01-2025</t>
        </is>
      </c>
      <c r="F176" t="inlineStr">
        <is>
          <t>08-2025</t>
        </is>
      </c>
      <c r="G176" t="n">
        <v>7</v>
      </c>
      <c r="H176" t="inlineStr">
        <is>
          <t>Efectivo</t>
        </is>
      </c>
      <c r="I176" t="inlineStr">
        <is>
          <t>08-2025</t>
        </is>
      </c>
      <c r="J176" t="inlineStr">
        <is>
          <t>31G853</t>
        </is>
      </c>
      <c r="K176" t="inlineStr">
        <is>
          <t>GAC AION S</t>
        </is>
      </c>
      <c r="L176" t="inlineStr">
        <is>
          <t>UBER</t>
        </is>
      </c>
      <c r="M176" s="3">
        <f>IF(H176="Efectivo",IFERROR((VALUE(RIGHT(I176,4))-VALUE(RIGHT(E176,4)))*12+(VALUE(LEFT(I176,2))-VALUE(LEFT(E176,2))),""),"")</f>
        <v/>
      </c>
    </row>
    <row r="177">
      <c r="A177" t="inlineStr">
        <is>
          <t>CARRILLO MEDINA OCTAVIO</t>
        </is>
      </c>
      <c r="B177" t="inlineStr">
        <is>
          <t>Hombre</t>
        </is>
      </c>
      <c r="C177" t="inlineStr">
        <is>
          <t>3251AF</t>
        </is>
      </c>
      <c r="D177" t="inlineStr">
        <is>
          <t>CDMX Y AREA METROPOLITANA</t>
        </is>
      </c>
      <c r="E177" t="inlineStr">
        <is>
          <t>05-2024</t>
        </is>
      </c>
      <c r="F177" t="inlineStr">
        <is>
          <t>03-2026</t>
        </is>
      </c>
      <c r="G177" t="n">
        <v>22</v>
      </c>
      <c r="H177" t="inlineStr">
        <is>
          <t>Efectivo</t>
        </is>
      </c>
      <c r="I177" t="inlineStr">
        <is>
          <t>03-2026</t>
        </is>
      </c>
      <c r="J177" t="inlineStr">
        <is>
          <t>A40BNM</t>
        </is>
      </c>
      <c r="K177" t="inlineStr">
        <is>
          <t>CHEVROLET AVEO</t>
        </is>
      </c>
      <c r="L177" t="inlineStr">
        <is>
          <t>UBER</t>
        </is>
      </c>
      <c r="M177" s="3">
        <f>IF(H177="Efectivo",IFERROR((VALUE(RIGHT(I177,4))-VALUE(RIGHT(E177,4)))*12+(VALUE(LEFT(I177,2))-VALUE(LEFT(E177,2))),""),"")</f>
        <v/>
      </c>
    </row>
    <row r="178">
      <c r="A178" t="inlineStr">
        <is>
          <t>CARRILLO ROMERO CESAR</t>
        </is>
      </c>
      <c r="B178" t="inlineStr">
        <is>
          <t>Hombre</t>
        </is>
      </c>
      <c r="C178" t="inlineStr">
        <is>
          <t>3923AF</t>
        </is>
      </c>
      <c r="D178" t="inlineStr">
        <is>
          <t>CDMX Y AREA METROPOLITANA</t>
        </is>
      </c>
      <c r="E178" t="inlineStr">
        <is>
          <t>10-2024</t>
        </is>
      </c>
      <c r="F178" t="inlineStr">
        <is>
          <t>06-2025</t>
        </is>
      </c>
      <c r="G178" t="n">
        <v>8</v>
      </c>
      <c r="H178" t="inlineStr">
        <is>
          <t>Cancelado</t>
        </is>
      </c>
      <c r="J178" t="inlineStr">
        <is>
          <t>C24BPN</t>
        </is>
      </c>
      <c r="K178" t="inlineStr">
        <is>
          <t>CHEVROLET AVEO</t>
        </is>
      </c>
      <c r="L178" t="inlineStr">
        <is>
          <t>UBER</t>
        </is>
      </c>
      <c r="M178" s="3">
        <f>IF(H178="Efectivo",IFERROR((VALUE(RIGHT(I178,4))-VALUE(RIGHT(E178,4)))*12+(VALUE(LEFT(I178,2))-VALUE(LEFT(E178,2))),""),"")</f>
        <v/>
      </c>
    </row>
    <row r="179">
      <c r="A179" t="inlineStr">
        <is>
          <t>CARRIZAL DOMINGUEZ FRANCISCO JAVIER</t>
        </is>
      </c>
      <c r="B179" t="inlineStr">
        <is>
          <t>Hombre</t>
        </is>
      </c>
      <c r="C179" t="inlineStr">
        <is>
          <t>6044AF</t>
        </is>
      </c>
      <c r="D179" t="inlineStr">
        <is>
          <t>CDMX Y AREA METROPOLITANA</t>
        </is>
      </c>
      <c r="E179" t="inlineStr">
        <is>
          <t>10-2025</t>
        </is>
      </c>
      <c r="F179" t="inlineStr">
        <is>
          <t>12-2025</t>
        </is>
      </c>
      <c r="G179" t="n">
        <v>2</v>
      </c>
      <c r="H179" t="inlineStr">
        <is>
          <t>Cancelado</t>
        </is>
      </c>
      <c r="J179" t="inlineStr">
        <is>
          <t>51G590</t>
        </is>
      </c>
      <c r="K179" t="inlineStr">
        <is>
          <t>GAC AION S</t>
        </is>
      </c>
      <c r="L179" t="inlineStr">
        <is>
          <t>UBER</t>
        </is>
      </c>
      <c r="M179" s="3">
        <f>IF(H179="Efectivo",IFERROR((VALUE(RIGHT(I179,4))-VALUE(RIGHT(E179,4)))*12+(VALUE(LEFT(I179,2))-VALUE(LEFT(E179,2))),""),"")</f>
        <v/>
      </c>
    </row>
    <row r="180">
      <c r="A180" t="inlineStr">
        <is>
          <t>CARRIZAL DOMINGUEZ FRANCISCO JAVIER</t>
        </is>
      </c>
      <c r="B180" t="inlineStr">
        <is>
          <t>Hombre</t>
        </is>
      </c>
      <c r="C180" t="inlineStr">
        <is>
          <t>6044AF</t>
        </is>
      </c>
      <c r="D180" t="inlineStr">
        <is>
          <t>CDMX Y AREA METROPOLITANA</t>
        </is>
      </c>
      <c r="E180" t="inlineStr">
        <is>
          <t>10-2025</t>
        </is>
      </c>
      <c r="F180" t="inlineStr">
        <is>
          <t>02-2026</t>
        </is>
      </c>
      <c r="G180" t="n">
        <v>3</v>
      </c>
      <c r="H180" t="inlineStr">
        <is>
          <t>Efectivo</t>
        </is>
      </c>
      <c r="I180" t="inlineStr">
        <is>
          <t>03-2026</t>
        </is>
      </c>
      <c r="J180" t="inlineStr">
        <is>
          <t>51G590</t>
        </is>
      </c>
      <c r="K180" t="inlineStr">
        <is>
          <t>GAC AION S</t>
        </is>
      </c>
      <c r="L180" t="inlineStr">
        <is>
          <t>UBER</t>
        </is>
      </c>
      <c r="M180" s="3">
        <f>IF(H180="Efectivo",IFERROR((VALUE(RIGHT(I180,4))-VALUE(RIGHT(E180,4)))*12+(VALUE(LEFT(I180,2))-VALUE(LEFT(E180,2))),""),"")</f>
        <v/>
      </c>
    </row>
    <row r="181">
      <c r="A181" t="inlineStr">
        <is>
          <t>CASAS TIAHUEL ALAIN OCTAVIO</t>
        </is>
      </c>
      <c r="B181" t="inlineStr">
        <is>
          <t>Hombre</t>
        </is>
      </c>
      <c r="C181" t="inlineStr">
        <is>
          <t>5319AF</t>
        </is>
      </c>
      <c r="D181" t="inlineStr">
        <is>
          <t>CDMX Y AREA METROPOLITANA</t>
        </is>
      </c>
      <c r="E181" t="inlineStr">
        <is>
          <t>07-2025</t>
        </is>
      </c>
      <c r="F181" t="inlineStr">
        <is>
          <t>11-2025</t>
        </is>
      </c>
      <c r="G181" t="n">
        <v>4</v>
      </c>
      <c r="H181" t="inlineStr">
        <is>
          <t>Efectivo</t>
        </is>
      </c>
      <c r="I181" t="inlineStr">
        <is>
          <t>11-2025</t>
        </is>
      </c>
      <c r="J181" t="inlineStr">
        <is>
          <t>29G293</t>
        </is>
      </c>
      <c r="K181" t="inlineStr">
        <is>
          <t>GAC AION S</t>
        </is>
      </c>
      <c r="L181" t="inlineStr">
        <is>
          <t>DIDI</t>
        </is>
      </c>
      <c r="M181" s="3">
        <f>IF(H181="Efectivo",IFERROR((VALUE(RIGHT(I181,4))-VALUE(RIGHT(E181,4)))*12+(VALUE(LEFT(I181,2))-VALUE(LEFT(E181,2))),""),"")</f>
        <v/>
      </c>
    </row>
    <row r="182">
      <c r="A182" t="inlineStr">
        <is>
          <t>CASIMIRO HUERTERO JOSE ALBERTO</t>
        </is>
      </c>
      <c r="B182" t="inlineStr">
        <is>
          <t>Hombre</t>
        </is>
      </c>
      <c r="C182" t="inlineStr">
        <is>
          <t>5355AF</t>
        </is>
      </c>
      <c r="D182" t="inlineStr">
        <is>
          <t>CDMX Y AREA METROPOLITANA</t>
        </is>
      </c>
      <c r="E182" t="inlineStr">
        <is>
          <t>07-2025</t>
        </is>
      </c>
      <c r="F182" t="inlineStr">
        <is>
          <t>03-2026</t>
        </is>
      </c>
      <c r="G182" t="n">
        <v>8</v>
      </c>
      <c r="H182" t="inlineStr">
        <is>
          <t>Pendiente</t>
        </is>
      </c>
      <c r="J182" t="inlineStr">
        <is>
          <t>43G996</t>
        </is>
      </c>
      <c r="K182" t="inlineStr">
        <is>
          <t>GAC AION S</t>
        </is>
      </c>
      <c r="L182" t="inlineStr">
        <is>
          <t>UBER</t>
        </is>
      </c>
      <c r="M182" s="3">
        <f>IF(H182="Efectivo",IFERROR((VALUE(RIGHT(I182,4))-VALUE(RIGHT(E182,4)))*12+(VALUE(LEFT(I182,2))-VALUE(LEFT(E182,2))),""),"")</f>
        <v/>
      </c>
    </row>
    <row r="183">
      <c r="A183" t="inlineStr">
        <is>
          <t>CASPETA CAMARGO MARIO ISMAEL</t>
        </is>
      </c>
      <c r="B183" t="inlineStr">
        <is>
          <t>Hombre</t>
        </is>
      </c>
      <c r="C183" t="inlineStr">
        <is>
          <t>3612AF</t>
        </is>
      </c>
      <c r="D183" t="inlineStr">
        <is>
          <t>CDMX Y AREA METROPOLITANA</t>
        </is>
      </c>
      <c r="E183" t="inlineStr">
        <is>
          <t>08-2024</t>
        </is>
      </c>
      <c r="F183" t="inlineStr">
        <is>
          <t>07-2025</t>
        </is>
      </c>
      <c r="G183" t="n">
        <v>11</v>
      </c>
      <c r="H183" t="inlineStr">
        <is>
          <t>Efectivo</t>
        </is>
      </c>
      <c r="I183" t="inlineStr">
        <is>
          <t>07-2025</t>
        </is>
      </c>
      <c r="J183" t="inlineStr">
        <is>
          <t>89F729</t>
        </is>
      </c>
      <c r="K183" t="inlineStr">
        <is>
          <t>BYD D1</t>
        </is>
      </c>
      <c r="L183" t="inlineStr">
        <is>
          <t>UBER</t>
        </is>
      </c>
      <c r="M183" s="3">
        <f>IF(H183="Efectivo",IFERROR((VALUE(RIGHT(I183,4))-VALUE(RIGHT(E183,4)))*12+(VALUE(LEFT(I183,2))-VALUE(LEFT(E183,2))),""),"")</f>
        <v/>
      </c>
    </row>
    <row r="184">
      <c r="A184" t="inlineStr">
        <is>
          <t>CASTAÑEDA RODRIGUEZ JUAN ANTONIO</t>
        </is>
      </c>
      <c r="B184" t="inlineStr">
        <is>
          <t>Hombre</t>
        </is>
      </c>
      <c r="C184" t="inlineStr">
        <is>
          <t>4865AF</t>
        </is>
      </c>
      <c r="D184" t="inlineStr">
        <is>
          <t>CDMX Y AREA METROPOLITANA</t>
        </is>
      </c>
      <c r="E184" t="inlineStr">
        <is>
          <t>05-2025</t>
        </is>
      </c>
      <c r="F184" t="inlineStr">
        <is>
          <t>01-2026</t>
        </is>
      </c>
      <c r="G184" t="n">
        <v>8</v>
      </c>
      <c r="H184" t="inlineStr">
        <is>
          <t>Efectivo</t>
        </is>
      </c>
      <c r="I184" t="inlineStr">
        <is>
          <t>02-2026</t>
        </is>
      </c>
      <c r="J184" t="inlineStr">
        <is>
          <t>50G782</t>
        </is>
      </c>
      <c r="K184" t="inlineStr">
        <is>
          <t>GAC AION S</t>
        </is>
      </c>
      <c r="L184" t="inlineStr">
        <is>
          <t>UBER</t>
        </is>
      </c>
      <c r="M184" s="3">
        <f>IF(H184="Efectivo",IFERROR((VALUE(RIGHT(I184,4))-VALUE(RIGHT(E184,4)))*12+(VALUE(LEFT(I184,2))-VALUE(LEFT(E184,2))),""),"")</f>
        <v/>
      </c>
    </row>
    <row r="185">
      <c r="A185" t="inlineStr">
        <is>
          <t>CASTAÑEDA ZEPEDA ISRAEL ALEJANDRO</t>
        </is>
      </c>
      <c r="B185" t="inlineStr">
        <is>
          <t>Hombre</t>
        </is>
      </c>
      <c r="C185" t="inlineStr">
        <is>
          <t>4323AF</t>
        </is>
      </c>
      <c r="D185" t="inlineStr">
        <is>
          <t>JALISCO</t>
        </is>
      </c>
      <c r="E185" t="inlineStr">
        <is>
          <t>02-2025</t>
        </is>
      </c>
      <c r="F185" t="inlineStr">
        <is>
          <t>03-2026</t>
        </is>
      </c>
      <c r="G185" t="n">
        <v>13</v>
      </c>
      <c r="H185" t="inlineStr">
        <is>
          <t>Efectivo</t>
        </is>
      </c>
      <c r="I185" t="inlineStr">
        <is>
          <t>04-2026</t>
        </is>
      </c>
      <c r="J185" t="inlineStr">
        <is>
          <t>HZT599A</t>
        </is>
      </c>
      <c r="K185" t="inlineStr">
        <is>
          <t>CHEVROLET AVEO</t>
        </is>
      </c>
      <c r="L185" t="inlineStr">
        <is>
          <t>UBER</t>
        </is>
      </c>
      <c r="M185" s="3">
        <f>IF(H185="Efectivo",IFERROR((VALUE(RIGHT(I185,4))-VALUE(RIGHT(E185,4)))*12+(VALUE(LEFT(I185,2))-VALUE(LEFT(E185,2))),""),"")</f>
        <v/>
      </c>
    </row>
    <row r="186">
      <c r="A186" t="inlineStr">
        <is>
          <t>CASTELAN VALADEZ LAURA ELENA</t>
        </is>
      </c>
      <c r="B186" t="inlineStr">
        <is>
          <t>Mujer</t>
        </is>
      </c>
      <c r="C186" t="inlineStr">
        <is>
          <t>5256AF</t>
        </is>
      </c>
      <c r="D186" t="inlineStr">
        <is>
          <t>CDMX Y AREA METROPOLITANA</t>
        </is>
      </c>
      <c r="E186" t="inlineStr">
        <is>
          <t>07-2025</t>
        </is>
      </c>
      <c r="F186" t="inlineStr">
        <is>
          <t>04-2026</t>
        </is>
      </c>
      <c r="G186" t="n">
        <v>9</v>
      </c>
      <c r="H186" t="inlineStr">
        <is>
          <t>Pendiente</t>
        </is>
      </c>
      <c r="J186" t="inlineStr">
        <is>
          <t>43G849</t>
        </is>
      </c>
      <c r="K186" t="inlineStr">
        <is>
          <t>GAC AION S</t>
        </is>
      </c>
      <c r="L186" t="inlineStr">
        <is>
          <t>UBER</t>
        </is>
      </c>
      <c r="M186" s="3">
        <f>IF(H186="Efectivo",IFERROR((VALUE(RIGHT(I186,4))-VALUE(RIGHT(E186,4)))*12+(VALUE(LEFT(I186,2))-VALUE(LEFT(E186,2))),""),"")</f>
        <v/>
      </c>
    </row>
    <row r="187">
      <c r="A187" t="inlineStr">
        <is>
          <t>CASTELLANOS SANCHEZ JESUS</t>
        </is>
      </c>
      <c r="B187" t="inlineStr">
        <is>
          <t>Hombre</t>
        </is>
      </c>
      <c r="C187" t="inlineStr">
        <is>
          <t>3607AF</t>
        </is>
      </c>
      <c r="D187" t="inlineStr">
        <is>
          <t>BAJA CALIFORNIA</t>
        </is>
      </c>
      <c r="E187" t="inlineStr">
        <is>
          <t>08-2024</t>
        </is>
      </c>
      <c r="F187" t="inlineStr">
        <is>
          <t>02-2026</t>
        </is>
      </c>
      <c r="G187" t="n">
        <v>18</v>
      </c>
      <c r="H187" t="inlineStr">
        <is>
          <t>Efectivo</t>
        </is>
      </c>
      <c r="I187" t="inlineStr">
        <is>
          <t>02-2026</t>
        </is>
      </c>
      <c r="J187" t="inlineStr">
        <is>
          <t>BRH510A</t>
        </is>
      </c>
      <c r="K187" t="inlineStr">
        <is>
          <t>CHEVROLET AVEO</t>
        </is>
      </c>
      <c r="L187" t="inlineStr">
        <is>
          <t>UBER</t>
        </is>
      </c>
      <c r="M187" s="3">
        <f>IF(H187="Efectivo",IFERROR((VALUE(RIGHT(I187,4))-VALUE(RIGHT(E187,4)))*12+(VALUE(LEFT(I187,2))-VALUE(LEFT(E187,2))),""),"")</f>
        <v/>
      </c>
    </row>
    <row r="188">
      <c r="A188" t="inlineStr">
        <is>
          <t>CASTELLANOS VELAZQUEZ CARLOS IGNACIO</t>
        </is>
      </c>
      <c r="B188" t="inlineStr">
        <is>
          <t>Hombre</t>
        </is>
      </c>
      <c r="C188" t="inlineStr">
        <is>
          <t>2815AF</t>
        </is>
      </c>
      <c r="D188" t="inlineStr">
        <is>
          <t>JALISCO</t>
        </is>
      </c>
      <c r="E188" t="inlineStr">
        <is>
          <t>10-2023</t>
        </is>
      </c>
      <c r="F188" t="inlineStr">
        <is>
          <t>01-2025</t>
        </is>
      </c>
      <c r="G188" t="n">
        <v>15</v>
      </c>
      <c r="H188" t="inlineStr">
        <is>
          <t>Efectivo</t>
        </is>
      </c>
      <c r="I188" t="inlineStr">
        <is>
          <t>02-2025</t>
        </is>
      </c>
      <c r="J188" t="inlineStr">
        <is>
          <t>JTU1504</t>
        </is>
      </c>
      <c r="K188" t="inlineStr">
        <is>
          <t>CHEVROLET AVEO</t>
        </is>
      </c>
      <c r="L188" t="inlineStr">
        <is>
          <t>UBER</t>
        </is>
      </c>
      <c r="M188" s="3">
        <f>IF(H188="Efectivo",IFERROR((VALUE(RIGHT(I188,4))-VALUE(RIGHT(E188,4)))*12+(VALUE(LEFT(I188,2))-VALUE(LEFT(E188,2))),""),"")</f>
        <v/>
      </c>
    </row>
    <row r="189">
      <c r="A189" t="inlineStr">
        <is>
          <t>CASTILLO CHAVEZ PEDRO ABAD</t>
        </is>
      </c>
      <c r="B189" t="inlineStr">
        <is>
          <t>Hombre</t>
        </is>
      </c>
      <c r="C189" t="inlineStr">
        <is>
          <t>5093AF</t>
        </is>
      </c>
      <c r="D189" t="inlineStr">
        <is>
          <t>BAJA CALIFORNIA</t>
        </is>
      </c>
      <c r="E189" t="inlineStr">
        <is>
          <t>06-2025</t>
        </is>
      </c>
      <c r="F189" t="inlineStr">
        <is>
          <t>01-2026</t>
        </is>
      </c>
      <c r="G189" t="n">
        <v>7</v>
      </c>
      <c r="H189" t="inlineStr">
        <is>
          <t>Efectivo</t>
        </is>
      </c>
      <c r="I189" t="inlineStr">
        <is>
          <t>01-2026</t>
        </is>
      </c>
      <c r="J189" t="inlineStr">
        <is>
          <t>BYN536A</t>
        </is>
      </c>
      <c r="K189" t="inlineStr">
        <is>
          <t>CHEVROLET AVEO</t>
        </is>
      </c>
      <c r="L189" t="inlineStr">
        <is>
          <t>DIDI</t>
        </is>
      </c>
      <c r="M189" s="3">
        <f>IF(H189="Efectivo",IFERROR((VALUE(RIGHT(I189,4))-VALUE(RIGHT(E189,4)))*12+(VALUE(LEFT(I189,2))-VALUE(LEFT(E189,2))),""),"")</f>
        <v/>
      </c>
    </row>
    <row r="190">
      <c r="A190" t="inlineStr">
        <is>
          <t>CASTILLO GONZALEZ RIZARDO</t>
        </is>
      </c>
      <c r="B190" t="inlineStr">
        <is>
          <t>Hombre</t>
        </is>
      </c>
      <c r="C190" t="inlineStr">
        <is>
          <t>4950AF</t>
        </is>
      </c>
      <c r="D190" t="inlineStr">
        <is>
          <t>CDMX Y AREA METROPOLITANA</t>
        </is>
      </c>
      <c r="E190" t="inlineStr">
        <is>
          <t>05-2025</t>
        </is>
      </c>
      <c r="F190" t="inlineStr">
        <is>
          <t>07-2025</t>
        </is>
      </c>
      <c r="G190" t="n">
        <v>2</v>
      </c>
      <c r="H190" t="inlineStr">
        <is>
          <t>Efectivo</t>
        </is>
      </c>
      <c r="I190" t="inlineStr">
        <is>
          <t>08-2025</t>
        </is>
      </c>
      <c r="J190" t="inlineStr">
        <is>
          <t>47G591</t>
        </is>
      </c>
      <c r="K190" t="inlineStr">
        <is>
          <t>BYD MINIDOLPHIN</t>
        </is>
      </c>
      <c r="L190" t="inlineStr">
        <is>
          <t>UBER</t>
        </is>
      </c>
      <c r="M190" s="3">
        <f>IF(H190="Efectivo",IFERROR((VALUE(RIGHT(I190,4))-VALUE(RIGHT(E190,4)))*12+(VALUE(LEFT(I190,2))-VALUE(LEFT(E190,2))),""),"")</f>
        <v/>
      </c>
    </row>
    <row r="191">
      <c r="A191" t="inlineStr">
        <is>
          <t>CASTILLO LARRONDO DAVID ISRAEL</t>
        </is>
      </c>
      <c r="B191" t="inlineStr">
        <is>
          <t>Hombre</t>
        </is>
      </c>
      <c r="C191" t="inlineStr">
        <is>
          <t>5515AF</t>
        </is>
      </c>
      <c r="D191" t="inlineStr">
        <is>
          <t>CDMX Y AREA METROPOLITANA</t>
        </is>
      </c>
      <c r="E191" t="inlineStr">
        <is>
          <t>08-2025</t>
        </is>
      </c>
      <c r="F191" t="inlineStr">
        <is>
          <t>04-2026</t>
        </is>
      </c>
      <c r="G191" t="n">
        <v>8</v>
      </c>
      <c r="H191" t="inlineStr">
        <is>
          <t>Efectivo</t>
        </is>
      </c>
      <c r="I191" t="inlineStr">
        <is>
          <t>04-2026</t>
        </is>
      </c>
      <c r="J191" t="inlineStr">
        <is>
          <t>29G355</t>
        </is>
      </c>
      <c r="K191" t="inlineStr">
        <is>
          <t>GAC AION S</t>
        </is>
      </c>
      <c r="L191" t="inlineStr">
        <is>
          <t>UBER</t>
        </is>
      </c>
      <c r="M191" s="3">
        <f>IF(H191="Efectivo",IFERROR((VALUE(RIGHT(I191,4))-VALUE(RIGHT(E191,4)))*12+(VALUE(LEFT(I191,2))-VALUE(LEFT(E191,2))),""),"")</f>
        <v/>
      </c>
    </row>
    <row r="192">
      <c r="A192" t="inlineStr">
        <is>
          <t>CASTILLO MEDINA IVAN</t>
        </is>
      </c>
      <c r="B192" t="inlineStr">
        <is>
          <t>Hombre</t>
        </is>
      </c>
      <c r="C192" t="inlineStr">
        <is>
          <t>6230AF</t>
        </is>
      </c>
      <c r="D192" t="inlineStr">
        <is>
          <t>CDMX Y AREA METROPOLITANA</t>
        </is>
      </c>
      <c r="E192" t="inlineStr">
        <is>
          <t>11-2025</t>
        </is>
      </c>
      <c r="F192" t="inlineStr">
        <is>
          <t>04-2026</t>
        </is>
      </c>
      <c r="G192" t="n">
        <v>5</v>
      </c>
      <c r="H192" t="inlineStr">
        <is>
          <t>Efectivo</t>
        </is>
      </c>
      <c r="I192" t="inlineStr">
        <is>
          <t>05-2026</t>
        </is>
      </c>
      <c r="J192" t="inlineStr">
        <is>
          <t>15K068</t>
        </is>
      </c>
      <c r="K192" t="inlineStr">
        <is>
          <t>BYD MINIDOLPHIN</t>
        </is>
      </c>
      <c r="L192" t="inlineStr">
        <is>
          <t>DIDI</t>
        </is>
      </c>
      <c r="M192" s="3">
        <f>IF(H192="Efectivo",IFERROR((VALUE(RIGHT(I192,4))-VALUE(RIGHT(E192,4)))*12+(VALUE(LEFT(I192,2))-VALUE(LEFT(E192,2))),""),"")</f>
        <v/>
      </c>
    </row>
    <row r="193">
      <c r="A193" t="inlineStr">
        <is>
          <t>CASTILLO REBOLLO MIGUEL ANGEL</t>
        </is>
      </c>
      <c r="B193" t="inlineStr">
        <is>
          <t>Hombre</t>
        </is>
      </c>
      <c r="C193" t="inlineStr">
        <is>
          <t>3094AF</t>
        </is>
      </c>
      <c r="D193" t="inlineStr">
        <is>
          <t>QUERETARO</t>
        </is>
      </c>
      <c r="E193" t="inlineStr">
        <is>
          <t>03-2024</t>
        </is>
      </c>
      <c r="F193" t="inlineStr">
        <is>
          <t>04-2026</t>
        </is>
      </c>
      <c r="G193" t="n">
        <v>25</v>
      </c>
      <c r="H193" t="inlineStr">
        <is>
          <t>Efectivo</t>
        </is>
      </c>
      <c r="I193" t="inlineStr">
        <is>
          <t>04-2026</t>
        </is>
      </c>
      <c r="J193" t="inlineStr">
        <is>
          <t>UMF784J</t>
        </is>
      </c>
      <c r="K193" t="inlineStr">
        <is>
          <t>CHEVROLET AVEO</t>
        </is>
      </c>
      <c r="L193" t="inlineStr">
        <is>
          <t>UBER</t>
        </is>
      </c>
      <c r="M193" s="3">
        <f>IF(H193="Efectivo",IFERROR((VALUE(RIGHT(I193,4))-VALUE(RIGHT(E193,4)))*12+(VALUE(LEFT(I193,2))-VALUE(LEFT(E193,2))),""),"")</f>
        <v/>
      </c>
    </row>
    <row r="194">
      <c r="A194" t="inlineStr">
        <is>
          <t>CASTILLO SOBERANES OMAR</t>
        </is>
      </c>
      <c r="B194" t="inlineStr">
        <is>
          <t>Hombre</t>
        </is>
      </c>
      <c r="C194" t="inlineStr">
        <is>
          <t>5927AF</t>
        </is>
      </c>
      <c r="D194" t="inlineStr">
        <is>
          <t>CDMX Y AREA METROPOLITANA</t>
        </is>
      </c>
      <c r="E194" t="inlineStr">
        <is>
          <t>10-2025</t>
        </is>
      </c>
      <c r="F194" t="inlineStr">
        <is>
          <t>03-2026</t>
        </is>
      </c>
      <c r="G194" t="n">
        <v>5</v>
      </c>
      <c r="H194" t="inlineStr">
        <is>
          <t>Efectivo</t>
        </is>
      </c>
      <c r="I194" t="inlineStr">
        <is>
          <t>03-2026</t>
        </is>
      </c>
      <c r="J194" t="inlineStr">
        <is>
          <t>11K501</t>
        </is>
      </c>
      <c r="K194" t="inlineStr">
        <is>
          <t>BYD MINIDOLPHIN</t>
        </is>
      </c>
      <c r="L194" t="inlineStr">
        <is>
          <t>DIDI</t>
        </is>
      </c>
      <c r="M194" s="3">
        <f>IF(H194="Efectivo",IFERROR((VALUE(RIGHT(I194,4))-VALUE(RIGHT(E194,4)))*12+(VALUE(LEFT(I194,2))-VALUE(LEFT(E194,2))),""),"")</f>
        <v/>
      </c>
    </row>
    <row r="195">
      <c r="A195" t="inlineStr">
        <is>
          <t>CASTOREÑO LOPEZ FABIAN</t>
        </is>
      </c>
      <c r="B195" t="inlineStr">
        <is>
          <t>Hombre</t>
        </is>
      </c>
      <c r="C195" t="inlineStr">
        <is>
          <t>4076AF</t>
        </is>
      </c>
      <c r="D195" t="inlineStr">
        <is>
          <t>CDMX Y AREA METROPOLITANA</t>
        </is>
      </c>
      <c r="E195" t="inlineStr">
        <is>
          <t>12-2024</t>
        </is>
      </c>
      <c r="F195" t="inlineStr">
        <is>
          <t>11-2025</t>
        </is>
      </c>
      <c r="G195" t="n">
        <v>11</v>
      </c>
      <c r="H195" t="inlineStr">
        <is>
          <t>Pendiente</t>
        </is>
      </c>
      <c r="J195" t="inlineStr">
        <is>
          <t>14G445</t>
        </is>
      </c>
      <c r="K195" t="inlineStr">
        <is>
          <t>BYD D1</t>
        </is>
      </c>
      <c r="L195" t="inlineStr">
        <is>
          <t>UBER</t>
        </is>
      </c>
      <c r="M195" s="3">
        <f>IF(H195="Efectivo",IFERROR((VALUE(RIGHT(I195,4))-VALUE(RIGHT(E195,4)))*12+(VALUE(LEFT(I195,2))-VALUE(LEFT(E195,2))),""),"")</f>
        <v/>
      </c>
    </row>
    <row r="196">
      <c r="A196" t="inlineStr">
        <is>
          <t>CASTREJON JURADO RAMSES ABRAHAM</t>
        </is>
      </c>
      <c r="B196" t="inlineStr">
        <is>
          <t>Hombre</t>
        </is>
      </c>
      <c r="C196" t="inlineStr">
        <is>
          <t>4521AF</t>
        </is>
      </c>
      <c r="D196" t="inlineStr">
        <is>
          <t>CDMX Y AREA METROPOLITANA</t>
        </is>
      </c>
      <c r="E196" t="inlineStr">
        <is>
          <t>03-2025</t>
        </is>
      </c>
      <c r="F196" t="inlineStr">
        <is>
          <t>04-2026</t>
        </is>
      </c>
      <c r="G196" t="n">
        <v>12</v>
      </c>
      <c r="H196" t="inlineStr">
        <is>
          <t>Efectivo</t>
        </is>
      </c>
      <c r="I196" t="inlineStr">
        <is>
          <t>04-2026</t>
        </is>
      </c>
      <c r="J196" t="inlineStr">
        <is>
          <t>39G970</t>
        </is>
      </c>
      <c r="K196" t="inlineStr">
        <is>
          <t>GAC AION S</t>
        </is>
      </c>
      <c r="L196" t="inlineStr">
        <is>
          <t>UBER</t>
        </is>
      </c>
      <c r="M196" s="3">
        <f>IF(H196="Efectivo",IFERROR((VALUE(RIGHT(I196,4))-VALUE(RIGHT(E196,4)))*12+(VALUE(LEFT(I196,2))-VALUE(LEFT(E196,2))),""),"")</f>
        <v/>
      </c>
    </row>
    <row r="197">
      <c r="A197" t="inlineStr">
        <is>
          <t>CASTRILLO PEREZ MIGUEL ANGEL</t>
        </is>
      </c>
      <c r="B197" t="inlineStr">
        <is>
          <t>Hombre</t>
        </is>
      </c>
      <c r="C197" t="inlineStr">
        <is>
          <t>4441AF</t>
        </is>
      </c>
      <c r="D197" t="inlineStr">
        <is>
          <t>CDMX Y AREA METROPOLITANA</t>
        </is>
      </c>
      <c r="E197" t="inlineStr">
        <is>
          <t>03-2025</t>
        </is>
      </c>
      <c r="F197" t="inlineStr">
        <is>
          <t>08-2025</t>
        </is>
      </c>
      <c r="G197" t="n">
        <v>5</v>
      </c>
      <c r="H197" t="inlineStr">
        <is>
          <t>Pendiente</t>
        </is>
      </c>
      <c r="J197" t="inlineStr">
        <is>
          <t>19G622</t>
        </is>
      </c>
      <c r="K197" t="inlineStr">
        <is>
          <t>BYD D1</t>
        </is>
      </c>
      <c r="L197" t="inlineStr">
        <is>
          <t>UBER</t>
        </is>
      </c>
      <c r="M197" s="3">
        <f>IF(H197="Efectivo",IFERROR((VALUE(RIGHT(I197,4))-VALUE(RIGHT(E197,4)))*12+(VALUE(LEFT(I197,2))-VALUE(LEFT(E197,2))),""),"")</f>
        <v/>
      </c>
    </row>
    <row r="198">
      <c r="A198" t="inlineStr">
        <is>
          <t>CASTRO HERRERA LUIS ALBERTO</t>
        </is>
      </c>
      <c r="B198" t="inlineStr">
        <is>
          <t>Hombre</t>
        </is>
      </c>
      <c r="C198" t="inlineStr">
        <is>
          <t>5294AF</t>
        </is>
      </c>
      <c r="D198" t="inlineStr">
        <is>
          <t>NUEVO LEON</t>
        </is>
      </c>
      <c r="E198" t="inlineStr">
        <is>
          <t>07-2025</t>
        </is>
      </c>
      <c r="F198" t="inlineStr">
        <is>
          <t>03-2026</t>
        </is>
      </c>
      <c r="G198" t="n">
        <v>8</v>
      </c>
      <c r="H198" t="inlineStr">
        <is>
          <t>Efectivo</t>
        </is>
      </c>
      <c r="I198" t="inlineStr">
        <is>
          <t>03-2026</t>
        </is>
      </c>
      <c r="J198" t="inlineStr">
        <is>
          <t>SEX504B</t>
        </is>
      </c>
      <c r="K198" t="inlineStr">
        <is>
          <t>TOYOTA AVANZA</t>
        </is>
      </c>
      <c r="L198" t="inlineStr">
        <is>
          <t>UBER</t>
        </is>
      </c>
      <c r="M198" s="3">
        <f>IF(H198="Efectivo",IFERROR((VALUE(RIGHT(I198,4))-VALUE(RIGHT(E198,4)))*12+(VALUE(LEFT(I198,2))-VALUE(LEFT(E198,2))),""),"")</f>
        <v/>
      </c>
    </row>
    <row r="199">
      <c r="A199" t="inlineStr">
        <is>
          <t>CASTRO TABARES MARIO</t>
        </is>
      </c>
      <c r="B199" t="inlineStr">
        <is>
          <t>Hombre</t>
        </is>
      </c>
      <c r="C199" t="inlineStr">
        <is>
          <t>4303AF</t>
        </is>
      </c>
      <c r="D199" t="inlineStr">
        <is>
          <t>CDMX Y AREA METROPOLITANA</t>
        </is>
      </c>
      <c r="E199" t="inlineStr">
        <is>
          <t>02-2025</t>
        </is>
      </c>
      <c r="F199" t="inlineStr">
        <is>
          <t>09-2025</t>
        </is>
      </c>
      <c r="G199" t="n">
        <v>7</v>
      </c>
      <c r="H199" t="inlineStr">
        <is>
          <t>Efectivo</t>
        </is>
      </c>
      <c r="I199" t="inlineStr">
        <is>
          <t>10-2025</t>
        </is>
      </c>
      <c r="J199" t="inlineStr">
        <is>
          <t>31G946</t>
        </is>
      </c>
      <c r="K199" t="inlineStr">
        <is>
          <t>GAC AION S</t>
        </is>
      </c>
      <c r="L199" t="inlineStr">
        <is>
          <t>UBER</t>
        </is>
      </c>
      <c r="M199" s="3">
        <f>IF(H199="Efectivo",IFERROR((VALUE(RIGHT(I199,4))-VALUE(RIGHT(E199,4)))*12+(VALUE(LEFT(I199,2))-VALUE(LEFT(E199,2))),""),"")</f>
        <v/>
      </c>
    </row>
    <row r="200">
      <c r="A200" t="inlineStr">
        <is>
          <t>CAVAZOS INDALECIO ANA LUCIA</t>
        </is>
      </c>
      <c r="B200" t="inlineStr">
        <is>
          <t>Mujer</t>
        </is>
      </c>
      <c r="C200" t="inlineStr">
        <is>
          <t>3651AF</t>
        </is>
      </c>
      <c r="D200" t="inlineStr">
        <is>
          <t>NUEVO LEON</t>
        </is>
      </c>
      <c r="E200" t="inlineStr">
        <is>
          <t>08-2024</t>
        </is>
      </c>
      <c r="F200" t="inlineStr">
        <is>
          <t>03-2026</t>
        </is>
      </c>
      <c r="G200" t="n">
        <v>18</v>
      </c>
      <c r="H200" t="inlineStr">
        <is>
          <t>Efectivo</t>
        </is>
      </c>
      <c r="I200" t="inlineStr">
        <is>
          <t>03-2026</t>
        </is>
      </c>
      <c r="J200" t="inlineStr">
        <is>
          <t>TDS728B</t>
        </is>
      </c>
      <c r="K200" t="inlineStr">
        <is>
          <t>CHEVROLET AVEO</t>
        </is>
      </c>
      <c r="L200" t="inlineStr">
        <is>
          <t>UBER</t>
        </is>
      </c>
      <c r="M200" s="3">
        <f>IF(H200="Efectivo",IFERROR((VALUE(RIGHT(I200,4))-VALUE(RIGHT(E200,4)))*12+(VALUE(LEFT(I200,2))-VALUE(LEFT(E200,2))),""),"")</f>
        <v/>
      </c>
    </row>
    <row r="201">
      <c r="A201" t="inlineStr">
        <is>
          <t>CEDEÑO REYES GUILLERMO</t>
        </is>
      </c>
      <c r="B201" t="inlineStr">
        <is>
          <t>Hombre</t>
        </is>
      </c>
      <c r="C201" t="inlineStr">
        <is>
          <t>2212AF</t>
        </is>
      </c>
      <c r="D201" t="inlineStr">
        <is>
          <t>BAJA CALIFORNIA</t>
        </is>
      </c>
      <c r="E201" t="inlineStr">
        <is>
          <t>08-2022</t>
        </is>
      </c>
      <c r="F201" t="inlineStr">
        <is>
          <t>04-2025</t>
        </is>
      </c>
      <c r="G201" t="n">
        <v>32</v>
      </c>
      <c r="H201" t="inlineStr">
        <is>
          <t>Efectivo</t>
        </is>
      </c>
      <c r="I201" t="inlineStr">
        <is>
          <t>04-2025</t>
        </is>
      </c>
      <c r="J201" t="inlineStr">
        <is>
          <t>AYR458A</t>
        </is>
      </c>
      <c r="K201" t="inlineStr">
        <is>
          <t>TOYOTA AVANZA</t>
        </is>
      </c>
      <c r="L201" t="inlineStr">
        <is>
          <t>UBER</t>
        </is>
      </c>
      <c r="M201" s="3">
        <f>IF(H201="Efectivo",IFERROR((VALUE(RIGHT(I201,4))-VALUE(RIGHT(E201,4)))*12+(VALUE(LEFT(I201,2))-VALUE(LEFT(E201,2))),""),"")</f>
        <v/>
      </c>
    </row>
    <row r="202">
      <c r="A202" t="inlineStr">
        <is>
          <t>CEDILLO ALCANTARA ADRIAN BENJAMIN</t>
        </is>
      </c>
      <c r="B202" t="inlineStr">
        <is>
          <t>Hombre</t>
        </is>
      </c>
      <c r="C202" t="inlineStr">
        <is>
          <t>3565AF</t>
        </is>
      </c>
      <c r="D202" t="inlineStr">
        <is>
          <t>CDMX Y AREA METROPOLITANA</t>
        </is>
      </c>
      <c r="E202" t="inlineStr">
        <is>
          <t>07-2024</t>
        </is>
      </c>
      <c r="F202" t="inlineStr">
        <is>
          <t>02-2026</t>
        </is>
      </c>
      <c r="G202" t="n">
        <v>19</v>
      </c>
      <c r="H202" t="inlineStr">
        <is>
          <t>Efectivo</t>
        </is>
      </c>
      <c r="I202" t="inlineStr">
        <is>
          <t>04-2026</t>
        </is>
      </c>
      <c r="J202" t="inlineStr">
        <is>
          <t>89F825</t>
        </is>
      </c>
      <c r="K202" t="inlineStr">
        <is>
          <t>BYD D1</t>
        </is>
      </c>
      <c r="L202" t="inlineStr">
        <is>
          <t>UBER</t>
        </is>
      </c>
      <c r="M202" s="3">
        <f>IF(H202="Efectivo",IFERROR((VALUE(RIGHT(I202,4))-VALUE(RIGHT(E202,4)))*12+(VALUE(LEFT(I202,2))-VALUE(LEFT(E202,2))),""),"")</f>
        <v/>
      </c>
    </row>
    <row r="203">
      <c r="A203" t="inlineStr">
        <is>
          <t>CEDILLO SANCHEZ ARMANDO</t>
        </is>
      </c>
      <c r="B203" t="inlineStr">
        <is>
          <t>Hombre</t>
        </is>
      </c>
      <c r="C203" t="inlineStr">
        <is>
          <t>3837AF</t>
        </is>
      </c>
      <c r="D203" t="inlineStr">
        <is>
          <t>CDMX Y AREA METROPOLITANA</t>
        </is>
      </c>
      <c r="E203" t="inlineStr">
        <is>
          <t>10-2024</t>
        </is>
      </c>
      <c r="F203" t="inlineStr">
        <is>
          <t>03-2025</t>
        </is>
      </c>
      <c r="G203" t="n">
        <v>5</v>
      </c>
      <c r="H203" t="inlineStr">
        <is>
          <t>Efectivo</t>
        </is>
      </c>
      <c r="I203" t="inlineStr">
        <is>
          <t>03-2025</t>
        </is>
      </c>
      <c r="J203" t="inlineStr">
        <is>
          <t>08G186</t>
        </is>
      </c>
      <c r="K203" t="inlineStr">
        <is>
          <t>BYD D1</t>
        </is>
      </c>
      <c r="L203" t="inlineStr">
        <is>
          <t>UBER</t>
        </is>
      </c>
      <c r="M203" s="3">
        <f>IF(H203="Efectivo",IFERROR((VALUE(RIGHT(I203,4))-VALUE(RIGHT(E203,4)))*12+(VALUE(LEFT(I203,2))-VALUE(LEFT(E203,2))),""),"")</f>
        <v/>
      </c>
    </row>
    <row r="204">
      <c r="A204" t="inlineStr">
        <is>
          <t>CERDA MALO JESSY</t>
        </is>
      </c>
      <c r="B204" t="inlineStr">
        <is>
          <t>Hombre</t>
        </is>
      </c>
      <c r="C204" t="inlineStr">
        <is>
          <t>4402AF</t>
        </is>
      </c>
      <c r="D204" t="inlineStr">
        <is>
          <t>BAJA CALIFORNIA</t>
        </is>
      </c>
      <c r="E204" t="inlineStr">
        <is>
          <t>03-2025</t>
        </is>
      </c>
      <c r="F204" t="inlineStr">
        <is>
          <t>05-2025</t>
        </is>
      </c>
      <c r="G204" t="n">
        <v>2</v>
      </c>
      <c r="H204" t="inlineStr">
        <is>
          <t>Efectivo</t>
        </is>
      </c>
      <c r="I204" t="inlineStr">
        <is>
          <t>06-2025</t>
        </is>
      </c>
      <c r="J204" t="inlineStr">
        <is>
          <t>BWG810A</t>
        </is>
      </c>
      <c r="K204" t="inlineStr">
        <is>
          <t>CHEVROLET AVEO</t>
        </is>
      </c>
      <c r="L204" t="inlineStr">
        <is>
          <t>UBER</t>
        </is>
      </c>
      <c r="M204" s="3">
        <f>IF(H204="Efectivo",IFERROR((VALUE(RIGHT(I204,4))-VALUE(RIGHT(E204,4)))*12+(VALUE(LEFT(I204,2))-VALUE(LEFT(E204,2))),""),"")</f>
        <v/>
      </c>
    </row>
    <row r="205">
      <c r="A205" t="inlineStr">
        <is>
          <t>CERON ESTRADA JULIO CESAR</t>
        </is>
      </c>
      <c r="B205" t="inlineStr">
        <is>
          <t>Hombre</t>
        </is>
      </c>
      <c r="C205" t="inlineStr">
        <is>
          <t>4344AF</t>
        </is>
      </c>
      <c r="D205" t="inlineStr">
        <is>
          <t>CDMX Y AREA METROPOLITANA</t>
        </is>
      </c>
      <c r="E205" t="inlineStr">
        <is>
          <t>02-2025</t>
        </is>
      </c>
      <c r="F205" t="inlineStr">
        <is>
          <t>01-2026</t>
        </is>
      </c>
      <c r="G205" t="n">
        <v>11</v>
      </c>
      <c r="H205" t="inlineStr">
        <is>
          <t>Efectivo</t>
        </is>
      </c>
      <c r="I205" t="inlineStr">
        <is>
          <t>02-2026</t>
        </is>
      </c>
      <c r="J205" t="inlineStr">
        <is>
          <t>31G905</t>
        </is>
      </c>
      <c r="K205" t="inlineStr">
        <is>
          <t>GAC AION S</t>
        </is>
      </c>
      <c r="L205" t="inlineStr">
        <is>
          <t>UBER</t>
        </is>
      </c>
      <c r="M205" s="3">
        <f>IF(H205="Efectivo",IFERROR((VALUE(RIGHT(I205,4))-VALUE(RIGHT(E205,4)))*12+(VALUE(LEFT(I205,2))-VALUE(LEFT(E205,2))),""),"")</f>
        <v/>
      </c>
    </row>
    <row r="206">
      <c r="A206" t="inlineStr">
        <is>
          <t>CERON LOPEZ JOSE ARTURO</t>
        </is>
      </c>
      <c r="B206" t="inlineStr">
        <is>
          <t>Hombre</t>
        </is>
      </c>
      <c r="C206" t="inlineStr">
        <is>
          <t>5253AF</t>
        </is>
      </c>
      <c r="D206" t="inlineStr">
        <is>
          <t>CDMX Y AREA METROPOLITANA</t>
        </is>
      </c>
      <c r="E206" t="inlineStr">
        <is>
          <t>07-2025</t>
        </is>
      </c>
      <c r="F206" t="inlineStr">
        <is>
          <t>02-2026</t>
        </is>
      </c>
      <c r="G206" t="n">
        <v>7</v>
      </c>
      <c r="H206" t="inlineStr">
        <is>
          <t>Efectivo</t>
        </is>
      </c>
      <c r="I206" t="inlineStr">
        <is>
          <t>02-2026</t>
        </is>
      </c>
      <c r="J206" t="inlineStr">
        <is>
          <t>38G202</t>
        </is>
      </c>
      <c r="K206" t="inlineStr">
        <is>
          <t>GAC AION S</t>
        </is>
      </c>
      <c r="L206" t="inlineStr">
        <is>
          <t>DIDI</t>
        </is>
      </c>
      <c r="M206" s="3">
        <f>IF(H206="Efectivo",IFERROR((VALUE(RIGHT(I206,4))-VALUE(RIGHT(E206,4)))*12+(VALUE(LEFT(I206,2))-VALUE(LEFT(E206,2))),""),"")</f>
        <v/>
      </c>
    </row>
    <row r="207">
      <c r="A207" t="inlineStr">
        <is>
          <t>CERRILLO CHAPARRO ROBERTO CARLOS</t>
        </is>
      </c>
      <c r="B207" t="inlineStr">
        <is>
          <t>Hombre</t>
        </is>
      </c>
      <c r="C207" t="inlineStr">
        <is>
          <t>5243AF</t>
        </is>
      </c>
      <c r="D207" t="inlineStr">
        <is>
          <t>BAJA CALIFORNIA</t>
        </is>
      </c>
      <c r="E207" t="inlineStr">
        <is>
          <t>07-2025</t>
        </is>
      </c>
      <c r="F207" t="inlineStr">
        <is>
          <t>12-2025</t>
        </is>
      </c>
      <c r="G207" t="n">
        <v>5</v>
      </c>
      <c r="H207" t="inlineStr">
        <is>
          <t>Efectivo</t>
        </is>
      </c>
      <c r="I207" t="inlineStr">
        <is>
          <t>03-2026</t>
        </is>
      </c>
      <c r="J207" t="inlineStr">
        <is>
          <t>BYY745A</t>
        </is>
      </c>
      <c r="K207" t="inlineStr">
        <is>
          <t>CHEVROLET AVEO</t>
        </is>
      </c>
      <c r="L207" t="inlineStr">
        <is>
          <t>DIDI</t>
        </is>
      </c>
      <c r="M207" s="3">
        <f>IF(H207="Efectivo",IFERROR((VALUE(RIGHT(I207,4))-VALUE(RIGHT(E207,4)))*12+(VALUE(LEFT(I207,2))-VALUE(LEFT(E207,2))),""),"")</f>
        <v/>
      </c>
    </row>
    <row r="208">
      <c r="A208" t="inlineStr">
        <is>
          <t>CERVANTES REAL GERARDO ENRIQUE</t>
        </is>
      </c>
      <c r="B208" t="inlineStr">
        <is>
          <t>Hombre</t>
        </is>
      </c>
      <c r="C208" t="inlineStr">
        <is>
          <t>4430AF</t>
        </is>
      </c>
      <c r="D208" t="inlineStr">
        <is>
          <t>CDMX Y AREA METROPOLITANA</t>
        </is>
      </c>
      <c r="E208" t="inlineStr">
        <is>
          <t>03-2025</t>
        </is>
      </c>
      <c r="F208" t="inlineStr">
        <is>
          <t>09-2025</t>
        </is>
      </c>
      <c r="G208" t="n">
        <v>6</v>
      </c>
      <c r="H208" t="inlineStr">
        <is>
          <t>Efectivo</t>
        </is>
      </c>
      <c r="I208" t="inlineStr">
        <is>
          <t>12-2025</t>
        </is>
      </c>
      <c r="J208" t="inlineStr">
        <is>
          <t>14G492</t>
        </is>
      </c>
      <c r="K208" t="inlineStr">
        <is>
          <t>BYD D1</t>
        </is>
      </c>
      <c r="L208" t="inlineStr">
        <is>
          <t>UBER</t>
        </is>
      </c>
      <c r="M208" s="3">
        <f>IF(H208="Efectivo",IFERROR((VALUE(RIGHT(I208,4))-VALUE(RIGHT(E208,4)))*12+(VALUE(LEFT(I208,2))-VALUE(LEFT(E208,2))),""),"")</f>
        <v/>
      </c>
    </row>
    <row r="209">
      <c r="A209" t="inlineStr">
        <is>
          <t>CERVANTES SUAREZ JULIO CESAR</t>
        </is>
      </c>
      <c r="B209" t="inlineStr">
        <is>
          <t>Hombre</t>
        </is>
      </c>
      <c r="C209" t="inlineStr">
        <is>
          <t>4644AF</t>
        </is>
      </c>
      <c r="D209" t="inlineStr">
        <is>
          <t>CDMX Y AREA METROPOLITANA</t>
        </is>
      </c>
      <c r="E209" t="inlineStr">
        <is>
          <t>04-2025</t>
        </is>
      </c>
      <c r="F209" t="inlineStr">
        <is>
          <t>08-2025</t>
        </is>
      </c>
      <c r="G209" t="n">
        <v>4</v>
      </c>
      <c r="H209" t="inlineStr">
        <is>
          <t>Efectivo</t>
        </is>
      </c>
      <c r="I209" t="inlineStr">
        <is>
          <t>09-2025</t>
        </is>
      </c>
      <c r="J209" t="inlineStr">
        <is>
          <t>38G237</t>
        </is>
      </c>
      <c r="K209" t="inlineStr">
        <is>
          <t>GAC AION S</t>
        </is>
      </c>
      <c r="L209" t="inlineStr">
        <is>
          <t>UBER</t>
        </is>
      </c>
      <c r="M209" s="3">
        <f>IF(H209="Efectivo",IFERROR((VALUE(RIGHT(I209,4))-VALUE(RIGHT(E209,4)))*12+(VALUE(LEFT(I209,2))-VALUE(LEFT(E209,2))),""),"")</f>
        <v/>
      </c>
    </row>
    <row r="210">
      <c r="A210" t="inlineStr">
        <is>
          <t>CERVANTES TORRES CHRISTIAN ISRAEL</t>
        </is>
      </c>
      <c r="B210" t="inlineStr">
        <is>
          <t>Hombre</t>
        </is>
      </c>
      <c r="C210" t="inlineStr">
        <is>
          <t>3777AF</t>
        </is>
      </c>
      <c r="D210" t="inlineStr">
        <is>
          <t>CDMX Y AREA METROPOLITANA</t>
        </is>
      </c>
      <c r="E210" t="inlineStr">
        <is>
          <t>09-2024</t>
        </is>
      </c>
      <c r="F210" t="inlineStr">
        <is>
          <t>07-2025</t>
        </is>
      </c>
      <c r="G210" t="n">
        <v>10</v>
      </c>
      <c r="H210" t="inlineStr">
        <is>
          <t>Efectivo</t>
        </is>
      </c>
      <c r="I210" t="inlineStr">
        <is>
          <t>08-2025</t>
        </is>
      </c>
      <c r="J210" t="inlineStr">
        <is>
          <t>13G570</t>
        </is>
      </c>
      <c r="K210" t="inlineStr">
        <is>
          <t>BYD MINIDOLPHIN</t>
        </is>
      </c>
      <c r="L210" t="inlineStr">
        <is>
          <t>DIDI</t>
        </is>
      </c>
      <c r="M210" s="3">
        <f>IF(H210="Efectivo",IFERROR((VALUE(RIGHT(I210,4))-VALUE(RIGHT(E210,4)))*12+(VALUE(LEFT(I210,2))-VALUE(LEFT(E210,2))),""),"")</f>
        <v/>
      </c>
    </row>
    <row r="211">
      <c r="A211" t="inlineStr">
        <is>
          <t>CHACON ESTUDILLO ANDRES JAVIER</t>
        </is>
      </c>
      <c r="B211" t="inlineStr">
        <is>
          <t>Hombre</t>
        </is>
      </c>
      <c r="C211" t="inlineStr">
        <is>
          <t>5437AF</t>
        </is>
      </c>
      <c r="D211" t="inlineStr">
        <is>
          <t>CDMX Y AREA METROPOLITANA</t>
        </is>
      </c>
      <c r="E211" t="inlineStr">
        <is>
          <t>07-2025</t>
        </is>
      </c>
      <c r="F211" t="inlineStr">
        <is>
          <t>04-2026</t>
        </is>
      </c>
      <c r="G211" t="n">
        <v>9</v>
      </c>
      <c r="H211" t="inlineStr">
        <is>
          <t>Pendiente</t>
        </is>
      </c>
      <c r="J211" t="inlineStr">
        <is>
          <t>48G035</t>
        </is>
      </c>
      <c r="K211" t="inlineStr">
        <is>
          <t>BYD MINIDOLPHIN</t>
        </is>
      </c>
      <c r="L211" t="inlineStr">
        <is>
          <t>UBER</t>
        </is>
      </c>
      <c r="M211" s="3">
        <f>IF(H211="Efectivo",IFERROR((VALUE(RIGHT(I211,4))-VALUE(RIGHT(E211,4)))*12+(VALUE(LEFT(I211,2))-VALUE(LEFT(E211,2))),""),"")</f>
        <v/>
      </c>
    </row>
    <row r="212">
      <c r="A212" t="inlineStr">
        <is>
          <t>CHACON VANEGAS JUAN CARLOS</t>
        </is>
      </c>
      <c r="B212" t="inlineStr">
        <is>
          <t>Hombre</t>
        </is>
      </c>
      <c r="C212" t="inlineStr">
        <is>
          <t>6367AF</t>
        </is>
      </c>
      <c r="D212" t="inlineStr">
        <is>
          <t>CDMX Y AREA METROPOLITANA</t>
        </is>
      </c>
      <c r="E212" t="inlineStr">
        <is>
          <t>11-2025</t>
        </is>
      </c>
      <c r="F212" t="inlineStr">
        <is>
          <t>02-2026</t>
        </is>
      </c>
      <c r="G212" t="n">
        <v>2</v>
      </c>
      <c r="H212" t="inlineStr">
        <is>
          <t>Pendiente</t>
        </is>
      </c>
      <c r="J212" t="inlineStr">
        <is>
          <t>62G354</t>
        </is>
      </c>
      <c r="K212" t="inlineStr">
        <is>
          <t>BYD E5</t>
        </is>
      </c>
      <c r="L212" t="inlineStr">
        <is>
          <t>UBER</t>
        </is>
      </c>
      <c r="M212" s="3">
        <f>IF(H212="Efectivo",IFERROR((VALUE(RIGHT(I212,4))-VALUE(RIGHT(E212,4)))*12+(VALUE(LEFT(I212,2))-VALUE(LEFT(E212,2))),""),"")</f>
        <v/>
      </c>
    </row>
    <row r="213">
      <c r="A213" t="inlineStr">
        <is>
          <t>CHANFREAU HERNANDEZ JORGE</t>
        </is>
      </c>
      <c r="B213" t="inlineStr">
        <is>
          <t>Hombre</t>
        </is>
      </c>
      <c r="C213" t="inlineStr">
        <is>
          <t>3553AF</t>
        </is>
      </c>
      <c r="D213" t="inlineStr">
        <is>
          <t>CDMX Y AREA METROPOLITANA</t>
        </is>
      </c>
      <c r="E213" t="inlineStr">
        <is>
          <t>08-2024</t>
        </is>
      </c>
      <c r="F213" t="inlineStr">
        <is>
          <t>12-2025</t>
        </is>
      </c>
      <c r="G213" t="n">
        <v>17</v>
      </c>
      <c r="H213" t="inlineStr">
        <is>
          <t>Cancelado</t>
        </is>
      </c>
      <c r="J213" t="inlineStr">
        <is>
          <t>G11BPF</t>
        </is>
      </c>
      <c r="K213" t="inlineStr">
        <is>
          <t>TOYOTA AVANZA</t>
        </is>
      </c>
      <c r="L213" t="inlineStr">
        <is>
          <t>UBER</t>
        </is>
      </c>
      <c r="M213" s="3">
        <f>IF(H213="Efectivo",IFERROR((VALUE(RIGHT(I213,4))-VALUE(RIGHT(E213,4)))*12+(VALUE(LEFT(I213,2))-VALUE(LEFT(E213,2))),""),"")</f>
        <v/>
      </c>
    </row>
    <row r="214">
      <c r="A214" t="inlineStr">
        <is>
          <t>CHANFREAU HERNANDEZ JORGE</t>
        </is>
      </c>
      <c r="B214" t="inlineStr">
        <is>
          <t>Hombre</t>
        </is>
      </c>
      <c r="C214" t="inlineStr">
        <is>
          <t>3553AF</t>
        </is>
      </c>
      <c r="D214" t="inlineStr">
        <is>
          <t>CDMX Y AREA METROPOLITANA</t>
        </is>
      </c>
      <c r="E214" t="inlineStr">
        <is>
          <t>08-2024</t>
        </is>
      </c>
      <c r="F214" t="inlineStr">
        <is>
          <t>02-2026</t>
        </is>
      </c>
      <c r="G214" t="n">
        <v>18</v>
      </c>
      <c r="H214" t="inlineStr">
        <is>
          <t>Efectivo</t>
        </is>
      </c>
      <c r="I214" t="inlineStr">
        <is>
          <t>04-2026</t>
        </is>
      </c>
      <c r="J214" t="inlineStr">
        <is>
          <t>G11BPF</t>
        </is>
      </c>
      <c r="K214" t="inlineStr">
        <is>
          <t>TOYOTA AVANZA</t>
        </is>
      </c>
      <c r="L214" t="inlineStr">
        <is>
          <t>UBER</t>
        </is>
      </c>
      <c r="M214" s="3">
        <f>IF(H214="Efectivo",IFERROR((VALUE(RIGHT(I214,4))-VALUE(RIGHT(E214,4)))*12+(VALUE(LEFT(I214,2))-VALUE(LEFT(E214,2))),""),"")</f>
        <v/>
      </c>
    </row>
    <row r="215">
      <c r="A215" t="inlineStr">
        <is>
          <t>CHAVERO GONZALEZ LUIS EDUARDO</t>
        </is>
      </c>
      <c r="B215" t="inlineStr">
        <is>
          <t>Hombre</t>
        </is>
      </c>
      <c r="C215" t="inlineStr">
        <is>
          <t>6046AF</t>
        </is>
      </c>
      <c r="D215" t="inlineStr">
        <is>
          <t>CDMX Y AREA METROPOLITANA</t>
        </is>
      </c>
      <c r="E215" t="inlineStr">
        <is>
          <t>10-2025</t>
        </is>
      </c>
      <c r="F215" t="inlineStr">
        <is>
          <t>02-2026</t>
        </is>
      </c>
      <c r="G215" t="n">
        <v>3</v>
      </c>
      <c r="H215" t="inlineStr">
        <is>
          <t>Efectivo</t>
        </is>
      </c>
      <c r="I215" t="inlineStr">
        <is>
          <t>03-2026</t>
        </is>
      </c>
      <c r="J215" t="inlineStr">
        <is>
          <t>15K439</t>
        </is>
      </c>
      <c r="K215" t="inlineStr">
        <is>
          <t>BYD MINIDOLPHIN</t>
        </is>
      </c>
      <c r="L215" t="inlineStr">
        <is>
          <t>UBER</t>
        </is>
      </c>
      <c r="M215" s="3">
        <f>IF(H215="Efectivo",IFERROR((VALUE(RIGHT(I215,4))-VALUE(RIGHT(E215,4)))*12+(VALUE(LEFT(I215,2))-VALUE(LEFT(E215,2))),""),"")</f>
        <v/>
      </c>
    </row>
    <row r="216">
      <c r="A216" t="inlineStr">
        <is>
          <t>CHAVEZ ALAMILLA JULIO MANUEL</t>
        </is>
      </c>
      <c r="B216" t="inlineStr">
        <is>
          <t>Hombre</t>
        </is>
      </c>
      <c r="C216" t="inlineStr">
        <is>
          <t>4509AF</t>
        </is>
      </c>
      <c r="D216" t="inlineStr">
        <is>
          <t>CDMX Y AREA METROPOLITANA</t>
        </is>
      </c>
      <c r="E216" t="inlineStr">
        <is>
          <t>03-2025</t>
        </is>
      </c>
      <c r="F216" t="inlineStr">
        <is>
          <t>06-2025</t>
        </is>
      </c>
      <c r="G216" t="n">
        <v>2</v>
      </c>
      <c r="H216" t="inlineStr">
        <is>
          <t>Efectivo</t>
        </is>
      </c>
      <c r="I216" t="inlineStr">
        <is>
          <t>06-2025</t>
        </is>
      </c>
      <c r="J216" t="inlineStr">
        <is>
          <t>B03BMP</t>
        </is>
      </c>
      <c r="K216" t="inlineStr">
        <is>
          <t>CHEVROLET AVEO</t>
        </is>
      </c>
      <c r="L216" t="inlineStr">
        <is>
          <t>UBER</t>
        </is>
      </c>
      <c r="M216" s="3">
        <f>IF(H216="Efectivo",IFERROR((VALUE(RIGHT(I216,4))-VALUE(RIGHT(E216,4)))*12+(VALUE(LEFT(I216,2))-VALUE(LEFT(E216,2))),""),"")</f>
        <v/>
      </c>
    </row>
    <row r="217">
      <c r="A217" t="inlineStr">
        <is>
          <t>CHAVEZ CRUZ IGNACIO</t>
        </is>
      </c>
      <c r="B217" t="inlineStr">
        <is>
          <t>Hombre</t>
        </is>
      </c>
      <c r="C217" t="inlineStr">
        <is>
          <t>5500AF</t>
        </is>
      </c>
      <c r="D217" t="inlineStr">
        <is>
          <t>CDMX Y AREA METROPOLITANA</t>
        </is>
      </c>
      <c r="E217" t="inlineStr">
        <is>
          <t>08-2025</t>
        </is>
      </c>
      <c r="F217" t="inlineStr">
        <is>
          <t>04-2026</t>
        </is>
      </c>
      <c r="G217" t="n">
        <v>8</v>
      </c>
      <c r="H217" t="inlineStr">
        <is>
          <t>Efectivo</t>
        </is>
      </c>
      <c r="I217" t="inlineStr">
        <is>
          <t>04-2026</t>
        </is>
      </c>
      <c r="J217" t="inlineStr">
        <is>
          <t>48G192</t>
        </is>
      </c>
      <c r="K217" t="inlineStr">
        <is>
          <t>BYD MINIDOLPHIN</t>
        </is>
      </c>
      <c r="L217" t="inlineStr">
        <is>
          <t>UBER</t>
        </is>
      </c>
      <c r="M217" s="3">
        <f>IF(H217="Efectivo",IFERROR((VALUE(RIGHT(I217,4))-VALUE(RIGHT(E217,4)))*12+(VALUE(LEFT(I217,2))-VALUE(LEFT(E217,2))),""),"")</f>
        <v/>
      </c>
    </row>
    <row r="218">
      <c r="A218" t="inlineStr">
        <is>
          <t>CHAVEZ HINOJOSA DANIEL</t>
        </is>
      </c>
      <c r="B218" t="inlineStr">
        <is>
          <t>Hombre</t>
        </is>
      </c>
      <c r="C218" t="inlineStr">
        <is>
          <t>5519AF</t>
        </is>
      </c>
      <c r="D218" t="inlineStr">
        <is>
          <t>BAJA CALIFORNIA</t>
        </is>
      </c>
      <c r="E218" t="inlineStr">
        <is>
          <t>08-2025</t>
        </is>
      </c>
      <c r="F218" t="inlineStr">
        <is>
          <t>12-2025</t>
        </is>
      </c>
      <c r="G218" t="n">
        <v>4</v>
      </c>
      <c r="H218" t="inlineStr">
        <is>
          <t>Efectivo</t>
        </is>
      </c>
      <c r="I218" t="inlineStr">
        <is>
          <t>02-2026</t>
        </is>
      </c>
      <c r="J218" t="inlineStr">
        <is>
          <t>BWG810A</t>
        </is>
      </c>
      <c r="K218" t="inlineStr">
        <is>
          <t>CHEVROLET AVEO</t>
        </is>
      </c>
      <c r="L218" t="inlineStr">
        <is>
          <t>UBER</t>
        </is>
      </c>
      <c r="M218" s="3">
        <f>IF(H218="Efectivo",IFERROR((VALUE(RIGHT(I218,4))-VALUE(RIGHT(E218,4)))*12+(VALUE(LEFT(I218,2))-VALUE(LEFT(E218,2))),""),"")</f>
        <v/>
      </c>
    </row>
    <row r="219">
      <c r="A219" t="inlineStr">
        <is>
          <t>CHAVEZ LOBATO LUIS</t>
        </is>
      </c>
      <c r="B219" t="inlineStr">
        <is>
          <t>Hombre</t>
        </is>
      </c>
      <c r="C219" t="inlineStr">
        <is>
          <t>3460AF</t>
        </is>
      </c>
      <c r="D219" t="inlineStr">
        <is>
          <t>CDMX Y AREA METROPOLITANA</t>
        </is>
      </c>
      <c r="E219" t="inlineStr">
        <is>
          <t>07-2024</t>
        </is>
      </c>
      <c r="F219" t="inlineStr">
        <is>
          <t>08-2025</t>
        </is>
      </c>
      <c r="G219" t="n">
        <v>13</v>
      </c>
      <c r="H219" t="inlineStr">
        <is>
          <t>Efectivo</t>
        </is>
      </c>
      <c r="I219" t="inlineStr">
        <is>
          <t>08-2025</t>
        </is>
      </c>
      <c r="J219" t="inlineStr">
        <is>
          <t>89F642</t>
        </is>
      </c>
      <c r="K219" t="inlineStr">
        <is>
          <t>BYD D1</t>
        </is>
      </c>
      <c r="L219" t="inlineStr">
        <is>
          <t>UBER</t>
        </is>
      </c>
      <c r="M219" s="3">
        <f>IF(H219="Efectivo",IFERROR((VALUE(RIGHT(I219,4))-VALUE(RIGHT(E219,4)))*12+(VALUE(LEFT(I219,2))-VALUE(LEFT(E219,2))),""),"")</f>
        <v/>
      </c>
    </row>
    <row r="220">
      <c r="A220" t="inlineStr">
        <is>
          <t>CHIPREZ CAMPOS JOSE ALFREDO</t>
        </is>
      </c>
      <c r="B220" t="inlineStr">
        <is>
          <t>Hombre</t>
        </is>
      </c>
      <c r="C220" t="inlineStr">
        <is>
          <t>5398AF</t>
        </is>
      </c>
      <c r="D220" t="inlineStr">
        <is>
          <t>BAJA CALIFORNIA</t>
        </is>
      </c>
      <c r="E220" t="inlineStr">
        <is>
          <t>07-2025</t>
        </is>
      </c>
      <c r="F220" t="inlineStr">
        <is>
          <t>11-2025</t>
        </is>
      </c>
      <c r="G220" t="n">
        <v>4</v>
      </c>
      <c r="H220" t="inlineStr">
        <is>
          <t>Efectivo</t>
        </is>
      </c>
      <c r="I220" t="inlineStr">
        <is>
          <t>12-2025</t>
        </is>
      </c>
      <c r="J220" t="inlineStr">
        <is>
          <t>BYZ940A</t>
        </is>
      </c>
      <c r="K220" t="inlineStr">
        <is>
          <t>CHEVROLET AVEO</t>
        </is>
      </c>
      <c r="L220" t="inlineStr">
        <is>
          <t>DIDI</t>
        </is>
      </c>
      <c r="M220" s="3">
        <f>IF(H220="Efectivo",IFERROR((VALUE(RIGHT(I220,4))-VALUE(RIGHT(E220,4)))*12+(VALUE(LEFT(I220,2))-VALUE(LEFT(E220,2))),""),"")</f>
        <v/>
      </c>
    </row>
    <row r="221">
      <c r="A221" t="inlineStr">
        <is>
          <t>CHORA HERRERA ULISES</t>
        </is>
      </c>
      <c r="B221" t="inlineStr">
        <is>
          <t>Hombre</t>
        </is>
      </c>
      <c r="C221" t="inlineStr">
        <is>
          <t>5722AF</t>
        </is>
      </c>
      <c r="D221" t="inlineStr">
        <is>
          <t>CDMX Y AREA METROPOLITANA</t>
        </is>
      </c>
      <c r="E221" t="inlineStr">
        <is>
          <t>09-2025</t>
        </is>
      </c>
      <c r="F221" t="inlineStr">
        <is>
          <t>11-2025</t>
        </is>
      </c>
      <c r="G221" t="n">
        <v>2</v>
      </c>
      <c r="H221" t="inlineStr">
        <is>
          <t>Efectivo</t>
        </is>
      </c>
      <c r="I221" t="inlineStr">
        <is>
          <t>01-2026</t>
        </is>
      </c>
      <c r="J221" t="inlineStr">
        <is>
          <t>10K418</t>
        </is>
      </c>
      <c r="K221" t="inlineStr">
        <is>
          <t>BYD MINIDOLPHIN</t>
        </is>
      </c>
      <c r="L221" t="inlineStr">
        <is>
          <t>DIDI</t>
        </is>
      </c>
      <c r="M221" s="3">
        <f>IF(H221="Efectivo",IFERROR((VALUE(RIGHT(I221,4))-VALUE(RIGHT(E221,4)))*12+(VALUE(LEFT(I221,2))-VALUE(LEFT(E221,2))),""),"")</f>
        <v/>
      </c>
    </row>
    <row r="222">
      <c r="A222" t="inlineStr">
        <is>
          <t>CIMBRON REYES DANIEL</t>
        </is>
      </c>
      <c r="B222" t="inlineStr">
        <is>
          <t>Hombre</t>
        </is>
      </c>
      <c r="C222" t="inlineStr">
        <is>
          <t>4158AF</t>
        </is>
      </c>
      <c r="D222" t="inlineStr">
        <is>
          <t>CDMX Y AREA METROPOLITANA</t>
        </is>
      </c>
      <c r="E222" t="inlineStr">
        <is>
          <t>12-2024</t>
        </is>
      </c>
      <c r="F222" t="inlineStr">
        <is>
          <t>04-2025</t>
        </is>
      </c>
      <c r="G222" t="n">
        <v>4</v>
      </c>
      <c r="H222" t="inlineStr">
        <is>
          <t>Efectivo</t>
        </is>
      </c>
      <c r="I222" t="inlineStr">
        <is>
          <t>05-2025</t>
        </is>
      </c>
      <c r="J222" t="inlineStr">
        <is>
          <t>19G374</t>
        </is>
      </c>
      <c r="K222" t="inlineStr">
        <is>
          <t>BYD D1</t>
        </is>
      </c>
      <c r="L222" t="inlineStr">
        <is>
          <t>DIDI</t>
        </is>
      </c>
      <c r="M222" s="3">
        <f>IF(H222="Efectivo",IFERROR((VALUE(RIGHT(I222,4))-VALUE(RIGHT(E222,4)))*12+(VALUE(LEFT(I222,2))-VALUE(LEFT(E222,2))),""),"")</f>
        <v/>
      </c>
    </row>
    <row r="223">
      <c r="A223" t="inlineStr">
        <is>
          <t>CIRIACO GUIDO JUAN CARLOS</t>
        </is>
      </c>
      <c r="B223" t="inlineStr">
        <is>
          <t>Hombre</t>
        </is>
      </c>
      <c r="C223" t="inlineStr">
        <is>
          <t>4013AF</t>
        </is>
      </c>
      <c r="D223" t="inlineStr">
        <is>
          <t>CDMX Y AREA METROPOLITANA</t>
        </is>
      </c>
      <c r="E223" t="inlineStr">
        <is>
          <t>11-2024</t>
        </is>
      </c>
      <c r="F223" t="inlineStr">
        <is>
          <t>03-2026</t>
        </is>
      </c>
      <c r="G223" t="n">
        <v>15</v>
      </c>
      <c r="H223" t="inlineStr">
        <is>
          <t>Efectivo</t>
        </is>
      </c>
      <c r="I223" t="inlineStr">
        <is>
          <t>03-2026</t>
        </is>
      </c>
      <c r="J223" t="inlineStr">
        <is>
          <t>R83BKY</t>
        </is>
      </c>
      <c r="K223" t="inlineStr">
        <is>
          <t>CHEVROLET AVEO</t>
        </is>
      </c>
      <c r="L223" t="inlineStr">
        <is>
          <t>UBER</t>
        </is>
      </c>
      <c r="M223" s="3">
        <f>IF(H223="Efectivo",IFERROR((VALUE(RIGHT(I223,4))-VALUE(RIGHT(E223,4)))*12+(VALUE(LEFT(I223,2))-VALUE(LEFT(E223,2))),""),"")</f>
        <v/>
      </c>
    </row>
    <row r="224">
      <c r="A224" t="inlineStr">
        <is>
          <t>CIRIO MENDOZA LUIS EDUARDO</t>
        </is>
      </c>
      <c r="B224" t="inlineStr">
        <is>
          <t>Hombre</t>
        </is>
      </c>
      <c r="C224" t="inlineStr">
        <is>
          <t>5288AF</t>
        </is>
      </c>
      <c r="D224" t="inlineStr">
        <is>
          <t>BAJA CALIFORNIA</t>
        </is>
      </c>
      <c r="E224" t="inlineStr">
        <is>
          <t>07-2025</t>
        </is>
      </c>
      <c r="F224" t="inlineStr">
        <is>
          <t>02-2026</t>
        </is>
      </c>
      <c r="G224" t="n">
        <v>7</v>
      </c>
      <c r="H224" t="inlineStr">
        <is>
          <t>Efectivo</t>
        </is>
      </c>
      <c r="I224" t="inlineStr">
        <is>
          <t>03-2026</t>
        </is>
      </c>
      <c r="J224" t="inlineStr">
        <is>
          <t>BYZ578A</t>
        </is>
      </c>
      <c r="K224" t="inlineStr">
        <is>
          <t>CHEVROLET AVEO</t>
        </is>
      </c>
      <c r="L224" t="inlineStr">
        <is>
          <t>DIDI</t>
        </is>
      </c>
      <c r="M224" s="3">
        <f>IF(H224="Efectivo",IFERROR((VALUE(RIGHT(I224,4))-VALUE(RIGHT(E224,4)))*12+(VALUE(LEFT(I224,2))-VALUE(LEFT(E224,2))),""),"")</f>
        <v/>
      </c>
    </row>
    <row r="225">
      <c r="A225" t="inlineStr">
        <is>
          <t>CISNEROS SALAS JOSE IVAN</t>
        </is>
      </c>
      <c r="B225" t="inlineStr">
        <is>
          <t>Hombre</t>
        </is>
      </c>
      <c r="C225" t="inlineStr">
        <is>
          <t>4376AF</t>
        </is>
      </c>
      <c r="D225" t="inlineStr">
        <is>
          <t>BAJA CALIFORNIA</t>
        </is>
      </c>
      <c r="E225" t="inlineStr">
        <is>
          <t>04-2024</t>
        </is>
      </c>
      <c r="F225" t="inlineStr">
        <is>
          <t>05-2026</t>
        </is>
      </c>
      <c r="G225" t="n">
        <v>25</v>
      </c>
      <c r="H225" t="inlineStr">
        <is>
          <t>Pendiente</t>
        </is>
      </c>
      <c r="J225" t="inlineStr">
        <is>
          <t>AWF365A</t>
        </is>
      </c>
      <c r="K225" t="inlineStr">
        <is>
          <t>RIO</t>
        </is>
      </c>
      <c r="L225" t="inlineStr">
        <is>
          <t>UBER</t>
        </is>
      </c>
      <c r="M225" s="3">
        <f>IF(H225="Efectivo",IFERROR((VALUE(RIGHT(I225,4))-VALUE(RIGHT(E225,4)))*12+(VALUE(LEFT(I225,2))-VALUE(LEFT(E225,2))),""),"")</f>
        <v/>
      </c>
    </row>
    <row r="226">
      <c r="A226" t="inlineStr">
        <is>
          <t>COLIN SANCHEZ JOSE ANTONIO</t>
        </is>
      </c>
      <c r="B226" t="inlineStr">
        <is>
          <t>Hombre</t>
        </is>
      </c>
      <c r="C226" t="inlineStr">
        <is>
          <t>4764AF</t>
        </is>
      </c>
      <c r="D226" t="inlineStr">
        <is>
          <t>CDMX Y AREA METROPOLITANA</t>
        </is>
      </c>
      <c r="E226" t="inlineStr">
        <is>
          <t>05-2025</t>
        </is>
      </c>
      <c r="F226" t="inlineStr">
        <is>
          <t>06-2025</t>
        </is>
      </c>
      <c r="G226" t="n">
        <v>1</v>
      </c>
      <c r="H226" t="inlineStr">
        <is>
          <t>Efectivo</t>
        </is>
      </c>
      <c r="I226" t="inlineStr">
        <is>
          <t>06-2025</t>
        </is>
      </c>
      <c r="J226" t="inlineStr">
        <is>
          <t>41G467</t>
        </is>
      </c>
      <c r="K226" t="inlineStr">
        <is>
          <t>BYD MINIDOLPHIN</t>
        </is>
      </c>
      <c r="L226" t="inlineStr">
        <is>
          <t>DIDI</t>
        </is>
      </c>
      <c r="M226" s="3">
        <f>IF(H226="Efectivo",IFERROR((VALUE(RIGHT(I226,4))-VALUE(RIGHT(E226,4)))*12+(VALUE(LEFT(I226,2))-VALUE(LEFT(E226,2))),""),"")</f>
        <v/>
      </c>
    </row>
    <row r="227">
      <c r="A227" t="inlineStr">
        <is>
          <t>COLINA RIVERO ELIASSIB ENRIQUE</t>
        </is>
      </c>
      <c r="B227" t="inlineStr">
        <is>
          <t>Hombre</t>
        </is>
      </c>
      <c r="C227" t="inlineStr">
        <is>
          <t>4520AF</t>
        </is>
      </c>
      <c r="D227" t="inlineStr">
        <is>
          <t>CDMX Y AREA METROPOLITANA</t>
        </is>
      </c>
      <c r="E227" t="inlineStr">
        <is>
          <t>03-2025</t>
        </is>
      </c>
      <c r="F227" t="inlineStr">
        <is>
          <t>08-2025</t>
        </is>
      </c>
      <c r="G227" t="n">
        <v>5</v>
      </c>
      <c r="H227" t="inlineStr">
        <is>
          <t>Efectivo</t>
        </is>
      </c>
      <c r="I227" t="inlineStr">
        <is>
          <t>08-2025</t>
        </is>
      </c>
      <c r="J227" t="inlineStr">
        <is>
          <t>31G734</t>
        </is>
      </c>
      <c r="K227" t="inlineStr">
        <is>
          <t>GAC AION S</t>
        </is>
      </c>
      <c r="L227" t="inlineStr">
        <is>
          <t>UBER</t>
        </is>
      </c>
      <c r="M227" s="3">
        <f>IF(H227="Efectivo",IFERROR((VALUE(RIGHT(I227,4))-VALUE(RIGHT(E227,4)))*12+(VALUE(LEFT(I227,2))-VALUE(LEFT(E227,2))),""),"")</f>
        <v/>
      </c>
    </row>
    <row r="228">
      <c r="A228" t="inlineStr">
        <is>
          <t>COLLAZO FLORES TLALOC XOCHITIOTZIN</t>
        </is>
      </c>
      <c r="B228" t="inlineStr">
        <is>
          <t>Hombre</t>
        </is>
      </c>
      <c r="C228" t="inlineStr">
        <is>
          <t>3198AF</t>
        </is>
      </c>
      <c r="D228" t="inlineStr">
        <is>
          <t>JALISCO</t>
        </is>
      </c>
      <c r="E228" t="inlineStr">
        <is>
          <t>04-2024</t>
        </is>
      </c>
      <c r="F228" t="inlineStr">
        <is>
          <t>02-2026</t>
        </is>
      </c>
      <c r="G228" t="n">
        <v>22</v>
      </c>
      <c r="H228" t="inlineStr">
        <is>
          <t>Efectivo</t>
        </is>
      </c>
      <c r="I228" t="inlineStr">
        <is>
          <t>03-2026</t>
        </is>
      </c>
      <c r="J228" t="inlineStr">
        <is>
          <t>HUL790A</t>
        </is>
      </c>
      <c r="K228" t="inlineStr">
        <is>
          <t>CHEVROLET AVEO</t>
        </is>
      </c>
      <c r="L228" t="inlineStr">
        <is>
          <t>UBER</t>
        </is>
      </c>
      <c r="M228" s="3">
        <f>IF(H228="Efectivo",IFERROR((VALUE(RIGHT(I228,4))-VALUE(RIGHT(E228,4)))*12+(VALUE(LEFT(I228,2))-VALUE(LEFT(E228,2))),""),"")</f>
        <v/>
      </c>
    </row>
    <row r="229">
      <c r="A229" t="inlineStr">
        <is>
          <t>CONDE OSORIO LINO FRANCISCO</t>
        </is>
      </c>
      <c r="B229" t="inlineStr">
        <is>
          <t>Hombre</t>
        </is>
      </c>
      <c r="C229" t="inlineStr">
        <is>
          <t>4452AF</t>
        </is>
      </c>
      <c r="D229" t="inlineStr">
        <is>
          <t>CDMX Y AREA METROPOLITANA</t>
        </is>
      </c>
      <c r="E229" t="inlineStr">
        <is>
          <t>03-2025</t>
        </is>
      </c>
      <c r="F229" t="inlineStr">
        <is>
          <t>04-2026</t>
        </is>
      </c>
      <c r="G229" t="n">
        <v>13</v>
      </c>
      <c r="H229" t="inlineStr">
        <is>
          <t>Efectivo</t>
        </is>
      </c>
      <c r="I229" t="inlineStr">
        <is>
          <t>04-2026</t>
        </is>
      </c>
      <c r="J229" t="inlineStr">
        <is>
          <t>19G615</t>
        </is>
      </c>
      <c r="K229" t="inlineStr">
        <is>
          <t>BYD D1</t>
        </is>
      </c>
      <c r="L229" t="inlineStr">
        <is>
          <t>UBER</t>
        </is>
      </c>
      <c r="M229" s="3">
        <f>IF(H229="Efectivo",IFERROR((VALUE(RIGHT(I229,4))-VALUE(RIGHT(E229,4)))*12+(VALUE(LEFT(I229,2))-VALUE(LEFT(E229,2))),""),"")</f>
        <v/>
      </c>
    </row>
    <row r="230">
      <c r="A230" t="inlineStr">
        <is>
          <t>CONTRERAS MUÑOZ JUAN PABLO</t>
        </is>
      </c>
      <c r="B230" t="inlineStr">
        <is>
          <t>Hombre</t>
        </is>
      </c>
      <c r="C230" t="inlineStr">
        <is>
          <t>3312AF</t>
        </is>
      </c>
      <c r="D230" t="inlineStr">
        <is>
          <t>JALISCO</t>
        </is>
      </c>
      <c r="E230" t="inlineStr">
        <is>
          <t>05-2024</t>
        </is>
      </c>
      <c r="F230" t="inlineStr">
        <is>
          <t>01-2025</t>
        </is>
      </c>
      <c r="G230" t="n">
        <v>7</v>
      </c>
      <c r="H230" t="inlineStr">
        <is>
          <t>Cancelado</t>
        </is>
      </c>
      <c r="J230" t="inlineStr">
        <is>
          <t>HWD956A</t>
        </is>
      </c>
      <c r="K230" t="inlineStr">
        <is>
          <t>CHEVROLET AVEO</t>
        </is>
      </c>
      <c r="L230" t="inlineStr">
        <is>
          <t>UBER</t>
        </is>
      </c>
      <c r="M230" s="3">
        <f>IF(H230="Efectivo",IFERROR((VALUE(RIGHT(I230,4))-VALUE(RIGHT(E230,4)))*12+(VALUE(LEFT(I230,2))-VALUE(LEFT(E230,2))),""),"")</f>
        <v/>
      </c>
    </row>
    <row r="231">
      <c r="A231" t="inlineStr">
        <is>
          <t>CONTRERAS NOLASCO DANIEL</t>
        </is>
      </c>
      <c r="B231" t="inlineStr">
        <is>
          <t>Hombre</t>
        </is>
      </c>
      <c r="C231" t="inlineStr">
        <is>
          <t>4730AF</t>
        </is>
      </c>
      <c r="D231" t="inlineStr">
        <is>
          <t>BAJA CALIFORNIA</t>
        </is>
      </c>
      <c r="E231" t="inlineStr">
        <is>
          <t>04-2025</t>
        </is>
      </c>
      <c r="F231" t="inlineStr">
        <is>
          <t>12-2025</t>
        </is>
      </c>
      <c r="G231" t="n">
        <v>8</v>
      </c>
      <c r="H231" t="inlineStr">
        <is>
          <t>Cancelado</t>
        </is>
      </c>
      <c r="J231" t="inlineStr">
        <is>
          <t>BXT306A</t>
        </is>
      </c>
      <c r="K231" t="inlineStr">
        <is>
          <t>CHEVROLET AVEO</t>
        </is>
      </c>
      <c r="L231" t="inlineStr">
        <is>
          <t>UBER</t>
        </is>
      </c>
      <c r="M231" s="3">
        <f>IF(H231="Efectivo",IFERROR((VALUE(RIGHT(I231,4))-VALUE(RIGHT(E231,4)))*12+(VALUE(LEFT(I231,2))-VALUE(LEFT(E231,2))),""),"")</f>
        <v/>
      </c>
    </row>
    <row r="232">
      <c r="A232" t="inlineStr">
        <is>
          <t>CONTRERAS SUAREZ CARLOS</t>
        </is>
      </c>
      <c r="B232" t="inlineStr">
        <is>
          <t>Hombre</t>
        </is>
      </c>
      <c r="C232" t="inlineStr">
        <is>
          <t>3033AF</t>
        </is>
      </c>
      <c r="D232" t="inlineStr">
        <is>
          <t>CDMX Y AREA METROPOLITANA</t>
        </is>
      </c>
      <c r="E232" t="inlineStr">
        <is>
          <t>02-2024</t>
        </is>
      </c>
      <c r="F232" t="inlineStr">
        <is>
          <t>08-2025</t>
        </is>
      </c>
      <c r="G232" t="n">
        <v>18</v>
      </c>
      <c r="H232" t="inlineStr">
        <is>
          <t>Efectivo</t>
        </is>
      </c>
      <c r="I232" t="inlineStr">
        <is>
          <t>09-2025</t>
        </is>
      </c>
      <c r="J232" t="inlineStr">
        <is>
          <t>S39BNL</t>
        </is>
      </c>
      <c r="K232" t="inlineStr">
        <is>
          <t>CHEVROLET AVEO</t>
        </is>
      </c>
      <c r="L232" t="inlineStr">
        <is>
          <t>UBER</t>
        </is>
      </c>
      <c r="M232" s="3">
        <f>IF(H232="Efectivo",IFERROR((VALUE(RIGHT(I232,4))-VALUE(RIGHT(E232,4)))*12+(VALUE(LEFT(I232,2))-VALUE(LEFT(E232,2))),""),"")</f>
        <v/>
      </c>
    </row>
    <row r="233">
      <c r="A233" t="inlineStr">
        <is>
          <t>COPADO REYES GERMAN ARMANDO</t>
        </is>
      </c>
      <c r="B233" t="inlineStr">
        <is>
          <t>Hombre</t>
        </is>
      </c>
      <c r="C233" t="inlineStr">
        <is>
          <t>3829AF</t>
        </is>
      </c>
      <c r="D233" t="inlineStr">
        <is>
          <t>CDMX Y AREA METROPOLITANA</t>
        </is>
      </c>
      <c r="E233" t="inlineStr">
        <is>
          <t>10-2024</t>
        </is>
      </c>
      <c r="F233" t="inlineStr">
        <is>
          <t>04-2026</t>
        </is>
      </c>
      <c r="G233" t="n">
        <v>18</v>
      </c>
      <c r="H233" t="inlineStr">
        <is>
          <t>Efectivo</t>
        </is>
      </c>
      <c r="I233" t="inlineStr">
        <is>
          <t>04-2026</t>
        </is>
      </c>
      <c r="J233" t="inlineStr">
        <is>
          <t>08G123</t>
        </is>
      </c>
      <c r="K233" t="inlineStr">
        <is>
          <t>BYD D1</t>
        </is>
      </c>
      <c r="L233" t="inlineStr">
        <is>
          <t>DIDI</t>
        </is>
      </c>
      <c r="M233" s="3">
        <f>IF(H233="Efectivo",IFERROR((VALUE(RIGHT(I233,4))-VALUE(RIGHT(E233,4)))*12+(VALUE(LEFT(I233,2))-VALUE(LEFT(E233,2))),""),"")</f>
        <v/>
      </c>
    </row>
    <row r="234">
      <c r="A234" t="inlineStr">
        <is>
          <t>CORDERO GALICIA ARMANDO</t>
        </is>
      </c>
      <c r="B234" t="inlineStr">
        <is>
          <t>Hombre</t>
        </is>
      </c>
      <c r="C234" t="inlineStr">
        <is>
          <t>5376AF</t>
        </is>
      </c>
      <c r="D234" t="inlineStr">
        <is>
          <t>CDMX Y AREA METROPOLITANA</t>
        </is>
      </c>
      <c r="E234" t="inlineStr">
        <is>
          <t>07-2025</t>
        </is>
      </c>
      <c r="F234" t="inlineStr">
        <is>
          <t>11-2025</t>
        </is>
      </c>
      <c r="G234" t="n">
        <v>4</v>
      </c>
      <c r="H234" t="inlineStr">
        <is>
          <t>Efectivo</t>
        </is>
      </c>
      <c r="I234" t="inlineStr">
        <is>
          <t>12-2025</t>
        </is>
      </c>
      <c r="J234" t="inlineStr">
        <is>
          <t>48G130</t>
        </is>
      </c>
      <c r="K234" t="inlineStr">
        <is>
          <t>BYD MINIDOLPHIN</t>
        </is>
      </c>
      <c r="L234" t="inlineStr">
        <is>
          <t>UBER</t>
        </is>
      </c>
      <c r="M234" s="3">
        <f>IF(H234="Efectivo",IFERROR((VALUE(RIGHT(I234,4))-VALUE(RIGHT(E234,4)))*12+(VALUE(LEFT(I234,2))-VALUE(LEFT(E234,2))),""),"")</f>
        <v/>
      </c>
    </row>
    <row r="235">
      <c r="A235" t="inlineStr">
        <is>
          <t>CORDOVA BARRERA FRANCO</t>
        </is>
      </c>
      <c r="B235" t="inlineStr">
        <is>
          <t>Hombre</t>
        </is>
      </c>
      <c r="C235" t="inlineStr">
        <is>
          <t>5416AF</t>
        </is>
      </c>
      <c r="D235" t="inlineStr">
        <is>
          <t>CDMX Y AREA METROPOLITANA</t>
        </is>
      </c>
      <c r="E235" t="inlineStr">
        <is>
          <t>07-2025</t>
        </is>
      </c>
      <c r="F235" t="inlineStr">
        <is>
          <t>02-2026</t>
        </is>
      </c>
      <c r="G235" t="n">
        <v>7</v>
      </c>
      <c r="H235" t="inlineStr">
        <is>
          <t>Efectivo</t>
        </is>
      </c>
      <c r="I235" t="inlineStr">
        <is>
          <t>02-2026</t>
        </is>
      </c>
      <c r="J235" t="inlineStr">
        <is>
          <t>29G280</t>
        </is>
      </c>
      <c r="K235" t="inlineStr">
        <is>
          <t>GAC AION S</t>
        </is>
      </c>
      <c r="L235" t="inlineStr">
        <is>
          <t>DIDI</t>
        </is>
      </c>
      <c r="M235" s="3">
        <f>IF(H235="Efectivo",IFERROR((VALUE(RIGHT(I235,4))-VALUE(RIGHT(E235,4)))*12+(VALUE(LEFT(I235,2))-VALUE(LEFT(E235,2))),""),"")</f>
        <v/>
      </c>
    </row>
    <row r="236">
      <c r="A236" t="inlineStr">
        <is>
          <t>CORDOVA RIVERA MARIANO IVAN</t>
        </is>
      </c>
      <c r="B236" t="inlineStr">
        <is>
          <t>Hombre</t>
        </is>
      </c>
      <c r="C236" t="inlineStr">
        <is>
          <t>6161AF</t>
        </is>
      </c>
      <c r="D236" t="inlineStr">
        <is>
          <t>CDMX Y AREA METROPOLITANA</t>
        </is>
      </c>
      <c r="E236" t="inlineStr">
        <is>
          <t>11-2025</t>
        </is>
      </c>
      <c r="F236" t="inlineStr">
        <is>
          <t>04-2026</t>
        </is>
      </c>
      <c r="G236" t="n">
        <v>5</v>
      </c>
      <c r="H236" t="inlineStr">
        <is>
          <t>Efectivo</t>
        </is>
      </c>
      <c r="I236" t="inlineStr">
        <is>
          <t>04-2026</t>
        </is>
      </c>
      <c r="J236" t="inlineStr">
        <is>
          <t>62G364</t>
        </is>
      </c>
      <c r="K236" t="inlineStr">
        <is>
          <t>BYD E5</t>
        </is>
      </c>
      <c r="L236" t="inlineStr">
        <is>
          <t>UBER</t>
        </is>
      </c>
      <c r="M236" s="3">
        <f>IF(H236="Efectivo",IFERROR((VALUE(RIGHT(I236,4))-VALUE(RIGHT(E236,4)))*12+(VALUE(LEFT(I236,2))-VALUE(LEFT(E236,2))),""),"")</f>
        <v/>
      </c>
    </row>
    <row r="237">
      <c r="A237" t="inlineStr">
        <is>
          <t>CORDOVA SANDOVAL JORGE ALBERTO</t>
        </is>
      </c>
      <c r="B237" t="inlineStr">
        <is>
          <t>Hombre</t>
        </is>
      </c>
      <c r="C237" t="inlineStr">
        <is>
          <t>4980AF</t>
        </is>
      </c>
      <c r="D237" t="inlineStr">
        <is>
          <t>NUEVO LEON</t>
        </is>
      </c>
      <c r="E237" t="inlineStr">
        <is>
          <t>06-2025</t>
        </is>
      </c>
      <c r="F237" t="inlineStr">
        <is>
          <t>08-2025</t>
        </is>
      </c>
      <c r="G237" t="n">
        <v>2</v>
      </c>
      <c r="H237" t="inlineStr">
        <is>
          <t>Pendiente</t>
        </is>
      </c>
      <c r="J237" t="inlineStr">
        <is>
          <t>RUW772C</t>
        </is>
      </c>
      <c r="K237" t="inlineStr">
        <is>
          <t>CHEVROLET AVEO</t>
        </is>
      </c>
      <c r="L237" t="inlineStr">
        <is>
          <t>UBER</t>
        </is>
      </c>
      <c r="M237" s="3">
        <f>IF(H237="Efectivo",IFERROR((VALUE(RIGHT(I237,4))-VALUE(RIGHT(E237,4)))*12+(VALUE(LEFT(I237,2))-VALUE(LEFT(E237,2))),""),"")</f>
        <v/>
      </c>
    </row>
    <row r="238">
      <c r="A238" t="inlineStr">
        <is>
          <t>CORONA MARTINEZ JORGE ISAIR</t>
        </is>
      </c>
      <c r="B238" t="inlineStr">
        <is>
          <t>Hombre</t>
        </is>
      </c>
      <c r="C238" t="inlineStr">
        <is>
          <t>5743AF</t>
        </is>
      </c>
      <c r="D238" t="inlineStr">
        <is>
          <t>CDMX Y AREA METROPOLITANA</t>
        </is>
      </c>
      <c r="E238" t="inlineStr">
        <is>
          <t>09-2025</t>
        </is>
      </c>
      <c r="F238" t="inlineStr">
        <is>
          <t>11-2025</t>
        </is>
      </c>
      <c r="G238" t="n">
        <v>2</v>
      </c>
      <c r="H238" t="inlineStr">
        <is>
          <t>Efectivo</t>
        </is>
      </c>
      <c r="I238" t="inlineStr">
        <is>
          <t>02-2026</t>
        </is>
      </c>
      <c r="J238" t="inlineStr">
        <is>
          <t>P48BRD</t>
        </is>
      </c>
      <c r="K238" t="inlineStr">
        <is>
          <t>CHEVROLET AVEO</t>
        </is>
      </c>
      <c r="L238" t="inlineStr">
        <is>
          <t>UBER</t>
        </is>
      </c>
      <c r="M238" s="3">
        <f>IF(H238="Efectivo",IFERROR((VALUE(RIGHT(I238,4))-VALUE(RIGHT(E238,4)))*12+(VALUE(LEFT(I238,2))-VALUE(LEFT(E238,2))),""),"")</f>
        <v/>
      </c>
    </row>
    <row r="239">
      <c r="A239" t="inlineStr">
        <is>
          <t>CORONA MEDINA FRANCISCO JAVIER</t>
        </is>
      </c>
      <c r="B239" t="inlineStr">
        <is>
          <t>Hombre</t>
        </is>
      </c>
      <c r="C239" t="inlineStr">
        <is>
          <t>5369AF</t>
        </is>
      </c>
      <c r="D239" t="inlineStr">
        <is>
          <t>CDMX Y AREA METROPOLITANA</t>
        </is>
      </c>
      <c r="E239" t="inlineStr">
        <is>
          <t>07-2025</t>
        </is>
      </c>
      <c r="F239" t="inlineStr">
        <is>
          <t>09-2025</t>
        </is>
      </c>
      <c r="G239" t="n">
        <v>1</v>
      </c>
      <c r="H239" t="inlineStr">
        <is>
          <t>Efectivo</t>
        </is>
      </c>
      <c r="I239" t="inlineStr">
        <is>
          <t>10-2025</t>
        </is>
      </c>
      <c r="J239" t="inlineStr">
        <is>
          <t>50G605</t>
        </is>
      </c>
      <c r="K239" t="inlineStr">
        <is>
          <t>GAC AION S</t>
        </is>
      </c>
      <c r="L239" t="inlineStr">
        <is>
          <t>UBER</t>
        </is>
      </c>
      <c r="M239" s="3">
        <f>IF(H239="Efectivo",IFERROR((VALUE(RIGHT(I239,4))-VALUE(RIGHT(E239,4)))*12+(VALUE(LEFT(I239,2))-VALUE(LEFT(E239,2))),""),"")</f>
        <v/>
      </c>
    </row>
    <row r="240">
      <c r="A240" t="inlineStr">
        <is>
          <t>CORREA RUELAS JUAN PABLO</t>
        </is>
      </c>
      <c r="B240" t="inlineStr">
        <is>
          <t>Hombre</t>
        </is>
      </c>
      <c r="C240" t="inlineStr">
        <is>
          <t>3654AF</t>
        </is>
      </c>
      <c r="D240" t="inlineStr">
        <is>
          <t>JALISCO</t>
        </is>
      </c>
      <c r="E240" t="inlineStr">
        <is>
          <t>09-2025</t>
        </is>
      </c>
      <c r="F240" t="inlineStr">
        <is>
          <t>05-2026</t>
        </is>
      </c>
      <c r="G240" t="n">
        <v>8</v>
      </c>
      <c r="H240" t="inlineStr">
        <is>
          <t>Pendiente</t>
        </is>
      </c>
      <c r="J240" t="inlineStr">
        <is>
          <t>HXC197A</t>
        </is>
      </c>
      <c r="K240" t="inlineStr">
        <is>
          <t>CHEVROLET AVEO</t>
        </is>
      </c>
      <c r="L240" t="inlineStr">
        <is>
          <t>UBER</t>
        </is>
      </c>
      <c r="M240" s="3">
        <f>IF(H240="Efectivo",IFERROR((VALUE(RIGHT(I240,4))-VALUE(RIGHT(E240,4)))*12+(VALUE(LEFT(I240,2))-VALUE(LEFT(E240,2))),""),"")</f>
        <v/>
      </c>
    </row>
    <row r="241">
      <c r="A241" t="inlineStr">
        <is>
          <t>CORTES ALFARO JOSE ANTONIO</t>
        </is>
      </c>
      <c r="B241" t="inlineStr">
        <is>
          <t>Hombre</t>
        </is>
      </c>
      <c r="C241" t="inlineStr">
        <is>
          <t>4492AF</t>
        </is>
      </c>
      <c r="D241" t="inlineStr">
        <is>
          <t>CDMX Y AREA METROPOLITANA</t>
        </is>
      </c>
      <c r="E241" t="inlineStr">
        <is>
          <t>03-2025</t>
        </is>
      </c>
      <c r="F241" t="inlineStr">
        <is>
          <t>06-2025</t>
        </is>
      </c>
      <c r="G241" t="n">
        <v>3</v>
      </c>
      <c r="H241" t="inlineStr">
        <is>
          <t>Efectivo</t>
        </is>
      </c>
      <c r="I241" t="inlineStr">
        <is>
          <t>07-2025</t>
        </is>
      </c>
      <c r="J241" t="inlineStr">
        <is>
          <t>27G442</t>
        </is>
      </c>
      <c r="K241" t="inlineStr">
        <is>
          <t>BYD MINIDOLPHIN</t>
        </is>
      </c>
      <c r="L241" t="inlineStr">
        <is>
          <t>UBER</t>
        </is>
      </c>
      <c r="M241" s="3">
        <f>IF(H241="Efectivo",IFERROR((VALUE(RIGHT(I241,4))-VALUE(RIGHT(E241,4)))*12+(VALUE(LEFT(I241,2))-VALUE(LEFT(E241,2))),""),"")</f>
        <v/>
      </c>
    </row>
    <row r="242">
      <c r="A242" t="inlineStr">
        <is>
          <t>CORTES CERVANTES KARLA PATRICIA</t>
        </is>
      </c>
      <c r="B242" t="inlineStr">
        <is>
          <t>Mujer</t>
        </is>
      </c>
      <c r="C242" t="inlineStr">
        <is>
          <t>3488AF</t>
        </is>
      </c>
      <c r="D242" t="inlineStr">
        <is>
          <t>CDMX Y AREA METROPOLITANA</t>
        </is>
      </c>
      <c r="E242" t="inlineStr">
        <is>
          <t>07-2024</t>
        </is>
      </c>
      <c r="F242" t="inlineStr">
        <is>
          <t>03-2025</t>
        </is>
      </c>
      <c r="G242" t="n">
        <v>8</v>
      </c>
      <c r="H242" t="inlineStr">
        <is>
          <t>Cancelado</t>
        </is>
      </c>
      <c r="J242" t="inlineStr">
        <is>
          <t>89F644</t>
        </is>
      </c>
      <c r="K242" t="inlineStr">
        <is>
          <t>SUZUKI ERTIGA</t>
        </is>
      </c>
      <c r="L242" t="inlineStr">
        <is>
          <t>UBER</t>
        </is>
      </c>
      <c r="M242" s="3">
        <f>IF(H242="Efectivo",IFERROR((VALUE(RIGHT(I242,4))-VALUE(RIGHT(E242,4)))*12+(VALUE(LEFT(I242,2))-VALUE(LEFT(E242,2))),""),"")</f>
        <v/>
      </c>
    </row>
    <row r="243">
      <c r="A243" t="inlineStr">
        <is>
          <t>CORTES GAYTAN ENRIQUE</t>
        </is>
      </c>
      <c r="B243" t="inlineStr">
        <is>
          <t>Hombre</t>
        </is>
      </c>
      <c r="C243" t="inlineStr">
        <is>
          <t>2932AF</t>
        </is>
      </c>
      <c r="D243" t="inlineStr">
        <is>
          <t>NUEVO LEON</t>
        </is>
      </c>
      <c r="E243" t="inlineStr">
        <is>
          <t>12-2023</t>
        </is>
      </c>
      <c r="F243" t="inlineStr">
        <is>
          <t>01-2025</t>
        </is>
      </c>
      <c r="G243" t="n">
        <v>13</v>
      </c>
      <c r="H243" t="inlineStr">
        <is>
          <t>Cancelado</t>
        </is>
      </c>
      <c r="J243" t="inlineStr">
        <is>
          <t>SRJ679B</t>
        </is>
      </c>
      <c r="K243" t="inlineStr">
        <is>
          <t>CHEVROLET AVEO</t>
        </is>
      </c>
      <c r="L243" t="inlineStr">
        <is>
          <t>UBER</t>
        </is>
      </c>
      <c r="M243" s="3">
        <f>IF(H243="Efectivo",IFERROR((VALUE(RIGHT(I243,4))-VALUE(RIGHT(E243,4)))*12+(VALUE(LEFT(I243,2))-VALUE(LEFT(E243,2))),""),"")</f>
        <v/>
      </c>
    </row>
    <row r="244">
      <c r="A244" t="inlineStr">
        <is>
          <t>CORTES MARTINEZ ANGEL ANDRES</t>
        </is>
      </c>
      <c r="B244" t="inlineStr">
        <is>
          <t>Hombre</t>
        </is>
      </c>
      <c r="C244" t="inlineStr">
        <is>
          <t>6244AF</t>
        </is>
      </c>
      <c r="D244" t="inlineStr">
        <is>
          <t>CDMX Y AREA METROPOLITANA</t>
        </is>
      </c>
      <c r="E244" t="inlineStr">
        <is>
          <t>11-2025</t>
        </is>
      </c>
      <c r="F244" t="inlineStr">
        <is>
          <t>04-2026</t>
        </is>
      </c>
      <c r="G244" t="n">
        <v>5</v>
      </c>
      <c r="H244" t="inlineStr">
        <is>
          <t>Efectivo</t>
        </is>
      </c>
      <c r="I244" t="inlineStr">
        <is>
          <t>04-2026</t>
        </is>
      </c>
      <c r="J244" t="inlineStr">
        <is>
          <t>62G314</t>
        </is>
      </c>
      <c r="K244" t="inlineStr">
        <is>
          <t>BYD E5</t>
        </is>
      </c>
      <c r="L244" t="inlineStr">
        <is>
          <t>UBER</t>
        </is>
      </c>
      <c r="M244" s="3">
        <f>IF(H244="Efectivo",IFERROR((VALUE(RIGHT(I244,4))-VALUE(RIGHT(E244,4)))*12+(VALUE(LEFT(I244,2))-VALUE(LEFT(E244,2))),""),"")</f>
        <v/>
      </c>
    </row>
    <row r="245">
      <c r="A245" t="inlineStr">
        <is>
          <t>CORTEZ ISLAS ARTURO</t>
        </is>
      </c>
      <c r="B245" t="inlineStr">
        <is>
          <t>Hombre</t>
        </is>
      </c>
      <c r="C245" t="inlineStr">
        <is>
          <t>5085AF</t>
        </is>
      </c>
      <c r="D245" t="inlineStr">
        <is>
          <t>NUEVO LEON</t>
        </is>
      </c>
      <c r="E245" t="inlineStr">
        <is>
          <t>06-2025</t>
        </is>
      </c>
      <c r="F245" t="inlineStr">
        <is>
          <t>04-2026</t>
        </is>
      </c>
      <c r="G245" t="n">
        <v>10</v>
      </c>
      <c r="H245" t="inlineStr">
        <is>
          <t>Efectivo</t>
        </is>
      </c>
      <c r="I245" t="inlineStr">
        <is>
          <t>04-2026</t>
        </is>
      </c>
      <c r="J245" t="inlineStr">
        <is>
          <t>RUW784C</t>
        </is>
      </c>
      <c r="K245" t="inlineStr">
        <is>
          <t>CHEVROLET AVEO</t>
        </is>
      </c>
      <c r="L245" t="inlineStr">
        <is>
          <t>DIDI</t>
        </is>
      </c>
      <c r="M245" s="3">
        <f>IF(H245="Efectivo",IFERROR((VALUE(RIGHT(I245,4))-VALUE(RIGHT(E245,4)))*12+(VALUE(LEFT(I245,2))-VALUE(LEFT(E245,2))),""),"")</f>
        <v/>
      </c>
    </row>
    <row r="246">
      <c r="A246" t="inlineStr">
        <is>
          <t>CORTEZ SERRANO JOSE JUAN</t>
        </is>
      </c>
      <c r="B246" t="inlineStr">
        <is>
          <t>Hombre</t>
        </is>
      </c>
      <c r="C246" t="inlineStr">
        <is>
          <t>5089AF</t>
        </is>
      </c>
      <c r="D246" t="inlineStr">
        <is>
          <t>BAJA CALIFORNIA</t>
        </is>
      </c>
      <c r="E246" t="inlineStr">
        <is>
          <t>06-2025</t>
        </is>
      </c>
      <c r="F246" t="inlineStr">
        <is>
          <t>10-2025</t>
        </is>
      </c>
      <c r="G246" t="n">
        <v>4</v>
      </c>
      <c r="H246" t="inlineStr">
        <is>
          <t>Efectivo</t>
        </is>
      </c>
      <c r="I246" t="inlineStr">
        <is>
          <t>10-2025</t>
        </is>
      </c>
      <c r="J246" t="inlineStr">
        <is>
          <t>BYN538A</t>
        </is>
      </c>
      <c r="K246" t="inlineStr">
        <is>
          <t>CHEVROLET AVEO</t>
        </is>
      </c>
      <c r="L246" t="inlineStr">
        <is>
          <t>UBER</t>
        </is>
      </c>
      <c r="M246" s="3">
        <f>IF(H246="Efectivo",IFERROR((VALUE(RIGHT(I246,4))-VALUE(RIGHT(E246,4)))*12+(VALUE(LEFT(I246,2))-VALUE(LEFT(E246,2))),""),"")</f>
        <v/>
      </c>
    </row>
    <row r="247">
      <c r="A247" t="inlineStr">
        <is>
          <t>COVA CAMACHO BRAYAN ADRIAN</t>
        </is>
      </c>
      <c r="B247" t="inlineStr">
        <is>
          <t>Hombre</t>
        </is>
      </c>
      <c r="C247" t="inlineStr">
        <is>
          <t>2496AF</t>
        </is>
      </c>
      <c r="D247" t="inlineStr">
        <is>
          <t>CDMX Y AREA METROPOLITANA</t>
        </is>
      </c>
      <c r="E247" t="inlineStr">
        <is>
          <t>03-2023</t>
        </is>
      </c>
      <c r="F247" t="inlineStr">
        <is>
          <t>04-2025</t>
        </is>
      </c>
      <c r="G247" t="n">
        <v>25</v>
      </c>
      <c r="H247" t="inlineStr">
        <is>
          <t>Cancelado</t>
        </is>
      </c>
      <c r="J247" t="inlineStr">
        <is>
          <t>C47BKM</t>
        </is>
      </c>
      <c r="K247" t="inlineStr">
        <is>
          <t>CHEVROLET AVEO</t>
        </is>
      </c>
      <c r="L247" t="inlineStr">
        <is>
          <t>UBER</t>
        </is>
      </c>
      <c r="M247" s="3">
        <f>IF(H247="Efectivo",IFERROR((VALUE(RIGHT(I247,4))-VALUE(RIGHT(E247,4)))*12+(VALUE(LEFT(I247,2))-VALUE(LEFT(E247,2))),""),"")</f>
        <v/>
      </c>
    </row>
    <row r="248">
      <c r="A248" t="inlineStr">
        <is>
          <t>CRUZ ALVAREZ BRAULIO</t>
        </is>
      </c>
      <c r="B248" t="inlineStr">
        <is>
          <t>Hombre</t>
        </is>
      </c>
      <c r="C248" t="inlineStr">
        <is>
          <t>4017AF</t>
        </is>
      </c>
      <c r="D248" t="inlineStr">
        <is>
          <t>CDMX Y AREA METROPOLITANA</t>
        </is>
      </c>
      <c r="E248" t="inlineStr">
        <is>
          <t>11-2024</t>
        </is>
      </c>
      <c r="F248" t="inlineStr">
        <is>
          <t>04-2025</t>
        </is>
      </c>
      <c r="G248" t="n">
        <v>5</v>
      </c>
      <c r="H248" t="inlineStr">
        <is>
          <t>Efectivo</t>
        </is>
      </c>
      <c r="I248" t="inlineStr">
        <is>
          <t>04-2025</t>
        </is>
      </c>
      <c r="J248" t="inlineStr">
        <is>
          <t>13G787</t>
        </is>
      </c>
      <c r="K248" t="inlineStr">
        <is>
          <t>BYD D1</t>
        </is>
      </c>
      <c r="L248" t="inlineStr">
        <is>
          <t>DIDI</t>
        </is>
      </c>
      <c r="M248" s="3">
        <f>IF(H248="Efectivo",IFERROR((VALUE(RIGHT(I248,4))-VALUE(RIGHT(E248,4)))*12+(VALUE(LEFT(I248,2))-VALUE(LEFT(E248,2))),""),"")</f>
        <v/>
      </c>
    </row>
    <row r="249">
      <c r="A249" t="inlineStr">
        <is>
          <t>CRUZ APARICIO JESUS ALEXIS</t>
        </is>
      </c>
      <c r="B249" t="inlineStr">
        <is>
          <t>Hombre</t>
        </is>
      </c>
      <c r="C249" t="inlineStr">
        <is>
          <t>4705AF</t>
        </is>
      </c>
      <c r="D249" t="inlineStr">
        <is>
          <t>CDMX Y AREA METROPOLITANA</t>
        </is>
      </c>
      <c r="E249" t="inlineStr">
        <is>
          <t>04-2025</t>
        </is>
      </c>
      <c r="F249" t="inlineStr">
        <is>
          <t>09-2025</t>
        </is>
      </c>
      <c r="G249" t="n">
        <v>4</v>
      </c>
      <c r="H249" t="inlineStr">
        <is>
          <t>Efectivo</t>
        </is>
      </c>
      <c r="I249" t="inlineStr">
        <is>
          <t>10-2025</t>
        </is>
      </c>
      <c r="J249" t="inlineStr">
        <is>
          <t>47G462</t>
        </is>
      </c>
      <c r="K249" t="inlineStr">
        <is>
          <t>BYD MINIDOLPHIN</t>
        </is>
      </c>
      <c r="L249" t="inlineStr">
        <is>
          <t>UBER</t>
        </is>
      </c>
      <c r="M249" s="3">
        <f>IF(H249="Efectivo",IFERROR((VALUE(RIGHT(I249,4))-VALUE(RIGHT(E249,4)))*12+(VALUE(LEFT(I249,2))-VALUE(LEFT(E249,2))),""),"")</f>
        <v/>
      </c>
    </row>
    <row r="250">
      <c r="A250" t="inlineStr">
        <is>
          <t>CRUZ AVILA JUAN MANUEL</t>
        </is>
      </c>
      <c r="B250" t="inlineStr">
        <is>
          <t>Hombre</t>
        </is>
      </c>
      <c r="C250" t="inlineStr">
        <is>
          <t>3897AF</t>
        </is>
      </c>
      <c r="D250" t="inlineStr">
        <is>
          <t>CDMX Y AREA METROPOLITANA</t>
        </is>
      </c>
      <c r="E250" t="inlineStr">
        <is>
          <t>10-2024</t>
        </is>
      </c>
      <c r="F250" t="inlineStr">
        <is>
          <t>04-2026</t>
        </is>
      </c>
      <c r="G250" t="n">
        <v>18</v>
      </c>
      <c r="H250" t="inlineStr">
        <is>
          <t>Efectivo</t>
        </is>
      </c>
      <c r="I250" t="inlineStr">
        <is>
          <t>04-2026</t>
        </is>
      </c>
      <c r="J250" t="inlineStr">
        <is>
          <t>08G153</t>
        </is>
      </c>
      <c r="K250" t="inlineStr">
        <is>
          <t>BYD D1</t>
        </is>
      </c>
      <c r="L250" t="inlineStr">
        <is>
          <t>UBER</t>
        </is>
      </c>
      <c r="M250" s="3">
        <f>IF(H250="Efectivo",IFERROR((VALUE(RIGHT(I250,4))-VALUE(RIGHT(E250,4)))*12+(VALUE(LEFT(I250,2))-VALUE(LEFT(E250,2))),""),"")</f>
        <v/>
      </c>
    </row>
    <row r="251">
      <c r="A251" t="inlineStr">
        <is>
          <t>CRUZ AYALA FRANCISCO ELEAZAR</t>
        </is>
      </c>
      <c r="B251" t="inlineStr">
        <is>
          <t>Hombre</t>
        </is>
      </c>
      <c r="C251" t="inlineStr">
        <is>
          <t>4711AF</t>
        </is>
      </c>
      <c r="D251" t="inlineStr">
        <is>
          <t>CDMX Y AREA METROPOLITANA</t>
        </is>
      </c>
      <c r="E251" t="inlineStr">
        <is>
          <t>04-2025</t>
        </is>
      </c>
      <c r="F251" t="inlineStr">
        <is>
          <t>02-2026</t>
        </is>
      </c>
      <c r="G251" t="n">
        <v>9</v>
      </c>
      <c r="H251" t="inlineStr">
        <is>
          <t>Pendiente</t>
        </is>
      </c>
      <c r="J251" t="inlineStr">
        <is>
          <t>E35BRR</t>
        </is>
      </c>
      <c r="K251" t="inlineStr">
        <is>
          <t>CHEVROLET AVEO</t>
        </is>
      </c>
      <c r="L251" t="inlineStr">
        <is>
          <t>UBER</t>
        </is>
      </c>
      <c r="M251" s="3">
        <f>IF(H251="Efectivo",IFERROR((VALUE(RIGHT(I251,4))-VALUE(RIGHT(E251,4)))*12+(VALUE(LEFT(I251,2))-VALUE(LEFT(E251,2))),""),"")</f>
        <v/>
      </c>
    </row>
    <row r="252">
      <c r="A252" t="inlineStr">
        <is>
          <t>CRUZ CIRIO MARIO</t>
        </is>
      </c>
      <c r="B252" t="inlineStr">
        <is>
          <t>Hombre</t>
        </is>
      </c>
      <c r="C252" t="inlineStr">
        <is>
          <t>3687AF</t>
        </is>
      </c>
      <c r="D252" t="inlineStr">
        <is>
          <t>CDMX Y AREA METROPOLITANA</t>
        </is>
      </c>
      <c r="E252" t="inlineStr">
        <is>
          <t>08-2024</t>
        </is>
      </c>
      <c r="F252" t="inlineStr">
        <is>
          <t>07-2025</t>
        </is>
      </c>
      <c r="G252" t="n">
        <v>11</v>
      </c>
      <c r="H252" t="inlineStr">
        <is>
          <t>Efectivo</t>
        </is>
      </c>
      <c r="I252" t="inlineStr">
        <is>
          <t>07-2025</t>
        </is>
      </c>
      <c r="J252" t="inlineStr">
        <is>
          <t>05G282</t>
        </is>
      </c>
      <c r="K252" t="inlineStr">
        <is>
          <t>BYD D1</t>
        </is>
      </c>
      <c r="L252" t="inlineStr">
        <is>
          <t>UBER</t>
        </is>
      </c>
      <c r="M252" s="3">
        <f>IF(H252="Efectivo",IFERROR((VALUE(RIGHT(I252,4))-VALUE(RIGHT(E252,4)))*12+(VALUE(LEFT(I252,2))-VALUE(LEFT(E252,2))),""),"")</f>
        <v/>
      </c>
    </row>
    <row r="253">
      <c r="A253" t="inlineStr">
        <is>
          <t>CRUZ CORRAL MANUEL</t>
        </is>
      </c>
      <c r="B253" t="inlineStr">
        <is>
          <t>Hombre</t>
        </is>
      </c>
      <c r="C253" t="inlineStr">
        <is>
          <t>3161AF</t>
        </is>
      </c>
      <c r="D253" t="inlineStr">
        <is>
          <t>CDMX Y AREA METROPOLITANA</t>
        </is>
      </c>
      <c r="E253" t="inlineStr">
        <is>
          <t>04-2024</t>
        </is>
      </c>
      <c r="F253" t="inlineStr">
        <is>
          <t>05-2026</t>
        </is>
      </c>
      <c r="G253" t="n">
        <v>25</v>
      </c>
      <c r="H253" t="inlineStr">
        <is>
          <t>Pendiente</t>
        </is>
      </c>
      <c r="J253" t="inlineStr">
        <is>
          <t>B98BNM</t>
        </is>
      </c>
      <c r="K253" t="inlineStr">
        <is>
          <t>CHEVROLET AVEO</t>
        </is>
      </c>
      <c r="L253" t="inlineStr">
        <is>
          <t>UBER</t>
        </is>
      </c>
      <c r="M253" s="3">
        <f>IF(H253="Efectivo",IFERROR((VALUE(RIGHT(I253,4))-VALUE(RIGHT(E253,4)))*12+(VALUE(LEFT(I253,2))-VALUE(LEFT(E253,2))),""),"")</f>
        <v/>
      </c>
    </row>
    <row r="254">
      <c r="A254" t="inlineStr">
        <is>
          <t>CRUZ GARCIA JUAN</t>
        </is>
      </c>
      <c r="B254" t="inlineStr">
        <is>
          <t>Hombre</t>
        </is>
      </c>
      <c r="C254" t="inlineStr">
        <is>
          <t>5946AF</t>
        </is>
      </c>
      <c r="D254" t="inlineStr">
        <is>
          <t>CDMX Y AREA METROPOLITANA</t>
        </is>
      </c>
      <c r="E254" t="inlineStr">
        <is>
          <t>10-2025</t>
        </is>
      </c>
      <c r="F254" t="inlineStr">
        <is>
          <t>05-2026</t>
        </is>
      </c>
      <c r="G254" t="n">
        <v>7</v>
      </c>
      <c r="H254" t="inlineStr">
        <is>
          <t>Efectivo</t>
        </is>
      </c>
      <c r="I254" t="inlineStr">
        <is>
          <t>05-2026</t>
        </is>
      </c>
      <c r="J254" t="inlineStr">
        <is>
          <t>10K416</t>
        </is>
      </c>
      <c r="K254" t="inlineStr">
        <is>
          <t>BYD MINIDOLPHIN</t>
        </is>
      </c>
      <c r="L254" t="inlineStr">
        <is>
          <t>UBER</t>
        </is>
      </c>
      <c r="M254" s="3">
        <f>IF(H254="Efectivo",IFERROR((VALUE(RIGHT(I254,4))-VALUE(RIGHT(E254,4)))*12+(VALUE(LEFT(I254,2))-VALUE(LEFT(E254,2))),""),"")</f>
        <v/>
      </c>
    </row>
    <row r="255">
      <c r="A255" t="inlineStr">
        <is>
          <t>CRUZ GREZ HUMBERTO</t>
        </is>
      </c>
      <c r="B255" t="inlineStr">
        <is>
          <t>Hombre</t>
        </is>
      </c>
      <c r="C255" t="inlineStr">
        <is>
          <t>5248AF</t>
        </is>
      </c>
      <c r="D255" t="inlineStr">
        <is>
          <t>CDMX Y AREA METROPOLITANA</t>
        </is>
      </c>
      <c r="E255" t="inlineStr">
        <is>
          <t>07-2025</t>
        </is>
      </c>
      <c r="F255" t="inlineStr">
        <is>
          <t>03-2026</t>
        </is>
      </c>
      <c r="G255" t="n">
        <v>9</v>
      </c>
      <c r="H255" t="inlineStr">
        <is>
          <t>Efectivo</t>
        </is>
      </c>
      <c r="I255" t="inlineStr">
        <is>
          <t>03-2026</t>
        </is>
      </c>
      <c r="J255" t="inlineStr">
        <is>
          <t>E13BRR</t>
        </is>
      </c>
      <c r="K255" t="inlineStr">
        <is>
          <t>CHEVROLET AVEO</t>
        </is>
      </c>
      <c r="L255" t="inlineStr">
        <is>
          <t>UBER</t>
        </is>
      </c>
      <c r="M255" s="3">
        <f>IF(H255="Efectivo",IFERROR((VALUE(RIGHT(I255,4))-VALUE(RIGHT(E255,4)))*12+(VALUE(LEFT(I255,2))-VALUE(LEFT(E255,2))),""),"")</f>
        <v/>
      </c>
    </row>
    <row r="256">
      <c r="A256" t="inlineStr">
        <is>
          <t>CRUZ GUTIERREZ MOISES JACOB</t>
        </is>
      </c>
      <c r="B256" t="inlineStr">
        <is>
          <t>Hombre</t>
        </is>
      </c>
      <c r="C256" t="inlineStr">
        <is>
          <t>3013AF</t>
        </is>
      </c>
      <c r="D256" t="inlineStr">
        <is>
          <t>CDMX Y AREA METROPOLITANA</t>
        </is>
      </c>
      <c r="E256" t="inlineStr">
        <is>
          <t>02-2024</t>
        </is>
      </c>
      <c r="F256" t="inlineStr">
        <is>
          <t>05-2025</t>
        </is>
      </c>
      <c r="G256" t="n">
        <v>16</v>
      </c>
      <c r="H256" t="inlineStr">
        <is>
          <t>Efectivo</t>
        </is>
      </c>
      <c r="I256" t="inlineStr">
        <is>
          <t>05-2025</t>
        </is>
      </c>
      <c r="J256" t="inlineStr">
        <is>
          <t>H99BND</t>
        </is>
      </c>
      <c r="K256" t="inlineStr">
        <is>
          <t>CHEVROLET AVEO</t>
        </is>
      </c>
      <c r="L256" t="inlineStr">
        <is>
          <t>UBER</t>
        </is>
      </c>
      <c r="M256" s="3">
        <f>IF(H256="Efectivo",IFERROR((VALUE(RIGHT(I256,4))-VALUE(RIGHT(E256,4)))*12+(VALUE(LEFT(I256,2))-VALUE(LEFT(E256,2))),""),"")</f>
        <v/>
      </c>
    </row>
    <row r="257">
      <c r="A257" t="inlineStr">
        <is>
          <t>CRUZ HERNANDEZ JOSE BENIGNO ALFREDO</t>
        </is>
      </c>
      <c r="B257" t="inlineStr">
        <is>
          <t>Hombre</t>
        </is>
      </c>
      <c r="C257" t="inlineStr">
        <is>
          <t>3302AF</t>
        </is>
      </c>
      <c r="D257" t="inlineStr">
        <is>
          <t>CDMX Y AREA METROPOLITANA</t>
        </is>
      </c>
      <c r="E257" t="inlineStr">
        <is>
          <t>05-2024</t>
        </is>
      </c>
      <c r="F257" t="inlineStr">
        <is>
          <t>06-2025</t>
        </is>
      </c>
      <c r="G257" t="n">
        <v>13</v>
      </c>
      <c r="H257" t="inlineStr">
        <is>
          <t>Efectivo</t>
        </is>
      </c>
      <c r="I257" t="inlineStr">
        <is>
          <t>07-2025</t>
        </is>
      </c>
      <c r="J257" t="inlineStr">
        <is>
          <t>B54BNY</t>
        </is>
      </c>
      <c r="K257" t="inlineStr">
        <is>
          <t>CHEVROLET AVEO</t>
        </is>
      </c>
      <c r="L257" t="inlineStr">
        <is>
          <t>UBER</t>
        </is>
      </c>
      <c r="M257" s="3">
        <f>IF(H257="Efectivo",IFERROR((VALUE(RIGHT(I257,4))-VALUE(RIGHT(E257,4)))*12+(VALUE(LEFT(I257,2))-VALUE(LEFT(E257,2))),""),"")</f>
        <v/>
      </c>
    </row>
    <row r="258">
      <c r="A258" t="inlineStr">
        <is>
          <t>CRUZ LOPEZ JORGE</t>
        </is>
      </c>
      <c r="B258" t="inlineStr">
        <is>
          <t>Hombre</t>
        </is>
      </c>
      <c r="C258" t="inlineStr">
        <is>
          <t>5622AF</t>
        </is>
      </c>
      <c r="D258" t="inlineStr">
        <is>
          <t>CDMX Y AREA METROPOLITANA</t>
        </is>
      </c>
      <c r="E258" t="inlineStr">
        <is>
          <t>08-2025</t>
        </is>
      </c>
      <c r="F258" t="inlineStr">
        <is>
          <t>12-2025</t>
        </is>
      </c>
      <c r="G258" t="n">
        <v>4</v>
      </c>
      <c r="H258" t="inlineStr">
        <is>
          <t>Efectivo</t>
        </is>
      </c>
      <c r="I258" t="inlineStr">
        <is>
          <t>01-2026</t>
        </is>
      </c>
      <c r="J258" t="inlineStr">
        <is>
          <t>48G272</t>
        </is>
      </c>
      <c r="K258" t="inlineStr">
        <is>
          <t>BYD MINIDOLPHIN</t>
        </is>
      </c>
      <c r="L258" t="inlineStr">
        <is>
          <t>DIDI</t>
        </is>
      </c>
      <c r="M258" s="3">
        <f>IF(H258="Efectivo",IFERROR((VALUE(RIGHT(I258,4))-VALUE(RIGHT(E258,4)))*12+(VALUE(LEFT(I258,2))-VALUE(LEFT(E258,2))),""),"")</f>
        <v/>
      </c>
    </row>
    <row r="259">
      <c r="A259" t="inlineStr">
        <is>
          <t>CRUZ LOYA JAVIER NORBERTO</t>
        </is>
      </c>
      <c r="B259" t="inlineStr">
        <is>
          <t>Hombre</t>
        </is>
      </c>
      <c r="C259" t="inlineStr">
        <is>
          <t>4357AF</t>
        </is>
      </c>
      <c r="D259" t="inlineStr">
        <is>
          <t>CDMX Y AREA METROPOLITANA</t>
        </is>
      </c>
      <c r="E259" t="inlineStr">
        <is>
          <t>02-2025</t>
        </is>
      </c>
      <c r="F259" t="inlineStr">
        <is>
          <t>08-2025</t>
        </is>
      </c>
      <c r="G259" t="n">
        <v>6</v>
      </c>
      <c r="H259" t="inlineStr">
        <is>
          <t>Cancelado</t>
        </is>
      </c>
      <c r="J259" t="inlineStr">
        <is>
          <t>31G740</t>
        </is>
      </c>
      <c r="K259" t="inlineStr">
        <is>
          <t>GAC AION S</t>
        </is>
      </c>
      <c r="L259" t="inlineStr">
        <is>
          <t>DIDI</t>
        </is>
      </c>
      <c r="M259" s="3">
        <f>IF(H259="Efectivo",IFERROR((VALUE(RIGHT(I259,4))-VALUE(RIGHT(E259,4)))*12+(VALUE(LEFT(I259,2))-VALUE(LEFT(E259,2))),""),"")</f>
        <v/>
      </c>
    </row>
    <row r="260">
      <c r="A260" t="inlineStr">
        <is>
          <t>CRUZ LOYA JAVIER NORBERTO</t>
        </is>
      </c>
      <c r="B260" t="inlineStr">
        <is>
          <t>Hombre</t>
        </is>
      </c>
      <c r="C260" t="inlineStr">
        <is>
          <t>4357AF</t>
        </is>
      </c>
      <c r="D260" t="inlineStr">
        <is>
          <t>CDMX Y AREA METROPOLITANA</t>
        </is>
      </c>
      <c r="E260" t="inlineStr">
        <is>
          <t>02-2025</t>
        </is>
      </c>
      <c r="F260" t="inlineStr">
        <is>
          <t>03-2026</t>
        </is>
      </c>
      <c r="G260" t="n">
        <v>13</v>
      </c>
      <c r="H260" t="inlineStr">
        <is>
          <t>Cancelado</t>
        </is>
      </c>
      <c r="J260" t="inlineStr">
        <is>
          <t>31G740</t>
        </is>
      </c>
      <c r="K260" t="inlineStr">
        <is>
          <t>GAC AION S</t>
        </is>
      </c>
      <c r="L260" t="inlineStr">
        <is>
          <t>DIDI</t>
        </is>
      </c>
      <c r="M260" s="3">
        <f>IF(H260="Efectivo",IFERROR((VALUE(RIGHT(I260,4))-VALUE(RIGHT(E260,4)))*12+(VALUE(LEFT(I260,2))-VALUE(LEFT(E260,2))),""),"")</f>
        <v/>
      </c>
    </row>
    <row r="261">
      <c r="A261" t="inlineStr">
        <is>
          <t>CRUZ MARTINEZ RAFAEL</t>
        </is>
      </c>
      <c r="B261" t="inlineStr">
        <is>
          <t>Hombre</t>
        </is>
      </c>
      <c r="C261" t="inlineStr">
        <is>
          <t>4576AF</t>
        </is>
      </c>
      <c r="D261" t="inlineStr">
        <is>
          <t>CDMX Y AREA METROPOLITANA</t>
        </is>
      </c>
      <c r="E261" t="inlineStr">
        <is>
          <t>04-2025</t>
        </is>
      </c>
      <c r="F261" t="inlineStr">
        <is>
          <t>08-2025</t>
        </is>
      </c>
      <c r="G261" t="n">
        <v>4</v>
      </c>
      <c r="H261" t="inlineStr">
        <is>
          <t>Efectivo</t>
        </is>
      </c>
      <c r="I261" t="inlineStr">
        <is>
          <t>08-2025</t>
        </is>
      </c>
      <c r="J261" t="inlineStr">
        <is>
          <t>39G696</t>
        </is>
      </c>
      <c r="K261" t="inlineStr">
        <is>
          <t>GAC AION S</t>
        </is>
      </c>
      <c r="L261" t="inlineStr">
        <is>
          <t>DIDI</t>
        </is>
      </c>
      <c r="M261" s="3">
        <f>IF(H261="Efectivo",IFERROR((VALUE(RIGHT(I261,4))-VALUE(RIGHT(E261,4)))*12+(VALUE(LEFT(I261,2))-VALUE(LEFT(E261,2))),""),"")</f>
        <v/>
      </c>
    </row>
    <row r="262">
      <c r="A262" t="inlineStr">
        <is>
          <t>CRUZ MEJIA JUAN CARLOS</t>
        </is>
      </c>
      <c r="B262" t="inlineStr">
        <is>
          <t>Hombre</t>
        </is>
      </c>
      <c r="C262" t="inlineStr">
        <is>
          <t>4655AF</t>
        </is>
      </c>
      <c r="D262" t="inlineStr">
        <is>
          <t>CDMX Y AREA METROPOLITANA</t>
        </is>
      </c>
      <c r="E262" t="inlineStr">
        <is>
          <t>04-2025</t>
        </is>
      </c>
      <c r="F262" t="inlineStr">
        <is>
          <t>09-2025</t>
        </is>
      </c>
      <c r="G262" t="n">
        <v>5</v>
      </c>
      <c r="H262" t="inlineStr">
        <is>
          <t>Efectivo</t>
        </is>
      </c>
      <c r="I262" t="inlineStr">
        <is>
          <t>10-2025</t>
        </is>
      </c>
      <c r="J262" t="inlineStr">
        <is>
          <t>38G343</t>
        </is>
      </c>
      <c r="K262" t="inlineStr">
        <is>
          <t>GAC AION S</t>
        </is>
      </c>
      <c r="L262" t="inlineStr">
        <is>
          <t>DIDI</t>
        </is>
      </c>
      <c r="M262" s="3">
        <f>IF(H262="Efectivo",IFERROR((VALUE(RIGHT(I262,4))-VALUE(RIGHT(E262,4)))*12+(VALUE(LEFT(I262,2))-VALUE(LEFT(E262,2))),""),"")</f>
        <v/>
      </c>
    </row>
    <row r="263">
      <c r="A263" t="inlineStr">
        <is>
          <t>CRUZ PEREZ SERGIO</t>
        </is>
      </c>
      <c r="B263" t="inlineStr">
        <is>
          <t>Hombre</t>
        </is>
      </c>
      <c r="C263" t="inlineStr">
        <is>
          <t>5200AF</t>
        </is>
      </c>
      <c r="D263" t="inlineStr">
        <is>
          <t>CDMX Y AREA METROPOLITANA</t>
        </is>
      </c>
      <c r="E263" t="inlineStr">
        <is>
          <t>06-2025</t>
        </is>
      </c>
      <c r="F263" t="inlineStr">
        <is>
          <t>04-2026</t>
        </is>
      </c>
      <c r="G263" t="n">
        <v>10</v>
      </c>
      <c r="H263" t="inlineStr">
        <is>
          <t>Pendiente</t>
        </is>
      </c>
      <c r="J263" t="inlineStr">
        <is>
          <t>43G850</t>
        </is>
      </c>
      <c r="K263" t="inlineStr">
        <is>
          <t>GAC AION S</t>
        </is>
      </c>
      <c r="L263" t="inlineStr">
        <is>
          <t>UBER</t>
        </is>
      </c>
      <c r="M263" s="3">
        <f>IF(H263="Efectivo",IFERROR((VALUE(RIGHT(I263,4))-VALUE(RIGHT(E263,4)))*12+(VALUE(LEFT(I263,2))-VALUE(LEFT(E263,2))),""),"")</f>
        <v/>
      </c>
    </row>
    <row r="264">
      <c r="A264" t="inlineStr">
        <is>
          <t>CRUZ ROBLEDO ERICK ALBERTO</t>
        </is>
      </c>
      <c r="B264" t="inlineStr">
        <is>
          <t>Hombre</t>
        </is>
      </c>
      <c r="C264" t="inlineStr">
        <is>
          <t>6381AF</t>
        </is>
      </c>
      <c r="D264" t="inlineStr">
        <is>
          <t>CDMX Y AREA METROPOLITANA</t>
        </is>
      </c>
      <c r="E264" t="inlineStr">
        <is>
          <t>11-2025</t>
        </is>
      </c>
      <c r="F264" t="inlineStr">
        <is>
          <t>02-2026</t>
        </is>
      </c>
      <c r="G264" t="n">
        <v>2</v>
      </c>
      <c r="H264" t="inlineStr">
        <is>
          <t>Efectivo</t>
        </is>
      </c>
      <c r="I264" t="inlineStr">
        <is>
          <t>02-2026</t>
        </is>
      </c>
      <c r="J264" t="inlineStr">
        <is>
          <t>51G510</t>
        </is>
      </c>
      <c r="K264" t="inlineStr">
        <is>
          <t>GAC AION S</t>
        </is>
      </c>
      <c r="L264" t="inlineStr">
        <is>
          <t>UBER</t>
        </is>
      </c>
      <c r="M264" s="3">
        <f>IF(H264="Efectivo",IFERROR((VALUE(RIGHT(I264,4))-VALUE(RIGHT(E264,4)))*12+(VALUE(LEFT(I264,2))-VALUE(LEFT(E264,2))),""),"")</f>
        <v/>
      </c>
    </row>
    <row r="265">
      <c r="A265" t="inlineStr">
        <is>
          <t>CRUZ RODRÍGUEZ DIEGO SAMUEL</t>
        </is>
      </c>
      <c r="B265" t="inlineStr">
        <is>
          <t>Hombre</t>
        </is>
      </c>
      <c r="C265" t="inlineStr">
        <is>
          <t>7224AF</t>
        </is>
      </c>
      <c r="D265" t="inlineStr">
        <is>
          <t>CDMX Y AREA METROPOLITANA</t>
        </is>
      </c>
      <c r="E265" t="inlineStr">
        <is>
          <t>03-2026</t>
        </is>
      </c>
      <c r="F265" t="inlineStr">
        <is>
          <t>05-2026</t>
        </is>
      </c>
      <c r="G265" t="n">
        <v>2</v>
      </c>
      <c r="H265" t="inlineStr">
        <is>
          <t>Efectivo</t>
        </is>
      </c>
      <c r="I265" t="inlineStr">
        <is>
          <t>05-2026</t>
        </is>
      </c>
      <c r="J265" t="inlineStr">
        <is>
          <t>24K752</t>
        </is>
      </c>
      <c r="K265" t="inlineStr">
        <is>
          <t>GAC AION S</t>
        </is>
      </c>
      <c r="L265" t="inlineStr">
        <is>
          <t>UBER</t>
        </is>
      </c>
      <c r="M265" s="3">
        <f>IF(H265="Efectivo",IFERROR((VALUE(RIGHT(I265,4))-VALUE(RIGHT(E265,4)))*12+(VALUE(LEFT(I265,2))-VALUE(LEFT(E265,2))),""),"")</f>
        <v/>
      </c>
    </row>
    <row r="266">
      <c r="A266" t="inlineStr">
        <is>
          <t>CRUZ SANCHEZ RUBEN ROSSEMBERG</t>
        </is>
      </c>
      <c r="B266" t="inlineStr">
        <is>
          <t>Hombre</t>
        </is>
      </c>
      <c r="C266" t="inlineStr">
        <is>
          <t>5210AF</t>
        </is>
      </c>
      <c r="D266" t="inlineStr">
        <is>
          <t>BAJA CALIFORNIA</t>
        </is>
      </c>
      <c r="E266" t="inlineStr">
        <is>
          <t>07-2025</t>
        </is>
      </c>
      <c r="F266" t="inlineStr">
        <is>
          <t>03-2026</t>
        </is>
      </c>
      <c r="G266" t="n">
        <v>8</v>
      </c>
      <c r="H266" t="inlineStr">
        <is>
          <t>Efectivo</t>
        </is>
      </c>
      <c r="I266" t="inlineStr">
        <is>
          <t>03-2026</t>
        </is>
      </c>
      <c r="J266" t="inlineStr">
        <is>
          <t>BYY751A</t>
        </is>
      </c>
      <c r="K266" t="inlineStr">
        <is>
          <t>CHEVROLET AVEO</t>
        </is>
      </c>
      <c r="L266" t="inlineStr">
        <is>
          <t>UBER</t>
        </is>
      </c>
      <c r="M266" s="3">
        <f>IF(H266="Efectivo",IFERROR((VALUE(RIGHT(I266,4))-VALUE(RIGHT(E266,4)))*12+(VALUE(LEFT(I266,2))-VALUE(LEFT(E266,2))),""),"")</f>
        <v/>
      </c>
    </row>
    <row r="267">
      <c r="A267" t="inlineStr">
        <is>
          <t>CRUZ TORRES MARTIN ALEJANDRO</t>
        </is>
      </c>
      <c r="B267" t="inlineStr">
        <is>
          <t>Hombre</t>
        </is>
      </c>
      <c r="C267" t="inlineStr">
        <is>
          <t>3621AF</t>
        </is>
      </c>
      <c r="D267" t="inlineStr">
        <is>
          <t>CDMX Y AREA METROPOLITANA</t>
        </is>
      </c>
      <c r="E267" t="inlineStr">
        <is>
          <t>08-2024</t>
        </is>
      </c>
      <c r="F267" t="inlineStr">
        <is>
          <t>05-2025</t>
        </is>
      </c>
      <c r="G267" t="n">
        <v>9</v>
      </c>
      <c r="H267" t="inlineStr">
        <is>
          <t>Efectivo</t>
        </is>
      </c>
      <c r="I267" t="inlineStr">
        <is>
          <t>05-2025</t>
        </is>
      </c>
      <c r="J267" t="inlineStr">
        <is>
          <t>E67BPF</t>
        </is>
      </c>
      <c r="K267" t="inlineStr">
        <is>
          <t>CHEVROLET AVEO</t>
        </is>
      </c>
      <c r="L267" t="inlineStr">
        <is>
          <t>UBER</t>
        </is>
      </c>
      <c r="M267" s="3">
        <f>IF(H267="Efectivo",IFERROR((VALUE(RIGHT(I267,4))-VALUE(RIGHT(E267,4)))*12+(VALUE(LEFT(I267,2))-VALUE(LEFT(E267,2))),""),"")</f>
        <v/>
      </c>
    </row>
    <row r="268">
      <c r="A268" t="inlineStr">
        <is>
          <t>CRUZ VELAZQUEZ MARCO ANTONIO</t>
        </is>
      </c>
      <c r="B268" t="inlineStr">
        <is>
          <t>Hombre</t>
        </is>
      </c>
      <c r="C268" t="inlineStr">
        <is>
          <t>5036AF</t>
        </is>
      </c>
      <c r="D268" t="inlineStr">
        <is>
          <t>CDMX Y AREA METROPOLITANA</t>
        </is>
      </c>
      <c r="E268" t="inlineStr">
        <is>
          <t>06-2025</t>
        </is>
      </c>
      <c r="F268" t="inlineStr">
        <is>
          <t>05-2026</t>
        </is>
      </c>
      <c r="G268" t="n">
        <v>11</v>
      </c>
      <c r="H268" t="inlineStr">
        <is>
          <t>Efectivo</t>
        </is>
      </c>
      <c r="I268" t="inlineStr">
        <is>
          <t>05-2026</t>
        </is>
      </c>
      <c r="J268" t="inlineStr">
        <is>
          <t>41G613</t>
        </is>
      </c>
      <c r="K268" t="inlineStr">
        <is>
          <t>BYD MINIDOLPHIN</t>
        </is>
      </c>
      <c r="L268" t="inlineStr">
        <is>
          <t>UBER</t>
        </is>
      </c>
      <c r="M268" s="3">
        <f>IF(H268="Efectivo",IFERROR((VALUE(RIGHT(I268,4))-VALUE(RIGHT(E268,4)))*12+(VALUE(LEFT(I268,2))-VALUE(LEFT(E268,2))),""),"")</f>
        <v/>
      </c>
    </row>
    <row r="269">
      <c r="A269" t="inlineStr">
        <is>
          <t>CUETO BARROETA ARMANDO SAMUEL</t>
        </is>
      </c>
      <c r="B269" t="inlineStr">
        <is>
          <t>Hombre</t>
        </is>
      </c>
      <c r="C269" t="inlineStr">
        <is>
          <t>6105AF</t>
        </is>
      </c>
      <c r="D269" t="inlineStr">
        <is>
          <t>CDMX Y AREA METROPOLITANA</t>
        </is>
      </c>
      <c r="E269" t="inlineStr">
        <is>
          <t>10-2025</t>
        </is>
      </c>
      <c r="F269" t="inlineStr">
        <is>
          <t>03-2026</t>
        </is>
      </c>
      <c r="G269" t="n">
        <v>5</v>
      </c>
      <c r="H269" t="inlineStr">
        <is>
          <t>Efectivo</t>
        </is>
      </c>
      <c r="I269" t="inlineStr">
        <is>
          <t>03-2026</t>
        </is>
      </c>
      <c r="J269" t="inlineStr">
        <is>
          <t>62G338</t>
        </is>
      </c>
      <c r="K269" t="inlineStr">
        <is>
          <t>BYD E5</t>
        </is>
      </c>
      <c r="L269" t="inlineStr">
        <is>
          <t>UBER</t>
        </is>
      </c>
      <c r="M269" s="3">
        <f>IF(H269="Efectivo",IFERROR((VALUE(RIGHT(I269,4))-VALUE(RIGHT(E269,4)))*12+(VALUE(LEFT(I269,2))-VALUE(LEFT(E269,2))),""),"")</f>
        <v/>
      </c>
    </row>
    <row r="270">
      <c r="A270" t="inlineStr">
        <is>
          <t>CUEVAS REYES ENRIQUE</t>
        </is>
      </c>
      <c r="B270" t="inlineStr">
        <is>
          <t>Hombre</t>
        </is>
      </c>
      <c r="C270" t="inlineStr">
        <is>
          <t>6280AF</t>
        </is>
      </c>
      <c r="D270" t="inlineStr">
        <is>
          <t>BAJA CALIFORNIA</t>
        </is>
      </c>
      <c r="E270" t="inlineStr">
        <is>
          <t>10-2025</t>
        </is>
      </c>
      <c r="F270" t="inlineStr">
        <is>
          <t>05-2026</t>
        </is>
      </c>
      <c r="G270" t="n">
        <v>6</v>
      </c>
      <c r="H270" t="inlineStr">
        <is>
          <t>Pendiente</t>
        </is>
      </c>
      <c r="J270" t="inlineStr">
        <is>
          <t>CAT834A</t>
        </is>
      </c>
      <c r="K270" t="inlineStr">
        <is>
          <t>CHEVROLET AVEO</t>
        </is>
      </c>
      <c r="L270" t="inlineStr">
        <is>
          <t>DIDI</t>
        </is>
      </c>
      <c r="M270" s="3">
        <f>IF(H270="Efectivo",IFERROR((VALUE(RIGHT(I270,4))-VALUE(RIGHT(E270,4)))*12+(VALUE(LEFT(I270,2))-VALUE(LEFT(E270,2))),""),"")</f>
        <v/>
      </c>
    </row>
    <row r="271">
      <c r="A271" t="inlineStr">
        <is>
          <t>CUEVAS ZAVALA GERARD GERMAN</t>
        </is>
      </c>
      <c r="B271" t="inlineStr">
        <is>
          <t>Hombre</t>
        </is>
      </c>
      <c r="C271" t="inlineStr">
        <is>
          <t>3883AF</t>
        </is>
      </c>
      <c r="D271" t="inlineStr">
        <is>
          <t>CDMX Y AREA METROPOLITANA</t>
        </is>
      </c>
      <c r="E271" t="inlineStr">
        <is>
          <t>10-2024</t>
        </is>
      </c>
      <c r="F271" t="inlineStr">
        <is>
          <t>12-2025</t>
        </is>
      </c>
      <c r="G271" t="n">
        <v>14</v>
      </c>
      <c r="H271" t="inlineStr">
        <is>
          <t>Efectivo</t>
        </is>
      </c>
      <c r="I271" t="inlineStr">
        <is>
          <t>01-2026</t>
        </is>
      </c>
      <c r="J271" t="inlineStr">
        <is>
          <t>D04BPN</t>
        </is>
      </c>
      <c r="K271" t="inlineStr">
        <is>
          <t>CHEVROLET AVEO</t>
        </is>
      </c>
      <c r="L271" t="inlineStr">
        <is>
          <t>UBER</t>
        </is>
      </c>
      <c r="M271" s="3">
        <f>IF(H271="Efectivo",IFERROR((VALUE(RIGHT(I271,4))-VALUE(RIGHT(E271,4)))*12+(VALUE(LEFT(I271,2))-VALUE(LEFT(E271,2))),""),"")</f>
        <v/>
      </c>
    </row>
    <row r="272">
      <c r="A272" t="inlineStr">
        <is>
          <t>CURIEL TORRES EFRAIN</t>
        </is>
      </c>
      <c r="B272" t="inlineStr">
        <is>
          <t>Hombre</t>
        </is>
      </c>
      <c r="C272" t="inlineStr">
        <is>
          <t>2773AF</t>
        </is>
      </c>
      <c r="D272" t="inlineStr">
        <is>
          <t>CDMX Y AREA METROPOLITANA</t>
        </is>
      </c>
      <c r="E272" t="inlineStr">
        <is>
          <t>09-2023</t>
        </is>
      </c>
      <c r="F272" t="inlineStr">
        <is>
          <t>07-2025</t>
        </is>
      </c>
      <c r="G272" t="n">
        <v>22</v>
      </c>
      <c r="H272" t="inlineStr">
        <is>
          <t>Efectivo</t>
        </is>
      </c>
      <c r="I272" t="inlineStr">
        <is>
          <t>07-2025</t>
        </is>
      </c>
      <c r="J272" t="inlineStr">
        <is>
          <t>63F972</t>
        </is>
      </c>
      <c r="K272" t="inlineStr">
        <is>
          <t>SUZUKI ERTIGA</t>
        </is>
      </c>
      <c r="L272" t="inlineStr">
        <is>
          <t>UBER</t>
        </is>
      </c>
      <c r="M272" s="3">
        <f>IF(H272="Efectivo",IFERROR((VALUE(RIGHT(I272,4))-VALUE(RIGHT(E272,4)))*12+(VALUE(LEFT(I272,2))-VALUE(LEFT(E272,2))),""),"")</f>
        <v/>
      </c>
    </row>
    <row r="273">
      <c r="A273" t="inlineStr">
        <is>
          <t>DANACHE MARTINEZ JUAN PABLO</t>
        </is>
      </c>
      <c r="B273" t="inlineStr">
        <is>
          <t>Hombre</t>
        </is>
      </c>
      <c r="C273" t="inlineStr">
        <is>
          <t>3479AF</t>
        </is>
      </c>
      <c r="D273" t="inlineStr">
        <is>
          <t>CDMX Y AREA METROPOLITANA</t>
        </is>
      </c>
      <c r="E273" t="inlineStr">
        <is>
          <t>07-2024</t>
        </is>
      </c>
      <c r="F273" t="inlineStr">
        <is>
          <t>07-2025</t>
        </is>
      </c>
      <c r="G273" t="n">
        <v>12</v>
      </c>
      <c r="H273" t="inlineStr">
        <is>
          <t>Efectivo</t>
        </is>
      </c>
      <c r="I273" t="inlineStr">
        <is>
          <t>07-2025</t>
        </is>
      </c>
      <c r="J273" t="inlineStr">
        <is>
          <t>89F698</t>
        </is>
      </c>
      <c r="K273" t="inlineStr">
        <is>
          <t>BYD D1</t>
        </is>
      </c>
      <c r="L273" t="inlineStr">
        <is>
          <t>UBER</t>
        </is>
      </c>
      <c r="M273" s="3">
        <f>IF(H273="Efectivo",IFERROR((VALUE(RIGHT(I273,4))-VALUE(RIGHT(E273,4)))*12+(VALUE(LEFT(I273,2))-VALUE(LEFT(E273,2))),""),"")</f>
        <v/>
      </c>
    </row>
    <row r="274">
      <c r="A274" t="inlineStr">
        <is>
          <t>DARIO SANDOVAL CESAR OSWALDO</t>
        </is>
      </c>
      <c r="B274" t="inlineStr">
        <is>
          <t>Hombre</t>
        </is>
      </c>
      <c r="C274" t="inlineStr">
        <is>
          <t>4915AF</t>
        </is>
      </c>
      <c r="D274" t="inlineStr">
        <is>
          <t>BAJA CALIFORNIA</t>
        </is>
      </c>
      <c r="E274" t="inlineStr">
        <is>
          <t>05-2025</t>
        </is>
      </c>
      <c r="F274" t="inlineStr">
        <is>
          <t>08-2025</t>
        </is>
      </c>
      <c r="G274" t="n">
        <v>3</v>
      </c>
      <c r="H274" t="inlineStr">
        <is>
          <t>Cancelado</t>
        </is>
      </c>
      <c r="J274" t="inlineStr">
        <is>
          <t>BYG559A</t>
        </is>
      </c>
      <c r="K274" t="inlineStr">
        <is>
          <t>CHEVROLET AVEO</t>
        </is>
      </c>
      <c r="L274" t="inlineStr">
        <is>
          <t>UBER</t>
        </is>
      </c>
      <c r="M274" s="3">
        <f>IF(H274="Efectivo",IFERROR((VALUE(RIGHT(I274,4))-VALUE(RIGHT(E274,4)))*12+(VALUE(LEFT(I274,2))-VALUE(LEFT(E274,2))),""),"")</f>
        <v/>
      </c>
    </row>
    <row r="275">
      <c r="A275" t="inlineStr">
        <is>
          <t>DAVILA HERNANDEZ ARMANDO</t>
        </is>
      </c>
      <c r="B275" t="inlineStr">
        <is>
          <t>Hombre</t>
        </is>
      </c>
      <c r="C275" t="inlineStr">
        <is>
          <t>3104AF</t>
        </is>
      </c>
      <c r="D275" t="inlineStr">
        <is>
          <t>CDMX Y AREA METROPOLITANA</t>
        </is>
      </c>
      <c r="E275" t="inlineStr">
        <is>
          <t>03-2024</t>
        </is>
      </c>
      <c r="F275" t="inlineStr">
        <is>
          <t>01-2025</t>
        </is>
      </c>
      <c r="G275" t="n">
        <v>10</v>
      </c>
      <c r="H275" t="inlineStr">
        <is>
          <t>Efectivo</t>
        </is>
      </c>
      <c r="I275" t="inlineStr">
        <is>
          <t>01-2025</t>
        </is>
      </c>
      <c r="J275" t="inlineStr">
        <is>
          <t>Y13BNL</t>
        </is>
      </c>
      <c r="K275" t="inlineStr">
        <is>
          <t>CHEVROLET AVEO</t>
        </is>
      </c>
      <c r="L275" t="inlineStr">
        <is>
          <t>UBER</t>
        </is>
      </c>
      <c r="M275" s="3">
        <f>IF(H275="Efectivo",IFERROR((VALUE(RIGHT(I275,4))-VALUE(RIGHT(E275,4)))*12+(VALUE(LEFT(I275,2))-VALUE(LEFT(E275,2))),""),"")</f>
        <v/>
      </c>
    </row>
    <row r="276">
      <c r="A276" t="inlineStr">
        <is>
          <t>DAVILA MALDONADO PERLA CECILIA</t>
        </is>
      </c>
      <c r="B276" t="inlineStr">
        <is>
          <t>Mujer</t>
        </is>
      </c>
      <c r="C276" t="inlineStr">
        <is>
          <t>2916AF</t>
        </is>
      </c>
      <c r="D276" t="inlineStr">
        <is>
          <t>NUEVO LEON</t>
        </is>
      </c>
      <c r="E276" t="inlineStr">
        <is>
          <t>12-2023</t>
        </is>
      </c>
      <c r="F276" t="inlineStr">
        <is>
          <t>09-2025</t>
        </is>
      </c>
      <c r="G276" t="n">
        <v>21</v>
      </c>
      <c r="H276" t="inlineStr">
        <is>
          <t>Pendiente</t>
        </is>
      </c>
      <c r="J276" t="inlineStr">
        <is>
          <t>SSV801B</t>
        </is>
      </c>
      <c r="K276" t="inlineStr">
        <is>
          <t>CHEVROLET AVEO</t>
        </is>
      </c>
      <c r="L276" t="inlineStr">
        <is>
          <t>UBER</t>
        </is>
      </c>
      <c r="M276" s="3">
        <f>IF(H276="Efectivo",IFERROR((VALUE(RIGHT(I276,4))-VALUE(RIGHT(E276,4)))*12+(VALUE(LEFT(I276,2))-VALUE(LEFT(E276,2))),""),"")</f>
        <v/>
      </c>
    </row>
    <row r="277">
      <c r="A277" t="inlineStr">
        <is>
          <t>DE AQUINO GONZALEZ JOSAFAT DANTON</t>
        </is>
      </c>
      <c r="B277" t="inlineStr">
        <is>
          <t>Hombre</t>
        </is>
      </c>
      <c r="C277" t="inlineStr">
        <is>
          <t>4032AF</t>
        </is>
      </c>
      <c r="D277" t="inlineStr">
        <is>
          <t>CDMX Y AREA METROPOLITANA</t>
        </is>
      </c>
      <c r="E277" t="inlineStr">
        <is>
          <t>11-2024</t>
        </is>
      </c>
      <c r="F277" t="inlineStr">
        <is>
          <t>08-2025</t>
        </is>
      </c>
      <c r="G277" t="n">
        <v>8</v>
      </c>
      <c r="H277" t="inlineStr">
        <is>
          <t>Efectivo</t>
        </is>
      </c>
      <c r="I277" t="inlineStr">
        <is>
          <t>08-2025</t>
        </is>
      </c>
      <c r="J277" t="inlineStr">
        <is>
          <t>13G965</t>
        </is>
      </c>
      <c r="K277" t="inlineStr">
        <is>
          <t>BYD D1</t>
        </is>
      </c>
      <c r="L277" t="inlineStr">
        <is>
          <t>UBER</t>
        </is>
      </c>
      <c r="M277" s="3">
        <f>IF(H277="Efectivo",IFERROR((VALUE(RIGHT(I277,4))-VALUE(RIGHT(E277,4)))*12+(VALUE(LEFT(I277,2))-VALUE(LEFT(E277,2))),""),"")</f>
        <v/>
      </c>
    </row>
    <row r="278">
      <c r="A278" t="inlineStr">
        <is>
          <t>DE LA CRUZ CEFERINO EDUARDO ASUNCION</t>
        </is>
      </c>
      <c r="B278" t="inlineStr">
        <is>
          <t>Hombre</t>
        </is>
      </c>
      <c r="C278" t="inlineStr">
        <is>
          <t>5795AF</t>
        </is>
      </c>
      <c r="D278" t="inlineStr">
        <is>
          <t>NUEVO LEON</t>
        </is>
      </c>
      <c r="E278" t="inlineStr">
        <is>
          <t>09-2025</t>
        </is>
      </c>
      <c r="F278" t="inlineStr">
        <is>
          <t>12-2025</t>
        </is>
      </c>
      <c r="G278" t="n">
        <v>2</v>
      </c>
      <c r="H278" t="inlineStr">
        <is>
          <t>Pendiente</t>
        </is>
      </c>
      <c r="J278" t="inlineStr">
        <is>
          <t>RXW243C</t>
        </is>
      </c>
      <c r="K278" t="inlineStr">
        <is>
          <t>CHEVROLET AVEO</t>
        </is>
      </c>
      <c r="L278" t="inlineStr">
        <is>
          <t>DIDI</t>
        </is>
      </c>
      <c r="M278" s="3">
        <f>IF(H278="Efectivo",IFERROR((VALUE(RIGHT(I278,4))-VALUE(RIGHT(E278,4)))*12+(VALUE(LEFT(I278,2))-VALUE(LEFT(E278,2))),""),"")</f>
        <v/>
      </c>
    </row>
    <row r="279">
      <c r="A279" t="inlineStr">
        <is>
          <t>DE LEON ALVAREZ MIGUEL ANGEL</t>
        </is>
      </c>
      <c r="B279" t="inlineStr">
        <is>
          <t>Hombre</t>
        </is>
      </c>
      <c r="C279" t="inlineStr">
        <is>
          <t>5520AF</t>
        </is>
      </c>
      <c r="D279" t="inlineStr">
        <is>
          <t>NUEVO LEON</t>
        </is>
      </c>
      <c r="E279" t="inlineStr">
        <is>
          <t>08-2025</t>
        </is>
      </c>
      <c r="F279" t="inlineStr">
        <is>
          <t>05-2026</t>
        </is>
      </c>
      <c r="G279" t="n">
        <v>9</v>
      </c>
      <c r="H279" t="inlineStr">
        <is>
          <t>Pendiente</t>
        </is>
      </c>
      <c r="J279" t="inlineStr">
        <is>
          <t>RVX595C</t>
        </is>
      </c>
      <c r="K279" t="inlineStr">
        <is>
          <t>CHEVROLET AVEO</t>
        </is>
      </c>
      <c r="L279" t="inlineStr">
        <is>
          <t>UBER</t>
        </is>
      </c>
      <c r="M279" s="3">
        <f>IF(H279="Efectivo",IFERROR((VALUE(RIGHT(I279,4))-VALUE(RIGHT(E279,4)))*12+(VALUE(LEFT(I279,2))-VALUE(LEFT(E279,2))),""),"")</f>
        <v/>
      </c>
    </row>
    <row r="280">
      <c r="A280" t="inlineStr">
        <is>
          <t>DE LEON VERA LUIS ANTONIO</t>
        </is>
      </c>
      <c r="B280" t="inlineStr">
        <is>
          <t>Hombre</t>
        </is>
      </c>
      <c r="C280" t="inlineStr">
        <is>
          <t>4215AF</t>
        </is>
      </c>
      <c r="D280" t="inlineStr">
        <is>
          <t>CDMX Y AREA METROPOLITANA</t>
        </is>
      </c>
      <c r="E280" t="inlineStr">
        <is>
          <t>01-2025</t>
        </is>
      </c>
      <c r="F280" t="inlineStr">
        <is>
          <t>02-2026</t>
        </is>
      </c>
      <c r="G280" t="n">
        <v>13</v>
      </c>
      <c r="H280" t="inlineStr">
        <is>
          <t>Efectivo</t>
        </is>
      </c>
      <c r="I280" t="inlineStr">
        <is>
          <t>11-2025</t>
        </is>
      </c>
      <c r="J280" t="inlineStr">
        <is>
          <t>20G808</t>
        </is>
      </c>
      <c r="K280" t="inlineStr">
        <is>
          <t>GAC AION S</t>
        </is>
      </c>
      <c r="L280" t="inlineStr">
        <is>
          <t>UBER</t>
        </is>
      </c>
      <c r="M280" s="3">
        <f>IF(H280="Efectivo",IFERROR((VALUE(RIGHT(I280,4))-VALUE(RIGHT(E280,4)))*12+(VALUE(LEFT(I280,2))-VALUE(LEFT(E280,2))),""),"")</f>
        <v/>
      </c>
    </row>
    <row r="281">
      <c r="A281" t="inlineStr">
        <is>
          <t>DE MARCOS ANICETO GREGORIO</t>
        </is>
      </c>
      <c r="B281" t="inlineStr">
        <is>
          <t>Hombre</t>
        </is>
      </c>
      <c r="C281" t="inlineStr">
        <is>
          <t>5001AF</t>
        </is>
      </c>
      <c r="D281" t="inlineStr">
        <is>
          <t>CDMX Y AREA METROPOLITANA</t>
        </is>
      </c>
      <c r="E281" t="inlineStr">
        <is>
          <t>06-2025</t>
        </is>
      </c>
      <c r="F281" t="inlineStr">
        <is>
          <t>11-2025</t>
        </is>
      </c>
      <c r="G281" t="n">
        <v>5</v>
      </c>
      <c r="H281" t="inlineStr">
        <is>
          <t>Pendiente</t>
        </is>
      </c>
      <c r="J281" t="inlineStr">
        <is>
          <t>50G967</t>
        </is>
      </c>
      <c r="K281" t="inlineStr">
        <is>
          <t>GAC AION S</t>
        </is>
      </c>
      <c r="L281" t="inlineStr">
        <is>
          <t>UBER</t>
        </is>
      </c>
      <c r="M281" s="3">
        <f>IF(H281="Efectivo",IFERROR((VALUE(RIGHT(I281,4))-VALUE(RIGHT(E281,4)))*12+(VALUE(LEFT(I281,2))-VALUE(LEFT(E281,2))),""),"")</f>
        <v/>
      </c>
    </row>
    <row r="282">
      <c r="A282" t="inlineStr">
        <is>
          <t>DEHESA PEREZ VICTOR PEDRO</t>
        </is>
      </c>
      <c r="B282" t="inlineStr">
        <is>
          <t>Hombre</t>
        </is>
      </c>
      <c r="C282" t="inlineStr">
        <is>
          <t>6147AF</t>
        </is>
      </c>
      <c r="D282" t="inlineStr">
        <is>
          <t>CDMX Y AREA METROPOLITANA</t>
        </is>
      </c>
      <c r="E282" t="inlineStr">
        <is>
          <t>11-2025</t>
        </is>
      </c>
      <c r="F282" t="inlineStr">
        <is>
          <t>04-2026</t>
        </is>
      </c>
      <c r="G282" t="n">
        <v>5</v>
      </c>
      <c r="H282" t="inlineStr">
        <is>
          <t>Efectivo</t>
        </is>
      </c>
      <c r="I282" t="inlineStr">
        <is>
          <t>04-2026</t>
        </is>
      </c>
      <c r="J282" t="inlineStr">
        <is>
          <t>62G215</t>
        </is>
      </c>
      <c r="K282" t="inlineStr">
        <is>
          <t>BYD E5</t>
        </is>
      </c>
      <c r="L282" t="inlineStr">
        <is>
          <t>UBER</t>
        </is>
      </c>
      <c r="M282" s="3">
        <f>IF(H282="Efectivo",IFERROR((VALUE(RIGHT(I282,4))-VALUE(RIGHT(E282,4)))*12+(VALUE(LEFT(I282,2))-VALUE(LEFT(E282,2))),""),"")</f>
        <v/>
      </c>
    </row>
    <row r="283">
      <c r="A283" t="inlineStr">
        <is>
          <t>DEL ANGEL DOMINGUEZ JAVIER</t>
        </is>
      </c>
      <c r="B283" t="inlineStr">
        <is>
          <t>Hombre</t>
        </is>
      </c>
      <c r="C283" t="inlineStr">
        <is>
          <t>3275AF</t>
        </is>
      </c>
      <c r="D283" t="inlineStr">
        <is>
          <t>CDMX Y AREA METROPOLITANA</t>
        </is>
      </c>
      <c r="E283" t="inlineStr">
        <is>
          <t>05-2024</t>
        </is>
      </c>
      <c r="F283" t="inlineStr">
        <is>
          <t>02-2026</t>
        </is>
      </c>
      <c r="G283" t="n">
        <v>21</v>
      </c>
      <c r="H283" t="inlineStr">
        <is>
          <t>Efectivo</t>
        </is>
      </c>
      <c r="I283" t="inlineStr">
        <is>
          <t>02-2026</t>
        </is>
      </c>
      <c r="J283" t="inlineStr">
        <is>
          <t>T07BNL</t>
        </is>
      </c>
      <c r="K283" t="inlineStr">
        <is>
          <t>CHEVROLET AVEO</t>
        </is>
      </c>
      <c r="L283" t="inlineStr">
        <is>
          <t>UBER</t>
        </is>
      </c>
      <c r="M283" s="3">
        <f>IF(H283="Efectivo",IFERROR((VALUE(RIGHT(I283,4))-VALUE(RIGHT(E283,4)))*12+(VALUE(LEFT(I283,2))-VALUE(LEFT(E283,2))),""),"")</f>
        <v/>
      </c>
    </row>
    <row r="284">
      <c r="A284" t="inlineStr">
        <is>
          <t>DEL CARPIO SANTANA FRANCISCO JAVIER</t>
        </is>
      </c>
      <c r="B284" t="inlineStr">
        <is>
          <t>Hombre</t>
        </is>
      </c>
      <c r="C284" t="inlineStr">
        <is>
          <t>2266AF</t>
        </is>
      </c>
      <c r="D284" t="inlineStr">
        <is>
          <t>JALISCO</t>
        </is>
      </c>
      <c r="E284" t="inlineStr">
        <is>
          <t>09-2022</t>
        </is>
      </c>
      <c r="F284" t="inlineStr">
        <is>
          <t>11-2025</t>
        </is>
      </c>
      <c r="G284" t="n">
        <v>39</v>
      </c>
      <c r="H284" t="inlineStr">
        <is>
          <t>Cancelado</t>
        </is>
      </c>
      <c r="J284" t="inlineStr">
        <is>
          <t>JTF9139</t>
        </is>
      </c>
      <c r="K284" t="inlineStr">
        <is>
          <t>ONIX</t>
        </is>
      </c>
      <c r="L284" t="inlineStr">
        <is>
          <t>UBER</t>
        </is>
      </c>
      <c r="M284" s="3">
        <f>IF(H284="Efectivo",IFERROR((VALUE(RIGHT(I284,4))-VALUE(RIGHT(E284,4)))*12+(VALUE(LEFT(I284,2))-VALUE(LEFT(E284,2))),""),"")</f>
        <v/>
      </c>
    </row>
    <row r="285">
      <c r="A285" t="inlineStr">
        <is>
          <t>DEL SOLAR BUSTILLOS ERIK ALBERTO</t>
        </is>
      </c>
      <c r="B285" t="inlineStr">
        <is>
          <t>Hombre</t>
        </is>
      </c>
      <c r="C285" t="inlineStr">
        <is>
          <t>4541AF</t>
        </is>
      </c>
      <c r="D285" t="inlineStr">
        <is>
          <t>CDMX Y AREA METROPOLITANA</t>
        </is>
      </c>
      <c r="E285" t="inlineStr">
        <is>
          <t>03-2025</t>
        </is>
      </c>
      <c r="F285" t="inlineStr">
        <is>
          <t>06-2025</t>
        </is>
      </c>
      <c r="G285" t="n">
        <v>3</v>
      </c>
      <c r="H285" t="inlineStr">
        <is>
          <t>Efectivo</t>
        </is>
      </c>
      <c r="I285" t="inlineStr">
        <is>
          <t>07-2025</t>
        </is>
      </c>
      <c r="J285" t="inlineStr">
        <is>
          <t>40G146</t>
        </is>
      </c>
      <c r="K285" t="inlineStr">
        <is>
          <t>GAC AION S</t>
        </is>
      </c>
      <c r="L285" t="inlineStr">
        <is>
          <t>DIDI</t>
        </is>
      </c>
      <c r="M285" s="3">
        <f>IF(H285="Efectivo",IFERROR((VALUE(RIGHT(I285,4))-VALUE(RIGHT(E285,4)))*12+(VALUE(LEFT(I285,2))-VALUE(LEFT(E285,2))),""),"")</f>
        <v/>
      </c>
    </row>
    <row r="286">
      <c r="A286" t="inlineStr">
        <is>
          <t>DEL TORO AVILA HUGO</t>
        </is>
      </c>
      <c r="B286" t="inlineStr">
        <is>
          <t>Hombre</t>
        </is>
      </c>
      <c r="C286" t="inlineStr">
        <is>
          <t>6683AF</t>
        </is>
      </c>
      <c r="D286" t="inlineStr">
        <is>
          <t>CDMX Y AREA METROPOLITANA</t>
        </is>
      </c>
      <c r="E286" t="inlineStr">
        <is>
          <t>01-2026</t>
        </is>
      </c>
      <c r="F286" t="inlineStr">
        <is>
          <t>05-2026</t>
        </is>
      </c>
      <c r="G286" t="n">
        <v>4</v>
      </c>
      <c r="H286" t="inlineStr">
        <is>
          <t>Efectivo</t>
        </is>
      </c>
      <c r="I286" t="inlineStr">
        <is>
          <t>05-2026</t>
        </is>
      </c>
      <c r="J286" t="inlineStr">
        <is>
          <t>W19BRU</t>
        </is>
      </c>
      <c r="K286" t="inlineStr">
        <is>
          <t>CHEVROLET AVEO</t>
        </is>
      </c>
      <c r="L286" t="inlineStr">
        <is>
          <t>DIDI</t>
        </is>
      </c>
      <c r="M286" s="3">
        <f>IF(H286="Efectivo",IFERROR((VALUE(RIGHT(I286,4))-VALUE(RIGHT(E286,4)))*12+(VALUE(LEFT(I286,2))-VALUE(LEFT(E286,2))),""),"")</f>
        <v/>
      </c>
    </row>
    <row r="287">
      <c r="A287" t="inlineStr">
        <is>
          <t>DELGADILLO GUEVARA CARLOS IVAN</t>
        </is>
      </c>
      <c r="B287" t="inlineStr">
        <is>
          <t>Hombre</t>
        </is>
      </c>
      <c r="C287" t="inlineStr">
        <is>
          <t>4425AF</t>
        </is>
      </c>
      <c r="D287" t="inlineStr">
        <is>
          <t>CDMX Y AREA METROPOLITANA</t>
        </is>
      </c>
      <c r="E287" t="inlineStr">
        <is>
          <t>03-2025</t>
        </is>
      </c>
      <c r="F287" t="inlineStr">
        <is>
          <t>07-2025</t>
        </is>
      </c>
      <c r="G287" t="n">
        <v>4</v>
      </c>
      <c r="H287" t="inlineStr">
        <is>
          <t>Efectivo</t>
        </is>
      </c>
      <c r="I287" t="inlineStr">
        <is>
          <t>07-2025</t>
        </is>
      </c>
      <c r="J287" t="inlineStr">
        <is>
          <t>89F821</t>
        </is>
      </c>
      <c r="K287" t="inlineStr">
        <is>
          <t>BYD D1</t>
        </is>
      </c>
      <c r="L287" t="inlineStr">
        <is>
          <t>UBER</t>
        </is>
      </c>
      <c r="M287" s="3">
        <f>IF(H287="Efectivo",IFERROR((VALUE(RIGHT(I287,4))-VALUE(RIGHT(E287,4)))*12+(VALUE(LEFT(I287,2))-VALUE(LEFT(E287,2))),""),"")</f>
        <v/>
      </c>
    </row>
    <row r="288">
      <c r="A288" t="inlineStr">
        <is>
          <t>DELGADO GUERRA JUAN JOSE</t>
        </is>
      </c>
      <c r="B288" t="inlineStr">
        <is>
          <t>Hombre</t>
        </is>
      </c>
      <c r="C288" t="inlineStr">
        <is>
          <t>6668AF</t>
        </is>
      </c>
      <c r="D288" t="inlineStr">
        <is>
          <t>CDMX Y AREA METROPOLITANA</t>
        </is>
      </c>
      <c r="E288" t="inlineStr">
        <is>
          <t>06-2025</t>
        </is>
      </c>
      <c r="F288" t="inlineStr">
        <is>
          <t>05-2026</t>
        </is>
      </c>
      <c r="G288" t="n">
        <v>11</v>
      </c>
      <c r="H288" t="inlineStr">
        <is>
          <t>Efectivo</t>
        </is>
      </c>
      <c r="I288" t="inlineStr">
        <is>
          <t>05-2026</t>
        </is>
      </c>
      <c r="J288" t="inlineStr">
        <is>
          <t>51G627</t>
        </is>
      </c>
      <c r="K288" t="inlineStr">
        <is>
          <t>GAC AION S</t>
        </is>
      </c>
      <c r="L288" t="inlineStr">
        <is>
          <t>UBER</t>
        </is>
      </c>
      <c r="M288" s="3">
        <f>IF(H288="Efectivo",IFERROR((VALUE(RIGHT(I288,4))-VALUE(RIGHT(E288,4)))*12+(VALUE(LEFT(I288,2))-VALUE(LEFT(E288,2))),""),"")</f>
        <v/>
      </c>
    </row>
    <row r="289">
      <c r="A289" t="inlineStr">
        <is>
          <t>DELGADO MENDOZA EMILIO</t>
        </is>
      </c>
      <c r="B289" t="inlineStr">
        <is>
          <t>Hombre</t>
        </is>
      </c>
      <c r="C289" t="inlineStr">
        <is>
          <t>3202AF</t>
        </is>
      </c>
      <c r="D289" t="inlineStr">
        <is>
          <t>BAJA CALIFORNIA</t>
        </is>
      </c>
      <c r="E289" t="inlineStr">
        <is>
          <t>04-2024</t>
        </is>
      </c>
      <c r="F289" t="inlineStr">
        <is>
          <t>01-2025</t>
        </is>
      </c>
      <c r="G289" t="n">
        <v>9</v>
      </c>
      <c r="H289" t="inlineStr">
        <is>
          <t>Efectivo</t>
        </is>
      </c>
      <c r="I289" t="inlineStr">
        <is>
          <t>01-2025</t>
        </is>
      </c>
      <c r="J289" t="inlineStr">
        <is>
          <t>BNB426A</t>
        </is>
      </c>
      <c r="K289" t="inlineStr">
        <is>
          <t>CHEVROLET AVEO</t>
        </is>
      </c>
      <c r="L289" t="inlineStr">
        <is>
          <t>UBER</t>
        </is>
      </c>
      <c r="M289" s="3">
        <f>IF(H289="Efectivo",IFERROR((VALUE(RIGHT(I289,4))-VALUE(RIGHT(E289,4)))*12+(VALUE(LEFT(I289,2))-VALUE(LEFT(E289,2))),""),"")</f>
        <v/>
      </c>
    </row>
    <row r="290">
      <c r="A290" t="inlineStr">
        <is>
          <t>DEMECIO HERNANDEZ EDGAR OMAR</t>
        </is>
      </c>
      <c r="B290" t="inlineStr">
        <is>
          <t>Hombre</t>
        </is>
      </c>
      <c r="C290" t="inlineStr">
        <is>
          <t>5017AF</t>
        </is>
      </c>
      <c r="D290" t="inlineStr">
        <is>
          <t>CDMX Y AREA METROPOLITANA</t>
        </is>
      </c>
      <c r="E290" t="inlineStr">
        <is>
          <t>06-2025</t>
        </is>
      </c>
      <c r="F290" t="inlineStr">
        <is>
          <t>04-2026</t>
        </is>
      </c>
      <c r="G290" t="n">
        <v>10</v>
      </c>
      <c r="H290" t="inlineStr">
        <is>
          <t>Efectivo</t>
        </is>
      </c>
      <c r="I290" t="inlineStr">
        <is>
          <t>04-2026</t>
        </is>
      </c>
      <c r="J290" t="inlineStr">
        <is>
          <t>14G427</t>
        </is>
      </c>
      <c r="K290" t="inlineStr">
        <is>
          <t>BYD D1</t>
        </is>
      </c>
      <c r="L290" t="inlineStr">
        <is>
          <t>UBER</t>
        </is>
      </c>
      <c r="M290" s="3">
        <f>IF(H290="Efectivo",IFERROR((VALUE(RIGHT(I290,4))-VALUE(RIGHT(E290,4)))*12+(VALUE(LEFT(I290,2))-VALUE(LEFT(E290,2))),""),"")</f>
        <v/>
      </c>
    </row>
    <row r="291">
      <c r="A291" t="inlineStr">
        <is>
          <t>DEMESA DE LA CRUZ MARCO ANTONIO</t>
        </is>
      </c>
      <c r="B291" t="inlineStr">
        <is>
          <t>Hombre</t>
        </is>
      </c>
      <c r="C291" t="inlineStr">
        <is>
          <t>3431AF</t>
        </is>
      </c>
      <c r="D291" t="inlineStr">
        <is>
          <t>CDMX Y AREA METROPOLITANA</t>
        </is>
      </c>
      <c r="E291" t="inlineStr">
        <is>
          <t>06-2024</t>
        </is>
      </c>
      <c r="F291" t="inlineStr">
        <is>
          <t>02-2025</t>
        </is>
      </c>
      <c r="G291" t="n">
        <v>8</v>
      </c>
      <c r="H291" t="inlineStr">
        <is>
          <t>Efectivo</t>
        </is>
      </c>
      <c r="I291" t="inlineStr">
        <is>
          <t>03-2025</t>
        </is>
      </c>
      <c r="J291" t="inlineStr">
        <is>
          <t>89F547</t>
        </is>
      </c>
      <c r="K291" t="inlineStr">
        <is>
          <t>BYD D1</t>
        </is>
      </c>
      <c r="L291" t="inlineStr">
        <is>
          <t>UBER</t>
        </is>
      </c>
      <c r="M291" s="3">
        <f>IF(H291="Efectivo",IFERROR((VALUE(RIGHT(I291,4))-VALUE(RIGHT(E291,4)))*12+(VALUE(LEFT(I291,2))-VALUE(LEFT(E291,2))),""),"")</f>
        <v/>
      </c>
    </row>
    <row r="292">
      <c r="A292" t="inlineStr">
        <is>
          <t>DESALES CABRERA FELIPE DE JESUS</t>
        </is>
      </c>
      <c r="B292" t="inlineStr">
        <is>
          <t>Hombre</t>
        </is>
      </c>
      <c r="C292" t="inlineStr">
        <is>
          <t>4419AF</t>
        </is>
      </c>
      <c r="D292" t="inlineStr">
        <is>
          <t>BAJA CALIFORNIA</t>
        </is>
      </c>
      <c r="E292" t="inlineStr">
        <is>
          <t>03-2025</t>
        </is>
      </c>
      <c r="F292" t="inlineStr">
        <is>
          <t>03-2026</t>
        </is>
      </c>
      <c r="G292" t="n">
        <v>12</v>
      </c>
      <c r="H292" t="inlineStr">
        <is>
          <t>Pendiente</t>
        </is>
      </c>
      <c r="J292" t="inlineStr">
        <is>
          <t>BWG814A</t>
        </is>
      </c>
      <c r="K292" t="inlineStr">
        <is>
          <t>CHEVROLET AVEO</t>
        </is>
      </c>
      <c r="L292" t="inlineStr">
        <is>
          <t>UBER</t>
        </is>
      </c>
      <c r="M292" s="3">
        <f>IF(H292="Efectivo",IFERROR((VALUE(RIGHT(I292,4))-VALUE(RIGHT(E292,4)))*12+(VALUE(LEFT(I292,2))-VALUE(LEFT(E292,2))),""),"")</f>
        <v/>
      </c>
    </row>
    <row r="293">
      <c r="A293" t="inlineStr">
        <is>
          <t>DIAZ ALBINO JULIO</t>
        </is>
      </c>
      <c r="B293" t="inlineStr">
        <is>
          <t>Hombre</t>
        </is>
      </c>
      <c r="C293" t="inlineStr">
        <is>
          <t>3611AF</t>
        </is>
      </c>
      <c r="D293" t="inlineStr">
        <is>
          <t>CDMX Y AREA METROPOLITANA</t>
        </is>
      </c>
      <c r="E293" t="inlineStr">
        <is>
          <t>08-2024</t>
        </is>
      </c>
      <c r="F293" t="inlineStr">
        <is>
          <t>08-2025</t>
        </is>
      </c>
      <c r="G293" t="n">
        <v>13</v>
      </c>
      <c r="H293" t="inlineStr">
        <is>
          <t>Efectivo</t>
        </is>
      </c>
      <c r="I293" t="inlineStr">
        <is>
          <t>09-2025</t>
        </is>
      </c>
      <c r="J293" t="inlineStr">
        <is>
          <t>89F741</t>
        </is>
      </c>
      <c r="K293" t="inlineStr">
        <is>
          <t>BYD D1</t>
        </is>
      </c>
      <c r="L293" t="inlineStr">
        <is>
          <t>UBER</t>
        </is>
      </c>
      <c r="M293" s="3">
        <f>IF(H293="Efectivo",IFERROR((VALUE(RIGHT(I293,4))-VALUE(RIGHT(E293,4)))*12+(VALUE(LEFT(I293,2))-VALUE(LEFT(E293,2))),""),"")</f>
        <v/>
      </c>
    </row>
    <row r="294">
      <c r="A294" t="inlineStr">
        <is>
          <t>DIAZ DE LEON GONZALEZ SAUL</t>
        </is>
      </c>
      <c r="B294" t="inlineStr">
        <is>
          <t>Hombre</t>
        </is>
      </c>
      <c r="C294" t="inlineStr">
        <is>
          <t>5543AF</t>
        </is>
      </c>
      <c r="D294" t="inlineStr">
        <is>
          <t>CDMX Y AREA METROPOLITANA</t>
        </is>
      </c>
      <c r="E294" t="inlineStr">
        <is>
          <t>08-2025</t>
        </is>
      </c>
      <c r="F294" t="inlineStr">
        <is>
          <t>02-2026</t>
        </is>
      </c>
      <c r="G294" t="n">
        <v>6</v>
      </c>
      <c r="H294" t="inlineStr">
        <is>
          <t>Efectivo</t>
        </is>
      </c>
      <c r="I294" t="inlineStr">
        <is>
          <t>04-2026</t>
        </is>
      </c>
      <c r="J294" t="inlineStr">
        <is>
          <t>42G701</t>
        </is>
      </c>
      <c r="K294" t="inlineStr">
        <is>
          <t>GAC AION S</t>
        </is>
      </c>
      <c r="L294" t="inlineStr">
        <is>
          <t>UBER</t>
        </is>
      </c>
      <c r="M294" s="3">
        <f>IF(H294="Efectivo",IFERROR((VALUE(RIGHT(I294,4))-VALUE(RIGHT(E294,4)))*12+(VALUE(LEFT(I294,2))-VALUE(LEFT(E294,2))),""),"")</f>
        <v/>
      </c>
    </row>
    <row r="295">
      <c r="A295" t="inlineStr">
        <is>
          <t>DIAZ GARCIA LUIS ANTONIO</t>
        </is>
      </c>
      <c r="B295" t="inlineStr">
        <is>
          <t>Hombre</t>
        </is>
      </c>
      <c r="C295" t="inlineStr">
        <is>
          <t>3183AF</t>
        </is>
      </c>
      <c r="D295" t="inlineStr">
        <is>
          <t>CDMX Y AREA METROPOLITANA</t>
        </is>
      </c>
      <c r="E295" t="inlineStr">
        <is>
          <t>04-2024</t>
        </is>
      </c>
      <c r="F295" t="inlineStr">
        <is>
          <t>02-2026</t>
        </is>
      </c>
      <c r="G295" t="n">
        <v>22</v>
      </c>
      <c r="H295" t="inlineStr">
        <is>
          <t>Efectivo</t>
        </is>
      </c>
      <c r="I295" t="inlineStr">
        <is>
          <t>02-2026</t>
        </is>
      </c>
      <c r="J295" t="inlineStr">
        <is>
          <t>X09BNL</t>
        </is>
      </c>
      <c r="K295" t="inlineStr">
        <is>
          <t>CHEVROLET AVEO</t>
        </is>
      </c>
      <c r="L295" t="inlineStr">
        <is>
          <t>UBER</t>
        </is>
      </c>
      <c r="M295" s="3">
        <f>IF(H295="Efectivo",IFERROR((VALUE(RIGHT(I295,4))-VALUE(RIGHT(E295,4)))*12+(VALUE(LEFT(I295,2))-VALUE(LEFT(E295,2))),""),"")</f>
        <v/>
      </c>
    </row>
    <row r="296">
      <c r="A296" t="inlineStr">
        <is>
          <t>DIAZ HERNANDEZ EDDIE FERNANDO</t>
        </is>
      </c>
      <c r="B296" t="inlineStr">
        <is>
          <t>Hombre</t>
        </is>
      </c>
      <c r="C296" t="inlineStr">
        <is>
          <t>5742AF</t>
        </is>
      </c>
      <c r="D296" t="inlineStr">
        <is>
          <t>NUEVO LEON</t>
        </is>
      </c>
      <c r="E296" t="inlineStr">
        <is>
          <t>08-2025</t>
        </is>
      </c>
      <c r="F296" t="inlineStr">
        <is>
          <t>05-2026</t>
        </is>
      </c>
      <c r="G296" t="n">
        <v>9</v>
      </c>
      <c r="H296" t="inlineStr">
        <is>
          <t>Pendiente</t>
        </is>
      </c>
      <c r="J296" t="inlineStr">
        <is>
          <t>RXC628C</t>
        </is>
      </c>
      <c r="K296" t="inlineStr">
        <is>
          <t>TOYOTA AVANZA</t>
        </is>
      </c>
      <c r="L296" t="inlineStr">
        <is>
          <t>UBER</t>
        </is>
      </c>
      <c r="M296" s="3">
        <f>IF(H296="Efectivo",IFERROR((VALUE(RIGHT(I296,4))-VALUE(RIGHT(E296,4)))*12+(VALUE(LEFT(I296,2))-VALUE(LEFT(E296,2))),""),"")</f>
        <v/>
      </c>
    </row>
    <row r="297">
      <c r="A297" t="inlineStr">
        <is>
          <t>DIAZ MORENO MIGUEL ANGEL</t>
        </is>
      </c>
      <c r="B297" t="inlineStr">
        <is>
          <t>Hombre</t>
        </is>
      </c>
      <c r="C297" t="inlineStr">
        <is>
          <t>5377AF</t>
        </is>
      </c>
      <c r="D297" t="inlineStr">
        <is>
          <t>CDMX Y AREA METROPOLITANA</t>
        </is>
      </c>
      <c r="E297" t="inlineStr">
        <is>
          <t>07-2025</t>
        </is>
      </c>
      <c r="F297" t="inlineStr">
        <is>
          <t>01-2026</t>
        </is>
      </c>
      <c r="G297" t="n">
        <v>6</v>
      </c>
      <c r="H297" t="inlineStr">
        <is>
          <t>Efectivo</t>
        </is>
      </c>
      <c r="I297" t="inlineStr">
        <is>
          <t>01-2026</t>
        </is>
      </c>
      <c r="J297" t="inlineStr">
        <is>
          <t>48G173</t>
        </is>
      </c>
      <c r="K297" t="inlineStr">
        <is>
          <t>BYD MINIDOLPHIN</t>
        </is>
      </c>
      <c r="L297" t="inlineStr">
        <is>
          <t>UBER</t>
        </is>
      </c>
      <c r="M297" s="3">
        <f>IF(H297="Efectivo",IFERROR((VALUE(RIGHT(I297,4))-VALUE(RIGHT(E297,4)))*12+(VALUE(LEFT(I297,2))-VALUE(LEFT(E297,2))),""),"")</f>
        <v/>
      </c>
    </row>
    <row r="298">
      <c r="A298" t="inlineStr">
        <is>
          <t>DIAZ SANCHEZ EDUARDO</t>
        </is>
      </c>
      <c r="B298" t="inlineStr">
        <is>
          <t>Hombre</t>
        </is>
      </c>
      <c r="C298" t="inlineStr">
        <is>
          <t>2956AF</t>
        </is>
      </c>
      <c r="D298" t="inlineStr">
        <is>
          <t>CDMX Y AREA METROPOLITANA</t>
        </is>
      </c>
      <c r="E298" t="inlineStr">
        <is>
          <t>01-2024</t>
        </is>
      </c>
      <c r="F298" t="inlineStr">
        <is>
          <t>09-2025</t>
        </is>
      </c>
      <c r="G298" t="n">
        <v>20</v>
      </c>
      <c r="H298" t="inlineStr">
        <is>
          <t>Cancelado</t>
        </is>
      </c>
      <c r="J298" t="inlineStr">
        <is>
          <t>E12BNL</t>
        </is>
      </c>
      <c r="K298" t="inlineStr">
        <is>
          <t>TOYOTA AVANZA</t>
        </is>
      </c>
      <c r="L298" t="inlineStr">
        <is>
          <t>UBER</t>
        </is>
      </c>
      <c r="M298" s="3">
        <f>IF(H298="Efectivo",IFERROR((VALUE(RIGHT(I298,4))-VALUE(RIGHT(E298,4)))*12+(VALUE(LEFT(I298,2))-VALUE(LEFT(E298,2))),""),"")</f>
        <v/>
      </c>
    </row>
    <row r="299">
      <c r="A299" t="inlineStr">
        <is>
          <t>DIAZ SANCHEZ EDUARDO</t>
        </is>
      </c>
      <c r="B299" t="inlineStr">
        <is>
          <t>Hombre</t>
        </is>
      </c>
      <c r="C299" t="inlineStr">
        <is>
          <t>2956AF</t>
        </is>
      </c>
      <c r="D299" t="inlineStr">
        <is>
          <t>CDMX Y AREA METROPOLITANA</t>
        </is>
      </c>
      <c r="E299" t="inlineStr">
        <is>
          <t>01-2024</t>
        </is>
      </c>
      <c r="F299" t="inlineStr">
        <is>
          <t>02-2026</t>
        </is>
      </c>
      <c r="G299" t="n">
        <v>25</v>
      </c>
      <c r="H299" t="inlineStr">
        <is>
          <t>Efectivo</t>
        </is>
      </c>
      <c r="I299" t="inlineStr">
        <is>
          <t>02-2026</t>
        </is>
      </c>
      <c r="J299" t="inlineStr">
        <is>
          <t>E12BNL</t>
        </is>
      </c>
      <c r="K299" t="inlineStr">
        <is>
          <t>TOYOTA AVANZA</t>
        </is>
      </c>
      <c r="L299" t="inlineStr">
        <is>
          <t>UBER</t>
        </is>
      </c>
      <c r="M299" s="3">
        <f>IF(H299="Efectivo",IFERROR((VALUE(RIGHT(I299,4))-VALUE(RIGHT(E299,4)))*12+(VALUE(LEFT(I299,2))-VALUE(LEFT(E299,2))),""),"")</f>
        <v/>
      </c>
    </row>
    <row r="300">
      <c r="A300" t="inlineStr">
        <is>
          <t>DIAZ VELAZQUEZ LUIS FELIPE</t>
        </is>
      </c>
      <c r="B300" t="inlineStr">
        <is>
          <t>Hombre</t>
        </is>
      </c>
      <c r="C300" t="inlineStr">
        <is>
          <t>5330AF</t>
        </is>
      </c>
      <c r="D300" t="inlineStr">
        <is>
          <t>CDMX Y AREA METROPOLITANA</t>
        </is>
      </c>
      <c r="E300" t="inlineStr">
        <is>
          <t>07-2025</t>
        </is>
      </c>
      <c r="F300" t="inlineStr">
        <is>
          <t>09-2025</t>
        </is>
      </c>
      <c r="G300" t="n">
        <v>2</v>
      </c>
      <c r="H300" t="inlineStr">
        <is>
          <t>Efectivo</t>
        </is>
      </c>
      <c r="I300" t="inlineStr">
        <is>
          <t>09-2025</t>
        </is>
      </c>
      <c r="J300" t="inlineStr">
        <is>
          <t>48G048</t>
        </is>
      </c>
      <c r="K300" t="inlineStr">
        <is>
          <t>BYD MINIDOLPHIN</t>
        </is>
      </c>
      <c r="L300" t="inlineStr">
        <is>
          <t>UBER</t>
        </is>
      </c>
      <c r="M300" s="3">
        <f>IF(H300="Efectivo",IFERROR((VALUE(RIGHT(I300,4))-VALUE(RIGHT(E300,4)))*12+(VALUE(LEFT(I300,2))-VALUE(LEFT(E300,2))),""),"")</f>
        <v/>
      </c>
    </row>
    <row r="301">
      <c r="A301" t="inlineStr">
        <is>
          <t>DIMAS ARRIOJA DIEGO</t>
        </is>
      </c>
      <c r="B301" t="inlineStr">
        <is>
          <t>Hombre</t>
        </is>
      </c>
      <c r="C301" t="inlineStr">
        <is>
          <t>6344AF</t>
        </is>
      </c>
      <c r="D301" t="inlineStr">
        <is>
          <t>BAJA CALIFORNIA</t>
        </is>
      </c>
      <c r="E301" t="inlineStr">
        <is>
          <t>11-2025</t>
        </is>
      </c>
      <c r="F301" t="inlineStr">
        <is>
          <t>02-2026</t>
        </is>
      </c>
      <c r="G301" t="n">
        <v>3</v>
      </c>
      <c r="H301" t="inlineStr">
        <is>
          <t>Efectivo</t>
        </is>
      </c>
      <c r="I301" t="inlineStr">
        <is>
          <t>02-2026</t>
        </is>
      </c>
      <c r="J301" t="inlineStr">
        <is>
          <t>CBL122A</t>
        </is>
      </c>
      <c r="K301" t="inlineStr">
        <is>
          <t>CHEVROLET AVEO</t>
        </is>
      </c>
      <c r="L301" t="inlineStr">
        <is>
          <t>DIDI</t>
        </is>
      </c>
      <c r="M301" s="3">
        <f>IF(H301="Efectivo",IFERROR((VALUE(RIGHT(I301,4))-VALUE(RIGHT(E301,4)))*12+(VALUE(LEFT(I301,2))-VALUE(LEFT(E301,2))),""),"")</f>
        <v/>
      </c>
    </row>
    <row r="302">
      <c r="A302" t="inlineStr">
        <is>
          <t>DOMINGUEZ ALVAREZ JUAN ARMANDO</t>
        </is>
      </c>
      <c r="B302" t="inlineStr">
        <is>
          <t>Hombre</t>
        </is>
      </c>
      <c r="C302" t="inlineStr">
        <is>
          <t>5832AF</t>
        </is>
      </c>
      <c r="D302" t="inlineStr">
        <is>
          <t>CDMX Y AREA METROPOLITANA</t>
        </is>
      </c>
      <c r="E302" t="inlineStr">
        <is>
          <t>09-2025</t>
        </is>
      </c>
      <c r="F302" t="inlineStr">
        <is>
          <t>05-2026</t>
        </is>
      </c>
      <c r="G302" t="n">
        <v>7</v>
      </c>
      <c r="H302" t="inlineStr">
        <is>
          <t>Efectivo</t>
        </is>
      </c>
      <c r="I302" t="inlineStr">
        <is>
          <t>05-2026</t>
        </is>
      </c>
      <c r="J302" t="inlineStr">
        <is>
          <t>51G506</t>
        </is>
      </c>
      <c r="K302" t="inlineStr">
        <is>
          <t>GAC AION S</t>
        </is>
      </c>
      <c r="L302" t="inlineStr">
        <is>
          <t>UBER</t>
        </is>
      </c>
      <c r="M302" s="3">
        <f>IF(H302="Efectivo",IFERROR((VALUE(RIGHT(I302,4))-VALUE(RIGHT(E302,4)))*12+(VALUE(LEFT(I302,2))-VALUE(LEFT(E302,2))),""),"")</f>
        <v/>
      </c>
    </row>
    <row r="303">
      <c r="A303" t="inlineStr">
        <is>
          <t>DOMINGUEZ AMAYO ERNESTO JESUS</t>
        </is>
      </c>
      <c r="B303" t="inlineStr">
        <is>
          <t>Hombre</t>
        </is>
      </c>
      <c r="C303" t="inlineStr">
        <is>
          <t>3569AF</t>
        </is>
      </c>
      <c r="D303" t="inlineStr">
        <is>
          <t>CDMX Y AREA METROPOLITANA</t>
        </is>
      </c>
      <c r="E303" t="inlineStr">
        <is>
          <t>07-2024</t>
        </is>
      </c>
      <c r="F303" t="inlineStr">
        <is>
          <t>01-2025</t>
        </is>
      </c>
      <c r="G303" t="n">
        <v>6</v>
      </c>
      <c r="H303" t="inlineStr">
        <is>
          <t>Efectivo</t>
        </is>
      </c>
      <c r="I303" t="inlineStr">
        <is>
          <t>01-2025</t>
        </is>
      </c>
      <c r="J303" t="inlineStr">
        <is>
          <t>89F821</t>
        </is>
      </c>
      <c r="K303" t="inlineStr">
        <is>
          <t>BYD D1</t>
        </is>
      </c>
      <c r="L303" t="inlineStr">
        <is>
          <t>UBER</t>
        </is>
      </c>
      <c r="M303" s="3">
        <f>IF(H303="Efectivo",IFERROR((VALUE(RIGHT(I303,4))-VALUE(RIGHT(E303,4)))*12+(VALUE(LEFT(I303,2))-VALUE(LEFT(E303,2))),""),"")</f>
        <v/>
      </c>
    </row>
    <row r="304">
      <c r="A304" t="inlineStr">
        <is>
          <t>DOMINGUEZ CANSINO ERIC</t>
        </is>
      </c>
      <c r="B304" t="inlineStr">
        <is>
          <t>Hombre</t>
        </is>
      </c>
      <c r="C304" t="inlineStr">
        <is>
          <t>3467AF</t>
        </is>
      </c>
      <c r="D304" t="inlineStr">
        <is>
          <t>CDMX Y AREA METROPOLITANA</t>
        </is>
      </c>
      <c r="E304" t="inlineStr">
        <is>
          <t>07-2024</t>
        </is>
      </c>
      <c r="F304" t="inlineStr">
        <is>
          <t>03-2025</t>
        </is>
      </c>
      <c r="G304" t="n">
        <v>9</v>
      </c>
      <c r="H304" t="inlineStr">
        <is>
          <t>Efectivo</t>
        </is>
      </c>
      <c r="I304" t="inlineStr">
        <is>
          <t>04-2025</t>
        </is>
      </c>
      <c r="J304" t="inlineStr">
        <is>
          <t>E98BPF</t>
        </is>
      </c>
      <c r="K304" t="inlineStr">
        <is>
          <t>CHEVROLET AVEO</t>
        </is>
      </c>
      <c r="L304" t="inlineStr">
        <is>
          <t>UBER</t>
        </is>
      </c>
      <c r="M304" s="3">
        <f>IF(H304="Efectivo",IFERROR((VALUE(RIGHT(I304,4))-VALUE(RIGHT(E304,4)))*12+(VALUE(LEFT(I304,2))-VALUE(LEFT(E304,2))),""),"")</f>
        <v/>
      </c>
    </row>
    <row r="305">
      <c r="A305" t="inlineStr">
        <is>
          <t>DOMINGUEZ GUTIERREZ MAURICIO</t>
        </is>
      </c>
      <c r="B305" t="inlineStr">
        <is>
          <t>Hombre</t>
        </is>
      </c>
      <c r="C305" t="inlineStr">
        <is>
          <t>4117AF</t>
        </is>
      </c>
      <c r="D305" t="inlineStr">
        <is>
          <t>CDMX Y AREA METROPOLITANA</t>
        </is>
      </c>
      <c r="E305" t="inlineStr">
        <is>
          <t>12-2024</t>
        </is>
      </c>
      <c r="F305" t="inlineStr">
        <is>
          <t>03-2025</t>
        </is>
      </c>
      <c r="G305" t="n">
        <v>3</v>
      </c>
      <c r="H305" t="inlineStr">
        <is>
          <t>Efectivo</t>
        </is>
      </c>
      <c r="I305" t="inlineStr">
        <is>
          <t>04-2025</t>
        </is>
      </c>
      <c r="J305" t="inlineStr">
        <is>
          <t>13G924</t>
        </is>
      </c>
      <c r="K305" t="inlineStr">
        <is>
          <t>BYD D1</t>
        </is>
      </c>
      <c r="L305" t="inlineStr">
        <is>
          <t>DIDI</t>
        </is>
      </c>
      <c r="M305" s="3">
        <f>IF(H305="Efectivo",IFERROR((VALUE(RIGHT(I305,4))-VALUE(RIGHT(E305,4)))*12+(VALUE(LEFT(I305,2))-VALUE(LEFT(E305,2))),""),"")</f>
        <v/>
      </c>
    </row>
    <row r="306">
      <c r="A306" t="inlineStr">
        <is>
          <t>DOMINGUEZ HERNANDEZ CRISTIAM DANIEL</t>
        </is>
      </c>
      <c r="B306" t="inlineStr">
        <is>
          <t>Hombre</t>
        </is>
      </c>
      <c r="C306" t="inlineStr">
        <is>
          <t>2392AF</t>
        </is>
      </c>
      <c r="D306" t="inlineStr">
        <is>
          <t>BAJA CALIFORNIA</t>
        </is>
      </c>
      <c r="E306" t="inlineStr">
        <is>
          <t>01-2023</t>
        </is>
      </c>
      <c r="F306" t="inlineStr">
        <is>
          <t>12-2025</t>
        </is>
      </c>
      <c r="G306" t="n">
        <v>36</v>
      </c>
      <c r="H306" t="inlineStr">
        <is>
          <t>Cancelado</t>
        </is>
      </c>
      <c r="J306" t="inlineStr">
        <is>
          <t>BEH486A</t>
        </is>
      </c>
      <c r="K306" t="inlineStr">
        <is>
          <t>ONIX</t>
        </is>
      </c>
      <c r="L306" t="inlineStr">
        <is>
          <t>UBER</t>
        </is>
      </c>
      <c r="M306" s="3">
        <f>IF(H306="Efectivo",IFERROR((VALUE(RIGHT(I306,4))-VALUE(RIGHT(E306,4)))*12+(VALUE(LEFT(I306,2))-VALUE(LEFT(E306,2))),""),"")</f>
        <v/>
      </c>
    </row>
    <row r="307">
      <c r="A307" t="inlineStr">
        <is>
          <t>DOMINGUEZ MARTINEZ JOSUE ELISEO</t>
        </is>
      </c>
      <c r="B307" t="inlineStr">
        <is>
          <t>Hombre</t>
        </is>
      </c>
      <c r="C307" t="inlineStr">
        <is>
          <t>6453AF</t>
        </is>
      </c>
      <c r="D307" t="inlineStr">
        <is>
          <t>NUEVO LEON</t>
        </is>
      </c>
      <c r="E307" t="inlineStr">
        <is>
          <t>12-2025</t>
        </is>
      </c>
      <c r="F307" t="inlineStr">
        <is>
          <t>04-2026</t>
        </is>
      </c>
      <c r="G307" t="n">
        <v>4</v>
      </c>
      <c r="H307" t="inlineStr">
        <is>
          <t>Efectivo</t>
        </is>
      </c>
      <c r="I307" t="inlineStr">
        <is>
          <t>04-2026</t>
        </is>
      </c>
      <c r="J307" t="inlineStr">
        <is>
          <t>RXW249C</t>
        </is>
      </c>
      <c r="K307" t="inlineStr">
        <is>
          <t>CHEVROLET AVEO</t>
        </is>
      </c>
      <c r="L307" t="inlineStr">
        <is>
          <t>DIDI</t>
        </is>
      </c>
      <c r="M307" s="3">
        <f>IF(H307="Efectivo",IFERROR((VALUE(RIGHT(I307,4))-VALUE(RIGHT(E307,4)))*12+(VALUE(LEFT(I307,2))-VALUE(LEFT(E307,2))),""),"")</f>
        <v/>
      </c>
    </row>
    <row r="308">
      <c r="A308" t="inlineStr">
        <is>
          <t>DOMINGUEZ SANDOVAL OSCAR</t>
        </is>
      </c>
      <c r="B308" t="inlineStr">
        <is>
          <t>Hombre</t>
        </is>
      </c>
      <c r="C308" t="inlineStr">
        <is>
          <t>4538AF</t>
        </is>
      </c>
      <c r="D308" t="inlineStr">
        <is>
          <t>CDMX Y AREA METROPOLITANA</t>
        </is>
      </c>
      <c r="E308" t="inlineStr">
        <is>
          <t>03-2025</t>
        </is>
      </c>
      <c r="F308" t="inlineStr">
        <is>
          <t>09-2025</t>
        </is>
      </c>
      <c r="G308" t="n">
        <v>6</v>
      </c>
      <c r="H308" t="inlineStr">
        <is>
          <t>Pendiente</t>
        </is>
      </c>
      <c r="J308" t="inlineStr">
        <is>
          <t>27G678</t>
        </is>
      </c>
      <c r="K308" t="inlineStr">
        <is>
          <t>BYD MINIDOLPHIN</t>
        </is>
      </c>
      <c r="L308" t="inlineStr">
        <is>
          <t>UBER</t>
        </is>
      </c>
      <c r="M308" s="3">
        <f>IF(H308="Efectivo",IFERROR((VALUE(RIGHT(I308,4))-VALUE(RIGHT(E308,4)))*12+(VALUE(LEFT(I308,2))-VALUE(LEFT(E308,2))),""),"")</f>
        <v/>
      </c>
    </row>
    <row r="309">
      <c r="A309" t="inlineStr">
        <is>
          <t>DORANTES LARA ALEJANDRO</t>
        </is>
      </c>
      <c r="B309" t="inlineStr">
        <is>
          <t>Hombre</t>
        </is>
      </c>
      <c r="C309" t="inlineStr">
        <is>
          <t>4147AF</t>
        </is>
      </c>
      <c r="D309" t="inlineStr">
        <is>
          <t>CDMX Y AREA METROPOLITANA</t>
        </is>
      </c>
      <c r="E309" t="inlineStr">
        <is>
          <t>12-2024</t>
        </is>
      </c>
      <c r="F309" t="inlineStr">
        <is>
          <t>05-2025</t>
        </is>
      </c>
      <c r="G309" t="n">
        <v>5</v>
      </c>
      <c r="H309" t="inlineStr">
        <is>
          <t>Efectivo</t>
        </is>
      </c>
      <c r="I309" t="inlineStr">
        <is>
          <t>05-2025</t>
        </is>
      </c>
      <c r="J309" t="inlineStr">
        <is>
          <t>19G341</t>
        </is>
      </c>
      <c r="K309" t="inlineStr">
        <is>
          <t>BYD D1</t>
        </is>
      </c>
      <c r="L309" t="inlineStr">
        <is>
          <t>UBER</t>
        </is>
      </c>
      <c r="M309" s="3">
        <f>IF(H309="Efectivo",IFERROR((VALUE(RIGHT(I309,4))-VALUE(RIGHT(E309,4)))*12+(VALUE(LEFT(I309,2))-VALUE(LEFT(E309,2))),""),"")</f>
        <v/>
      </c>
    </row>
    <row r="310">
      <c r="A310" t="inlineStr">
        <is>
          <t>DUEÑAS NIÑO DANIEL</t>
        </is>
      </c>
      <c r="B310" t="inlineStr">
        <is>
          <t>Hombre</t>
        </is>
      </c>
      <c r="C310" t="inlineStr">
        <is>
          <t>2251AF</t>
        </is>
      </c>
      <c r="D310" t="inlineStr">
        <is>
          <t>JALISCO</t>
        </is>
      </c>
      <c r="E310" t="inlineStr">
        <is>
          <t>09-2022</t>
        </is>
      </c>
      <c r="F310" t="inlineStr">
        <is>
          <t>06-2025</t>
        </is>
      </c>
      <c r="G310" t="n">
        <v>33</v>
      </c>
      <c r="H310" t="inlineStr">
        <is>
          <t>Efectivo</t>
        </is>
      </c>
      <c r="I310" t="inlineStr">
        <is>
          <t>06-2025</t>
        </is>
      </c>
      <c r="J310" t="inlineStr">
        <is>
          <t>JTF9138</t>
        </is>
      </c>
      <c r="K310" t="inlineStr">
        <is>
          <t>ATTITUDE</t>
        </is>
      </c>
      <c r="L310" t="inlineStr">
        <is>
          <t>UBER</t>
        </is>
      </c>
      <c r="M310" s="3">
        <f>IF(H310="Efectivo",IFERROR((VALUE(RIGHT(I310,4))-VALUE(RIGHT(E310,4)))*12+(VALUE(LEFT(I310,2))-VALUE(LEFT(E310,2))),""),"")</f>
        <v/>
      </c>
    </row>
    <row r="311">
      <c r="A311" t="inlineStr">
        <is>
          <t>DUEÑAS PEREZ JORGE</t>
        </is>
      </c>
      <c r="B311" t="inlineStr">
        <is>
          <t>Hombre</t>
        </is>
      </c>
      <c r="C311" t="inlineStr">
        <is>
          <t>4799AF</t>
        </is>
      </c>
      <c r="D311" t="inlineStr">
        <is>
          <t>BAJA CALIFORNIA</t>
        </is>
      </c>
      <c r="E311" t="inlineStr">
        <is>
          <t>05-2025</t>
        </is>
      </c>
      <c r="F311" t="inlineStr">
        <is>
          <t>06-2025</t>
        </is>
      </c>
      <c r="G311" t="n">
        <v>1</v>
      </c>
      <c r="H311" t="inlineStr">
        <is>
          <t>Efectivo</t>
        </is>
      </c>
      <c r="I311" t="inlineStr">
        <is>
          <t>06-2025</t>
        </is>
      </c>
      <c r="J311" t="inlineStr">
        <is>
          <t>BNB420A</t>
        </is>
      </c>
      <c r="K311" t="inlineStr">
        <is>
          <t>CHEVROLET AVEO</t>
        </is>
      </c>
      <c r="L311" t="inlineStr">
        <is>
          <t>UBER</t>
        </is>
      </c>
      <c r="M311" s="3">
        <f>IF(H311="Efectivo",IFERROR((VALUE(RIGHT(I311,4))-VALUE(RIGHT(E311,4)))*12+(VALUE(LEFT(I311,2))-VALUE(LEFT(E311,2))),""),"")</f>
        <v/>
      </c>
    </row>
    <row r="312">
      <c r="A312" t="inlineStr">
        <is>
          <t>DUQUE ALVAREZ ERICK ANTONIO</t>
        </is>
      </c>
      <c r="B312" t="inlineStr">
        <is>
          <t>Hombre</t>
        </is>
      </c>
      <c r="C312" t="inlineStr">
        <is>
          <t>5045AF</t>
        </is>
      </c>
      <c r="D312" t="inlineStr">
        <is>
          <t>CDMX Y AREA METROPOLITANA</t>
        </is>
      </c>
      <c r="E312" t="inlineStr">
        <is>
          <t>06-2025</t>
        </is>
      </c>
      <c r="F312" t="inlineStr">
        <is>
          <t>03-2026</t>
        </is>
      </c>
      <c r="G312" t="n">
        <v>9</v>
      </c>
      <c r="H312" t="inlineStr">
        <is>
          <t>Efectivo</t>
        </is>
      </c>
      <c r="I312" t="inlineStr">
        <is>
          <t>04-2026</t>
        </is>
      </c>
      <c r="J312" t="inlineStr">
        <is>
          <t>50G950</t>
        </is>
      </c>
      <c r="K312" t="inlineStr">
        <is>
          <t>GAC AION S</t>
        </is>
      </c>
      <c r="L312" t="inlineStr">
        <is>
          <t>UBER</t>
        </is>
      </c>
      <c r="M312" s="3">
        <f>IF(H312="Efectivo",IFERROR((VALUE(RIGHT(I312,4))-VALUE(RIGHT(E312,4)))*12+(VALUE(LEFT(I312,2))-VALUE(LEFT(E312,2))),""),"")</f>
        <v/>
      </c>
    </row>
    <row r="313">
      <c r="A313" t="inlineStr">
        <is>
          <t>DURAN RENTERIA JOSE LUIS</t>
        </is>
      </c>
      <c r="B313" t="inlineStr">
        <is>
          <t>Hombre</t>
        </is>
      </c>
      <c r="C313" t="inlineStr">
        <is>
          <t>6224AF</t>
        </is>
      </c>
      <c r="D313" t="inlineStr">
        <is>
          <t>BAJA CALIFORNIA</t>
        </is>
      </c>
      <c r="E313" t="inlineStr">
        <is>
          <t>11-2025</t>
        </is>
      </c>
      <c r="F313" t="inlineStr">
        <is>
          <t>02-2026</t>
        </is>
      </c>
      <c r="G313" t="n">
        <v>3</v>
      </c>
      <c r="H313" t="inlineStr">
        <is>
          <t>Pendiente</t>
        </is>
      </c>
      <c r="J313" t="inlineStr">
        <is>
          <t>CAT823A</t>
        </is>
      </c>
      <c r="K313" t="inlineStr">
        <is>
          <t>CHEVROLET AVEO</t>
        </is>
      </c>
      <c r="L313" t="inlineStr">
        <is>
          <t>UBER</t>
        </is>
      </c>
      <c r="M313" s="3">
        <f>IF(H313="Efectivo",IFERROR((VALUE(RIGHT(I313,4))-VALUE(RIGHT(E313,4)))*12+(VALUE(LEFT(I313,2))-VALUE(LEFT(E313,2))),""),"")</f>
        <v/>
      </c>
    </row>
    <row r="314">
      <c r="A314" t="inlineStr">
        <is>
          <t>DURON ALONZO CHRISTOPHER AZAEL</t>
        </is>
      </c>
      <c r="B314" t="inlineStr">
        <is>
          <t>Hombre</t>
        </is>
      </c>
      <c r="C314" t="inlineStr">
        <is>
          <t>6301AF</t>
        </is>
      </c>
      <c r="D314" t="inlineStr">
        <is>
          <t>NUEVO LEON</t>
        </is>
      </c>
      <c r="E314" t="inlineStr">
        <is>
          <t>11-2025</t>
        </is>
      </c>
      <c r="F314" t="inlineStr">
        <is>
          <t>02-2026</t>
        </is>
      </c>
      <c r="G314" t="n">
        <v>2</v>
      </c>
      <c r="H314" t="inlineStr">
        <is>
          <t>Efectivo</t>
        </is>
      </c>
      <c r="I314" t="inlineStr">
        <is>
          <t>03-2026</t>
        </is>
      </c>
      <c r="J314" t="inlineStr">
        <is>
          <t>53S668</t>
        </is>
      </c>
      <c r="K314" t="inlineStr">
        <is>
          <t>BYD MINIDOLPHIN</t>
        </is>
      </c>
      <c r="L314" t="inlineStr">
        <is>
          <t>DIDI</t>
        </is>
      </c>
      <c r="M314" s="3">
        <f>IF(H314="Efectivo",IFERROR((VALUE(RIGHT(I314,4))-VALUE(RIGHT(E314,4)))*12+(VALUE(LEFT(I314,2))-VALUE(LEFT(E314,2))),""),"")</f>
        <v/>
      </c>
    </row>
    <row r="315">
      <c r="A315" t="inlineStr">
        <is>
          <t>ELIAS ZUÑIGA NICOLAS</t>
        </is>
      </c>
      <c r="B315" t="inlineStr">
        <is>
          <t>Hombre</t>
        </is>
      </c>
      <c r="C315" t="inlineStr">
        <is>
          <t>4678AF</t>
        </is>
      </c>
      <c r="D315" t="inlineStr">
        <is>
          <t>CDMX Y AREA METROPOLITANA</t>
        </is>
      </c>
      <c r="E315" t="inlineStr">
        <is>
          <t>04-2025</t>
        </is>
      </c>
      <c r="F315" t="inlineStr">
        <is>
          <t>05-2026</t>
        </is>
      </c>
      <c r="G315" t="n">
        <v>13</v>
      </c>
      <c r="H315" t="inlineStr">
        <is>
          <t>Pendiente</t>
        </is>
      </c>
      <c r="J315" t="inlineStr">
        <is>
          <t>47G430</t>
        </is>
      </c>
      <c r="K315" t="inlineStr">
        <is>
          <t>BYD MINIDOLPHIN</t>
        </is>
      </c>
      <c r="L315" t="inlineStr">
        <is>
          <t>UBER</t>
        </is>
      </c>
      <c r="M315" s="3">
        <f>IF(H315="Efectivo",IFERROR((VALUE(RIGHT(I315,4))-VALUE(RIGHT(E315,4)))*12+(VALUE(LEFT(I315,2))-VALUE(LEFT(E315,2))),""),"")</f>
        <v/>
      </c>
    </row>
    <row r="316">
      <c r="A316" t="inlineStr">
        <is>
          <t>ELIZALDE DEL MURO EDER ULISES</t>
        </is>
      </c>
      <c r="B316" t="inlineStr">
        <is>
          <t>Hombre</t>
        </is>
      </c>
      <c r="C316" t="inlineStr">
        <is>
          <t>4182AF</t>
        </is>
      </c>
      <c r="D316" t="inlineStr">
        <is>
          <t>CDMX Y AREA METROPOLITANA</t>
        </is>
      </c>
      <c r="E316" t="inlineStr">
        <is>
          <t>01-2025</t>
        </is>
      </c>
      <c r="F316" t="inlineStr">
        <is>
          <t>03-2026</t>
        </is>
      </c>
      <c r="G316" t="n">
        <v>15</v>
      </c>
      <c r="H316" t="inlineStr">
        <is>
          <t>Efectivo</t>
        </is>
      </c>
      <c r="I316" t="inlineStr">
        <is>
          <t>05-2026</t>
        </is>
      </c>
      <c r="J316" t="inlineStr">
        <is>
          <t>19G453</t>
        </is>
      </c>
      <c r="K316" t="inlineStr">
        <is>
          <t>BYD D1</t>
        </is>
      </c>
      <c r="L316" t="inlineStr">
        <is>
          <t>UBER</t>
        </is>
      </c>
      <c r="M316" s="3">
        <f>IF(H316="Efectivo",IFERROR((VALUE(RIGHT(I316,4))-VALUE(RIGHT(E316,4)))*12+(VALUE(LEFT(I316,2))-VALUE(LEFT(E316,2))),""),"")</f>
        <v/>
      </c>
    </row>
    <row r="317">
      <c r="A317" t="inlineStr">
        <is>
          <t>ENCISO HERNANDEZ ALBINO</t>
        </is>
      </c>
      <c r="B317" t="inlineStr">
        <is>
          <t>Hombre</t>
        </is>
      </c>
      <c r="C317" t="inlineStr">
        <is>
          <t>4043AF</t>
        </is>
      </c>
      <c r="D317" t="inlineStr">
        <is>
          <t>CDMX Y AREA METROPOLITANA</t>
        </is>
      </c>
      <c r="E317" t="inlineStr">
        <is>
          <t>11-2024</t>
        </is>
      </c>
      <c r="F317" t="inlineStr">
        <is>
          <t>06-2025</t>
        </is>
      </c>
      <c r="G317" t="n">
        <v>6</v>
      </c>
      <c r="H317" t="inlineStr">
        <is>
          <t>Cancelado</t>
        </is>
      </c>
      <c r="J317" t="inlineStr">
        <is>
          <t>13G848</t>
        </is>
      </c>
      <c r="K317" t="inlineStr">
        <is>
          <t>BYD D1</t>
        </is>
      </c>
      <c r="L317" t="inlineStr">
        <is>
          <t>UBER</t>
        </is>
      </c>
      <c r="M317" s="3">
        <f>IF(H317="Efectivo",IFERROR((VALUE(RIGHT(I317,4))-VALUE(RIGHT(E317,4)))*12+(VALUE(LEFT(I317,2))-VALUE(LEFT(E317,2))),""),"")</f>
        <v/>
      </c>
    </row>
    <row r="318">
      <c r="A318" t="inlineStr">
        <is>
          <t>ENCISO HERNANDEZ ALBINO</t>
        </is>
      </c>
      <c r="B318" t="inlineStr">
        <is>
          <t>Hombre</t>
        </is>
      </c>
      <c r="C318" t="inlineStr">
        <is>
          <t>4043AF</t>
        </is>
      </c>
      <c r="D318" t="inlineStr">
        <is>
          <t>CDMX Y AREA METROPOLITANA</t>
        </is>
      </c>
      <c r="E318" t="inlineStr">
        <is>
          <t>11-2024</t>
        </is>
      </c>
      <c r="F318" t="inlineStr">
        <is>
          <t>05-2026</t>
        </is>
      </c>
      <c r="G318" t="n">
        <v>17</v>
      </c>
      <c r="H318" t="inlineStr">
        <is>
          <t>Efectivo</t>
        </is>
      </c>
      <c r="I318" t="inlineStr">
        <is>
          <t>05-2026</t>
        </is>
      </c>
      <c r="J318" t="inlineStr">
        <is>
          <t>13G848</t>
        </is>
      </c>
      <c r="K318" t="inlineStr">
        <is>
          <t>BYD D1</t>
        </is>
      </c>
      <c r="L318" t="inlineStr">
        <is>
          <t>UBER</t>
        </is>
      </c>
      <c r="M318" s="3">
        <f>IF(H318="Efectivo",IFERROR((VALUE(RIGHT(I318,4))-VALUE(RIGHT(E318,4)))*12+(VALUE(LEFT(I318,2))-VALUE(LEFT(E318,2))),""),"")</f>
        <v/>
      </c>
    </row>
    <row r="319">
      <c r="A319" t="inlineStr">
        <is>
          <t>ENDOQUI GARCIA JAVIER ALEJANDRO</t>
        </is>
      </c>
      <c r="B319" t="inlineStr">
        <is>
          <t>Hombre</t>
        </is>
      </c>
      <c r="C319" t="inlineStr">
        <is>
          <t>3079AF</t>
        </is>
      </c>
      <c r="D319" t="inlineStr">
        <is>
          <t>CDMX Y AREA METROPOLITANA</t>
        </is>
      </c>
      <c r="E319" t="inlineStr">
        <is>
          <t>02-2024</t>
        </is>
      </c>
      <c r="F319" t="inlineStr">
        <is>
          <t>05-2026</t>
        </is>
      </c>
      <c r="G319" t="n">
        <v>27</v>
      </c>
      <c r="H319" t="inlineStr">
        <is>
          <t>Efectivo</t>
        </is>
      </c>
      <c r="I319" t="inlineStr">
        <is>
          <t>05-2026</t>
        </is>
      </c>
      <c r="J319" t="inlineStr">
        <is>
          <t>84F042</t>
        </is>
      </c>
      <c r="K319" t="inlineStr">
        <is>
          <t>BYD D1</t>
        </is>
      </c>
      <c r="L319" t="inlineStr">
        <is>
          <t>UBER</t>
        </is>
      </c>
      <c r="M319" s="3">
        <f>IF(H319="Efectivo",IFERROR((VALUE(RIGHT(I319,4))-VALUE(RIGHT(E319,4)))*12+(VALUE(LEFT(I319,2))-VALUE(LEFT(E319,2))),""),"")</f>
        <v/>
      </c>
    </row>
    <row r="320">
      <c r="A320" t="inlineStr">
        <is>
          <t>ENRIQUEZ GARCIA JAVIER</t>
        </is>
      </c>
      <c r="B320" t="inlineStr">
        <is>
          <t>Hombre</t>
        </is>
      </c>
      <c r="C320" t="inlineStr">
        <is>
          <t>6120AF</t>
        </is>
      </c>
      <c r="D320" t="inlineStr">
        <is>
          <t>BAJA CALIFORNIA</t>
        </is>
      </c>
      <c r="E320" t="inlineStr">
        <is>
          <t>10-2025</t>
        </is>
      </c>
      <c r="F320" t="inlineStr">
        <is>
          <t>04-2026</t>
        </is>
      </c>
      <c r="G320" t="n">
        <v>6</v>
      </c>
      <c r="H320" t="inlineStr">
        <is>
          <t>Efectivo</t>
        </is>
      </c>
      <c r="I320" t="inlineStr">
        <is>
          <t>04-2026</t>
        </is>
      </c>
      <c r="J320" t="inlineStr">
        <is>
          <t>CAS980A</t>
        </is>
      </c>
      <c r="K320" t="inlineStr">
        <is>
          <t>CHEVROLET AVEO</t>
        </is>
      </c>
      <c r="L320" t="inlineStr">
        <is>
          <t>DIDI</t>
        </is>
      </c>
      <c r="M320" s="3">
        <f>IF(H320="Efectivo",IFERROR((VALUE(RIGHT(I320,4))-VALUE(RIGHT(E320,4)))*12+(VALUE(LEFT(I320,2))-VALUE(LEFT(E320,2))),""),"")</f>
        <v/>
      </c>
    </row>
    <row r="321">
      <c r="A321" t="inlineStr">
        <is>
          <t>ENRIQUEZ ROMERO SAMUEL</t>
        </is>
      </c>
      <c r="B321" t="inlineStr">
        <is>
          <t>Hombre</t>
        </is>
      </c>
      <c r="C321" t="inlineStr">
        <is>
          <t>6624AF</t>
        </is>
      </c>
      <c r="D321" t="inlineStr">
        <is>
          <t>JALISCO</t>
        </is>
      </c>
      <c r="E321" t="inlineStr">
        <is>
          <t>12-2025</t>
        </is>
      </c>
      <c r="F321" t="inlineStr">
        <is>
          <t>03-2026</t>
        </is>
      </c>
      <c r="G321" t="n">
        <v>2</v>
      </c>
      <c r="H321" t="inlineStr">
        <is>
          <t>Efectivo</t>
        </is>
      </c>
      <c r="I321" t="inlineStr">
        <is>
          <t>04-2026</t>
        </is>
      </c>
      <c r="J321" t="inlineStr">
        <is>
          <t>JZK645A</t>
        </is>
      </c>
      <c r="K321" t="inlineStr">
        <is>
          <t>CHEVROLET AVEO</t>
        </is>
      </c>
      <c r="L321" t="inlineStr">
        <is>
          <t>DIDI</t>
        </is>
      </c>
      <c r="M321" s="3">
        <f>IF(H321="Efectivo",IFERROR((VALUE(RIGHT(I321,4))-VALUE(RIGHT(E321,4)))*12+(VALUE(LEFT(I321,2))-VALUE(LEFT(E321,2))),""),"")</f>
        <v/>
      </c>
    </row>
    <row r="322">
      <c r="A322" t="inlineStr">
        <is>
          <t>ENRIQUEZ TORRES OMAR</t>
        </is>
      </c>
      <c r="B322" t="inlineStr">
        <is>
          <t>Hombre</t>
        </is>
      </c>
      <c r="C322" t="inlineStr">
        <is>
          <t>5183AF</t>
        </is>
      </c>
      <c r="D322" t="inlineStr">
        <is>
          <t>CDMX Y AREA METROPOLITANA</t>
        </is>
      </c>
      <c r="E322" t="inlineStr">
        <is>
          <t>06-2025</t>
        </is>
      </c>
      <c r="F322" t="inlineStr">
        <is>
          <t>05-2026</t>
        </is>
      </c>
      <c r="G322" t="n">
        <v>10</v>
      </c>
      <c r="H322" t="inlineStr">
        <is>
          <t>Efectivo</t>
        </is>
      </c>
      <c r="I322" t="inlineStr">
        <is>
          <t>05-2026</t>
        </is>
      </c>
      <c r="J322" t="inlineStr">
        <is>
          <t>50G675</t>
        </is>
      </c>
      <c r="K322" t="inlineStr">
        <is>
          <t>GAC AION S</t>
        </is>
      </c>
      <c r="L322" t="inlineStr">
        <is>
          <t>UBER</t>
        </is>
      </c>
      <c r="M322" s="3">
        <f>IF(H322="Efectivo",IFERROR((VALUE(RIGHT(I322,4))-VALUE(RIGHT(E322,4)))*12+(VALUE(LEFT(I322,2))-VALUE(LEFT(E322,2))),""),"")</f>
        <v/>
      </c>
    </row>
    <row r="323">
      <c r="A323" t="inlineStr">
        <is>
          <t>ESCALANTE ROCHA ANDRES</t>
        </is>
      </c>
      <c r="B323" t="inlineStr">
        <is>
          <t>Hombre</t>
        </is>
      </c>
      <c r="C323" t="inlineStr">
        <is>
          <t>4767AF</t>
        </is>
      </c>
      <c r="D323" t="inlineStr">
        <is>
          <t>CDMX Y AREA METROPOLITANA</t>
        </is>
      </c>
      <c r="E323" t="inlineStr">
        <is>
          <t>05-2025</t>
        </is>
      </c>
      <c r="F323" t="inlineStr">
        <is>
          <t>01-2026</t>
        </is>
      </c>
      <c r="G323" t="n">
        <v>8</v>
      </c>
      <c r="H323" t="inlineStr">
        <is>
          <t>Efectivo</t>
        </is>
      </c>
      <c r="I323" t="inlineStr">
        <is>
          <t>01-2026</t>
        </is>
      </c>
      <c r="J323" t="inlineStr">
        <is>
          <t>41G301</t>
        </is>
      </c>
      <c r="K323" t="inlineStr">
        <is>
          <t>BYD MINIDOLPHIN</t>
        </is>
      </c>
      <c r="L323" t="inlineStr">
        <is>
          <t>UBER</t>
        </is>
      </c>
      <c r="M323" s="3">
        <f>IF(H323="Efectivo",IFERROR((VALUE(RIGHT(I323,4))-VALUE(RIGHT(E323,4)))*12+(VALUE(LEFT(I323,2))-VALUE(LEFT(E323,2))),""),"")</f>
        <v/>
      </c>
    </row>
    <row r="324">
      <c r="A324" t="inlineStr">
        <is>
          <t>ESCAMILLA MORALES MARIO ALFONSO</t>
        </is>
      </c>
      <c r="B324" t="inlineStr">
        <is>
          <t>Hombre</t>
        </is>
      </c>
      <c r="C324" t="inlineStr">
        <is>
          <t>6806AF</t>
        </is>
      </c>
      <c r="D324" t="inlineStr">
        <is>
          <t>CDMX Y AREA METROPOLITANA</t>
        </is>
      </c>
      <c r="E324" t="inlineStr">
        <is>
          <t>01-2026</t>
        </is>
      </c>
      <c r="F324" t="inlineStr">
        <is>
          <t>03-2026</t>
        </is>
      </c>
      <c r="G324" t="n">
        <v>1</v>
      </c>
      <c r="H324" t="inlineStr">
        <is>
          <t>Efectivo</t>
        </is>
      </c>
      <c r="I324" t="inlineStr">
        <is>
          <t>03-2026</t>
        </is>
      </c>
      <c r="J324" t="inlineStr">
        <is>
          <t>16K684</t>
        </is>
      </c>
      <c r="K324" t="inlineStr">
        <is>
          <t>GAC AION S</t>
        </is>
      </c>
      <c r="L324" t="inlineStr">
        <is>
          <t>UBER</t>
        </is>
      </c>
      <c r="M324" s="3">
        <f>IF(H324="Efectivo",IFERROR((VALUE(RIGHT(I324,4))-VALUE(RIGHT(E324,4)))*12+(VALUE(LEFT(I324,2))-VALUE(LEFT(E324,2))),""),"")</f>
        <v/>
      </c>
    </row>
    <row r="325">
      <c r="A325" t="inlineStr">
        <is>
          <t>ESCAREÑO VILLARREAL HECTOR HUGO</t>
        </is>
      </c>
      <c r="B325" t="inlineStr">
        <is>
          <t>Hombre</t>
        </is>
      </c>
      <c r="C325" t="inlineStr">
        <is>
          <t>3982AF</t>
        </is>
      </c>
      <c r="D325" t="inlineStr">
        <is>
          <t>NUEVO LEON</t>
        </is>
      </c>
      <c r="E325" t="inlineStr">
        <is>
          <t>11-2024</t>
        </is>
      </c>
      <c r="F325" t="inlineStr">
        <is>
          <t>03-2026</t>
        </is>
      </c>
      <c r="G325" t="n">
        <v>16</v>
      </c>
      <c r="H325" t="inlineStr">
        <is>
          <t>Pendiente</t>
        </is>
      </c>
      <c r="J325" t="inlineStr">
        <is>
          <t>TCS207B</t>
        </is>
      </c>
      <c r="K325" t="inlineStr">
        <is>
          <t>ONIX</t>
        </is>
      </c>
      <c r="L325" t="inlineStr">
        <is>
          <t>UBER</t>
        </is>
      </c>
      <c r="M325" s="3">
        <f>IF(H325="Efectivo",IFERROR((VALUE(RIGHT(I325,4))-VALUE(RIGHT(E325,4)))*12+(VALUE(LEFT(I325,2))-VALUE(LEFT(E325,2))),""),"")</f>
        <v/>
      </c>
    </row>
    <row r="326">
      <c r="A326" t="inlineStr">
        <is>
          <t>ESCOBAR VILLA JUAN JOSE</t>
        </is>
      </c>
      <c r="B326" t="inlineStr">
        <is>
          <t>Hombre</t>
        </is>
      </c>
      <c r="C326" t="inlineStr">
        <is>
          <t>5854AF</t>
        </is>
      </c>
      <c r="D326" t="inlineStr">
        <is>
          <t>CDMX Y AREA METROPOLITANA</t>
        </is>
      </c>
      <c r="E326" t="inlineStr">
        <is>
          <t>09-2025</t>
        </is>
      </c>
      <c r="F326" t="inlineStr">
        <is>
          <t>01-2026</t>
        </is>
      </c>
      <c r="G326" t="n">
        <v>4</v>
      </c>
      <c r="H326" t="inlineStr">
        <is>
          <t>Efectivo</t>
        </is>
      </c>
      <c r="I326" t="inlineStr">
        <is>
          <t>02-2026</t>
        </is>
      </c>
      <c r="J326" t="inlineStr">
        <is>
          <t>11K507</t>
        </is>
      </c>
      <c r="K326" t="inlineStr">
        <is>
          <t>BYD MINIDOLPHIN</t>
        </is>
      </c>
      <c r="L326" t="inlineStr">
        <is>
          <t>DIDI</t>
        </is>
      </c>
      <c r="M326" s="3">
        <f>IF(H326="Efectivo",IFERROR((VALUE(RIGHT(I326,4))-VALUE(RIGHT(E326,4)))*12+(VALUE(LEFT(I326,2))-VALUE(LEFT(E326,2))),""),"")</f>
        <v/>
      </c>
    </row>
    <row r="327">
      <c r="A327" t="inlineStr">
        <is>
          <t>ESLAVA MENESES JORGE LUIS</t>
        </is>
      </c>
      <c r="B327" t="inlineStr">
        <is>
          <t>Hombre</t>
        </is>
      </c>
      <c r="C327" t="inlineStr">
        <is>
          <t>5468AF</t>
        </is>
      </c>
      <c r="D327" t="inlineStr">
        <is>
          <t>CDMX Y AREA METROPOLITANA</t>
        </is>
      </c>
      <c r="E327" t="inlineStr">
        <is>
          <t>08-2025</t>
        </is>
      </c>
      <c r="F327" t="inlineStr">
        <is>
          <t>11-2025</t>
        </is>
      </c>
      <c r="G327" t="n">
        <v>3</v>
      </c>
      <c r="H327" t="inlineStr">
        <is>
          <t>Efectivo</t>
        </is>
      </c>
      <c r="I327" t="inlineStr">
        <is>
          <t>11-2025</t>
        </is>
      </c>
      <c r="J327" t="inlineStr">
        <is>
          <t>44G096</t>
        </is>
      </c>
      <c r="K327" t="inlineStr">
        <is>
          <t>GAC AION S</t>
        </is>
      </c>
      <c r="L327" t="inlineStr">
        <is>
          <t>UBER</t>
        </is>
      </c>
      <c r="M327" s="3">
        <f>IF(H327="Efectivo",IFERROR((VALUE(RIGHT(I327,4))-VALUE(RIGHT(E327,4)))*12+(VALUE(LEFT(I327,2))-VALUE(LEFT(E327,2))),""),"")</f>
        <v/>
      </c>
    </row>
    <row r="328">
      <c r="A328" t="inlineStr">
        <is>
          <t>ESPINOSA ROLDAN GUSTAVO</t>
        </is>
      </c>
      <c r="B328" t="inlineStr">
        <is>
          <t>Hombre</t>
        </is>
      </c>
      <c r="C328" t="inlineStr">
        <is>
          <t>5006AF</t>
        </is>
      </c>
      <c r="D328" t="inlineStr">
        <is>
          <t>CDMX Y AREA METROPOLITANA</t>
        </is>
      </c>
      <c r="E328" t="inlineStr">
        <is>
          <t>06-2025</t>
        </is>
      </c>
      <c r="F328" t="inlineStr">
        <is>
          <t>09-2025</t>
        </is>
      </c>
      <c r="G328" t="n">
        <v>3</v>
      </c>
      <c r="H328" t="inlineStr">
        <is>
          <t>Efectivo</t>
        </is>
      </c>
      <c r="I328" t="inlineStr">
        <is>
          <t>09-2025</t>
        </is>
      </c>
      <c r="J328" t="inlineStr">
        <is>
          <t>41G609</t>
        </is>
      </c>
      <c r="K328" t="inlineStr">
        <is>
          <t>BYD MINIDOLPHIN</t>
        </is>
      </c>
      <c r="L328" t="inlineStr">
        <is>
          <t>DIDI</t>
        </is>
      </c>
      <c r="M328" s="3">
        <f>IF(H328="Efectivo",IFERROR((VALUE(RIGHT(I328,4))-VALUE(RIGHT(E328,4)))*12+(VALUE(LEFT(I328,2))-VALUE(LEFT(E328,2))),""),"")</f>
        <v/>
      </c>
    </row>
    <row r="329">
      <c r="A329" t="inlineStr">
        <is>
          <t>ESPINOZA . JESUS ALEJANDRO</t>
        </is>
      </c>
      <c r="B329" t="inlineStr">
        <is>
          <t>Hombre</t>
        </is>
      </c>
      <c r="C329" t="inlineStr">
        <is>
          <t>6174AF</t>
        </is>
      </c>
      <c r="D329" t="inlineStr">
        <is>
          <t>BAJA CALIFORNIA</t>
        </is>
      </c>
      <c r="E329" t="inlineStr">
        <is>
          <t>11-2025</t>
        </is>
      </c>
      <c r="F329" t="inlineStr">
        <is>
          <t>03-2026</t>
        </is>
      </c>
      <c r="G329" t="n">
        <v>4</v>
      </c>
      <c r="H329" t="inlineStr">
        <is>
          <t>Efectivo</t>
        </is>
      </c>
      <c r="I329" t="inlineStr">
        <is>
          <t>03-2026</t>
        </is>
      </c>
      <c r="J329" t="inlineStr">
        <is>
          <t>CAT836A</t>
        </is>
      </c>
      <c r="K329" t="inlineStr">
        <is>
          <t>CHEVROLET AVEO</t>
        </is>
      </c>
      <c r="L329" t="inlineStr">
        <is>
          <t>UBER</t>
        </is>
      </c>
      <c r="M329" s="3">
        <f>IF(H329="Efectivo",IFERROR((VALUE(RIGHT(I329,4))-VALUE(RIGHT(E329,4)))*12+(VALUE(LEFT(I329,2))-VALUE(LEFT(E329,2))),""),"")</f>
        <v/>
      </c>
    </row>
    <row r="330">
      <c r="A330" t="inlineStr">
        <is>
          <t>ESPINOZA BARBOSA BRAYAN ALEJANDRO</t>
        </is>
      </c>
      <c r="B330" t="inlineStr">
        <is>
          <t>Hombre</t>
        </is>
      </c>
      <c r="C330" t="inlineStr">
        <is>
          <t>6239AF</t>
        </is>
      </c>
      <c r="D330" t="inlineStr">
        <is>
          <t>CDMX Y AREA METROPOLITANA</t>
        </is>
      </c>
      <c r="E330" t="inlineStr">
        <is>
          <t>11-2025</t>
        </is>
      </c>
      <c r="F330" t="inlineStr">
        <is>
          <t>05-2026</t>
        </is>
      </c>
      <c r="G330" t="n">
        <v>6</v>
      </c>
      <c r="H330" t="inlineStr">
        <is>
          <t>Pendiente</t>
        </is>
      </c>
      <c r="J330" t="inlineStr">
        <is>
          <t>38G290</t>
        </is>
      </c>
      <c r="K330" t="inlineStr">
        <is>
          <t>GAC AION S</t>
        </is>
      </c>
      <c r="L330" t="inlineStr">
        <is>
          <t>UBER</t>
        </is>
      </c>
      <c r="M330" s="3">
        <f>IF(H330="Efectivo",IFERROR((VALUE(RIGHT(I330,4))-VALUE(RIGHT(E330,4)))*12+(VALUE(LEFT(I330,2))-VALUE(LEFT(E330,2))),""),"")</f>
        <v/>
      </c>
    </row>
    <row r="331">
      <c r="A331" t="inlineStr">
        <is>
          <t>ESPINOZA MORENO FERNANDO JONATHAN</t>
        </is>
      </c>
      <c r="B331" t="inlineStr">
        <is>
          <t>Hombre</t>
        </is>
      </c>
      <c r="C331" t="inlineStr">
        <is>
          <t>5715AF</t>
        </is>
      </c>
      <c r="D331" t="inlineStr">
        <is>
          <t>BAJA CALIFORNIA</t>
        </is>
      </c>
      <c r="E331" t="inlineStr">
        <is>
          <t>09-2025</t>
        </is>
      </c>
      <c r="F331" t="inlineStr">
        <is>
          <t>02-2026</t>
        </is>
      </c>
      <c r="G331" t="n">
        <v>5</v>
      </c>
      <c r="H331" t="inlineStr">
        <is>
          <t>Efectivo</t>
        </is>
      </c>
      <c r="I331" t="inlineStr">
        <is>
          <t>02-2026</t>
        </is>
      </c>
      <c r="J331" t="inlineStr">
        <is>
          <t>CAD703A</t>
        </is>
      </c>
      <c r="K331" t="inlineStr">
        <is>
          <t>CHEVROLET AVEO</t>
        </is>
      </c>
      <c r="L331" t="inlineStr">
        <is>
          <t>DIDI</t>
        </is>
      </c>
      <c r="M331" s="3">
        <f>IF(H331="Efectivo",IFERROR((VALUE(RIGHT(I331,4))-VALUE(RIGHT(E331,4)))*12+(VALUE(LEFT(I331,2))-VALUE(LEFT(E331,2))),""),"")</f>
        <v/>
      </c>
    </row>
    <row r="332">
      <c r="A332" t="inlineStr">
        <is>
          <t>ESPINOZA RIVERA DAVID SEFERINO</t>
        </is>
      </c>
      <c r="B332" t="inlineStr">
        <is>
          <t>Hombre</t>
        </is>
      </c>
      <c r="C332" t="inlineStr">
        <is>
          <t>5166AF</t>
        </is>
      </c>
      <c r="D332" t="inlineStr">
        <is>
          <t>BAJA CALIFORNIA</t>
        </is>
      </c>
      <c r="E332" t="inlineStr">
        <is>
          <t>06-2025</t>
        </is>
      </c>
      <c r="F332" t="inlineStr">
        <is>
          <t>09-2025</t>
        </is>
      </c>
      <c r="G332" t="n">
        <v>3</v>
      </c>
      <c r="H332" t="inlineStr">
        <is>
          <t>Pendiente</t>
        </is>
      </c>
      <c r="J332" t="inlineStr">
        <is>
          <t>BLX621A</t>
        </is>
      </c>
      <c r="K332" t="inlineStr">
        <is>
          <t>SUZUKI ERTIGA</t>
        </is>
      </c>
      <c r="L332" t="inlineStr">
        <is>
          <t>UBER</t>
        </is>
      </c>
      <c r="M332" s="3">
        <f>IF(H332="Efectivo",IFERROR((VALUE(RIGHT(I332,4))-VALUE(RIGHT(E332,4)))*12+(VALUE(LEFT(I332,2))-VALUE(LEFT(E332,2))),""),"")</f>
        <v/>
      </c>
    </row>
    <row r="333">
      <c r="A333" t="inlineStr">
        <is>
          <t>ESPINOZA TOLENTINO IVAN</t>
        </is>
      </c>
      <c r="B333" t="inlineStr">
        <is>
          <t>Hombre</t>
        </is>
      </c>
      <c r="C333" t="inlineStr">
        <is>
          <t>4881AF</t>
        </is>
      </c>
      <c r="D333" t="inlineStr">
        <is>
          <t>CDMX Y AREA METROPOLITANA</t>
        </is>
      </c>
      <c r="E333" t="inlineStr">
        <is>
          <t>05-2025</t>
        </is>
      </c>
      <c r="F333" t="inlineStr">
        <is>
          <t>08-2025</t>
        </is>
      </c>
      <c r="G333" t="n">
        <v>3</v>
      </c>
      <c r="H333" t="inlineStr">
        <is>
          <t>Efectivo</t>
        </is>
      </c>
      <c r="I333" t="inlineStr">
        <is>
          <t>01-2026</t>
        </is>
      </c>
      <c r="J333" t="inlineStr">
        <is>
          <t>47G510</t>
        </is>
      </c>
      <c r="K333" t="inlineStr">
        <is>
          <t>BYD MINIDOLPHIN</t>
        </is>
      </c>
      <c r="L333" t="inlineStr">
        <is>
          <t>UBER</t>
        </is>
      </c>
      <c r="M333" s="3">
        <f>IF(H333="Efectivo",IFERROR((VALUE(RIGHT(I333,4))-VALUE(RIGHT(E333,4)))*12+(VALUE(LEFT(I333,2))-VALUE(LEFT(E333,2))),""),"")</f>
        <v/>
      </c>
    </row>
    <row r="334">
      <c r="A334" t="inlineStr">
        <is>
          <t>ESQUIVEL RANGEL DAVID</t>
        </is>
      </c>
      <c r="B334" t="inlineStr">
        <is>
          <t>Hombre</t>
        </is>
      </c>
      <c r="C334" t="inlineStr">
        <is>
          <t>4353AF</t>
        </is>
      </c>
      <c r="D334" t="inlineStr">
        <is>
          <t>CDMX Y AREA METROPOLITANA</t>
        </is>
      </c>
      <c r="E334" t="inlineStr">
        <is>
          <t>02-2025</t>
        </is>
      </c>
      <c r="F334" t="inlineStr">
        <is>
          <t>05-2026</t>
        </is>
      </c>
      <c r="G334" t="n">
        <v>14</v>
      </c>
      <c r="H334" t="inlineStr">
        <is>
          <t>Efectivo</t>
        </is>
      </c>
      <c r="I334" t="inlineStr">
        <is>
          <t>05-2026</t>
        </is>
      </c>
      <c r="J334" t="inlineStr">
        <is>
          <t>E59BRJ</t>
        </is>
      </c>
      <c r="K334" t="inlineStr">
        <is>
          <t>CHEVROLET AVEO</t>
        </is>
      </c>
      <c r="L334" t="inlineStr">
        <is>
          <t>UBER</t>
        </is>
      </c>
      <c r="M334" s="3">
        <f>IF(H334="Efectivo",IFERROR((VALUE(RIGHT(I334,4))-VALUE(RIGHT(E334,4)))*12+(VALUE(LEFT(I334,2))-VALUE(LEFT(E334,2))),""),"")</f>
        <v/>
      </c>
    </row>
    <row r="335">
      <c r="A335" t="inlineStr">
        <is>
          <t>ESQUIVEL RAZO JUAN MANUEL</t>
        </is>
      </c>
      <c r="B335" t="inlineStr">
        <is>
          <t>Hombre</t>
        </is>
      </c>
      <c r="C335" t="inlineStr">
        <is>
          <t>2622AF</t>
        </is>
      </c>
      <c r="D335" t="inlineStr">
        <is>
          <t>CDMX Y AREA METROPOLITANA</t>
        </is>
      </c>
      <c r="E335" t="inlineStr">
        <is>
          <t>07-2023</t>
        </is>
      </c>
      <c r="F335" t="inlineStr">
        <is>
          <t>12-2025</t>
        </is>
      </c>
      <c r="G335" t="n">
        <v>30</v>
      </c>
      <c r="H335" t="inlineStr">
        <is>
          <t>Efectivo</t>
        </is>
      </c>
      <c r="I335" t="inlineStr">
        <is>
          <t>02-2026</t>
        </is>
      </c>
      <c r="J335" t="inlineStr">
        <is>
          <t>H43BMC</t>
        </is>
      </c>
      <c r="K335" t="inlineStr">
        <is>
          <t>ATTITUDE</t>
        </is>
      </c>
      <c r="L335" t="inlineStr">
        <is>
          <t>UBER</t>
        </is>
      </c>
      <c r="M335" s="3">
        <f>IF(H335="Efectivo",IFERROR((VALUE(RIGHT(I335,4))-VALUE(RIGHT(E335,4)))*12+(VALUE(LEFT(I335,2))-VALUE(LEFT(E335,2))),""),"")</f>
        <v/>
      </c>
    </row>
    <row r="336">
      <c r="A336" t="inlineStr">
        <is>
          <t>ESTEFES LIRA HUGO ALBERTO</t>
        </is>
      </c>
      <c r="B336" t="inlineStr">
        <is>
          <t>Hombre</t>
        </is>
      </c>
      <c r="C336" t="inlineStr">
        <is>
          <t>4528AF</t>
        </is>
      </c>
      <c r="D336" t="inlineStr">
        <is>
          <t>CDMX Y AREA METROPOLITANA</t>
        </is>
      </c>
      <c r="E336" t="inlineStr">
        <is>
          <t>03-2025</t>
        </is>
      </c>
      <c r="F336" t="inlineStr">
        <is>
          <t>08-2025</t>
        </is>
      </c>
      <c r="G336" t="n">
        <v>5</v>
      </c>
      <c r="H336" t="inlineStr">
        <is>
          <t>Efectivo</t>
        </is>
      </c>
      <c r="I336" t="inlineStr">
        <is>
          <t>08-2025</t>
        </is>
      </c>
      <c r="J336" t="inlineStr">
        <is>
          <t>27G777</t>
        </is>
      </c>
      <c r="K336" t="inlineStr">
        <is>
          <t>BYD MINIDOLPHIN</t>
        </is>
      </c>
      <c r="L336" t="inlineStr">
        <is>
          <t>UBER</t>
        </is>
      </c>
      <c r="M336" s="3">
        <f>IF(H336="Efectivo",IFERROR((VALUE(RIGHT(I336,4))-VALUE(RIGHT(E336,4)))*12+(VALUE(LEFT(I336,2))-VALUE(LEFT(E336,2))),""),"")</f>
        <v/>
      </c>
    </row>
    <row r="337">
      <c r="A337" t="inlineStr">
        <is>
          <t>ESTEVEZ QUINTANAR MOISES JACOB</t>
        </is>
      </c>
      <c r="B337" t="inlineStr">
        <is>
          <t>Hombre</t>
        </is>
      </c>
      <c r="C337" t="inlineStr">
        <is>
          <t>2726AF</t>
        </is>
      </c>
      <c r="D337" t="inlineStr">
        <is>
          <t>CDMX Y AREA METROPOLITANA</t>
        </is>
      </c>
      <c r="E337" t="inlineStr">
        <is>
          <t>09-2023</t>
        </is>
      </c>
      <c r="F337" t="inlineStr">
        <is>
          <t>04-2025</t>
        </is>
      </c>
      <c r="G337" t="n">
        <v>19</v>
      </c>
      <c r="H337" t="inlineStr">
        <is>
          <t>Efectivo</t>
        </is>
      </c>
      <c r="I337" t="inlineStr">
        <is>
          <t>04-2025</t>
        </is>
      </c>
      <c r="J337" t="inlineStr">
        <is>
          <t>S77BMD</t>
        </is>
      </c>
      <c r="K337" t="inlineStr">
        <is>
          <t>CHEVROLET AVEO</t>
        </is>
      </c>
      <c r="L337" t="inlineStr">
        <is>
          <t>UBER</t>
        </is>
      </c>
      <c r="M337" s="3">
        <f>IF(H337="Efectivo",IFERROR((VALUE(RIGHT(I337,4))-VALUE(RIGHT(E337,4)))*12+(VALUE(LEFT(I337,2))-VALUE(LEFT(E337,2))),""),"")</f>
        <v/>
      </c>
    </row>
    <row r="338">
      <c r="A338" t="inlineStr">
        <is>
          <t>ESTRADA BETANZOS PAULINO ARMANDO</t>
        </is>
      </c>
      <c r="B338" t="inlineStr">
        <is>
          <t>Hombre</t>
        </is>
      </c>
      <c r="C338" t="inlineStr">
        <is>
          <t>5077AF</t>
        </is>
      </c>
      <c r="D338" t="inlineStr">
        <is>
          <t>CDMX Y AREA METROPOLITANA</t>
        </is>
      </c>
      <c r="E338" t="inlineStr">
        <is>
          <t>06-2025</t>
        </is>
      </c>
      <c r="F338" t="inlineStr">
        <is>
          <t>08-2025</t>
        </is>
      </c>
      <c r="G338" t="n">
        <v>2</v>
      </c>
      <c r="H338" t="inlineStr">
        <is>
          <t>Efectivo</t>
        </is>
      </c>
      <c r="I338" t="inlineStr">
        <is>
          <t>08-2025</t>
        </is>
      </c>
      <c r="J338" t="inlineStr">
        <is>
          <t>47G565</t>
        </is>
      </c>
      <c r="K338" t="inlineStr">
        <is>
          <t>BYD MINIDOLPHIN</t>
        </is>
      </c>
      <c r="L338" t="inlineStr">
        <is>
          <t>DIDI</t>
        </is>
      </c>
      <c r="M338" s="3">
        <f>IF(H338="Efectivo",IFERROR((VALUE(RIGHT(I338,4))-VALUE(RIGHT(E338,4)))*12+(VALUE(LEFT(I338,2))-VALUE(LEFT(E338,2))),""),"")</f>
        <v/>
      </c>
    </row>
    <row r="339">
      <c r="A339" t="inlineStr">
        <is>
          <t>ESTRADA DOMINGUEZ MARIO</t>
        </is>
      </c>
      <c r="B339" t="inlineStr">
        <is>
          <t>Hombre</t>
        </is>
      </c>
      <c r="C339" t="inlineStr">
        <is>
          <t>5241AF</t>
        </is>
      </c>
      <c r="D339" t="inlineStr">
        <is>
          <t>BAJA CALIFORNIA</t>
        </is>
      </c>
      <c r="E339" t="inlineStr">
        <is>
          <t>07-2025</t>
        </is>
      </c>
      <c r="F339" t="inlineStr">
        <is>
          <t>04-2026</t>
        </is>
      </c>
      <c r="G339" t="n">
        <v>9</v>
      </c>
      <c r="H339" t="inlineStr">
        <is>
          <t>Efectivo</t>
        </is>
      </c>
      <c r="I339" t="inlineStr">
        <is>
          <t>04-2026</t>
        </is>
      </c>
      <c r="J339" t="inlineStr">
        <is>
          <t>BYY746A</t>
        </is>
      </c>
      <c r="K339" t="inlineStr">
        <is>
          <t>CHEVROLET AVEO</t>
        </is>
      </c>
      <c r="L339" t="inlineStr">
        <is>
          <t>DIDI</t>
        </is>
      </c>
      <c r="M339" s="3">
        <f>IF(H339="Efectivo",IFERROR((VALUE(RIGHT(I339,4))-VALUE(RIGHT(E339,4)))*12+(VALUE(LEFT(I339,2))-VALUE(LEFT(E339,2))),""),"")</f>
        <v/>
      </c>
    </row>
    <row r="340">
      <c r="A340" t="inlineStr">
        <is>
          <t>ESTRADA HERNANDEZ FRANCISCO</t>
        </is>
      </c>
      <c r="B340" t="inlineStr">
        <is>
          <t>Hombre</t>
        </is>
      </c>
      <c r="C340" t="inlineStr">
        <is>
          <t>4557AF</t>
        </is>
      </c>
      <c r="D340" t="inlineStr">
        <is>
          <t>JALISCO</t>
        </is>
      </c>
      <c r="E340" t="inlineStr">
        <is>
          <t>03-2025</t>
        </is>
      </c>
      <c r="F340" t="inlineStr">
        <is>
          <t>02-2026</t>
        </is>
      </c>
      <c r="G340" t="n">
        <v>11</v>
      </c>
      <c r="H340" t="inlineStr">
        <is>
          <t>Efectivo</t>
        </is>
      </c>
      <c r="I340" t="inlineStr">
        <is>
          <t>02-2026</t>
        </is>
      </c>
      <c r="J340" t="inlineStr">
        <is>
          <t>JAW371A</t>
        </is>
      </c>
      <c r="K340" t="inlineStr">
        <is>
          <t>TOYOTA AVANZA</t>
        </is>
      </c>
      <c r="L340" t="inlineStr">
        <is>
          <t>UBER</t>
        </is>
      </c>
      <c r="M340" s="3">
        <f>IF(H340="Efectivo",IFERROR((VALUE(RIGHT(I340,4))-VALUE(RIGHT(E340,4)))*12+(VALUE(LEFT(I340,2))-VALUE(LEFT(E340,2))),""),"")</f>
        <v/>
      </c>
    </row>
    <row r="341">
      <c r="A341" t="inlineStr">
        <is>
          <t>ESTRADA LEYVA LUIS ALBERTO</t>
        </is>
      </c>
      <c r="B341" t="inlineStr">
        <is>
          <t>Hombre</t>
        </is>
      </c>
      <c r="C341" t="inlineStr">
        <is>
          <t>6255AF</t>
        </is>
      </c>
      <c r="D341" t="inlineStr">
        <is>
          <t>BAJA CALIFORNIA</t>
        </is>
      </c>
      <c r="E341" t="inlineStr">
        <is>
          <t>11-2025</t>
        </is>
      </c>
      <c r="F341" t="inlineStr">
        <is>
          <t>03-2026</t>
        </is>
      </c>
      <c r="G341" t="n">
        <v>4</v>
      </c>
      <c r="H341" t="inlineStr">
        <is>
          <t>Efectivo</t>
        </is>
      </c>
      <c r="I341" t="inlineStr">
        <is>
          <t>03-2026</t>
        </is>
      </c>
      <c r="J341" t="inlineStr">
        <is>
          <t>BYN542A</t>
        </is>
      </c>
      <c r="K341" t="inlineStr">
        <is>
          <t>CHEVROLET AVEO</t>
        </is>
      </c>
      <c r="L341" t="inlineStr">
        <is>
          <t>DIDI</t>
        </is>
      </c>
      <c r="M341" s="3">
        <f>IF(H341="Efectivo",IFERROR((VALUE(RIGHT(I341,4))-VALUE(RIGHT(E341,4)))*12+(VALUE(LEFT(I341,2))-VALUE(LEFT(E341,2))),""),"")</f>
        <v/>
      </c>
    </row>
    <row r="342">
      <c r="A342" t="inlineStr">
        <is>
          <t>ESTRADA LOPEZ YOSTHIN</t>
        </is>
      </c>
      <c r="B342" t="inlineStr">
        <is>
          <t>Hombre</t>
        </is>
      </c>
      <c r="C342" t="inlineStr">
        <is>
          <t>5962AF</t>
        </is>
      </c>
      <c r="D342" t="inlineStr">
        <is>
          <t>CDMX Y AREA METROPOLITANA</t>
        </is>
      </c>
      <c r="E342" t="inlineStr">
        <is>
          <t>10-2025</t>
        </is>
      </c>
      <c r="F342" t="inlineStr">
        <is>
          <t>03-2026</t>
        </is>
      </c>
      <c r="G342" t="n">
        <v>5</v>
      </c>
      <c r="H342" t="inlineStr">
        <is>
          <t>Efectivo</t>
        </is>
      </c>
      <c r="I342" t="inlineStr">
        <is>
          <t>03-2026</t>
        </is>
      </c>
      <c r="J342" t="inlineStr">
        <is>
          <t>51G648</t>
        </is>
      </c>
      <c r="K342" t="inlineStr">
        <is>
          <t>BYD MINIDOLPHIN</t>
        </is>
      </c>
      <c r="L342" t="inlineStr">
        <is>
          <t>DIDI</t>
        </is>
      </c>
      <c r="M342" s="3">
        <f>IF(H342="Efectivo",IFERROR((VALUE(RIGHT(I342,4))-VALUE(RIGHT(E342,4)))*12+(VALUE(LEFT(I342,2))-VALUE(LEFT(E342,2))),""),"")</f>
        <v/>
      </c>
    </row>
    <row r="343">
      <c r="A343" t="inlineStr">
        <is>
          <t>ESTRADA MARTINEZ JOSE MIGUEL</t>
        </is>
      </c>
      <c r="B343" t="inlineStr">
        <is>
          <t>Hombre</t>
        </is>
      </c>
      <c r="C343" t="inlineStr">
        <is>
          <t>4109AF</t>
        </is>
      </c>
      <c r="D343" t="inlineStr">
        <is>
          <t>JALISCO</t>
        </is>
      </c>
      <c r="E343" t="inlineStr">
        <is>
          <t>12-2024</t>
        </is>
      </c>
      <c r="F343" t="inlineStr">
        <is>
          <t>04-2026</t>
        </is>
      </c>
      <c r="G343" t="n">
        <v>16</v>
      </c>
      <c r="H343" t="inlineStr">
        <is>
          <t>Efectivo</t>
        </is>
      </c>
      <c r="I343" t="inlineStr">
        <is>
          <t>04-2026</t>
        </is>
      </c>
      <c r="J343" t="inlineStr">
        <is>
          <t>HWS683A</t>
        </is>
      </c>
      <c r="K343" t="inlineStr">
        <is>
          <t>CHEVROLET AVEO</t>
        </is>
      </c>
      <c r="L343" t="inlineStr">
        <is>
          <t>UBER</t>
        </is>
      </c>
      <c r="M343" s="3">
        <f>IF(H343="Efectivo",IFERROR((VALUE(RIGHT(I343,4))-VALUE(RIGHT(E343,4)))*12+(VALUE(LEFT(I343,2))-VALUE(LEFT(E343,2))),""),"")</f>
        <v/>
      </c>
    </row>
    <row r="344">
      <c r="A344" t="inlineStr">
        <is>
          <t>ESTRADA RESENDIZ JOSE RAUL</t>
        </is>
      </c>
      <c r="B344" t="inlineStr">
        <is>
          <t>Hombre</t>
        </is>
      </c>
      <c r="C344" t="inlineStr">
        <is>
          <t>4029AF</t>
        </is>
      </c>
      <c r="D344" t="inlineStr">
        <is>
          <t>CDMX Y AREA METROPOLITANA</t>
        </is>
      </c>
      <c r="E344" t="inlineStr">
        <is>
          <t>11-2024</t>
        </is>
      </c>
      <c r="F344" t="inlineStr">
        <is>
          <t>11-2025</t>
        </is>
      </c>
      <c r="G344" t="n">
        <v>12</v>
      </c>
      <c r="H344" t="inlineStr">
        <is>
          <t>Efectivo</t>
        </is>
      </c>
      <c r="I344" t="inlineStr">
        <is>
          <t>03-2026</t>
        </is>
      </c>
      <c r="J344" t="inlineStr">
        <is>
          <t>13G955</t>
        </is>
      </c>
      <c r="K344" t="inlineStr">
        <is>
          <t>BYD D1</t>
        </is>
      </c>
      <c r="L344" t="inlineStr">
        <is>
          <t>UBER</t>
        </is>
      </c>
      <c r="M344" s="3">
        <f>IF(H344="Efectivo",IFERROR((VALUE(RIGHT(I344,4))-VALUE(RIGHT(E344,4)))*12+(VALUE(LEFT(I344,2))-VALUE(LEFT(E344,2))),""),"")</f>
        <v/>
      </c>
    </row>
    <row r="345">
      <c r="A345" t="inlineStr">
        <is>
          <t>ESTRADA SANCHEZ ROSALIO</t>
        </is>
      </c>
      <c r="B345" t="inlineStr">
        <is>
          <t>Hombre</t>
        </is>
      </c>
      <c r="C345" t="inlineStr">
        <is>
          <t>5931AF</t>
        </is>
      </c>
      <c r="D345" t="inlineStr">
        <is>
          <t>CDMX Y AREA METROPOLITANA</t>
        </is>
      </c>
      <c r="E345" t="inlineStr">
        <is>
          <t>10-2025</t>
        </is>
      </c>
      <c r="F345" t="inlineStr">
        <is>
          <t>05-2026</t>
        </is>
      </c>
      <c r="G345" t="n">
        <v>7</v>
      </c>
      <c r="H345" t="inlineStr">
        <is>
          <t>Efectivo</t>
        </is>
      </c>
      <c r="I345" t="inlineStr">
        <is>
          <t>05-2026</t>
        </is>
      </c>
      <c r="J345" t="inlineStr">
        <is>
          <t>51G542</t>
        </is>
      </c>
      <c r="K345" t="inlineStr">
        <is>
          <t>GAC AION S</t>
        </is>
      </c>
      <c r="L345" t="inlineStr">
        <is>
          <t>UBER</t>
        </is>
      </c>
      <c r="M345" s="3">
        <f>IF(H345="Efectivo",IFERROR((VALUE(RIGHT(I345,4))-VALUE(RIGHT(E345,4)))*12+(VALUE(LEFT(I345,2))-VALUE(LEFT(E345,2))),""),"")</f>
        <v/>
      </c>
    </row>
    <row r="346">
      <c r="A346" t="inlineStr">
        <is>
          <t>ESTRADA SANCHEZ SAIRON</t>
        </is>
      </c>
      <c r="B346" t="inlineStr">
        <is>
          <t>Hombre</t>
        </is>
      </c>
      <c r="C346" t="inlineStr">
        <is>
          <t>4026AF</t>
        </is>
      </c>
      <c r="D346" t="inlineStr">
        <is>
          <t>CDMX Y AREA METROPOLITANA</t>
        </is>
      </c>
      <c r="E346" t="inlineStr">
        <is>
          <t>11-2024</t>
        </is>
      </c>
      <c r="F346" t="inlineStr">
        <is>
          <t>03-2025</t>
        </is>
      </c>
      <c r="G346" t="n">
        <v>3</v>
      </c>
      <c r="H346" t="inlineStr">
        <is>
          <t>Efectivo</t>
        </is>
      </c>
      <c r="I346" t="inlineStr">
        <is>
          <t>03-2025</t>
        </is>
      </c>
      <c r="J346" t="inlineStr">
        <is>
          <t>13G735</t>
        </is>
      </c>
      <c r="K346" t="inlineStr">
        <is>
          <t>BYD D1</t>
        </is>
      </c>
      <c r="L346" t="inlineStr">
        <is>
          <t>UBER</t>
        </is>
      </c>
      <c r="M346" s="3">
        <f>IF(H346="Efectivo",IFERROR((VALUE(RIGHT(I346,4))-VALUE(RIGHT(E346,4)))*12+(VALUE(LEFT(I346,2))-VALUE(LEFT(E346,2))),""),"")</f>
        <v/>
      </c>
    </row>
    <row r="347">
      <c r="A347" t="inlineStr">
        <is>
          <t>ESTRADA VALENCIA BRUNO ENRIQUE</t>
        </is>
      </c>
      <c r="B347" t="inlineStr">
        <is>
          <t>Hombre</t>
        </is>
      </c>
      <c r="C347" t="inlineStr">
        <is>
          <t>4526AF</t>
        </is>
      </c>
      <c r="D347" t="inlineStr">
        <is>
          <t>CDMX Y AREA METROPOLITANA</t>
        </is>
      </c>
      <c r="E347" t="inlineStr">
        <is>
          <t>03-2025</t>
        </is>
      </c>
      <c r="F347" t="inlineStr">
        <is>
          <t>11-2025</t>
        </is>
      </c>
      <c r="G347" t="n">
        <v>8</v>
      </c>
      <c r="H347" t="inlineStr">
        <is>
          <t>Pendiente</t>
        </is>
      </c>
      <c r="J347" t="inlineStr">
        <is>
          <t>27G732</t>
        </is>
      </c>
      <c r="K347" t="inlineStr">
        <is>
          <t>BYD MINIDOLPHIN</t>
        </is>
      </c>
      <c r="L347" t="inlineStr">
        <is>
          <t>UBER</t>
        </is>
      </c>
      <c r="M347" s="3">
        <f>IF(H347="Efectivo",IFERROR((VALUE(RIGHT(I347,4))-VALUE(RIGHT(E347,4)))*12+(VALUE(LEFT(I347,2))-VALUE(LEFT(E347,2))),""),"")</f>
        <v/>
      </c>
    </row>
    <row r="348">
      <c r="A348" t="inlineStr">
        <is>
          <t>EUSEBIO CASTILLO ANDRES</t>
        </is>
      </c>
      <c r="B348" t="inlineStr">
        <is>
          <t>Hombre</t>
        </is>
      </c>
      <c r="C348" t="inlineStr">
        <is>
          <t>2691AF</t>
        </is>
      </c>
      <c r="D348" t="inlineStr">
        <is>
          <t>CDMX Y AREA METROPOLITANA</t>
        </is>
      </c>
      <c r="E348" t="inlineStr">
        <is>
          <t>08-2023</t>
        </is>
      </c>
      <c r="F348" t="inlineStr">
        <is>
          <t>09-2025</t>
        </is>
      </c>
      <c r="G348" t="n">
        <v>25</v>
      </c>
      <c r="H348" t="inlineStr">
        <is>
          <t>Efectivo</t>
        </is>
      </c>
      <c r="I348" t="inlineStr">
        <is>
          <t>09-2025</t>
        </is>
      </c>
      <c r="J348" t="inlineStr">
        <is>
          <t>S55BMJ</t>
        </is>
      </c>
      <c r="K348" t="inlineStr">
        <is>
          <t>TOYOTA AVANZA</t>
        </is>
      </c>
      <c r="L348" t="inlineStr">
        <is>
          <t>UBER</t>
        </is>
      </c>
      <c r="M348" s="3">
        <f>IF(H348="Efectivo",IFERROR((VALUE(RIGHT(I348,4))-VALUE(RIGHT(E348,4)))*12+(VALUE(LEFT(I348,2))-VALUE(LEFT(E348,2))),""),"")</f>
        <v/>
      </c>
    </row>
    <row r="349">
      <c r="A349" t="inlineStr">
        <is>
          <t>EUSEBIO CASTILLO ANDRES</t>
        </is>
      </c>
      <c r="B349" t="inlineStr">
        <is>
          <t>Hombre</t>
        </is>
      </c>
      <c r="C349" t="inlineStr">
        <is>
          <t>2691AF</t>
        </is>
      </c>
      <c r="D349" t="inlineStr">
        <is>
          <t>CDMX Y AREA METROPOLITANA</t>
        </is>
      </c>
      <c r="E349" t="inlineStr">
        <is>
          <t>08-2023</t>
        </is>
      </c>
      <c r="F349" t="inlineStr">
        <is>
          <t>04-2026</t>
        </is>
      </c>
      <c r="G349" t="n">
        <v>33</v>
      </c>
      <c r="H349" t="inlineStr">
        <is>
          <t>Efectivo</t>
        </is>
      </c>
      <c r="I349" t="inlineStr">
        <is>
          <t>05-2026</t>
        </is>
      </c>
      <c r="J349" t="inlineStr">
        <is>
          <t>S55BMJ</t>
        </is>
      </c>
      <c r="K349" t="inlineStr">
        <is>
          <t>TOYOTA AVANZA</t>
        </is>
      </c>
      <c r="L349" t="inlineStr">
        <is>
          <t>UBER</t>
        </is>
      </c>
      <c r="M349" s="3">
        <f>IF(H349="Efectivo",IFERROR((VALUE(RIGHT(I349,4))-VALUE(RIGHT(E349,4)))*12+(VALUE(LEFT(I349,2))-VALUE(LEFT(E349,2))),""),"")</f>
        <v/>
      </c>
    </row>
    <row r="350">
      <c r="A350" t="inlineStr">
        <is>
          <t>FACUNDO CRUZ EDUARDO</t>
        </is>
      </c>
      <c r="B350" t="inlineStr">
        <is>
          <t>Hombre</t>
        </is>
      </c>
      <c r="C350" t="inlineStr">
        <is>
          <t>5861AF</t>
        </is>
      </c>
      <c r="D350" t="inlineStr">
        <is>
          <t>CDMX Y AREA METROPOLITANA</t>
        </is>
      </c>
      <c r="E350" t="inlineStr">
        <is>
          <t>09-2025</t>
        </is>
      </c>
      <c r="F350" t="inlineStr">
        <is>
          <t>03-2026</t>
        </is>
      </c>
      <c r="G350" t="n">
        <v>5</v>
      </c>
      <c r="H350" t="inlineStr">
        <is>
          <t>Efectivo</t>
        </is>
      </c>
      <c r="I350" t="inlineStr">
        <is>
          <t>03-2026</t>
        </is>
      </c>
      <c r="J350" t="inlineStr">
        <is>
          <t>51G544</t>
        </is>
      </c>
      <c r="K350" t="inlineStr">
        <is>
          <t>BYD MINIDOLPHIN</t>
        </is>
      </c>
      <c r="L350" t="inlineStr">
        <is>
          <t>UBER</t>
        </is>
      </c>
      <c r="M350" s="3">
        <f>IF(H350="Efectivo",IFERROR((VALUE(RIGHT(I350,4))-VALUE(RIGHT(E350,4)))*12+(VALUE(LEFT(I350,2))-VALUE(LEFT(E350,2))),""),"")</f>
        <v/>
      </c>
    </row>
    <row r="351">
      <c r="A351" t="inlineStr">
        <is>
          <t>FARIAS BARRON ROMAN ALEJANDRO</t>
        </is>
      </c>
      <c r="B351" t="inlineStr">
        <is>
          <t>Hombre</t>
        </is>
      </c>
      <c r="C351" t="inlineStr">
        <is>
          <t>6320AF</t>
        </is>
      </c>
      <c r="D351" t="inlineStr">
        <is>
          <t>NUEVO LEON</t>
        </is>
      </c>
      <c r="E351" t="inlineStr">
        <is>
          <t>11-2025</t>
        </is>
      </c>
      <c r="F351" t="inlineStr">
        <is>
          <t>03-2026</t>
        </is>
      </c>
      <c r="G351" t="n">
        <v>3</v>
      </c>
      <c r="H351" t="inlineStr">
        <is>
          <t>Efectivo</t>
        </is>
      </c>
      <c r="I351" t="inlineStr">
        <is>
          <t>03-2026</t>
        </is>
      </c>
      <c r="J351" t="inlineStr">
        <is>
          <t>53S670</t>
        </is>
      </c>
      <c r="K351" t="inlineStr">
        <is>
          <t>BYD MINIDOLPHIN</t>
        </is>
      </c>
      <c r="L351" t="inlineStr">
        <is>
          <t>DIDI</t>
        </is>
      </c>
      <c r="M351" s="3">
        <f>IF(H351="Efectivo",IFERROR((VALUE(RIGHT(I351,4))-VALUE(RIGHT(E351,4)))*12+(VALUE(LEFT(I351,2))-VALUE(LEFT(E351,2))),""),"")</f>
        <v/>
      </c>
    </row>
    <row r="352">
      <c r="A352" t="inlineStr">
        <is>
          <t>FARIAS SALAZAR GERARDO</t>
        </is>
      </c>
      <c r="B352" t="inlineStr">
        <is>
          <t>Hombre</t>
        </is>
      </c>
      <c r="C352" t="inlineStr">
        <is>
          <t>2801AF</t>
        </is>
      </c>
      <c r="D352" t="inlineStr">
        <is>
          <t>JALISCO</t>
        </is>
      </c>
      <c r="E352" t="inlineStr">
        <is>
          <t>10-2023</t>
        </is>
      </c>
      <c r="F352" t="inlineStr">
        <is>
          <t>12-2025</t>
        </is>
      </c>
      <c r="G352" t="n">
        <v>26</v>
      </c>
      <c r="H352" t="inlineStr">
        <is>
          <t>Efectivo</t>
        </is>
      </c>
      <c r="I352" t="inlineStr">
        <is>
          <t>01-2026</t>
        </is>
      </c>
      <c r="J352" t="inlineStr">
        <is>
          <t>JTT9638</t>
        </is>
      </c>
      <c r="K352" t="inlineStr">
        <is>
          <t>CHEVROLET AVEO</t>
        </is>
      </c>
      <c r="L352" t="inlineStr">
        <is>
          <t>UBER</t>
        </is>
      </c>
      <c r="M352" s="3">
        <f>IF(H352="Efectivo",IFERROR((VALUE(RIGHT(I352,4))-VALUE(RIGHT(E352,4)))*12+(VALUE(LEFT(I352,2))-VALUE(LEFT(E352,2))),""),"")</f>
        <v/>
      </c>
    </row>
    <row r="353">
      <c r="A353" t="inlineStr">
        <is>
          <t>FELICIANO RUIZ OSCAR</t>
        </is>
      </c>
      <c r="B353" t="inlineStr">
        <is>
          <t>Hombre</t>
        </is>
      </c>
      <c r="C353" t="inlineStr">
        <is>
          <t>3608AF</t>
        </is>
      </c>
      <c r="D353" t="inlineStr">
        <is>
          <t>BAJA CALIFORNIA</t>
        </is>
      </c>
      <c r="E353" t="inlineStr">
        <is>
          <t>08-2024</t>
        </is>
      </c>
      <c r="F353" t="inlineStr">
        <is>
          <t>06-2025</t>
        </is>
      </c>
      <c r="G353" t="n">
        <v>10</v>
      </c>
      <c r="H353" t="inlineStr">
        <is>
          <t>Efectivo</t>
        </is>
      </c>
      <c r="I353" t="inlineStr">
        <is>
          <t>06-2025</t>
        </is>
      </c>
      <c r="J353" t="inlineStr">
        <is>
          <t>BRH506A</t>
        </is>
      </c>
      <c r="K353" t="inlineStr">
        <is>
          <t>CHEVROLET AVEO</t>
        </is>
      </c>
      <c r="L353" t="inlineStr">
        <is>
          <t>UBER</t>
        </is>
      </c>
      <c r="M353" s="3">
        <f>IF(H353="Efectivo",IFERROR((VALUE(RIGHT(I353,4))-VALUE(RIGHT(E353,4)))*12+(VALUE(LEFT(I353,2))-VALUE(LEFT(E353,2))),""),"")</f>
        <v/>
      </c>
    </row>
    <row r="354">
      <c r="A354" t="inlineStr">
        <is>
          <t>FERNANDEZ JIMENEZ LUIS DANIEL</t>
        </is>
      </c>
      <c r="B354" t="inlineStr">
        <is>
          <t>Hombre</t>
        </is>
      </c>
      <c r="C354" t="inlineStr">
        <is>
          <t>5407AF</t>
        </is>
      </c>
      <c r="D354" t="inlineStr">
        <is>
          <t>BAJA CALIFORNIA</t>
        </is>
      </c>
      <c r="E354" t="inlineStr">
        <is>
          <t>07-2025</t>
        </is>
      </c>
      <c r="F354" t="inlineStr">
        <is>
          <t>10-2025</t>
        </is>
      </c>
      <c r="G354" t="n">
        <v>2</v>
      </c>
      <c r="H354" t="inlineStr">
        <is>
          <t>Pendiente</t>
        </is>
      </c>
      <c r="J354" t="inlineStr">
        <is>
          <t>BNB420A</t>
        </is>
      </c>
      <c r="K354" t="inlineStr">
        <is>
          <t>CHEVROLET AVEO</t>
        </is>
      </c>
      <c r="L354" t="inlineStr">
        <is>
          <t>UBER</t>
        </is>
      </c>
      <c r="M354" s="3">
        <f>IF(H354="Efectivo",IFERROR((VALUE(RIGHT(I354,4))-VALUE(RIGHT(E354,4)))*12+(VALUE(LEFT(I354,2))-VALUE(LEFT(E354,2))),""),"")</f>
        <v/>
      </c>
    </row>
    <row r="355">
      <c r="A355" t="inlineStr">
        <is>
          <t>FERNANDEZ MARTINEZ ENRIQUE</t>
        </is>
      </c>
      <c r="B355" t="inlineStr">
        <is>
          <t>Hombre</t>
        </is>
      </c>
      <c r="C355" t="inlineStr">
        <is>
          <t>3378AF</t>
        </is>
      </c>
      <c r="D355" t="inlineStr">
        <is>
          <t>BAJA CALIFORNIA</t>
        </is>
      </c>
      <c r="E355" t="inlineStr">
        <is>
          <t>06-2024</t>
        </is>
      </c>
      <c r="F355" t="inlineStr">
        <is>
          <t>04-2026</t>
        </is>
      </c>
      <c r="G355" t="n">
        <v>22</v>
      </c>
      <c r="H355" t="inlineStr">
        <is>
          <t>Pendiente</t>
        </is>
      </c>
      <c r="J355" t="inlineStr">
        <is>
          <t>BNJ622A</t>
        </is>
      </c>
      <c r="K355" t="inlineStr">
        <is>
          <t>CHEVROLET AVEO</t>
        </is>
      </c>
      <c r="L355" t="inlineStr">
        <is>
          <t>UBER</t>
        </is>
      </c>
      <c r="M355" s="3">
        <f>IF(H355="Efectivo",IFERROR((VALUE(RIGHT(I355,4))-VALUE(RIGHT(E355,4)))*12+(VALUE(LEFT(I355,2))-VALUE(LEFT(E355,2))),""),"")</f>
        <v/>
      </c>
    </row>
    <row r="356">
      <c r="A356" t="inlineStr">
        <is>
          <t>FERNANDEZ RIOS FRANCISCO</t>
        </is>
      </c>
      <c r="B356" t="inlineStr">
        <is>
          <t>Hombre</t>
        </is>
      </c>
      <c r="C356" t="inlineStr">
        <is>
          <t>4775AF</t>
        </is>
      </c>
      <c r="D356" t="inlineStr">
        <is>
          <t>NUEVO LEON</t>
        </is>
      </c>
      <c r="E356" t="inlineStr">
        <is>
          <t>05-2025</t>
        </is>
      </c>
      <c r="F356" t="inlineStr">
        <is>
          <t>02-2026</t>
        </is>
      </c>
      <c r="G356" t="n">
        <v>9</v>
      </c>
      <c r="H356" t="inlineStr">
        <is>
          <t>Efectivo</t>
        </is>
      </c>
      <c r="I356" t="inlineStr">
        <is>
          <t>03-2026</t>
        </is>
      </c>
      <c r="J356" t="inlineStr">
        <is>
          <t>RLW871C</t>
        </is>
      </c>
      <c r="K356" t="inlineStr">
        <is>
          <t>CHEVROLET AVEO</t>
        </is>
      </c>
      <c r="L356" t="inlineStr">
        <is>
          <t>DIDI</t>
        </is>
      </c>
      <c r="M356" s="3">
        <f>IF(H356="Efectivo",IFERROR((VALUE(RIGHT(I356,4))-VALUE(RIGHT(E356,4)))*12+(VALUE(LEFT(I356,2))-VALUE(LEFT(E356,2))),""),"")</f>
        <v/>
      </c>
    </row>
    <row r="357">
      <c r="A357" t="inlineStr">
        <is>
          <t>FERNANDEZ URIOSTEGUI FRANCISCO JAVIER</t>
        </is>
      </c>
      <c r="B357" t="inlineStr">
        <is>
          <t>Hombre</t>
        </is>
      </c>
      <c r="C357" t="inlineStr">
        <is>
          <t>6901AF</t>
        </is>
      </c>
      <c r="D357" t="inlineStr">
        <is>
          <t>CDMX Y AREA METROPOLITANA</t>
        </is>
      </c>
      <c r="E357" t="inlineStr">
        <is>
          <t>02-2026</t>
        </is>
      </c>
      <c r="F357" t="inlineStr">
        <is>
          <t>05-2026</t>
        </is>
      </c>
      <c r="G357" t="n">
        <v>3</v>
      </c>
      <c r="H357" t="inlineStr">
        <is>
          <t>Pendiente</t>
        </is>
      </c>
      <c r="J357" t="inlineStr">
        <is>
          <t>31G841</t>
        </is>
      </c>
      <c r="K357" t="inlineStr">
        <is>
          <t>GAC AION S</t>
        </is>
      </c>
      <c r="L357" t="inlineStr">
        <is>
          <t>DIDI</t>
        </is>
      </c>
      <c r="M357" s="3">
        <f>IF(H357="Efectivo",IFERROR((VALUE(RIGHT(I357,4))-VALUE(RIGHT(E357,4)))*12+(VALUE(LEFT(I357,2))-VALUE(LEFT(E357,2))),""),"")</f>
        <v/>
      </c>
    </row>
    <row r="358">
      <c r="A358" t="inlineStr">
        <is>
          <t>FLORES CONTRERAS JUAN FRANCISCO</t>
        </is>
      </c>
      <c r="B358" t="inlineStr">
        <is>
          <t>Hombre</t>
        </is>
      </c>
      <c r="C358" t="inlineStr">
        <is>
          <t>5563AF</t>
        </is>
      </c>
      <c r="D358" t="inlineStr">
        <is>
          <t>CDMX Y AREA METROPOLITANA</t>
        </is>
      </c>
      <c r="E358" t="inlineStr">
        <is>
          <t>08-2025</t>
        </is>
      </c>
      <c r="F358" t="inlineStr">
        <is>
          <t>12-2025</t>
        </is>
      </c>
      <c r="G358" t="n">
        <v>4</v>
      </c>
      <c r="H358" t="inlineStr">
        <is>
          <t>Cancelado</t>
        </is>
      </c>
      <c r="J358" t="inlineStr">
        <is>
          <t>29G226</t>
        </is>
      </c>
      <c r="K358" t="inlineStr">
        <is>
          <t>GAC AION S</t>
        </is>
      </c>
      <c r="L358" t="inlineStr">
        <is>
          <t>DIDI</t>
        </is>
      </c>
      <c r="M358" s="3">
        <f>IF(H358="Efectivo",IFERROR((VALUE(RIGHT(I358,4))-VALUE(RIGHT(E358,4)))*12+(VALUE(LEFT(I358,2))-VALUE(LEFT(E358,2))),""),"")</f>
        <v/>
      </c>
    </row>
    <row r="359">
      <c r="A359" t="inlineStr">
        <is>
          <t>FLORES CONTRERAS JUAN FRANCISCO</t>
        </is>
      </c>
      <c r="B359" t="inlineStr">
        <is>
          <t>Hombre</t>
        </is>
      </c>
      <c r="C359" t="inlineStr">
        <is>
          <t>5563AF</t>
        </is>
      </c>
      <c r="D359" t="inlineStr">
        <is>
          <t>CDMX Y AREA METROPOLITANA</t>
        </is>
      </c>
      <c r="E359" t="inlineStr">
        <is>
          <t>08-2025</t>
        </is>
      </c>
      <c r="F359" t="inlineStr">
        <is>
          <t>02-2026</t>
        </is>
      </c>
      <c r="G359" t="n">
        <v>5</v>
      </c>
      <c r="H359" t="inlineStr">
        <is>
          <t>Cancelado</t>
        </is>
      </c>
      <c r="J359" t="inlineStr">
        <is>
          <t>29G226</t>
        </is>
      </c>
      <c r="K359" t="inlineStr">
        <is>
          <t>GAC AION S</t>
        </is>
      </c>
      <c r="L359" t="inlineStr">
        <is>
          <t>DIDI</t>
        </is>
      </c>
      <c r="M359" s="3">
        <f>IF(H359="Efectivo",IFERROR((VALUE(RIGHT(I359,4))-VALUE(RIGHT(E359,4)))*12+(VALUE(LEFT(I359,2))-VALUE(LEFT(E359,2))),""),"")</f>
        <v/>
      </c>
    </row>
    <row r="360">
      <c r="A360" t="inlineStr">
        <is>
          <t>FLORES CRUZ EDUARDO AGUSTIN</t>
        </is>
      </c>
      <c r="B360" t="inlineStr">
        <is>
          <t>Hombre</t>
        </is>
      </c>
      <c r="C360" t="inlineStr">
        <is>
          <t>5592AF</t>
        </is>
      </c>
      <c r="D360" t="inlineStr">
        <is>
          <t>BAJA CALIFORNIA</t>
        </is>
      </c>
      <c r="E360" t="inlineStr">
        <is>
          <t>08-2025</t>
        </is>
      </c>
      <c r="F360" t="inlineStr">
        <is>
          <t>04-2026</t>
        </is>
      </c>
      <c r="G360" t="n">
        <v>8</v>
      </c>
      <c r="H360" t="inlineStr">
        <is>
          <t>Pendiente</t>
        </is>
      </c>
      <c r="J360" t="inlineStr">
        <is>
          <t>BZA438A</t>
        </is>
      </c>
      <c r="K360" t="inlineStr">
        <is>
          <t>CHEVROLET AVEO</t>
        </is>
      </c>
      <c r="L360" t="inlineStr">
        <is>
          <t>UBER</t>
        </is>
      </c>
      <c r="M360" s="3">
        <f>IF(H360="Efectivo",IFERROR((VALUE(RIGHT(I360,4))-VALUE(RIGHT(E360,4)))*12+(VALUE(LEFT(I360,2))-VALUE(LEFT(E360,2))),""),"")</f>
        <v/>
      </c>
    </row>
    <row r="361">
      <c r="A361" t="inlineStr">
        <is>
          <t>FLORES DIEGO JONATHAN DANIEL</t>
        </is>
      </c>
      <c r="B361" t="inlineStr">
        <is>
          <t>Hombre</t>
        </is>
      </c>
      <c r="C361" t="inlineStr">
        <is>
          <t>5977AF</t>
        </is>
      </c>
      <c r="D361" t="inlineStr">
        <is>
          <t>JALISCO</t>
        </is>
      </c>
      <c r="E361" t="inlineStr">
        <is>
          <t>10-2025</t>
        </is>
      </c>
      <c r="F361" t="inlineStr">
        <is>
          <t>04-2026</t>
        </is>
      </c>
      <c r="G361" t="n">
        <v>6</v>
      </c>
      <c r="H361" t="inlineStr">
        <is>
          <t>Pendiente</t>
        </is>
      </c>
      <c r="J361" t="inlineStr">
        <is>
          <t>JNU138A</t>
        </is>
      </c>
      <c r="K361" t="inlineStr">
        <is>
          <t>CHEVROLET AVEO</t>
        </is>
      </c>
      <c r="L361" t="inlineStr">
        <is>
          <t>UBER</t>
        </is>
      </c>
      <c r="M361" s="3">
        <f>IF(H361="Efectivo",IFERROR((VALUE(RIGHT(I361,4))-VALUE(RIGHT(E361,4)))*12+(VALUE(LEFT(I361,2))-VALUE(LEFT(E361,2))),""),"")</f>
        <v/>
      </c>
    </row>
    <row r="362">
      <c r="A362" t="inlineStr">
        <is>
          <t>FLORES GONZALEZ ERNESTO GERARDO</t>
        </is>
      </c>
      <c r="B362" t="inlineStr">
        <is>
          <t>Hombre</t>
        </is>
      </c>
      <c r="C362" t="inlineStr">
        <is>
          <t>4333AF</t>
        </is>
      </c>
      <c r="D362" t="inlineStr">
        <is>
          <t>CDMX Y AREA METROPOLITANA</t>
        </is>
      </c>
      <c r="E362" t="inlineStr">
        <is>
          <t>02-2025</t>
        </is>
      </c>
      <c r="F362" t="inlineStr">
        <is>
          <t>08-2025</t>
        </is>
      </c>
      <c r="G362" t="n">
        <v>6</v>
      </c>
      <c r="H362" t="inlineStr">
        <is>
          <t>Cancelado</t>
        </is>
      </c>
      <c r="J362" t="inlineStr">
        <is>
          <t>31G757</t>
        </is>
      </c>
      <c r="K362" t="inlineStr">
        <is>
          <t>GAC AION S</t>
        </is>
      </c>
      <c r="L362" t="inlineStr">
        <is>
          <t>UBER</t>
        </is>
      </c>
      <c r="M362" s="3">
        <f>IF(H362="Efectivo",IFERROR((VALUE(RIGHT(I362,4))-VALUE(RIGHT(E362,4)))*12+(VALUE(LEFT(I362,2))-VALUE(LEFT(E362,2))),""),"")</f>
        <v/>
      </c>
    </row>
    <row r="363">
      <c r="A363" t="inlineStr">
        <is>
          <t>FLORES GONZALEZ ERNESTO GERARDO</t>
        </is>
      </c>
      <c r="B363" t="inlineStr">
        <is>
          <t>Hombre</t>
        </is>
      </c>
      <c r="C363" t="inlineStr">
        <is>
          <t>4333AF</t>
        </is>
      </c>
      <c r="D363" t="inlineStr">
        <is>
          <t>CDMX Y AREA METROPOLITANA</t>
        </is>
      </c>
      <c r="E363" t="inlineStr">
        <is>
          <t>02-2025</t>
        </is>
      </c>
      <c r="F363" t="inlineStr">
        <is>
          <t>04-2026</t>
        </is>
      </c>
      <c r="G363" t="n">
        <v>14</v>
      </c>
      <c r="H363" t="inlineStr">
        <is>
          <t>Efectivo</t>
        </is>
      </c>
      <c r="I363" t="inlineStr">
        <is>
          <t>04-2026</t>
        </is>
      </c>
      <c r="J363" t="inlineStr">
        <is>
          <t>31G757</t>
        </is>
      </c>
      <c r="K363" t="inlineStr">
        <is>
          <t>GAC AION S</t>
        </is>
      </c>
      <c r="L363" t="inlineStr">
        <is>
          <t>UBER</t>
        </is>
      </c>
      <c r="M363" s="3">
        <f>IF(H363="Efectivo",IFERROR((VALUE(RIGHT(I363,4))-VALUE(RIGHT(E363,4)))*12+(VALUE(LEFT(I363,2))-VALUE(LEFT(E363,2))),""),"")</f>
        <v/>
      </c>
    </row>
    <row r="364">
      <c r="A364" t="inlineStr">
        <is>
          <t>FLORES MENDOZA JUAN CARLOS</t>
        </is>
      </c>
      <c r="B364" t="inlineStr">
        <is>
          <t>Hombre</t>
        </is>
      </c>
      <c r="C364" t="inlineStr">
        <is>
          <t>3778AF</t>
        </is>
      </c>
      <c r="D364" t="inlineStr">
        <is>
          <t>CDMX Y AREA METROPOLITANA</t>
        </is>
      </c>
      <c r="E364" t="inlineStr">
        <is>
          <t>09-2024</t>
        </is>
      </c>
      <c r="F364" t="inlineStr">
        <is>
          <t>05-2025</t>
        </is>
      </c>
      <c r="G364" t="n">
        <v>8</v>
      </c>
      <c r="H364" t="inlineStr">
        <is>
          <t>Efectivo</t>
        </is>
      </c>
      <c r="I364" t="inlineStr">
        <is>
          <t>06-2025</t>
        </is>
      </c>
      <c r="J364" t="inlineStr">
        <is>
          <t>13G519</t>
        </is>
      </c>
      <c r="K364" t="inlineStr">
        <is>
          <t>BYD MINIDOLPHIN</t>
        </is>
      </c>
      <c r="L364" t="inlineStr">
        <is>
          <t>DIDI</t>
        </is>
      </c>
      <c r="M364" s="3">
        <f>IF(H364="Efectivo",IFERROR((VALUE(RIGHT(I364,4))-VALUE(RIGHT(E364,4)))*12+(VALUE(LEFT(I364,2))-VALUE(LEFT(E364,2))),""),"")</f>
        <v/>
      </c>
    </row>
    <row r="365">
      <c r="A365" t="inlineStr">
        <is>
          <t>FLORES OREGON FERNANDO</t>
        </is>
      </c>
      <c r="B365" t="inlineStr">
        <is>
          <t>Hombre</t>
        </is>
      </c>
      <c r="C365" t="inlineStr">
        <is>
          <t>2903AF</t>
        </is>
      </c>
      <c r="D365" t="inlineStr">
        <is>
          <t>CDMX Y AREA METROPOLITANA</t>
        </is>
      </c>
      <c r="E365" t="inlineStr">
        <is>
          <t>12-2023</t>
        </is>
      </c>
      <c r="F365" t="inlineStr">
        <is>
          <t>09-2025</t>
        </is>
      </c>
      <c r="G365" t="n">
        <v>21</v>
      </c>
      <c r="H365" t="inlineStr">
        <is>
          <t>Pendiente</t>
        </is>
      </c>
      <c r="J365" t="inlineStr">
        <is>
          <t>D34BNH</t>
        </is>
      </c>
      <c r="K365" t="inlineStr">
        <is>
          <t>CHEVROLET AVEO</t>
        </is>
      </c>
      <c r="L365" t="inlineStr">
        <is>
          <t>UBER</t>
        </is>
      </c>
      <c r="M365" s="3">
        <f>IF(H365="Efectivo",IFERROR((VALUE(RIGHT(I365,4))-VALUE(RIGHT(E365,4)))*12+(VALUE(LEFT(I365,2))-VALUE(LEFT(E365,2))),""),"")</f>
        <v/>
      </c>
    </row>
    <row r="366">
      <c r="A366" t="inlineStr">
        <is>
          <t>FLORES PALACIOS ERNESTO GABRIEL</t>
        </is>
      </c>
      <c r="B366" t="inlineStr">
        <is>
          <t>Hombre</t>
        </is>
      </c>
      <c r="C366" t="inlineStr">
        <is>
          <t>5650AF</t>
        </is>
      </c>
      <c r="D366" t="inlineStr">
        <is>
          <t>CDMX Y AREA METROPOLITANA</t>
        </is>
      </c>
      <c r="E366" t="inlineStr">
        <is>
          <t>09-2025</t>
        </is>
      </c>
      <c r="F366" t="inlineStr">
        <is>
          <t>04-2026</t>
        </is>
      </c>
      <c r="G366" t="n">
        <v>7</v>
      </c>
      <c r="H366" t="inlineStr">
        <is>
          <t>Efectivo</t>
        </is>
      </c>
      <c r="I366" t="inlineStr">
        <is>
          <t>05-2026</t>
        </is>
      </c>
      <c r="J366" t="inlineStr">
        <is>
          <t>08K011</t>
        </is>
      </c>
      <c r="K366" t="inlineStr">
        <is>
          <t>GAC AION S</t>
        </is>
      </c>
      <c r="L366" t="inlineStr">
        <is>
          <t>DIDI</t>
        </is>
      </c>
      <c r="M366" s="3">
        <f>IF(H366="Efectivo",IFERROR((VALUE(RIGHT(I366,4))-VALUE(RIGHT(E366,4)))*12+(VALUE(LEFT(I366,2))-VALUE(LEFT(E366,2))),""),"")</f>
        <v/>
      </c>
    </row>
    <row r="367">
      <c r="A367" t="inlineStr">
        <is>
          <t>FLORES PORTILLO ISIDORO ANTONIO</t>
        </is>
      </c>
      <c r="B367" t="inlineStr">
        <is>
          <t>Hombre</t>
        </is>
      </c>
      <c r="C367" t="inlineStr">
        <is>
          <t>5063AF</t>
        </is>
      </c>
      <c r="D367" t="inlineStr">
        <is>
          <t>NUEVO LEON</t>
        </is>
      </c>
      <c r="E367" t="inlineStr">
        <is>
          <t>01-2026</t>
        </is>
      </c>
      <c r="F367" t="inlineStr">
        <is>
          <t>05-2026</t>
        </is>
      </c>
      <c r="G367" t="n">
        <v>4</v>
      </c>
      <c r="H367" t="inlineStr">
        <is>
          <t>Pendiente</t>
        </is>
      </c>
      <c r="J367" t="inlineStr">
        <is>
          <t>RUW777C</t>
        </is>
      </c>
      <c r="K367" t="inlineStr">
        <is>
          <t>CHEVROLET AVEO</t>
        </is>
      </c>
      <c r="L367" t="inlineStr">
        <is>
          <t>UBER</t>
        </is>
      </c>
      <c r="M367" s="3">
        <f>IF(H367="Efectivo",IFERROR((VALUE(RIGHT(I367,4))-VALUE(RIGHT(E367,4)))*12+(VALUE(LEFT(I367,2))-VALUE(LEFT(E367,2))),""),"")</f>
        <v/>
      </c>
    </row>
    <row r="368">
      <c r="A368" t="inlineStr">
        <is>
          <t>FLORES SANDOVAL ALFREDO.</t>
        </is>
      </c>
      <c r="B368" t="inlineStr">
        <is>
          <t>Hombre</t>
        </is>
      </c>
      <c r="C368" t="inlineStr">
        <is>
          <t>6392AF</t>
        </is>
      </c>
      <c r="D368" t="inlineStr">
        <is>
          <t>BAJA CALIFORNIA</t>
        </is>
      </c>
      <c r="E368" t="inlineStr">
        <is>
          <t>12-2025</t>
        </is>
      </c>
      <c r="F368" t="inlineStr">
        <is>
          <t>04-2026</t>
        </is>
      </c>
      <c r="G368" t="n">
        <v>4</v>
      </c>
      <c r="H368" t="inlineStr">
        <is>
          <t>Efectivo</t>
        </is>
      </c>
      <c r="I368" t="inlineStr">
        <is>
          <t>04-2026</t>
        </is>
      </c>
      <c r="J368" t="inlineStr">
        <is>
          <t>CBL056A</t>
        </is>
      </c>
      <c r="K368" t="inlineStr">
        <is>
          <t>CHEVROLET AVEO</t>
        </is>
      </c>
      <c r="L368" t="inlineStr">
        <is>
          <t>UBER</t>
        </is>
      </c>
      <c r="M368" s="3">
        <f>IF(H368="Efectivo",IFERROR((VALUE(RIGHT(I368,4))-VALUE(RIGHT(E368,4)))*12+(VALUE(LEFT(I368,2))-VALUE(LEFT(E368,2))),""),"")</f>
        <v/>
      </c>
    </row>
    <row r="369">
      <c r="A369" t="inlineStr">
        <is>
          <t>FLORES SANDOVAL JUSSEP URIEL</t>
        </is>
      </c>
      <c r="B369" t="inlineStr">
        <is>
          <t>Hombre</t>
        </is>
      </c>
      <c r="C369" t="inlineStr">
        <is>
          <t>4068AF</t>
        </is>
      </c>
      <c r="D369" t="inlineStr">
        <is>
          <t>CDMX Y AREA METROPOLITANA</t>
        </is>
      </c>
      <c r="E369" t="inlineStr">
        <is>
          <t>12-2024</t>
        </is>
      </c>
      <c r="F369" t="inlineStr">
        <is>
          <t>03-2025</t>
        </is>
      </c>
      <c r="G369" t="n">
        <v>4</v>
      </c>
      <c r="H369" t="inlineStr">
        <is>
          <t>Efectivo</t>
        </is>
      </c>
      <c r="I369" t="inlineStr">
        <is>
          <t>04-2025</t>
        </is>
      </c>
      <c r="J369" t="inlineStr">
        <is>
          <t>19G358</t>
        </is>
      </c>
      <c r="K369" t="inlineStr">
        <is>
          <t>BYD D1</t>
        </is>
      </c>
      <c r="L369" t="inlineStr">
        <is>
          <t>UBER</t>
        </is>
      </c>
      <c r="M369" s="3">
        <f>IF(H369="Efectivo",IFERROR((VALUE(RIGHT(I369,4))-VALUE(RIGHT(E369,4)))*12+(VALUE(LEFT(I369,2))-VALUE(LEFT(E369,2))),""),"")</f>
        <v/>
      </c>
    </row>
    <row r="370">
      <c r="A370" t="inlineStr">
        <is>
          <t>FLORES SILVA EDGAR EDUARDO</t>
        </is>
      </c>
      <c r="B370" t="inlineStr">
        <is>
          <t>Hombre</t>
        </is>
      </c>
      <c r="C370" t="inlineStr">
        <is>
          <t>6273AF</t>
        </is>
      </c>
      <c r="D370" t="inlineStr">
        <is>
          <t>NUEVO LEON</t>
        </is>
      </c>
      <c r="E370" t="inlineStr">
        <is>
          <t>11-2025</t>
        </is>
      </c>
      <c r="F370" t="inlineStr">
        <is>
          <t>04-2026</t>
        </is>
      </c>
      <c r="G370" t="n">
        <v>4</v>
      </c>
      <c r="H370" t="inlineStr">
        <is>
          <t>Efectivo</t>
        </is>
      </c>
      <c r="I370" t="inlineStr">
        <is>
          <t>04-2026</t>
        </is>
      </c>
      <c r="J370" t="inlineStr">
        <is>
          <t>53S726</t>
        </is>
      </c>
      <c r="K370" t="inlineStr">
        <is>
          <t>BYD MINIDOLPHIN</t>
        </is>
      </c>
      <c r="L370" t="inlineStr">
        <is>
          <t>DIDI</t>
        </is>
      </c>
      <c r="M370" s="3">
        <f>IF(H370="Efectivo",IFERROR((VALUE(RIGHT(I370,4))-VALUE(RIGHT(E370,4)))*12+(VALUE(LEFT(I370,2))-VALUE(LEFT(E370,2))),""),"")</f>
        <v/>
      </c>
    </row>
    <row r="371">
      <c r="A371" t="inlineStr">
        <is>
          <t>FLORES TAFOLLA BRANDON</t>
        </is>
      </c>
      <c r="B371" t="inlineStr">
        <is>
          <t>Hombre</t>
        </is>
      </c>
      <c r="C371" t="inlineStr">
        <is>
          <t>5698AF</t>
        </is>
      </c>
      <c r="D371" t="inlineStr">
        <is>
          <t>CDMX Y AREA METROPOLITANA</t>
        </is>
      </c>
      <c r="E371" t="inlineStr">
        <is>
          <t>09-2025</t>
        </is>
      </c>
      <c r="F371" t="inlineStr">
        <is>
          <t>11-2025</t>
        </is>
      </c>
      <c r="G371" t="n">
        <v>3</v>
      </c>
      <c r="H371" t="inlineStr">
        <is>
          <t>Efectivo</t>
        </is>
      </c>
      <c r="I371" t="inlineStr">
        <is>
          <t>12-2025</t>
        </is>
      </c>
      <c r="J371" t="inlineStr">
        <is>
          <t>13G810</t>
        </is>
      </c>
      <c r="K371" t="inlineStr">
        <is>
          <t>BYD D1</t>
        </is>
      </c>
      <c r="L371" t="inlineStr">
        <is>
          <t>DIDI</t>
        </is>
      </c>
      <c r="M371" s="3">
        <f>IF(H371="Efectivo",IFERROR((VALUE(RIGHT(I371,4))-VALUE(RIGHT(E371,4)))*12+(VALUE(LEFT(I371,2))-VALUE(LEFT(E371,2))),""),"")</f>
        <v/>
      </c>
    </row>
    <row r="372">
      <c r="A372" t="inlineStr">
        <is>
          <t>FLORIN MORALES ISRAEL</t>
        </is>
      </c>
      <c r="B372" t="inlineStr">
        <is>
          <t>Hombre</t>
        </is>
      </c>
      <c r="C372" t="inlineStr">
        <is>
          <t>5518AF</t>
        </is>
      </c>
      <c r="D372" t="inlineStr">
        <is>
          <t>CDMX Y AREA METROPOLITANA</t>
        </is>
      </c>
      <c r="E372" t="inlineStr">
        <is>
          <t>08-2025</t>
        </is>
      </c>
      <c r="F372" t="inlineStr">
        <is>
          <t>02-2026</t>
        </is>
      </c>
      <c r="G372" t="n">
        <v>6</v>
      </c>
      <c r="H372" t="inlineStr">
        <is>
          <t>Efectivo</t>
        </is>
      </c>
      <c r="I372" t="inlineStr">
        <is>
          <t>03-2026</t>
        </is>
      </c>
      <c r="J372" t="inlineStr">
        <is>
          <t>19G554</t>
        </is>
      </c>
      <c r="K372" t="inlineStr">
        <is>
          <t>BYD D1</t>
        </is>
      </c>
      <c r="L372" t="inlineStr">
        <is>
          <t>UBER</t>
        </is>
      </c>
      <c r="M372" s="3">
        <f>IF(H372="Efectivo",IFERROR((VALUE(RIGHT(I372,4))-VALUE(RIGHT(E372,4)))*12+(VALUE(LEFT(I372,2))-VALUE(LEFT(E372,2))),""),"")</f>
        <v/>
      </c>
    </row>
    <row r="373">
      <c r="A373" t="inlineStr">
        <is>
          <t>FRAGOSO LOPEZ PABLO BENJAMIN</t>
        </is>
      </c>
      <c r="B373" t="inlineStr">
        <is>
          <t>Hombre</t>
        </is>
      </c>
      <c r="C373" t="inlineStr">
        <is>
          <t>4862AF</t>
        </is>
      </c>
      <c r="D373" t="inlineStr">
        <is>
          <t>CDMX Y AREA METROPOLITANA</t>
        </is>
      </c>
      <c r="E373" t="inlineStr">
        <is>
          <t>05-2025</t>
        </is>
      </c>
      <c r="F373" t="inlineStr">
        <is>
          <t>08-2025</t>
        </is>
      </c>
      <c r="G373" t="n">
        <v>3</v>
      </c>
      <c r="H373" t="inlineStr">
        <is>
          <t>Efectivo</t>
        </is>
      </c>
      <c r="I373" t="inlineStr">
        <is>
          <t>08-2025</t>
        </is>
      </c>
      <c r="J373" t="inlineStr">
        <is>
          <t>50G774</t>
        </is>
      </c>
      <c r="K373" t="inlineStr">
        <is>
          <t>GAC AION S</t>
        </is>
      </c>
      <c r="L373" t="inlineStr">
        <is>
          <t>UBER</t>
        </is>
      </c>
      <c r="M373" s="3">
        <f>IF(H373="Efectivo",IFERROR((VALUE(RIGHT(I373,4))-VALUE(RIGHT(E373,4)))*12+(VALUE(LEFT(I373,2))-VALUE(LEFT(E373,2))),""),"")</f>
        <v/>
      </c>
    </row>
    <row r="374">
      <c r="A374" t="inlineStr">
        <is>
          <t>FRANCISCO ALVARADO JORGE</t>
        </is>
      </c>
      <c r="B374" t="inlineStr">
        <is>
          <t>Hombre</t>
        </is>
      </c>
      <c r="C374" t="inlineStr">
        <is>
          <t>5702AF</t>
        </is>
      </c>
      <c r="D374" t="inlineStr">
        <is>
          <t>BAJA CALIFORNIA</t>
        </is>
      </c>
      <c r="E374" t="inlineStr">
        <is>
          <t>09-2025</t>
        </is>
      </c>
      <c r="F374" t="inlineStr">
        <is>
          <t>03-2026</t>
        </is>
      </c>
      <c r="G374" t="n">
        <v>6</v>
      </c>
      <c r="H374" t="inlineStr">
        <is>
          <t>Efectivo</t>
        </is>
      </c>
      <c r="I374" t="inlineStr">
        <is>
          <t>03-2026</t>
        </is>
      </c>
      <c r="J374" t="inlineStr">
        <is>
          <t>CAD040A</t>
        </is>
      </c>
      <c r="K374" t="inlineStr">
        <is>
          <t>CHEVROLET AVEO</t>
        </is>
      </c>
      <c r="L374" t="inlineStr">
        <is>
          <t>UBER</t>
        </is>
      </c>
      <c r="M374" s="3">
        <f>IF(H374="Efectivo",IFERROR((VALUE(RIGHT(I374,4))-VALUE(RIGHT(E374,4)))*12+(VALUE(LEFT(I374,2))-VALUE(LEFT(E374,2))),""),"")</f>
        <v/>
      </c>
    </row>
    <row r="375">
      <c r="A375" t="inlineStr">
        <is>
          <t>FRONTANA CASTRO CHRISTIAN ADALBERTO</t>
        </is>
      </c>
      <c r="B375" t="inlineStr">
        <is>
          <t>Hombre</t>
        </is>
      </c>
      <c r="C375" t="inlineStr">
        <is>
          <t>4335AF</t>
        </is>
      </c>
      <c r="D375" t="inlineStr">
        <is>
          <t>CDMX Y AREA METROPOLITANA</t>
        </is>
      </c>
      <c r="E375" t="inlineStr">
        <is>
          <t>02-2025</t>
        </is>
      </c>
      <c r="F375" t="inlineStr">
        <is>
          <t>04-2025</t>
        </is>
      </c>
      <c r="G375" t="n">
        <v>2</v>
      </c>
      <c r="H375" t="inlineStr">
        <is>
          <t>Pendiente</t>
        </is>
      </c>
      <c r="J375" t="inlineStr">
        <is>
          <t>31G713</t>
        </is>
      </c>
      <c r="K375" t="inlineStr">
        <is>
          <t>GAC AION S</t>
        </is>
      </c>
      <c r="L375" t="inlineStr">
        <is>
          <t>DIDI</t>
        </is>
      </c>
      <c r="M375" s="3">
        <f>IF(H375="Efectivo",IFERROR((VALUE(RIGHT(I375,4))-VALUE(RIGHT(E375,4)))*12+(VALUE(LEFT(I375,2))-VALUE(LEFT(E375,2))),""),"")</f>
        <v/>
      </c>
    </row>
    <row r="376">
      <c r="A376" t="inlineStr">
        <is>
          <t>FUENTES BOY JUAN MANUEL</t>
        </is>
      </c>
      <c r="B376" t="inlineStr">
        <is>
          <t>Hombre</t>
        </is>
      </c>
      <c r="C376" t="inlineStr">
        <is>
          <t>6463AF</t>
        </is>
      </c>
      <c r="D376" t="inlineStr">
        <is>
          <t>CDMX Y AREA METROPOLITANA</t>
        </is>
      </c>
      <c r="E376" t="inlineStr">
        <is>
          <t>12-2025</t>
        </is>
      </c>
      <c r="F376" t="inlineStr">
        <is>
          <t>04-2026</t>
        </is>
      </c>
      <c r="G376" t="n">
        <v>4</v>
      </c>
      <c r="H376" t="inlineStr">
        <is>
          <t>Efectivo</t>
        </is>
      </c>
      <c r="I376" t="inlineStr">
        <is>
          <t>04-2026</t>
        </is>
      </c>
      <c r="J376" t="inlineStr">
        <is>
          <t>52G090</t>
        </is>
      </c>
      <c r="K376" t="inlineStr">
        <is>
          <t>BYD MINIDOLPHIN</t>
        </is>
      </c>
      <c r="L376" t="inlineStr">
        <is>
          <t>DIDI</t>
        </is>
      </c>
      <c r="M376" s="3">
        <f>IF(H376="Efectivo",IFERROR((VALUE(RIGHT(I376,4))-VALUE(RIGHT(E376,4)))*12+(VALUE(LEFT(I376,2))-VALUE(LEFT(E376,2))),""),"")</f>
        <v/>
      </c>
    </row>
    <row r="377">
      <c r="A377" t="inlineStr">
        <is>
          <t>GABRIEL GOMEZ ALFREDO</t>
        </is>
      </c>
      <c r="B377" t="inlineStr">
        <is>
          <t>Hombre</t>
        </is>
      </c>
      <c r="C377" t="inlineStr">
        <is>
          <t>4663AF</t>
        </is>
      </c>
      <c r="D377" t="inlineStr">
        <is>
          <t>CDMX Y AREA METROPOLITANA</t>
        </is>
      </c>
      <c r="E377" t="inlineStr">
        <is>
          <t>04-2025</t>
        </is>
      </c>
      <c r="F377" t="inlineStr">
        <is>
          <t>01-2026</t>
        </is>
      </c>
      <c r="G377" t="n">
        <v>8</v>
      </c>
      <c r="H377" t="inlineStr">
        <is>
          <t>Efectivo</t>
        </is>
      </c>
      <c r="I377" t="inlineStr">
        <is>
          <t>01-2026</t>
        </is>
      </c>
      <c r="J377" t="inlineStr">
        <is>
          <t>38G391</t>
        </is>
      </c>
      <c r="K377" t="inlineStr">
        <is>
          <t>GAC AION S</t>
        </is>
      </c>
      <c r="L377" t="inlineStr">
        <is>
          <t>UBER</t>
        </is>
      </c>
      <c r="M377" s="3">
        <f>IF(H377="Efectivo",IFERROR((VALUE(RIGHT(I377,4))-VALUE(RIGHT(E377,4)))*12+(VALUE(LEFT(I377,2))-VALUE(LEFT(E377,2))),""),"")</f>
        <v/>
      </c>
    </row>
    <row r="378">
      <c r="A378" t="inlineStr">
        <is>
          <t>GALAN BARRERA ANTONIO</t>
        </is>
      </c>
      <c r="B378" t="inlineStr">
        <is>
          <t>Hombre</t>
        </is>
      </c>
      <c r="C378" t="inlineStr">
        <is>
          <t>5855AF</t>
        </is>
      </c>
      <c r="D378" t="inlineStr">
        <is>
          <t>CDMX Y AREA METROPOLITANA</t>
        </is>
      </c>
      <c r="E378" t="inlineStr">
        <is>
          <t>09-2025</t>
        </is>
      </c>
      <c r="F378" t="inlineStr">
        <is>
          <t>02-2026</t>
        </is>
      </c>
      <c r="G378" t="n">
        <v>4</v>
      </c>
      <c r="H378" t="inlineStr">
        <is>
          <t>Pendiente</t>
        </is>
      </c>
      <c r="J378" t="inlineStr">
        <is>
          <t>11K503</t>
        </is>
      </c>
      <c r="K378" t="inlineStr">
        <is>
          <t>BYD MINIDOLPHIN</t>
        </is>
      </c>
      <c r="L378" t="inlineStr">
        <is>
          <t>DIDI</t>
        </is>
      </c>
      <c r="M378" s="3">
        <f>IF(H378="Efectivo",IFERROR((VALUE(RIGHT(I378,4))-VALUE(RIGHT(E378,4)))*12+(VALUE(LEFT(I378,2))-VALUE(LEFT(E378,2))),""),"")</f>
        <v/>
      </c>
    </row>
    <row r="379">
      <c r="A379" t="inlineStr">
        <is>
          <t>GALAN MERCADO DIEGO ARMANDO</t>
        </is>
      </c>
      <c r="B379" t="inlineStr">
        <is>
          <t>Hombre</t>
        </is>
      </c>
      <c r="C379" t="inlineStr">
        <is>
          <t>5470AF</t>
        </is>
      </c>
      <c r="D379" t="inlineStr">
        <is>
          <t>CDMX Y AREA METROPOLITANA</t>
        </is>
      </c>
      <c r="E379" t="inlineStr">
        <is>
          <t>08-2025</t>
        </is>
      </c>
      <c r="F379" t="inlineStr">
        <is>
          <t>03-2026</t>
        </is>
      </c>
      <c r="G379" t="n">
        <v>7</v>
      </c>
      <c r="H379" t="inlineStr">
        <is>
          <t>Efectivo</t>
        </is>
      </c>
      <c r="I379" t="inlineStr">
        <is>
          <t>04-2026</t>
        </is>
      </c>
      <c r="J379" t="inlineStr">
        <is>
          <t>28G913</t>
        </is>
      </c>
      <c r="K379" t="inlineStr">
        <is>
          <t>GAC AION S</t>
        </is>
      </c>
      <c r="L379" t="inlineStr">
        <is>
          <t>UBER</t>
        </is>
      </c>
      <c r="M379" s="3">
        <f>IF(H379="Efectivo",IFERROR((VALUE(RIGHT(I379,4))-VALUE(RIGHT(E379,4)))*12+(VALUE(LEFT(I379,2))-VALUE(LEFT(E379,2))),""),"")</f>
        <v/>
      </c>
    </row>
    <row r="380">
      <c r="A380" t="inlineStr">
        <is>
          <t>GALARZA VEGA HECTOR MIGUEL</t>
        </is>
      </c>
      <c r="B380" t="inlineStr">
        <is>
          <t>Hombre</t>
        </is>
      </c>
      <c r="C380" t="inlineStr">
        <is>
          <t>4330AF</t>
        </is>
      </c>
      <c r="D380" t="inlineStr">
        <is>
          <t>CDMX Y AREA METROPOLITANA</t>
        </is>
      </c>
      <c r="E380" t="inlineStr">
        <is>
          <t>02-2025</t>
        </is>
      </c>
      <c r="F380" t="inlineStr">
        <is>
          <t>04-2026</t>
        </is>
      </c>
      <c r="G380" t="n">
        <v>14</v>
      </c>
      <c r="H380" t="inlineStr">
        <is>
          <t>Efectivo</t>
        </is>
      </c>
      <c r="I380" t="inlineStr">
        <is>
          <t>04-2026</t>
        </is>
      </c>
      <c r="J380" t="inlineStr">
        <is>
          <t>E63BRH</t>
        </is>
      </c>
      <c r="K380" t="inlineStr">
        <is>
          <t>CHEVROLET AVEO</t>
        </is>
      </c>
      <c r="L380" t="inlineStr">
        <is>
          <t>UBER</t>
        </is>
      </c>
      <c r="M380" s="3">
        <f>IF(H380="Efectivo",IFERROR((VALUE(RIGHT(I380,4))-VALUE(RIGHT(E380,4)))*12+(VALUE(LEFT(I380,2))-VALUE(LEFT(E380,2))),""),"")</f>
        <v/>
      </c>
    </row>
    <row r="381">
      <c r="A381" t="inlineStr">
        <is>
          <t>GALEANA CHABELA RAYMUNDO</t>
        </is>
      </c>
      <c r="B381" t="inlineStr">
        <is>
          <t>Hombre</t>
        </is>
      </c>
      <c r="C381" t="inlineStr">
        <is>
          <t>3760AF</t>
        </is>
      </c>
      <c r="D381" t="inlineStr">
        <is>
          <t>BAJA CALIFORNIA</t>
        </is>
      </c>
      <c r="E381" t="inlineStr">
        <is>
          <t>09-2024</t>
        </is>
      </c>
      <c r="F381" t="inlineStr">
        <is>
          <t>10-2025</t>
        </is>
      </c>
      <c r="G381" t="n">
        <v>13</v>
      </c>
      <c r="H381" t="inlineStr">
        <is>
          <t>Efectivo</t>
        </is>
      </c>
      <c r="I381" t="inlineStr">
        <is>
          <t>10-2025</t>
        </is>
      </c>
      <c r="J381" t="inlineStr">
        <is>
          <t>BSG237A</t>
        </is>
      </c>
      <c r="K381" t="inlineStr">
        <is>
          <t>CHEVROLET AVEO</t>
        </is>
      </c>
      <c r="L381" t="inlineStr">
        <is>
          <t>UBER</t>
        </is>
      </c>
      <c r="M381" s="3">
        <f>IF(H381="Efectivo",IFERROR((VALUE(RIGHT(I381,4))-VALUE(RIGHT(E381,4)))*12+(VALUE(LEFT(I381,2))-VALUE(LEFT(E381,2))),""),"")</f>
        <v/>
      </c>
    </row>
    <row r="382">
      <c r="A382" t="inlineStr">
        <is>
          <t>GALEANA FLORES PEDRO</t>
        </is>
      </c>
      <c r="B382" t="inlineStr">
        <is>
          <t>Hombre</t>
        </is>
      </c>
      <c r="C382" t="inlineStr">
        <is>
          <t>5522AF</t>
        </is>
      </c>
      <c r="D382" t="inlineStr">
        <is>
          <t>BAJA CALIFORNIA</t>
        </is>
      </c>
      <c r="E382" t="inlineStr">
        <is>
          <t>08-2025</t>
        </is>
      </c>
      <c r="F382" t="inlineStr">
        <is>
          <t>03-2026</t>
        </is>
      </c>
      <c r="G382" t="n">
        <v>7</v>
      </c>
      <c r="H382" t="inlineStr">
        <is>
          <t>Efectivo</t>
        </is>
      </c>
      <c r="I382" t="inlineStr">
        <is>
          <t>03-2026</t>
        </is>
      </c>
      <c r="J382" t="inlineStr">
        <is>
          <t>BZA445A</t>
        </is>
      </c>
      <c r="K382" t="inlineStr">
        <is>
          <t>CHEVROLET AVEO</t>
        </is>
      </c>
      <c r="L382" t="inlineStr">
        <is>
          <t>UBER</t>
        </is>
      </c>
      <c r="M382" s="3">
        <f>IF(H382="Efectivo",IFERROR((VALUE(RIGHT(I382,4))-VALUE(RIGHT(E382,4)))*12+(VALUE(LEFT(I382,2))-VALUE(LEFT(E382,2))),""),"")</f>
        <v/>
      </c>
    </row>
    <row r="383">
      <c r="A383" t="inlineStr">
        <is>
          <t>GALICIA INCLAN ERNESTO</t>
        </is>
      </c>
      <c r="B383" t="inlineStr">
        <is>
          <t>Hombre</t>
        </is>
      </c>
      <c r="C383" t="inlineStr">
        <is>
          <t>5759AF</t>
        </is>
      </c>
      <c r="D383" t="inlineStr">
        <is>
          <t>CDMX Y AREA METROPOLITANA</t>
        </is>
      </c>
      <c r="E383" t="inlineStr">
        <is>
          <t>09-2025</t>
        </is>
      </c>
      <c r="F383" t="inlineStr">
        <is>
          <t>11-2025</t>
        </is>
      </c>
      <c r="G383" t="n">
        <v>2</v>
      </c>
      <c r="H383" t="inlineStr">
        <is>
          <t>Efectivo</t>
        </is>
      </c>
      <c r="I383" t="inlineStr">
        <is>
          <t>01-2026</t>
        </is>
      </c>
      <c r="J383" t="inlineStr">
        <is>
          <t>10K112</t>
        </is>
      </c>
      <c r="K383" t="inlineStr">
        <is>
          <t>GAC AION S</t>
        </is>
      </c>
      <c r="L383" t="inlineStr">
        <is>
          <t>UBER</t>
        </is>
      </c>
      <c r="M383" s="3">
        <f>IF(H383="Efectivo",IFERROR((VALUE(RIGHT(I383,4))-VALUE(RIGHT(E383,4)))*12+(VALUE(LEFT(I383,2))-VALUE(LEFT(E383,2))),""),"")</f>
        <v/>
      </c>
    </row>
    <row r="384">
      <c r="A384" t="inlineStr">
        <is>
          <t>GALICIA MENDOZA JESUS JULIAN</t>
        </is>
      </c>
      <c r="B384" t="inlineStr">
        <is>
          <t>Hombre</t>
        </is>
      </c>
      <c r="C384" t="inlineStr">
        <is>
          <t>5668AF</t>
        </is>
      </c>
      <c r="D384" t="inlineStr">
        <is>
          <t>CDMX Y AREA METROPOLITANA</t>
        </is>
      </c>
      <c r="E384" t="inlineStr">
        <is>
          <t>09-2025</t>
        </is>
      </c>
      <c r="F384" t="inlineStr">
        <is>
          <t>12-2025</t>
        </is>
      </c>
      <c r="G384" t="n">
        <v>3</v>
      </c>
      <c r="H384" t="inlineStr">
        <is>
          <t>Efectivo</t>
        </is>
      </c>
      <c r="I384" t="inlineStr">
        <is>
          <t>02-2026</t>
        </is>
      </c>
      <c r="J384" t="inlineStr">
        <is>
          <t>07K824</t>
        </is>
      </c>
      <c r="K384" t="inlineStr">
        <is>
          <t>GAC AION S</t>
        </is>
      </c>
      <c r="L384" t="inlineStr">
        <is>
          <t>UBER</t>
        </is>
      </c>
      <c r="M384" s="3">
        <f>IF(H384="Efectivo",IFERROR((VALUE(RIGHT(I384,4))-VALUE(RIGHT(E384,4)))*12+(VALUE(LEFT(I384,2))-VALUE(LEFT(E384,2))),""),"")</f>
        <v/>
      </c>
    </row>
    <row r="385">
      <c r="A385" t="inlineStr">
        <is>
          <t>GALINDO MEDINA GIOVANNY</t>
        </is>
      </c>
      <c r="B385" t="inlineStr">
        <is>
          <t>Hombre</t>
        </is>
      </c>
      <c r="C385" t="inlineStr">
        <is>
          <t>5127AF</t>
        </is>
      </c>
      <c r="D385" t="inlineStr">
        <is>
          <t>CDMX Y AREA METROPOLITANA</t>
        </is>
      </c>
      <c r="E385" t="inlineStr">
        <is>
          <t>06-2025</t>
        </is>
      </c>
      <c r="F385" t="inlineStr">
        <is>
          <t>09-2025</t>
        </is>
      </c>
      <c r="G385" t="n">
        <v>2</v>
      </c>
      <c r="H385" t="inlineStr">
        <is>
          <t>Efectivo</t>
        </is>
      </c>
      <c r="I385" t="inlineStr">
        <is>
          <t>09-2025</t>
        </is>
      </c>
      <c r="J385" t="inlineStr">
        <is>
          <t>47G956</t>
        </is>
      </c>
      <c r="K385" t="inlineStr">
        <is>
          <t>BYD MINIDOLPHIN</t>
        </is>
      </c>
      <c r="L385" t="inlineStr">
        <is>
          <t>UBER</t>
        </is>
      </c>
      <c r="M385" s="3">
        <f>IF(H385="Efectivo",IFERROR((VALUE(RIGHT(I385,4))-VALUE(RIGHT(E385,4)))*12+(VALUE(LEFT(I385,2))-VALUE(LEFT(E385,2))),""),"")</f>
        <v/>
      </c>
    </row>
    <row r="386">
      <c r="A386" t="inlineStr">
        <is>
          <t>GALINDO RODRIGUEZ OMAR</t>
        </is>
      </c>
      <c r="B386" t="inlineStr">
        <is>
          <t>Hombre</t>
        </is>
      </c>
      <c r="C386" t="inlineStr">
        <is>
          <t>2735AF</t>
        </is>
      </c>
      <c r="D386" t="inlineStr">
        <is>
          <t>CDMX Y AREA METROPOLITANA</t>
        </is>
      </c>
      <c r="E386" t="inlineStr">
        <is>
          <t>09-2023</t>
        </is>
      </c>
      <c r="F386" t="inlineStr">
        <is>
          <t>06-2025</t>
        </is>
      </c>
      <c r="G386" t="n">
        <v>21</v>
      </c>
      <c r="H386" t="inlineStr">
        <is>
          <t>Efectivo</t>
        </is>
      </c>
      <c r="I386" t="inlineStr">
        <is>
          <t>07-2025</t>
        </is>
      </c>
      <c r="J386" t="inlineStr">
        <is>
          <t>T66BMD</t>
        </is>
      </c>
      <c r="K386" t="inlineStr">
        <is>
          <t>CHEVROLET AVEO</t>
        </is>
      </c>
      <c r="L386" t="inlineStr">
        <is>
          <t>UBER</t>
        </is>
      </c>
      <c r="M386" s="3">
        <f>IF(H386="Efectivo",IFERROR((VALUE(RIGHT(I386,4))-VALUE(RIGHT(E386,4)))*12+(VALUE(LEFT(I386,2))-VALUE(LEFT(E386,2))),""),"")</f>
        <v/>
      </c>
    </row>
    <row r="387">
      <c r="A387" t="inlineStr">
        <is>
          <t>GALLEGOS GONZALEZ MICHELLE</t>
        </is>
      </c>
      <c r="B387" t="inlineStr">
        <is>
          <t>Hombre</t>
        </is>
      </c>
      <c r="C387" t="inlineStr">
        <is>
          <t>4668AF</t>
        </is>
      </c>
      <c r="D387" t="inlineStr">
        <is>
          <t>CDMX Y AREA METROPOLITANA</t>
        </is>
      </c>
      <c r="E387" t="inlineStr">
        <is>
          <t>04-2025</t>
        </is>
      </c>
      <c r="F387" t="inlineStr">
        <is>
          <t>06-2025</t>
        </is>
      </c>
      <c r="G387" t="n">
        <v>2</v>
      </c>
      <c r="H387" t="inlineStr">
        <is>
          <t>Efectivo</t>
        </is>
      </c>
      <c r="I387" t="inlineStr">
        <is>
          <t>06-2025</t>
        </is>
      </c>
      <c r="J387" t="inlineStr">
        <is>
          <t>47G498</t>
        </is>
      </c>
      <c r="K387" t="inlineStr">
        <is>
          <t>BYD MINIDOLPHIN</t>
        </is>
      </c>
      <c r="L387" t="inlineStr">
        <is>
          <t>DIDI</t>
        </is>
      </c>
      <c r="M387" s="3">
        <f>IF(H387="Efectivo",IFERROR((VALUE(RIGHT(I387,4))-VALUE(RIGHT(E387,4)))*12+(VALUE(LEFT(I387,2))-VALUE(LEFT(E387,2))),""),"")</f>
        <v/>
      </c>
    </row>
    <row r="388">
      <c r="A388" t="inlineStr">
        <is>
          <t>GALVAN ESPINOSA HORACIO</t>
        </is>
      </c>
      <c r="B388" t="inlineStr">
        <is>
          <t>Hombre</t>
        </is>
      </c>
      <c r="C388" t="inlineStr">
        <is>
          <t>4654AF</t>
        </is>
      </c>
      <c r="D388" t="inlineStr">
        <is>
          <t>CDMX Y AREA METROPOLITANA</t>
        </is>
      </c>
      <c r="E388" t="inlineStr">
        <is>
          <t>04-2025</t>
        </is>
      </c>
      <c r="F388" t="inlineStr">
        <is>
          <t>08-2025</t>
        </is>
      </c>
      <c r="G388" t="n">
        <v>4</v>
      </c>
      <c r="H388" t="inlineStr">
        <is>
          <t>Efectivo</t>
        </is>
      </c>
      <c r="I388" t="inlineStr">
        <is>
          <t>08-2025</t>
        </is>
      </c>
      <c r="J388" t="inlineStr">
        <is>
          <t>38G375</t>
        </is>
      </c>
      <c r="K388" t="inlineStr">
        <is>
          <t>GAC AION S</t>
        </is>
      </c>
      <c r="L388" t="inlineStr">
        <is>
          <t>UBER</t>
        </is>
      </c>
      <c r="M388" s="3">
        <f>IF(H388="Efectivo",IFERROR((VALUE(RIGHT(I388,4))-VALUE(RIGHT(E388,4)))*12+(VALUE(LEFT(I388,2))-VALUE(LEFT(E388,2))),""),"")</f>
        <v/>
      </c>
    </row>
    <row r="389">
      <c r="A389" t="inlineStr">
        <is>
          <t>GALVAN FIGUEROA JAVIER</t>
        </is>
      </c>
      <c r="B389" t="inlineStr">
        <is>
          <t>Hombre</t>
        </is>
      </c>
      <c r="C389" t="inlineStr">
        <is>
          <t>4773AF</t>
        </is>
      </c>
      <c r="D389" t="inlineStr">
        <is>
          <t>CDMX Y AREA METROPOLITANA</t>
        </is>
      </c>
      <c r="E389" t="inlineStr">
        <is>
          <t>05-2025</t>
        </is>
      </c>
      <c r="F389" t="inlineStr">
        <is>
          <t>04-2026</t>
        </is>
      </c>
      <c r="G389" t="n">
        <v>12</v>
      </c>
      <c r="H389" t="inlineStr">
        <is>
          <t>Efectivo</t>
        </is>
      </c>
      <c r="I389" t="inlineStr">
        <is>
          <t>04-2026</t>
        </is>
      </c>
      <c r="J389" t="inlineStr">
        <is>
          <t>D84BRR</t>
        </is>
      </c>
      <c r="K389" t="inlineStr">
        <is>
          <t>CHEVROLET AVEO</t>
        </is>
      </c>
      <c r="L389" t="inlineStr">
        <is>
          <t>UBER</t>
        </is>
      </c>
      <c r="M389" s="3">
        <f>IF(H389="Efectivo",IFERROR((VALUE(RIGHT(I389,4))-VALUE(RIGHT(E389,4)))*12+(VALUE(LEFT(I389,2))-VALUE(LEFT(E389,2))),""),"")</f>
        <v/>
      </c>
    </row>
    <row r="390">
      <c r="A390" t="inlineStr">
        <is>
          <t>GALVAN LEDESMA ALAN RODRIGO</t>
        </is>
      </c>
      <c r="B390" t="inlineStr">
        <is>
          <t>Hombre</t>
        </is>
      </c>
      <c r="C390" t="inlineStr">
        <is>
          <t>4682AF</t>
        </is>
      </c>
      <c r="D390" t="inlineStr">
        <is>
          <t>CDMX Y AREA METROPOLITANA</t>
        </is>
      </c>
      <c r="E390" t="inlineStr">
        <is>
          <t>04-2025</t>
        </is>
      </c>
      <c r="F390" t="inlineStr">
        <is>
          <t>05-2026</t>
        </is>
      </c>
      <c r="G390" t="n">
        <v>13</v>
      </c>
      <c r="H390" t="inlineStr">
        <is>
          <t>Pendiente</t>
        </is>
      </c>
      <c r="J390" t="inlineStr">
        <is>
          <t>Z65BRP</t>
        </is>
      </c>
      <c r="K390" t="inlineStr">
        <is>
          <t>TOYOTA AVANZA</t>
        </is>
      </c>
      <c r="L390" t="inlineStr">
        <is>
          <t>UBER</t>
        </is>
      </c>
      <c r="M390" s="3">
        <f>IF(H390="Efectivo",IFERROR((VALUE(RIGHT(I390,4))-VALUE(RIGHT(E390,4)))*12+(VALUE(LEFT(I390,2))-VALUE(LEFT(E390,2))),""),"")</f>
        <v/>
      </c>
    </row>
    <row r="391">
      <c r="A391" t="inlineStr">
        <is>
          <t>GALVAN QUINTERO DIANA ZITLALY</t>
        </is>
      </c>
      <c r="B391" t="inlineStr">
        <is>
          <t>Mujer</t>
        </is>
      </c>
      <c r="C391" t="inlineStr">
        <is>
          <t>5794AF</t>
        </is>
      </c>
      <c r="D391" t="inlineStr">
        <is>
          <t>NUEVO LEON</t>
        </is>
      </c>
      <c r="E391" t="inlineStr">
        <is>
          <t>09-2025</t>
        </is>
      </c>
      <c r="F391" t="inlineStr">
        <is>
          <t>02-2026</t>
        </is>
      </c>
      <c r="G391" t="n">
        <v>4</v>
      </c>
      <c r="H391" t="inlineStr">
        <is>
          <t>Efectivo</t>
        </is>
      </c>
      <c r="I391" t="inlineStr">
        <is>
          <t>03-2026</t>
        </is>
      </c>
      <c r="J391" t="inlineStr">
        <is>
          <t>RXW056C</t>
        </is>
      </c>
      <c r="K391" t="inlineStr">
        <is>
          <t>CHEVROLET AVEO</t>
        </is>
      </c>
      <c r="L391" t="inlineStr">
        <is>
          <t>UBER</t>
        </is>
      </c>
      <c r="M391" s="3">
        <f>IF(H391="Efectivo",IFERROR((VALUE(RIGHT(I391,4))-VALUE(RIGHT(E391,4)))*12+(VALUE(LEFT(I391,2))-VALUE(LEFT(E391,2))),""),"")</f>
        <v/>
      </c>
    </row>
    <row r="392">
      <c r="A392" t="inlineStr">
        <is>
          <t>GALVAN SALAZAR EDGAR AGMED</t>
        </is>
      </c>
      <c r="B392" t="inlineStr">
        <is>
          <t>Hombre</t>
        </is>
      </c>
      <c r="C392" t="inlineStr">
        <is>
          <t>4012AF</t>
        </is>
      </c>
      <c r="D392" t="inlineStr">
        <is>
          <t>NUEVO LEON</t>
        </is>
      </c>
      <c r="E392" t="inlineStr">
        <is>
          <t>11-2024</t>
        </is>
      </c>
      <c r="F392" t="inlineStr">
        <is>
          <t>05-2025</t>
        </is>
      </c>
      <c r="G392" t="n">
        <v>6</v>
      </c>
      <c r="H392" t="inlineStr">
        <is>
          <t>Efectivo</t>
        </is>
      </c>
      <c r="I392" t="inlineStr">
        <is>
          <t>05-2025</t>
        </is>
      </c>
      <c r="J392" t="inlineStr">
        <is>
          <t>TFP757B</t>
        </is>
      </c>
      <c r="K392" t="inlineStr">
        <is>
          <t>CHEVROLET AVEO</t>
        </is>
      </c>
      <c r="L392" t="inlineStr">
        <is>
          <t>UBER</t>
        </is>
      </c>
      <c r="M392" s="3">
        <f>IF(H392="Efectivo",IFERROR((VALUE(RIGHT(I392,4))-VALUE(RIGHT(E392,4)))*12+(VALUE(LEFT(I392,2))-VALUE(LEFT(E392,2))),""),"")</f>
        <v/>
      </c>
    </row>
    <row r="393">
      <c r="A393" t="inlineStr">
        <is>
          <t>GALVEZ RODAS MARCO ANTONIO</t>
        </is>
      </c>
      <c r="B393" t="inlineStr">
        <is>
          <t>Hombre</t>
        </is>
      </c>
      <c r="C393" t="inlineStr">
        <is>
          <t>6281AF</t>
        </is>
      </c>
      <c r="D393" t="inlineStr">
        <is>
          <t>BAJA CALIFORNIA</t>
        </is>
      </c>
      <c r="E393" t="inlineStr">
        <is>
          <t>11-2025</t>
        </is>
      </c>
      <c r="F393" t="inlineStr">
        <is>
          <t>03-2026</t>
        </is>
      </c>
      <c r="G393" t="n">
        <v>3</v>
      </c>
      <c r="H393" t="inlineStr">
        <is>
          <t>Efectivo</t>
        </is>
      </c>
      <c r="I393" t="inlineStr">
        <is>
          <t>03-2026</t>
        </is>
      </c>
      <c r="J393" t="inlineStr">
        <is>
          <t>CAT845A</t>
        </is>
      </c>
      <c r="K393" t="inlineStr">
        <is>
          <t>CHEVROLET AVEO</t>
        </is>
      </c>
      <c r="L393" t="inlineStr">
        <is>
          <t>DIDI</t>
        </is>
      </c>
      <c r="M393" s="3">
        <f>IF(H393="Efectivo",IFERROR((VALUE(RIGHT(I393,4))-VALUE(RIGHT(E393,4)))*12+(VALUE(LEFT(I393,2))-VALUE(LEFT(E393,2))),""),"")</f>
        <v/>
      </c>
    </row>
    <row r="394">
      <c r="A394" t="inlineStr">
        <is>
          <t>GALVEZ SOTO SERGIO ALBERTO</t>
        </is>
      </c>
      <c r="B394" t="inlineStr">
        <is>
          <t>Hombre</t>
        </is>
      </c>
      <c r="C394" t="inlineStr">
        <is>
          <t>4471AF</t>
        </is>
      </c>
      <c r="D394" t="inlineStr">
        <is>
          <t>CDMX Y AREA METROPOLITANA</t>
        </is>
      </c>
      <c r="E394" t="inlineStr">
        <is>
          <t>03-2025</t>
        </is>
      </c>
      <c r="F394" t="inlineStr">
        <is>
          <t>03-2026</t>
        </is>
      </c>
      <c r="G394" t="n">
        <v>12</v>
      </c>
      <c r="H394" t="inlineStr">
        <is>
          <t>Cancelado</t>
        </is>
      </c>
      <c r="J394" t="inlineStr">
        <is>
          <t>31G815</t>
        </is>
      </c>
      <c r="K394" t="inlineStr">
        <is>
          <t>GAC AION S</t>
        </is>
      </c>
      <c r="L394" t="inlineStr">
        <is>
          <t>UBER</t>
        </is>
      </c>
      <c r="M394" s="3">
        <f>IF(H394="Efectivo",IFERROR((VALUE(RIGHT(I394,4))-VALUE(RIGHT(E394,4)))*12+(VALUE(LEFT(I394,2))-VALUE(LEFT(E394,2))),""),"")</f>
        <v/>
      </c>
    </row>
    <row r="395">
      <c r="A395" t="inlineStr">
        <is>
          <t>GALVEZ SOTO SERGIO ALBERTO</t>
        </is>
      </c>
      <c r="B395" t="inlineStr">
        <is>
          <t>Hombre</t>
        </is>
      </c>
      <c r="C395" t="inlineStr">
        <is>
          <t>4471AF</t>
        </is>
      </c>
      <c r="D395" t="inlineStr">
        <is>
          <t>CDMX Y AREA METROPOLITANA</t>
        </is>
      </c>
      <c r="E395" t="inlineStr">
        <is>
          <t>08-2024</t>
        </is>
      </c>
      <c r="F395" t="inlineStr">
        <is>
          <t>05-2026</t>
        </is>
      </c>
      <c r="G395" t="n">
        <v>21</v>
      </c>
      <c r="H395" t="inlineStr">
        <is>
          <t>Cancelado</t>
        </is>
      </c>
      <c r="J395" t="inlineStr">
        <is>
          <t>31G815</t>
        </is>
      </c>
      <c r="K395" t="inlineStr">
        <is>
          <t>GAC AION S</t>
        </is>
      </c>
      <c r="L395" t="inlineStr">
        <is>
          <t>UBER</t>
        </is>
      </c>
      <c r="M395" s="3">
        <f>IF(H395="Efectivo",IFERROR((VALUE(RIGHT(I395,4))-VALUE(RIGHT(E395,4)))*12+(VALUE(LEFT(I395,2))-VALUE(LEFT(E395,2))),""),"")</f>
        <v/>
      </c>
    </row>
    <row r="396">
      <c r="A396" t="inlineStr">
        <is>
          <t>GAMIZ DIAZ ERICK</t>
        </is>
      </c>
      <c r="B396" t="inlineStr">
        <is>
          <t>Hombre</t>
        </is>
      </c>
      <c r="C396" t="inlineStr">
        <is>
          <t>5405AF</t>
        </is>
      </c>
      <c r="D396" t="inlineStr">
        <is>
          <t>JALISCO</t>
        </is>
      </c>
      <c r="E396" t="inlineStr">
        <is>
          <t>07-2025</t>
        </is>
      </c>
      <c r="F396" t="inlineStr">
        <is>
          <t>11-2025</t>
        </is>
      </c>
      <c r="G396" t="n">
        <v>4</v>
      </c>
      <c r="H396" t="inlineStr">
        <is>
          <t>Cancelado</t>
        </is>
      </c>
      <c r="J396" t="inlineStr">
        <is>
          <t>JAY041A</t>
        </is>
      </c>
      <c r="K396" t="inlineStr">
        <is>
          <t>CHEVROLET AVEO</t>
        </is>
      </c>
      <c r="L396" t="inlineStr">
        <is>
          <t>DIDI</t>
        </is>
      </c>
      <c r="M396" s="3">
        <f>IF(H396="Efectivo",IFERROR((VALUE(RIGHT(I396,4))-VALUE(RIGHT(E396,4)))*12+(VALUE(LEFT(I396,2))-VALUE(LEFT(E396,2))),""),"")</f>
        <v/>
      </c>
    </row>
    <row r="397">
      <c r="A397" t="inlineStr">
        <is>
          <t>GARAY SOBERANES JOSE ANTONIO</t>
        </is>
      </c>
      <c r="B397" t="inlineStr">
        <is>
          <t>Hombre</t>
        </is>
      </c>
      <c r="C397" t="inlineStr">
        <is>
          <t>4805AF</t>
        </is>
      </c>
      <c r="D397" t="inlineStr">
        <is>
          <t>CDMX Y AREA METROPOLITANA</t>
        </is>
      </c>
      <c r="E397" t="inlineStr">
        <is>
          <t>05-2025</t>
        </is>
      </c>
      <c r="F397" t="inlineStr">
        <is>
          <t>03-2026</t>
        </is>
      </c>
      <c r="G397" t="n">
        <v>10</v>
      </c>
      <c r="H397" t="inlineStr">
        <is>
          <t>Efectivo</t>
        </is>
      </c>
      <c r="I397" t="inlineStr">
        <is>
          <t>04-2026</t>
        </is>
      </c>
      <c r="J397" t="inlineStr">
        <is>
          <t>41G447</t>
        </is>
      </c>
      <c r="K397" t="inlineStr">
        <is>
          <t>BYD MINIDOLPHIN</t>
        </is>
      </c>
      <c r="L397" t="inlineStr">
        <is>
          <t>DIDI</t>
        </is>
      </c>
      <c r="M397" s="3">
        <f>IF(H397="Efectivo",IFERROR((VALUE(RIGHT(I397,4))-VALUE(RIGHT(E397,4)))*12+(VALUE(LEFT(I397,2))-VALUE(LEFT(E397,2))),""),"")</f>
        <v/>
      </c>
    </row>
    <row r="398">
      <c r="A398" t="inlineStr">
        <is>
          <t>GARCIA ACEVEDO GABRIEL</t>
        </is>
      </c>
      <c r="B398" t="inlineStr">
        <is>
          <t>Hombre</t>
        </is>
      </c>
      <c r="C398" t="inlineStr">
        <is>
          <t>2604AF</t>
        </is>
      </c>
      <c r="D398" t="inlineStr">
        <is>
          <t>CDMX Y AREA METROPOLITANA</t>
        </is>
      </c>
      <c r="E398" t="inlineStr">
        <is>
          <t>06-2023</t>
        </is>
      </c>
      <c r="F398" t="inlineStr">
        <is>
          <t>09-2025</t>
        </is>
      </c>
      <c r="G398" t="n">
        <v>27</v>
      </c>
      <c r="H398" t="inlineStr">
        <is>
          <t>Cancelado</t>
        </is>
      </c>
      <c r="J398" t="inlineStr">
        <is>
          <t>H58BMC</t>
        </is>
      </c>
      <c r="K398" t="inlineStr">
        <is>
          <t>ATTITUDE</t>
        </is>
      </c>
      <c r="L398" t="inlineStr">
        <is>
          <t>UBER</t>
        </is>
      </c>
      <c r="M398" s="3">
        <f>IF(H398="Efectivo",IFERROR((VALUE(RIGHT(I398,4))-VALUE(RIGHT(E398,4)))*12+(VALUE(LEFT(I398,2))-VALUE(LEFT(E398,2))),""),"")</f>
        <v/>
      </c>
    </row>
    <row r="399">
      <c r="A399" t="inlineStr">
        <is>
          <t>GARCIA ALVAREZ MARTIN</t>
        </is>
      </c>
      <c r="B399" t="inlineStr">
        <is>
          <t>Hombre</t>
        </is>
      </c>
      <c r="C399" t="inlineStr">
        <is>
          <t>7226AF</t>
        </is>
      </c>
      <c r="D399" t="inlineStr">
        <is>
          <t>NUEVO LEON</t>
        </is>
      </c>
      <c r="E399" t="inlineStr">
        <is>
          <t>03-2026</t>
        </is>
      </c>
      <c r="F399" t="inlineStr">
        <is>
          <t>04-2026</t>
        </is>
      </c>
      <c r="G399" t="n">
        <v>1</v>
      </c>
      <c r="H399" t="inlineStr">
        <is>
          <t>Efectivo</t>
        </is>
      </c>
      <c r="I399" t="inlineStr">
        <is>
          <t>04-2026</t>
        </is>
      </c>
      <c r="J399" t="inlineStr">
        <is>
          <t>SBG008C</t>
        </is>
      </c>
      <c r="K399" t="inlineStr">
        <is>
          <t>CHEVROLET AVEO</t>
        </is>
      </c>
      <c r="L399" t="inlineStr">
        <is>
          <t>DIDI</t>
        </is>
      </c>
      <c r="M399" s="3">
        <f>IF(H399="Efectivo",IFERROR((VALUE(RIGHT(I399,4))-VALUE(RIGHT(E399,4)))*12+(VALUE(LEFT(I399,2))-VALUE(LEFT(E399,2))),""),"")</f>
        <v/>
      </c>
    </row>
    <row r="400">
      <c r="A400" t="inlineStr">
        <is>
          <t>GARCIA ALVAREZ SERGIO JONATHAN</t>
        </is>
      </c>
      <c r="B400" t="inlineStr">
        <is>
          <t>Hombre</t>
        </is>
      </c>
      <c r="C400" t="inlineStr">
        <is>
          <t>3986AF</t>
        </is>
      </c>
      <c r="D400" t="inlineStr">
        <is>
          <t>CDMX Y AREA METROPOLITANA</t>
        </is>
      </c>
      <c r="E400" t="inlineStr">
        <is>
          <t>11-2024</t>
        </is>
      </c>
      <c r="F400" t="inlineStr">
        <is>
          <t>03-2025</t>
        </is>
      </c>
      <c r="G400" t="n">
        <v>4</v>
      </c>
      <c r="H400" t="inlineStr">
        <is>
          <t>Efectivo</t>
        </is>
      </c>
      <c r="I400" t="inlineStr">
        <is>
          <t>04-2025</t>
        </is>
      </c>
      <c r="J400" t="inlineStr">
        <is>
          <t>13G737</t>
        </is>
      </c>
      <c r="K400" t="inlineStr">
        <is>
          <t>BYD D1</t>
        </is>
      </c>
      <c r="L400" t="inlineStr">
        <is>
          <t>DIDI</t>
        </is>
      </c>
      <c r="M400" s="3">
        <f>IF(H400="Efectivo",IFERROR((VALUE(RIGHT(I400,4))-VALUE(RIGHT(E400,4)))*12+(VALUE(LEFT(I400,2))-VALUE(LEFT(E400,2))),""),"")</f>
        <v/>
      </c>
    </row>
    <row r="401">
      <c r="A401" t="inlineStr">
        <is>
          <t>GARCIA ARROYO CESAR DAVID</t>
        </is>
      </c>
      <c r="B401" t="inlineStr">
        <is>
          <t>Hombre</t>
        </is>
      </c>
      <c r="C401" t="inlineStr">
        <is>
          <t>4743AF</t>
        </is>
      </c>
      <c r="D401" t="inlineStr">
        <is>
          <t>CDMX Y AREA METROPOLITANA</t>
        </is>
      </c>
      <c r="E401" t="inlineStr">
        <is>
          <t>04-2025</t>
        </is>
      </c>
      <c r="F401" t="inlineStr">
        <is>
          <t>08-2025</t>
        </is>
      </c>
      <c r="G401" t="n">
        <v>4</v>
      </c>
      <c r="H401" t="inlineStr">
        <is>
          <t>Pendiente</t>
        </is>
      </c>
      <c r="J401" t="inlineStr">
        <is>
          <t>38G337</t>
        </is>
      </c>
      <c r="K401" t="inlineStr">
        <is>
          <t>GAC AION S</t>
        </is>
      </c>
      <c r="L401" t="inlineStr">
        <is>
          <t>UBER</t>
        </is>
      </c>
      <c r="M401" s="3">
        <f>IF(H401="Efectivo",IFERROR((VALUE(RIGHT(I401,4))-VALUE(RIGHT(E401,4)))*12+(VALUE(LEFT(I401,2))-VALUE(LEFT(E401,2))),""),"")</f>
        <v/>
      </c>
    </row>
    <row r="402">
      <c r="A402" t="inlineStr">
        <is>
          <t>GARCIA BLANCAS EVER ABISAY</t>
        </is>
      </c>
      <c r="B402" t="inlineStr">
        <is>
          <t>Hombre</t>
        </is>
      </c>
      <c r="C402" t="inlineStr">
        <is>
          <t>3476AF</t>
        </is>
      </c>
      <c r="D402" t="inlineStr">
        <is>
          <t>CDMX Y AREA METROPOLITANA</t>
        </is>
      </c>
      <c r="E402" t="inlineStr">
        <is>
          <t>07-2024</t>
        </is>
      </c>
      <c r="F402" t="inlineStr">
        <is>
          <t>05-2025</t>
        </is>
      </c>
      <c r="G402" t="n">
        <v>10</v>
      </c>
      <c r="H402" t="inlineStr">
        <is>
          <t>Efectivo</t>
        </is>
      </c>
      <c r="I402" t="inlineStr">
        <is>
          <t>05-2025</t>
        </is>
      </c>
      <c r="J402" t="inlineStr">
        <is>
          <t>H98BLM</t>
        </is>
      </c>
      <c r="K402" t="inlineStr">
        <is>
          <t>ATTITUDE</t>
        </is>
      </c>
      <c r="L402" t="inlineStr">
        <is>
          <t>UBER</t>
        </is>
      </c>
      <c r="M402" s="3">
        <f>IF(H402="Efectivo",IFERROR((VALUE(RIGHT(I402,4))-VALUE(RIGHT(E402,4)))*12+(VALUE(LEFT(I402,2))-VALUE(LEFT(E402,2))),""),"")</f>
        <v/>
      </c>
    </row>
    <row r="403">
      <c r="A403" t="inlineStr">
        <is>
          <t>GARCIA CALATA MIGUEL ANGEL</t>
        </is>
      </c>
      <c r="B403" t="inlineStr">
        <is>
          <t>Hombre</t>
        </is>
      </c>
      <c r="C403" t="inlineStr">
        <is>
          <t>3979AF</t>
        </is>
      </c>
      <c r="D403" t="inlineStr">
        <is>
          <t>JALISCO</t>
        </is>
      </c>
      <c r="E403" t="inlineStr">
        <is>
          <t>11-2024</t>
        </is>
      </c>
      <c r="F403" t="inlineStr">
        <is>
          <t>02-2025</t>
        </is>
      </c>
      <c r="G403" t="n">
        <v>3</v>
      </c>
      <c r="H403" t="inlineStr">
        <is>
          <t>Efectivo</t>
        </is>
      </c>
      <c r="I403" t="inlineStr">
        <is>
          <t>02-2025</t>
        </is>
      </c>
      <c r="J403" t="inlineStr">
        <is>
          <t>HXC207A</t>
        </is>
      </c>
      <c r="K403" t="inlineStr">
        <is>
          <t>CHEVROLET AVEO</t>
        </is>
      </c>
      <c r="L403" t="inlineStr">
        <is>
          <t>UBER</t>
        </is>
      </c>
      <c r="M403" s="3">
        <f>IF(H403="Efectivo",IFERROR((VALUE(RIGHT(I403,4))-VALUE(RIGHT(E403,4)))*12+(VALUE(LEFT(I403,2))-VALUE(LEFT(E403,2))),""),"")</f>
        <v/>
      </c>
    </row>
    <row r="404">
      <c r="A404" t="inlineStr">
        <is>
          <t>GARCIA CARRASCO OSCAR ALEXIS</t>
        </is>
      </c>
      <c r="B404" t="inlineStr">
        <is>
          <t>Hombre</t>
        </is>
      </c>
      <c r="C404" t="inlineStr">
        <is>
          <t>5240AF</t>
        </is>
      </c>
      <c r="D404" t="inlineStr">
        <is>
          <t>BAJA CALIFORNIA</t>
        </is>
      </c>
      <c r="E404" t="inlineStr">
        <is>
          <t>07-2025</t>
        </is>
      </c>
      <c r="F404" t="inlineStr">
        <is>
          <t>01-2026</t>
        </is>
      </c>
      <c r="G404" t="n">
        <v>6</v>
      </c>
      <c r="H404" t="inlineStr">
        <is>
          <t>Efectivo</t>
        </is>
      </c>
      <c r="I404" t="inlineStr">
        <is>
          <t>01-2026</t>
        </is>
      </c>
      <c r="J404" t="inlineStr">
        <is>
          <t>BYZ203A</t>
        </is>
      </c>
      <c r="K404" t="inlineStr">
        <is>
          <t>CHEVROLET AVEO</t>
        </is>
      </c>
      <c r="L404" t="inlineStr">
        <is>
          <t>UBER</t>
        </is>
      </c>
      <c r="M404" s="3">
        <f>IF(H404="Efectivo",IFERROR((VALUE(RIGHT(I404,4))-VALUE(RIGHT(E404,4)))*12+(VALUE(LEFT(I404,2))-VALUE(LEFT(E404,2))),""),"")</f>
        <v/>
      </c>
    </row>
    <row r="405">
      <c r="A405" t="inlineStr">
        <is>
          <t>GARCIA CASIANO JORGE ALBERTO</t>
        </is>
      </c>
      <c r="B405" t="inlineStr">
        <is>
          <t>Hombre</t>
        </is>
      </c>
      <c r="C405" t="inlineStr">
        <is>
          <t>5113AF</t>
        </is>
      </c>
      <c r="D405" t="inlineStr">
        <is>
          <t>CDMX Y AREA METROPOLITANA</t>
        </is>
      </c>
      <c r="E405" t="inlineStr">
        <is>
          <t>06-2025</t>
        </is>
      </c>
      <c r="F405" t="inlineStr">
        <is>
          <t>09-2025</t>
        </is>
      </c>
      <c r="G405" t="n">
        <v>3</v>
      </c>
      <c r="H405" t="inlineStr">
        <is>
          <t>Efectivo</t>
        </is>
      </c>
      <c r="I405" t="inlineStr">
        <is>
          <t>10-2025</t>
        </is>
      </c>
      <c r="J405" t="inlineStr">
        <is>
          <t>47G712</t>
        </is>
      </c>
      <c r="K405" t="inlineStr">
        <is>
          <t>BYD MINIDOLPHIN</t>
        </is>
      </c>
      <c r="L405" t="inlineStr">
        <is>
          <t>UBER</t>
        </is>
      </c>
      <c r="M405" s="3">
        <f>IF(H405="Efectivo",IFERROR((VALUE(RIGHT(I405,4))-VALUE(RIGHT(E405,4)))*12+(VALUE(LEFT(I405,2))-VALUE(LEFT(E405,2))),""),"")</f>
        <v/>
      </c>
    </row>
    <row r="406">
      <c r="A406" t="inlineStr">
        <is>
          <t>GARCIA CRUZ FRANCISCO JAVIER</t>
        </is>
      </c>
      <c r="B406" t="inlineStr">
        <is>
          <t>Hombre</t>
        </is>
      </c>
      <c r="C406" t="inlineStr">
        <is>
          <t>4699AF</t>
        </is>
      </c>
      <c r="D406" t="inlineStr">
        <is>
          <t>CDMX Y AREA METROPOLITANA</t>
        </is>
      </c>
      <c r="E406" t="inlineStr">
        <is>
          <t>04-2025</t>
        </is>
      </c>
      <c r="F406" t="inlineStr">
        <is>
          <t>12-2025</t>
        </is>
      </c>
      <c r="G406" t="n">
        <v>8</v>
      </c>
      <c r="H406" t="inlineStr">
        <is>
          <t>Efectivo</t>
        </is>
      </c>
      <c r="I406" t="inlineStr">
        <is>
          <t>12-2025</t>
        </is>
      </c>
      <c r="J406" t="inlineStr">
        <is>
          <t>41G540</t>
        </is>
      </c>
      <c r="K406" t="inlineStr">
        <is>
          <t>BYD MINIDOLPHIN</t>
        </is>
      </c>
      <c r="L406" t="inlineStr">
        <is>
          <t>DIDI</t>
        </is>
      </c>
      <c r="M406" s="3">
        <f>IF(H406="Efectivo",IFERROR((VALUE(RIGHT(I406,4))-VALUE(RIGHT(E406,4)))*12+(VALUE(LEFT(I406,2))-VALUE(LEFT(E406,2))),""),"")</f>
        <v/>
      </c>
    </row>
    <row r="407">
      <c r="A407" t="inlineStr">
        <is>
          <t>GARCIA CRUZ MARCO ANTONIO</t>
        </is>
      </c>
      <c r="B407" t="inlineStr">
        <is>
          <t>Hombre</t>
        </is>
      </c>
      <c r="C407" t="inlineStr">
        <is>
          <t>2846AF</t>
        </is>
      </c>
      <c r="D407" t="inlineStr">
        <is>
          <t>CDMX Y AREA METROPOLITANA</t>
        </is>
      </c>
      <c r="E407" t="inlineStr">
        <is>
          <t>11-2023</t>
        </is>
      </c>
      <c r="F407" t="inlineStr">
        <is>
          <t>06-2025</t>
        </is>
      </c>
      <c r="G407" t="n">
        <v>20</v>
      </c>
      <c r="H407" t="inlineStr">
        <is>
          <t>Cancelado</t>
        </is>
      </c>
      <c r="I407" t="inlineStr">
        <is>
          <t>07-2025</t>
        </is>
      </c>
      <c r="J407" t="inlineStr">
        <is>
          <t>26F426</t>
        </is>
      </c>
      <c r="K407" t="inlineStr">
        <is>
          <t>EJ7</t>
        </is>
      </c>
      <c r="L407" t="inlineStr">
        <is>
          <t>UBER</t>
        </is>
      </c>
      <c r="M407" s="3">
        <f>IF(H407="Efectivo",IFERROR((VALUE(RIGHT(I407,4))-VALUE(RIGHT(E407,4)))*12+(VALUE(LEFT(I407,2))-VALUE(LEFT(E407,2))),""),"")</f>
        <v/>
      </c>
    </row>
    <row r="408">
      <c r="A408" t="inlineStr">
        <is>
          <t>GARCIA CRUZ MARCO ANTONIO</t>
        </is>
      </c>
      <c r="B408" t="inlineStr">
        <is>
          <t>Hombre</t>
        </is>
      </c>
      <c r="C408" t="inlineStr">
        <is>
          <t>2846AF</t>
        </is>
      </c>
      <c r="D408" t="inlineStr">
        <is>
          <t>CDMX Y AREA METROPOLITANA</t>
        </is>
      </c>
      <c r="E408" t="inlineStr">
        <is>
          <t>11-2023</t>
        </is>
      </c>
      <c r="F408" t="inlineStr">
        <is>
          <t>04-2026</t>
        </is>
      </c>
      <c r="G408" t="n">
        <v>29</v>
      </c>
      <c r="H408" t="inlineStr">
        <is>
          <t>Pendiente</t>
        </is>
      </c>
      <c r="J408" t="inlineStr">
        <is>
          <t>26F426</t>
        </is>
      </c>
      <c r="K408" t="inlineStr">
        <is>
          <t>EJ7</t>
        </is>
      </c>
      <c r="L408" t="inlineStr">
        <is>
          <t>UBER</t>
        </is>
      </c>
      <c r="M408" s="3">
        <f>IF(H408="Efectivo",IFERROR((VALUE(RIGHT(I408,4))-VALUE(RIGHT(E408,4)))*12+(VALUE(LEFT(I408,2))-VALUE(LEFT(E408,2))),""),"")</f>
        <v/>
      </c>
    </row>
    <row r="409">
      <c r="A409" t="inlineStr">
        <is>
          <t>GARCIA DE JESUS JOSE EDUARDO</t>
        </is>
      </c>
      <c r="B409" t="inlineStr">
        <is>
          <t>Hombre</t>
        </is>
      </c>
      <c r="C409" t="inlineStr">
        <is>
          <t>4953AF</t>
        </is>
      </c>
      <c r="D409" t="inlineStr">
        <is>
          <t>CDMX Y AREA METROPOLITANA</t>
        </is>
      </c>
      <c r="E409" t="inlineStr">
        <is>
          <t>05-2025</t>
        </is>
      </c>
      <c r="F409" t="inlineStr">
        <is>
          <t>09-2025</t>
        </is>
      </c>
      <c r="G409" t="n">
        <v>3</v>
      </c>
      <c r="H409" t="inlineStr">
        <is>
          <t>Pendiente</t>
        </is>
      </c>
      <c r="J409" t="inlineStr">
        <is>
          <t>41G451</t>
        </is>
      </c>
      <c r="K409" t="inlineStr">
        <is>
          <t>BYD MINIDOLPHIN</t>
        </is>
      </c>
      <c r="L409" t="inlineStr">
        <is>
          <t>UBER</t>
        </is>
      </c>
      <c r="M409" s="3">
        <f>IF(H409="Efectivo",IFERROR((VALUE(RIGHT(I409,4))-VALUE(RIGHT(E409,4)))*12+(VALUE(LEFT(I409,2))-VALUE(LEFT(E409,2))),""),"")</f>
        <v/>
      </c>
    </row>
    <row r="410">
      <c r="A410" t="inlineStr">
        <is>
          <t>GARCIA DIAZ CARLOS DANIEL</t>
        </is>
      </c>
      <c r="B410" t="inlineStr">
        <is>
          <t>Hombre</t>
        </is>
      </c>
      <c r="C410" t="inlineStr">
        <is>
          <t>3881AF</t>
        </is>
      </c>
      <c r="D410" t="inlineStr">
        <is>
          <t>JALISCO</t>
        </is>
      </c>
      <c r="E410" t="inlineStr">
        <is>
          <t>10-2024</t>
        </is>
      </c>
      <c r="F410" t="inlineStr">
        <is>
          <t>07-2025</t>
        </is>
      </c>
      <c r="G410" t="n">
        <v>9</v>
      </c>
      <c r="H410" t="inlineStr">
        <is>
          <t>Cancelado</t>
        </is>
      </c>
      <c r="J410" t="inlineStr">
        <is>
          <t>JTK2202</t>
        </is>
      </c>
      <c r="K410" t="inlineStr">
        <is>
          <t>ONIX</t>
        </is>
      </c>
      <c r="L410" t="inlineStr">
        <is>
          <t>UBER</t>
        </is>
      </c>
      <c r="M410" s="3">
        <f>IF(H410="Efectivo",IFERROR((VALUE(RIGHT(I410,4))-VALUE(RIGHT(E410,4)))*12+(VALUE(LEFT(I410,2))-VALUE(LEFT(E410,2))),""),"")</f>
        <v/>
      </c>
    </row>
    <row r="411">
      <c r="A411" t="inlineStr">
        <is>
          <t>GARCIA DIAZ CARLOS DANIEL</t>
        </is>
      </c>
      <c r="B411" t="inlineStr">
        <is>
          <t>Hombre</t>
        </is>
      </c>
      <c r="C411" t="inlineStr">
        <is>
          <t>3881AF</t>
        </is>
      </c>
      <c r="D411" t="inlineStr">
        <is>
          <t>JALISCO</t>
        </is>
      </c>
      <c r="E411" t="inlineStr">
        <is>
          <t>10-2024</t>
        </is>
      </c>
      <c r="F411" t="inlineStr">
        <is>
          <t>12-2025</t>
        </is>
      </c>
      <c r="G411" t="n">
        <v>14</v>
      </c>
      <c r="H411" t="inlineStr">
        <is>
          <t>Efectivo</t>
        </is>
      </c>
      <c r="I411" t="inlineStr">
        <is>
          <t>01-2026</t>
        </is>
      </c>
      <c r="J411" t="inlineStr">
        <is>
          <t>JTK2202</t>
        </is>
      </c>
      <c r="K411" t="inlineStr">
        <is>
          <t>ONIX</t>
        </is>
      </c>
      <c r="L411" t="inlineStr">
        <is>
          <t>UBER</t>
        </is>
      </c>
      <c r="M411" s="3">
        <f>IF(H411="Efectivo",IFERROR((VALUE(RIGHT(I411,4))-VALUE(RIGHT(E411,4)))*12+(VALUE(LEFT(I411,2))-VALUE(LEFT(E411,2))),""),"")</f>
        <v/>
      </c>
    </row>
    <row r="412">
      <c r="A412" t="inlineStr">
        <is>
          <t>GARCIA DURAN LUIS JOHNNATAN</t>
        </is>
      </c>
      <c r="B412" t="inlineStr">
        <is>
          <t>Hombre</t>
        </is>
      </c>
      <c r="C412" t="inlineStr">
        <is>
          <t>5505AF</t>
        </is>
      </c>
      <c r="D412" t="inlineStr">
        <is>
          <t>CDMX Y AREA METROPOLITANA</t>
        </is>
      </c>
      <c r="E412" t="inlineStr">
        <is>
          <t>08-2025</t>
        </is>
      </c>
      <c r="F412" t="inlineStr">
        <is>
          <t>01-2026</t>
        </is>
      </c>
      <c r="G412" t="n">
        <v>5</v>
      </c>
      <c r="H412" t="inlineStr">
        <is>
          <t>Efectivo</t>
        </is>
      </c>
      <c r="I412" t="inlineStr">
        <is>
          <t>01-2026</t>
        </is>
      </c>
      <c r="J412" t="inlineStr">
        <is>
          <t>48G102</t>
        </is>
      </c>
      <c r="K412" t="inlineStr">
        <is>
          <t>BYD MINIDOLPHIN</t>
        </is>
      </c>
      <c r="L412" t="inlineStr">
        <is>
          <t>DIDI</t>
        </is>
      </c>
      <c r="M412" s="3">
        <f>IF(H412="Efectivo",IFERROR((VALUE(RIGHT(I412,4))-VALUE(RIGHT(E412,4)))*12+(VALUE(LEFT(I412,2))-VALUE(LEFT(E412,2))),""),"")</f>
        <v/>
      </c>
    </row>
    <row r="413">
      <c r="A413" t="inlineStr">
        <is>
          <t>GARCIA FERMOSO ALFREDO LEON</t>
        </is>
      </c>
      <c r="B413" t="inlineStr">
        <is>
          <t>Hombre</t>
        </is>
      </c>
      <c r="C413" t="inlineStr">
        <is>
          <t>3885AF</t>
        </is>
      </c>
      <c r="D413" t="inlineStr">
        <is>
          <t>CDMX Y AREA METROPOLITANA</t>
        </is>
      </c>
      <c r="E413" t="inlineStr">
        <is>
          <t>10-2024</t>
        </is>
      </c>
      <c r="F413" t="inlineStr">
        <is>
          <t>03-2026</t>
        </is>
      </c>
      <c r="G413" t="n">
        <v>16</v>
      </c>
      <c r="H413" t="inlineStr">
        <is>
          <t>Efectivo</t>
        </is>
      </c>
      <c r="I413" t="inlineStr">
        <is>
          <t>03-2026</t>
        </is>
      </c>
      <c r="J413" t="inlineStr">
        <is>
          <t>94F904</t>
        </is>
      </c>
      <c r="K413" t="inlineStr">
        <is>
          <t>SUZUKI ERTIGA</t>
        </is>
      </c>
      <c r="L413" t="inlineStr">
        <is>
          <t>UBER</t>
        </is>
      </c>
      <c r="M413" s="3">
        <f>IF(H413="Efectivo",IFERROR((VALUE(RIGHT(I413,4))-VALUE(RIGHT(E413,4)))*12+(VALUE(LEFT(I413,2))-VALUE(LEFT(E413,2))),""),"")</f>
        <v/>
      </c>
    </row>
    <row r="414">
      <c r="A414" t="inlineStr">
        <is>
          <t>GARCIA FLORES JORGE ARMANDO</t>
        </is>
      </c>
      <c r="B414" t="inlineStr">
        <is>
          <t>Hombre</t>
        </is>
      </c>
      <c r="C414" t="inlineStr">
        <is>
          <t>5115AF</t>
        </is>
      </c>
      <c r="D414" t="inlineStr">
        <is>
          <t>CDMX Y AREA METROPOLITANA</t>
        </is>
      </c>
      <c r="E414" t="inlineStr">
        <is>
          <t>06-2025</t>
        </is>
      </c>
      <c r="F414" t="inlineStr">
        <is>
          <t>04-2026</t>
        </is>
      </c>
      <c r="G414" t="n">
        <v>10</v>
      </c>
      <c r="H414" t="inlineStr">
        <is>
          <t>Pendiente</t>
        </is>
      </c>
      <c r="J414" t="inlineStr">
        <is>
          <t>84F049</t>
        </is>
      </c>
      <c r="K414" t="inlineStr">
        <is>
          <t>BYD D1</t>
        </is>
      </c>
      <c r="L414" t="inlineStr">
        <is>
          <t>UBER</t>
        </is>
      </c>
      <c r="M414" s="3">
        <f>IF(H414="Efectivo",IFERROR((VALUE(RIGHT(I414,4))-VALUE(RIGHT(E414,4)))*12+(VALUE(LEFT(I414,2))-VALUE(LEFT(E414,2))),""),"")</f>
        <v/>
      </c>
    </row>
    <row r="415">
      <c r="A415" t="inlineStr">
        <is>
          <t>GARCIA FONSECA GUADALUPE</t>
        </is>
      </c>
      <c r="B415" t="inlineStr">
        <is>
          <t>Mujer</t>
        </is>
      </c>
      <c r="C415" t="inlineStr">
        <is>
          <t>4298AF</t>
        </is>
      </c>
      <c r="D415" t="inlineStr">
        <is>
          <t>CDMX Y AREA METROPOLITANA</t>
        </is>
      </c>
      <c r="E415" t="inlineStr">
        <is>
          <t>02-2025</t>
        </is>
      </c>
      <c r="F415" t="inlineStr">
        <is>
          <t>06-2025</t>
        </is>
      </c>
      <c r="G415" t="n">
        <v>4</v>
      </c>
      <c r="H415" t="inlineStr">
        <is>
          <t>Efectivo</t>
        </is>
      </c>
      <c r="I415" t="inlineStr">
        <is>
          <t>06-2025</t>
        </is>
      </c>
      <c r="J415" t="inlineStr">
        <is>
          <t>31G988</t>
        </is>
      </c>
      <c r="K415" t="inlineStr">
        <is>
          <t>GAC AION S</t>
        </is>
      </c>
      <c r="L415" t="inlineStr">
        <is>
          <t>DIDI</t>
        </is>
      </c>
      <c r="M415" s="3">
        <f>IF(H415="Efectivo",IFERROR((VALUE(RIGHT(I415,4))-VALUE(RIGHT(E415,4)))*12+(VALUE(LEFT(I415,2))-VALUE(LEFT(E415,2))),""),"")</f>
        <v/>
      </c>
    </row>
    <row r="416">
      <c r="A416" t="inlineStr">
        <is>
          <t>GARCIA GONZALEZ CARLOS JAVIER</t>
        </is>
      </c>
      <c r="B416" t="inlineStr">
        <is>
          <t>Hombre</t>
        </is>
      </c>
      <c r="C416" t="inlineStr">
        <is>
          <t>4272AF</t>
        </is>
      </c>
      <c r="D416" t="inlineStr">
        <is>
          <t>CDMX Y AREA METROPOLITANA</t>
        </is>
      </c>
      <c r="E416" t="inlineStr">
        <is>
          <t>01-2025</t>
        </is>
      </c>
      <c r="F416" t="inlineStr">
        <is>
          <t>04-2026</t>
        </is>
      </c>
      <c r="G416" t="n">
        <v>15</v>
      </c>
      <c r="H416" t="inlineStr">
        <is>
          <t>Pendiente</t>
        </is>
      </c>
      <c r="J416" t="inlineStr">
        <is>
          <t>31G686</t>
        </is>
      </c>
      <c r="K416" t="inlineStr">
        <is>
          <t>GAC AION S</t>
        </is>
      </c>
      <c r="L416" t="inlineStr">
        <is>
          <t>DIDI</t>
        </is>
      </c>
      <c r="M416" s="3">
        <f>IF(H416="Efectivo",IFERROR((VALUE(RIGHT(I416,4))-VALUE(RIGHT(E416,4)))*12+(VALUE(LEFT(I416,2))-VALUE(LEFT(E416,2))),""),"")</f>
        <v/>
      </c>
    </row>
    <row r="417">
      <c r="A417" t="inlineStr">
        <is>
          <t>GARCIA GUZMAN JOSE CRISTHIAN</t>
        </is>
      </c>
      <c r="B417" t="inlineStr">
        <is>
          <t>Hombre</t>
        </is>
      </c>
      <c r="C417" t="inlineStr">
        <is>
          <t>4948AF</t>
        </is>
      </c>
      <c r="D417" t="inlineStr">
        <is>
          <t>CDMX Y AREA METROPOLITANA</t>
        </is>
      </c>
      <c r="E417" t="inlineStr">
        <is>
          <t>05-2025</t>
        </is>
      </c>
      <c r="F417" t="inlineStr">
        <is>
          <t>08-2025</t>
        </is>
      </c>
      <c r="G417" t="n">
        <v>2</v>
      </c>
      <c r="H417" t="inlineStr">
        <is>
          <t>Efectivo</t>
        </is>
      </c>
      <c r="I417" t="inlineStr">
        <is>
          <t>08-2025</t>
        </is>
      </c>
      <c r="J417" t="inlineStr">
        <is>
          <t>41G658</t>
        </is>
      </c>
      <c r="K417" t="inlineStr">
        <is>
          <t>BYD MINIDOLPHIN</t>
        </is>
      </c>
      <c r="L417" t="inlineStr">
        <is>
          <t>DIDI</t>
        </is>
      </c>
      <c r="M417" s="3">
        <f>IF(H417="Efectivo",IFERROR((VALUE(RIGHT(I417,4))-VALUE(RIGHT(E417,4)))*12+(VALUE(LEFT(I417,2))-VALUE(LEFT(E417,2))),""),"")</f>
        <v/>
      </c>
    </row>
    <row r="418">
      <c r="A418" t="inlineStr">
        <is>
          <t>GARCIA HERNANDEZ ORLANDO ALFREDO</t>
        </is>
      </c>
      <c r="B418" t="inlineStr">
        <is>
          <t>Hombre</t>
        </is>
      </c>
      <c r="C418" t="inlineStr">
        <is>
          <t>5651AF</t>
        </is>
      </c>
      <c r="D418" t="inlineStr">
        <is>
          <t>CDMX Y AREA METROPOLITANA</t>
        </is>
      </c>
      <c r="E418" t="inlineStr">
        <is>
          <t>09-2025</t>
        </is>
      </c>
      <c r="F418" t="inlineStr">
        <is>
          <t>12-2025</t>
        </is>
      </c>
      <c r="G418" t="n">
        <v>3</v>
      </c>
      <c r="H418" t="inlineStr">
        <is>
          <t>Efectivo</t>
        </is>
      </c>
      <c r="I418" t="inlineStr">
        <is>
          <t>02-2026</t>
        </is>
      </c>
      <c r="J418" t="inlineStr">
        <is>
          <t>09K340</t>
        </is>
      </c>
      <c r="K418" t="inlineStr">
        <is>
          <t>GAC AION S</t>
        </is>
      </c>
      <c r="L418" t="inlineStr">
        <is>
          <t>DIDI</t>
        </is>
      </c>
      <c r="M418" s="3">
        <f>IF(H418="Efectivo",IFERROR((VALUE(RIGHT(I418,4))-VALUE(RIGHT(E418,4)))*12+(VALUE(LEFT(I418,2))-VALUE(LEFT(E418,2))),""),"")</f>
        <v/>
      </c>
    </row>
    <row r="419">
      <c r="A419" t="inlineStr">
        <is>
          <t>GARCIA LOPEZ JOSE ANGEL</t>
        </is>
      </c>
      <c r="B419" t="inlineStr">
        <is>
          <t>Hombre</t>
        </is>
      </c>
      <c r="C419" t="inlineStr">
        <is>
          <t>5266AF</t>
        </is>
      </c>
      <c r="D419" t="inlineStr">
        <is>
          <t>CDMX Y AREA METROPOLITANA</t>
        </is>
      </c>
      <c r="E419" t="inlineStr">
        <is>
          <t>07-2025</t>
        </is>
      </c>
      <c r="F419" t="inlineStr">
        <is>
          <t>01-2026</t>
        </is>
      </c>
      <c r="G419" t="n">
        <v>6</v>
      </c>
      <c r="H419" t="inlineStr">
        <is>
          <t>Efectivo</t>
        </is>
      </c>
      <c r="I419" t="inlineStr">
        <is>
          <t>01-2026</t>
        </is>
      </c>
      <c r="J419" t="inlineStr">
        <is>
          <t>50G505</t>
        </is>
      </c>
      <c r="K419" t="inlineStr">
        <is>
          <t>GAC AION S</t>
        </is>
      </c>
      <c r="L419" t="inlineStr">
        <is>
          <t>UBER</t>
        </is>
      </c>
      <c r="M419" s="3">
        <f>IF(H419="Efectivo",IFERROR((VALUE(RIGHT(I419,4))-VALUE(RIGHT(E419,4)))*12+(VALUE(LEFT(I419,2))-VALUE(LEFT(E419,2))),""),"")</f>
        <v/>
      </c>
    </row>
    <row r="420">
      <c r="A420" t="inlineStr">
        <is>
          <t>GARCIA MONROY OSCAR</t>
        </is>
      </c>
      <c r="B420" t="inlineStr">
        <is>
          <t>Hombre</t>
        </is>
      </c>
      <c r="C420" t="inlineStr">
        <is>
          <t>3327AF</t>
        </is>
      </c>
      <c r="D420" t="inlineStr">
        <is>
          <t>CDMX Y AREA METROPOLITANA</t>
        </is>
      </c>
      <c r="E420" t="inlineStr">
        <is>
          <t>05-2024</t>
        </is>
      </c>
      <c r="F420" t="inlineStr">
        <is>
          <t>07-2025</t>
        </is>
      </c>
      <c r="G420" t="n">
        <v>14</v>
      </c>
      <c r="H420" t="inlineStr">
        <is>
          <t>Pendiente</t>
        </is>
      </c>
      <c r="J420" t="inlineStr">
        <is>
          <t>84F004</t>
        </is>
      </c>
      <c r="K420" t="inlineStr">
        <is>
          <t>BYD D1</t>
        </is>
      </c>
      <c r="L420" t="inlineStr">
        <is>
          <t>UBER</t>
        </is>
      </c>
      <c r="M420" s="3">
        <f>IF(H420="Efectivo",IFERROR((VALUE(RIGHT(I420,4))-VALUE(RIGHT(E420,4)))*12+(VALUE(LEFT(I420,2))-VALUE(LEFT(E420,2))),""),"")</f>
        <v/>
      </c>
    </row>
    <row r="421">
      <c r="A421" t="inlineStr">
        <is>
          <t>GARCIA MONROY ROMULO</t>
        </is>
      </c>
      <c r="B421" t="inlineStr">
        <is>
          <t>Hombre</t>
        </is>
      </c>
      <c r="C421" t="inlineStr">
        <is>
          <t>4216AF</t>
        </is>
      </c>
      <c r="D421" t="inlineStr">
        <is>
          <t>CDMX Y AREA METROPOLITANA</t>
        </is>
      </c>
      <c r="E421" t="inlineStr">
        <is>
          <t>01-2025</t>
        </is>
      </c>
      <c r="F421" t="inlineStr">
        <is>
          <t>03-2025</t>
        </is>
      </c>
      <c r="G421" t="n">
        <v>2</v>
      </c>
      <c r="H421" t="inlineStr">
        <is>
          <t>Efectivo</t>
        </is>
      </c>
      <c r="I421" t="inlineStr">
        <is>
          <t>03-2025</t>
        </is>
      </c>
      <c r="J421" t="inlineStr">
        <is>
          <t>20G834</t>
        </is>
      </c>
      <c r="K421" t="inlineStr">
        <is>
          <t>GAC AION S</t>
        </is>
      </c>
      <c r="L421" t="inlineStr">
        <is>
          <t>UBER</t>
        </is>
      </c>
      <c r="M421" s="3">
        <f>IF(H421="Efectivo",IFERROR((VALUE(RIGHT(I421,4))-VALUE(RIGHT(E421,4)))*12+(VALUE(LEFT(I421,2))-VALUE(LEFT(E421,2))),""),"")</f>
        <v/>
      </c>
    </row>
    <row r="422">
      <c r="A422" t="inlineStr">
        <is>
          <t>GARCIA MORALES IVAN</t>
        </is>
      </c>
      <c r="B422" t="inlineStr">
        <is>
          <t>Hombre</t>
        </is>
      </c>
      <c r="C422" t="inlineStr">
        <is>
          <t>4052AF</t>
        </is>
      </c>
      <c r="D422" t="inlineStr">
        <is>
          <t>CDMX Y AREA METROPOLITANA</t>
        </is>
      </c>
      <c r="E422" t="inlineStr">
        <is>
          <t>12-2024</t>
        </is>
      </c>
      <c r="F422" t="inlineStr">
        <is>
          <t>03-2025</t>
        </is>
      </c>
      <c r="G422" t="n">
        <v>3</v>
      </c>
      <c r="H422" t="inlineStr">
        <is>
          <t>Efectivo</t>
        </is>
      </c>
      <c r="I422" t="inlineStr">
        <is>
          <t>03-2025</t>
        </is>
      </c>
      <c r="J422" t="inlineStr">
        <is>
          <t>13G947</t>
        </is>
      </c>
      <c r="K422" t="inlineStr">
        <is>
          <t>BYD D1</t>
        </is>
      </c>
      <c r="L422" t="inlineStr">
        <is>
          <t>UBER</t>
        </is>
      </c>
      <c r="M422" s="3">
        <f>IF(H422="Efectivo",IFERROR((VALUE(RIGHT(I422,4))-VALUE(RIGHT(E422,4)))*12+(VALUE(LEFT(I422,2))-VALUE(LEFT(E422,2))),""),"")</f>
        <v/>
      </c>
    </row>
    <row r="423">
      <c r="A423" t="inlineStr">
        <is>
          <t>GARCIA MORENO CARLOS</t>
        </is>
      </c>
      <c r="B423" t="inlineStr">
        <is>
          <t>Hombre</t>
        </is>
      </c>
      <c r="C423" t="inlineStr">
        <is>
          <t>4292AF</t>
        </is>
      </c>
      <c r="D423" t="inlineStr">
        <is>
          <t>CDMX Y AREA METROPOLITANA</t>
        </is>
      </c>
      <c r="E423" t="inlineStr">
        <is>
          <t>02-2025</t>
        </is>
      </c>
      <c r="F423" t="inlineStr">
        <is>
          <t>09-2025</t>
        </is>
      </c>
      <c r="G423" t="n">
        <v>7</v>
      </c>
      <c r="H423" t="inlineStr">
        <is>
          <t>Efectivo</t>
        </is>
      </c>
      <c r="I423" t="inlineStr">
        <is>
          <t>09-2025</t>
        </is>
      </c>
      <c r="J423" t="inlineStr">
        <is>
          <t>31G957</t>
        </is>
      </c>
      <c r="K423" t="inlineStr">
        <is>
          <t>GAC AION S</t>
        </is>
      </c>
      <c r="L423" t="inlineStr">
        <is>
          <t>DIDI</t>
        </is>
      </c>
      <c r="M423" s="3">
        <f>IF(H423="Efectivo",IFERROR((VALUE(RIGHT(I423,4))-VALUE(RIGHT(E423,4)))*12+(VALUE(LEFT(I423,2))-VALUE(LEFT(E423,2))),""),"")</f>
        <v/>
      </c>
    </row>
    <row r="424">
      <c r="A424" t="inlineStr">
        <is>
          <t>GARCIA NAVARRO JOSE LUIS</t>
        </is>
      </c>
      <c r="B424" t="inlineStr">
        <is>
          <t>Hombre</t>
        </is>
      </c>
      <c r="C424" t="inlineStr">
        <is>
          <t>2543AF</t>
        </is>
      </c>
      <c r="D424" t="inlineStr">
        <is>
          <t>BAJA CALIFORNIA</t>
        </is>
      </c>
      <c r="E424" t="inlineStr">
        <is>
          <t>05-2023</t>
        </is>
      </c>
      <c r="F424" t="inlineStr">
        <is>
          <t>03-2025</t>
        </is>
      </c>
      <c r="G424" t="n">
        <v>23</v>
      </c>
      <c r="H424" t="inlineStr">
        <is>
          <t>Efectivo</t>
        </is>
      </c>
      <c r="I424" t="inlineStr">
        <is>
          <t>03-2025</t>
        </is>
      </c>
      <c r="J424" t="inlineStr">
        <is>
          <t>BGH367A</t>
        </is>
      </c>
      <c r="K424" t="inlineStr">
        <is>
          <t>CHEVROLET AVEO</t>
        </is>
      </c>
      <c r="L424" t="inlineStr">
        <is>
          <t>UBER</t>
        </is>
      </c>
      <c r="M424" s="3">
        <f>IF(H424="Efectivo",IFERROR((VALUE(RIGHT(I424,4))-VALUE(RIGHT(E424,4)))*12+(VALUE(LEFT(I424,2))-VALUE(LEFT(E424,2))),""),"")</f>
        <v/>
      </c>
    </row>
    <row r="425">
      <c r="A425" t="inlineStr">
        <is>
          <t>GARCIA ORTA JULIO CESAR</t>
        </is>
      </c>
      <c r="B425" t="inlineStr">
        <is>
          <t>Hombre</t>
        </is>
      </c>
      <c r="C425" t="inlineStr">
        <is>
          <t>6131AF</t>
        </is>
      </c>
      <c r="D425" t="inlineStr">
        <is>
          <t>CDMX Y AREA METROPOLITANA</t>
        </is>
      </c>
      <c r="E425" t="inlineStr">
        <is>
          <t>10-2025</t>
        </is>
      </c>
      <c r="F425" t="inlineStr">
        <is>
          <t>01-2026</t>
        </is>
      </c>
      <c r="G425" t="n">
        <v>3</v>
      </c>
      <c r="H425" t="inlineStr">
        <is>
          <t>Efectivo</t>
        </is>
      </c>
      <c r="I425" t="inlineStr">
        <is>
          <t>02-2026</t>
        </is>
      </c>
      <c r="J425" t="inlineStr">
        <is>
          <t>62G316</t>
        </is>
      </c>
      <c r="K425" t="inlineStr">
        <is>
          <t>BYD E5</t>
        </is>
      </c>
      <c r="L425" t="inlineStr">
        <is>
          <t>UBER</t>
        </is>
      </c>
      <c r="M425" s="3">
        <f>IF(H425="Efectivo",IFERROR((VALUE(RIGHT(I425,4))-VALUE(RIGHT(E425,4)))*12+(VALUE(LEFT(I425,2))-VALUE(LEFT(E425,2))),""),"")</f>
        <v/>
      </c>
    </row>
    <row r="426">
      <c r="A426" t="inlineStr">
        <is>
          <t>GARCIA ORTEGA MIGUEL ANGEL</t>
        </is>
      </c>
      <c r="B426" t="inlineStr">
        <is>
          <t>Hombre</t>
        </is>
      </c>
      <c r="C426" t="inlineStr">
        <is>
          <t>4737AF</t>
        </is>
      </c>
      <c r="D426" t="inlineStr">
        <is>
          <t>CDMX Y AREA METROPOLITANA</t>
        </is>
      </c>
      <c r="E426" t="inlineStr">
        <is>
          <t>04-2025</t>
        </is>
      </c>
      <c r="F426" t="inlineStr">
        <is>
          <t>09-2025</t>
        </is>
      </c>
      <c r="G426" t="n">
        <v>5</v>
      </c>
      <c r="H426" t="inlineStr">
        <is>
          <t>Cancelado</t>
        </is>
      </c>
      <c r="J426" t="inlineStr">
        <is>
          <t>42G899</t>
        </is>
      </c>
      <c r="K426" t="inlineStr">
        <is>
          <t>GAC AION S</t>
        </is>
      </c>
      <c r="L426" t="inlineStr">
        <is>
          <t>DIDI</t>
        </is>
      </c>
      <c r="M426" s="3">
        <f>IF(H426="Efectivo",IFERROR((VALUE(RIGHT(I426,4))-VALUE(RIGHT(E426,4)))*12+(VALUE(LEFT(I426,2))-VALUE(LEFT(E426,2))),""),"")</f>
        <v/>
      </c>
    </row>
    <row r="427">
      <c r="A427" t="inlineStr">
        <is>
          <t>GARCIA PALMA ERICK</t>
        </is>
      </c>
      <c r="B427" t="inlineStr">
        <is>
          <t>Hombre</t>
        </is>
      </c>
      <c r="C427" t="inlineStr">
        <is>
          <t>3821AF</t>
        </is>
      </c>
      <c r="D427" t="inlineStr">
        <is>
          <t>CDMX Y AREA METROPOLITANA</t>
        </is>
      </c>
      <c r="E427" t="inlineStr">
        <is>
          <t>10-2024</t>
        </is>
      </c>
      <c r="F427" t="inlineStr">
        <is>
          <t>04-2025</t>
        </is>
      </c>
      <c r="G427" t="n">
        <v>7</v>
      </c>
      <c r="H427" t="inlineStr">
        <is>
          <t>Efectivo</t>
        </is>
      </c>
      <c r="I427" t="inlineStr">
        <is>
          <t>05-2025</t>
        </is>
      </c>
      <c r="J427" t="inlineStr">
        <is>
          <t>08G192</t>
        </is>
      </c>
      <c r="K427" t="inlineStr">
        <is>
          <t>BYD D1</t>
        </is>
      </c>
      <c r="L427" t="inlineStr">
        <is>
          <t>DIDI</t>
        </is>
      </c>
      <c r="M427" s="3">
        <f>IF(H427="Efectivo",IFERROR((VALUE(RIGHT(I427,4))-VALUE(RIGHT(E427,4)))*12+(VALUE(LEFT(I427,2))-VALUE(LEFT(E427,2))),""),"")</f>
        <v/>
      </c>
    </row>
    <row r="428">
      <c r="A428" t="inlineStr">
        <is>
          <t>GARCIA RIVERA HECTOR</t>
        </is>
      </c>
      <c r="B428" t="inlineStr">
        <is>
          <t>Hombre</t>
        </is>
      </c>
      <c r="C428" t="inlineStr">
        <is>
          <t>4140AF</t>
        </is>
      </c>
      <c r="D428" t="inlineStr">
        <is>
          <t>CDMX Y AREA METROPOLITANA</t>
        </is>
      </c>
      <c r="E428" t="inlineStr">
        <is>
          <t>12-2024</t>
        </is>
      </c>
      <c r="F428" t="inlineStr">
        <is>
          <t>05-2025</t>
        </is>
      </c>
      <c r="G428" t="n">
        <v>5</v>
      </c>
      <c r="H428" t="inlineStr">
        <is>
          <t>Efectivo</t>
        </is>
      </c>
      <c r="I428" t="inlineStr">
        <is>
          <t>06-2025</t>
        </is>
      </c>
      <c r="J428" t="inlineStr">
        <is>
          <t>19G415</t>
        </is>
      </c>
      <c r="K428" t="inlineStr">
        <is>
          <t>BYD D1</t>
        </is>
      </c>
      <c r="L428" t="inlineStr">
        <is>
          <t>UBER</t>
        </is>
      </c>
      <c r="M428" s="3">
        <f>IF(H428="Efectivo",IFERROR((VALUE(RIGHT(I428,4))-VALUE(RIGHT(E428,4)))*12+(VALUE(LEFT(I428,2))-VALUE(LEFT(E428,2))),""),"")</f>
        <v/>
      </c>
    </row>
    <row r="429">
      <c r="A429" t="inlineStr">
        <is>
          <t>GARCIA RODRIGUEZ SPENCER</t>
        </is>
      </c>
      <c r="B429" t="inlineStr">
        <is>
          <t>Hombre</t>
        </is>
      </c>
      <c r="C429" t="inlineStr">
        <is>
          <t>4499AF</t>
        </is>
      </c>
      <c r="D429" t="inlineStr">
        <is>
          <t>NUEVO LEON</t>
        </is>
      </c>
      <c r="E429" t="inlineStr">
        <is>
          <t>03-2025</t>
        </is>
      </c>
      <c r="F429" t="inlineStr">
        <is>
          <t>08-2025</t>
        </is>
      </c>
      <c r="G429" t="n">
        <v>5</v>
      </c>
      <c r="H429" t="inlineStr">
        <is>
          <t>Efectivo</t>
        </is>
      </c>
      <c r="I429" t="inlineStr">
        <is>
          <t>09-2025</t>
        </is>
      </c>
      <c r="J429" t="inlineStr">
        <is>
          <t>RRG972C</t>
        </is>
      </c>
      <c r="K429" t="inlineStr">
        <is>
          <t>TOYOTA AVANZA</t>
        </is>
      </c>
      <c r="L429" t="inlineStr">
        <is>
          <t>UBER</t>
        </is>
      </c>
      <c r="M429" s="3">
        <f>IF(H429="Efectivo",IFERROR((VALUE(RIGHT(I429,4))-VALUE(RIGHT(E429,4)))*12+(VALUE(LEFT(I429,2))-VALUE(LEFT(E429,2))),""),"")</f>
        <v/>
      </c>
    </row>
    <row r="430">
      <c r="A430" t="inlineStr">
        <is>
          <t>GARCIA RODRIGUEZ VICTOR MANUEL</t>
        </is>
      </c>
      <c r="B430" t="inlineStr">
        <is>
          <t>Hombre</t>
        </is>
      </c>
      <c r="C430" t="inlineStr">
        <is>
          <t>5777AF</t>
        </is>
      </c>
      <c r="D430" t="inlineStr">
        <is>
          <t>CDMX Y AREA METROPOLITANA</t>
        </is>
      </c>
      <c r="E430" t="inlineStr">
        <is>
          <t>09-2025</t>
        </is>
      </c>
      <c r="F430" t="inlineStr">
        <is>
          <t>02-2026</t>
        </is>
      </c>
      <c r="G430" t="n">
        <v>5</v>
      </c>
      <c r="H430" t="inlineStr">
        <is>
          <t>Efectivo</t>
        </is>
      </c>
      <c r="I430" t="inlineStr">
        <is>
          <t>05-2026</t>
        </is>
      </c>
      <c r="J430" t="inlineStr">
        <is>
          <t>51G582</t>
        </is>
      </c>
      <c r="K430" t="inlineStr">
        <is>
          <t>GAC AION S</t>
        </is>
      </c>
      <c r="L430" t="inlineStr">
        <is>
          <t>UBER</t>
        </is>
      </c>
      <c r="M430" s="3">
        <f>IF(H430="Efectivo",IFERROR((VALUE(RIGHT(I430,4))-VALUE(RIGHT(E430,4)))*12+(VALUE(LEFT(I430,2))-VALUE(LEFT(E430,2))),""),"")</f>
        <v/>
      </c>
    </row>
    <row r="431">
      <c r="A431" t="inlineStr">
        <is>
          <t>GARCIA RUELAS HECTOR JULIAN</t>
        </is>
      </c>
      <c r="B431" t="inlineStr">
        <is>
          <t>Hombre</t>
        </is>
      </c>
      <c r="C431" t="inlineStr">
        <is>
          <t>5871AF</t>
        </is>
      </c>
      <c r="D431" t="inlineStr">
        <is>
          <t>BAJA CALIFORNIA</t>
        </is>
      </c>
      <c r="E431" t="inlineStr">
        <is>
          <t>10-2025</t>
        </is>
      </c>
      <c r="F431" t="inlineStr">
        <is>
          <t>12-2025</t>
        </is>
      </c>
      <c r="G431" t="n">
        <v>2</v>
      </c>
      <c r="H431" t="inlineStr">
        <is>
          <t>Pendiente</t>
        </is>
      </c>
      <c r="J431" t="inlineStr">
        <is>
          <t>CAD702A</t>
        </is>
      </c>
      <c r="K431" t="inlineStr">
        <is>
          <t>CHEVROLET AVEO</t>
        </is>
      </c>
      <c r="L431" t="inlineStr">
        <is>
          <t>UBER</t>
        </is>
      </c>
      <c r="M431" s="3">
        <f>IF(H431="Efectivo",IFERROR((VALUE(RIGHT(I431,4))-VALUE(RIGHT(E431,4)))*12+(VALUE(LEFT(I431,2))-VALUE(LEFT(E431,2))),""),"")</f>
        <v/>
      </c>
    </row>
    <row r="432">
      <c r="A432" t="inlineStr">
        <is>
          <t>GARCIA SALAZAR JUAN MANUEL</t>
        </is>
      </c>
      <c r="B432" t="inlineStr">
        <is>
          <t>Hombre</t>
        </is>
      </c>
      <c r="C432" t="inlineStr">
        <is>
          <t>6073AF</t>
        </is>
      </c>
      <c r="D432" t="inlineStr">
        <is>
          <t>CDMX Y AREA METROPOLITANA</t>
        </is>
      </c>
      <c r="E432" t="inlineStr">
        <is>
          <t>10-2025</t>
        </is>
      </c>
      <c r="F432" t="inlineStr">
        <is>
          <t>01-2026</t>
        </is>
      </c>
      <c r="G432" t="n">
        <v>3</v>
      </c>
      <c r="H432" t="inlineStr">
        <is>
          <t>Pendiente</t>
        </is>
      </c>
      <c r="J432" t="inlineStr">
        <is>
          <t>31G624</t>
        </is>
      </c>
      <c r="K432" t="inlineStr">
        <is>
          <t>GAC AION S</t>
        </is>
      </c>
      <c r="L432" t="inlineStr">
        <is>
          <t>UBER</t>
        </is>
      </c>
      <c r="M432" s="3">
        <f>IF(H432="Efectivo",IFERROR((VALUE(RIGHT(I432,4))-VALUE(RIGHT(E432,4)))*12+(VALUE(LEFT(I432,2))-VALUE(LEFT(E432,2))),""),"")</f>
        <v/>
      </c>
    </row>
    <row r="433">
      <c r="A433" t="inlineStr">
        <is>
          <t>GARCIA SALGADO ALAN JAIR</t>
        </is>
      </c>
      <c r="B433" t="inlineStr">
        <is>
          <t>Hombre</t>
        </is>
      </c>
      <c r="C433" t="inlineStr">
        <is>
          <t>6141AF</t>
        </is>
      </c>
      <c r="D433" t="inlineStr">
        <is>
          <t>CDMX Y AREA METROPOLITANA</t>
        </is>
      </c>
      <c r="E433" t="inlineStr">
        <is>
          <t>10-2025</t>
        </is>
      </c>
      <c r="F433" t="inlineStr">
        <is>
          <t>01-2026</t>
        </is>
      </c>
      <c r="G433" t="n">
        <v>3</v>
      </c>
      <c r="H433" t="inlineStr">
        <is>
          <t>Efectivo</t>
        </is>
      </c>
      <c r="I433" t="inlineStr">
        <is>
          <t>02-2026</t>
        </is>
      </c>
      <c r="J433" t="inlineStr">
        <is>
          <t>47G479</t>
        </is>
      </c>
      <c r="K433" t="inlineStr">
        <is>
          <t>BYD MINIDOLPHIN</t>
        </is>
      </c>
      <c r="L433" t="inlineStr">
        <is>
          <t>DIDI</t>
        </is>
      </c>
      <c r="M433" s="3">
        <f>IF(H433="Efectivo",IFERROR((VALUE(RIGHT(I433,4))-VALUE(RIGHT(E433,4)))*12+(VALUE(LEFT(I433,2))-VALUE(LEFT(E433,2))),""),"")</f>
        <v/>
      </c>
    </row>
    <row r="434">
      <c r="A434" t="inlineStr">
        <is>
          <t>GARCIA SANCHEZ ALAN MICHELLE</t>
        </is>
      </c>
      <c r="B434" t="inlineStr">
        <is>
          <t>Hombre</t>
        </is>
      </c>
      <c r="C434" t="inlineStr">
        <is>
          <t>5682AF</t>
        </is>
      </c>
      <c r="D434" t="inlineStr">
        <is>
          <t>CDMX Y AREA METROPOLITANA</t>
        </is>
      </c>
      <c r="E434" t="inlineStr">
        <is>
          <t>09-2025</t>
        </is>
      </c>
      <c r="F434" t="inlineStr">
        <is>
          <t>03-2026</t>
        </is>
      </c>
      <c r="G434" t="n">
        <v>6</v>
      </c>
      <c r="H434" t="inlineStr">
        <is>
          <t>Efectivo</t>
        </is>
      </c>
      <c r="I434" t="inlineStr">
        <is>
          <t>04-2026</t>
        </is>
      </c>
      <c r="J434" t="inlineStr">
        <is>
          <t>48G257</t>
        </is>
      </c>
      <c r="K434" t="inlineStr">
        <is>
          <t>BYD MINIDOLPHIN</t>
        </is>
      </c>
      <c r="L434" t="inlineStr">
        <is>
          <t>UBER</t>
        </is>
      </c>
      <c r="M434" s="3">
        <f>IF(H434="Efectivo",IFERROR((VALUE(RIGHT(I434,4))-VALUE(RIGHT(E434,4)))*12+(VALUE(LEFT(I434,2))-VALUE(LEFT(E434,2))),""),"")</f>
        <v/>
      </c>
    </row>
    <row r="435">
      <c r="A435" t="inlineStr">
        <is>
          <t>GARCIA SANDOVAL DANY MISAEL</t>
        </is>
      </c>
      <c r="B435" t="inlineStr">
        <is>
          <t>Hombre</t>
        </is>
      </c>
      <c r="C435" t="inlineStr">
        <is>
          <t>4250AF</t>
        </is>
      </c>
      <c r="D435" t="inlineStr">
        <is>
          <t>BAJA CALIFORNIA</t>
        </is>
      </c>
      <c r="E435" t="inlineStr">
        <is>
          <t>01-2025</t>
        </is>
      </c>
      <c r="F435" t="inlineStr">
        <is>
          <t>06-2025</t>
        </is>
      </c>
      <c r="G435" t="n">
        <v>5</v>
      </c>
      <c r="H435" t="inlineStr">
        <is>
          <t>Cancelado</t>
        </is>
      </c>
      <c r="J435" t="inlineStr">
        <is>
          <t>BUR871A</t>
        </is>
      </c>
      <c r="K435" t="inlineStr">
        <is>
          <t>CHEVROLET AVEO</t>
        </is>
      </c>
      <c r="L435" t="inlineStr">
        <is>
          <t>UBER</t>
        </is>
      </c>
      <c r="M435" s="3">
        <f>IF(H435="Efectivo",IFERROR((VALUE(RIGHT(I435,4))-VALUE(RIGHT(E435,4)))*12+(VALUE(LEFT(I435,2))-VALUE(LEFT(E435,2))),""),"")</f>
        <v/>
      </c>
    </row>
    <row r="436">
      <c r="A436" t="inlineStr">
        <is>
          <t>GARCIA TORRES MARIO YAIR</t>
        </is>
      </c>
      <c r="B436" t="inlineStr">
        <is>
          <t>Hombre</t>
        </is>
      </c>
      <c r="C436" t="inlineStr">
        <is>
          <t>4217AF</t>
        </is>
      </c>
      <c r="D436" t="inlineStr">
        <is>
          <t>CDMX Y AREA METROPOLITANA</t>
        </is>
      </c>
      <c r="E436" t="inlineStr">
        <is>
          <t>01-2025</t>
        </is>
      </c>
      <c r="F436" t="inlineStr">
        <is>
          <t>04-2025</t>
        </is>
      </c>
      <c r="G436" t="n">
        <v>3</v>
      </c>
      <c r="H436" t="inlineStr">
        <is>
          <t>Pendiente</t>
        </is>
      </c>
      <c r="J436" t="inlineStr">
        <is>
          <t>20G811</t>
        </is>
      </c>
      <c r="K436" t="inlineStr">
        <is>
          <t>GAC AION S</t>
        </is>
      </c>
      <c r="L436" t="inlineStr">
        <is>
          <t>UBER</t>
        </is>
      </c>
      <c r="M436" s="3">
        <f>IF(H436="Efectivo",IFERROR((VALUE(RIGHT(I436,4))-VALUE(RIGHT(E436,4)))*12+(VALUE(LEFT(I436,2))-VALUE(LEFT(E436,2))),""),"")</f>
        <v/>
      </c>
    </row>
    <row r="437">
      <c r="A437" t="inlineStr">
        <is>
          <t>GARCIA VAZQUEZ ALFREDO</t>
        </is>
      </c>
      <c r="B437" t="inlineStr">
        <is>
          <t>Hombre</t>
        </is>
      </c>
      <c r="C437" t="inlineStr">
        <is>
          <t>4185AF</t>
        </is>
      </c>
      <c r="D437" t="inlineStr">
        <is>
          <t>CDMX Y AREA METROPOLITANA</t>
        </is>
      </c>
      <c r="E437" t="inlineStr">
        <is>
          <t>01-2025</t>
        </is>
      </c>
      <c r="F437" t="inlineStr">
        <is>
          <t>08-2025</t>
        </is>
      </c>
      <c r="G437" t="n">
        <v>7</v>
      </c>
      <c r="H437" t="inlineStr">
        <is>
          <t>Efectivo</t>
        </is>
      </c>
      <c r="I437" t="inlineStr">
        <is>
          <t>08-2025</t>
        </is>
      </c>
      <c r="J437" t="inlineStr">
        <is>
          <t>19G533</t>
        </is>
      </c>
      <c r="K437" t="inlineStr">
        <is>
          <t>BYD D1</t>
        </is>
      </c>
      <c r="L437" t="inlineStr">
        <is>
          <t>DIDI</t>
        </is>
      </c>
      <c r="M437" s="3">
        <f>IF(H437="Efectivo",IFERROR((VALUE(RIGHT(I437,4))-VALUE(RIGHT(E437,4)))*12+(VALUE(LEFT(I437,2))-VALUE(LEFT(E437,2))),""),"")</f>
        <v/>
      </c>
    </row>
    <row r="438">
      <c r="A438" t="inlineStr">
        <is>
          <t>GARCIA VEGA CELEDONIO</t>
        </is>
      </c>
      <c r="B438" t="inlineStr">
        <is>
          <t>Hombre</t>
        </is>
      </c>
      <c r="C438" t="inlineStr">
        <is>
          <t>4467AF</t>
        </is>
      </c>
      <c r="D438" t="inlineStr">
        <is>
          <t>CDMX Y AREA METROPOLITANA</t>
        </is>
      </c>
      <c r="E438" t="inlineStr">
        <is>
          <t>03-2025</t>
        </is>
      </c>
      <c r="F438" t="inlineStr">
        <is>
          <t>05-2026</t>
        </is>
      </c>
      <c r="G438" t="n">
        <v>14</v>
      </c>
      <c r="H438" t="inlineStr">
        <is>
          <t>Efectivo</t>
        </is>
      </c>
      <c r="I438" t="inlineStr">
        <is>
          <t>05-2026</t>
        </is>
      </c>
      <c r="J438" t="inlineStr">
        <is>
          <t>27G507</t>
        </is>
      </c>
      <c r="K438" t="inlineStr">
        <is>
          <t>BYD MINIDOLPHIN</t>
        </is>
      </c>
      <c r="L438" t="inlineStr">
        <is>
          <t>UBER</t>
        </is>
      </c>
      <c r="M438" s="3">
        <f>IF(H438="Efectivo",IFERROR((VALUE(RIGHT(I438,4))-VALUE(RIGHT(E438,4)))*12+(VALUE(LEFT(I438,2))-VALUE(LEFT(E438,2))),""),"")</f>
        <v/>
      </c>
    </row>
    <row r="439">
      <c r="A439" t="inlineStr">
        <is>
          <t>GARDUÑO LERIN MARCO VINICIO</t>
        </is>
      </c>
      <c r="B439" t="inlineStr">
        <is>
          <t>Hombre</t>
        </is>
      </c>
      <c r="C439" t="inlineStr">
        <is>
          <t>4827AF</t>
        </is>
      </c>
      <c r="D439" t="inlineStr">
        <is>
          <t>CDMX Y AREA METROPOLITANA</t>
        </is>
      </c>
      <c r="E439" t="inlineStr">
        <is>
          <t>05-2025</t>
        </is>
      </c>
      <c r="F439" t="inlineStr">
        <is>
          <t>04-2026</t>
        </is>
      </c>
      <c r="G439" t="n">
        <v>11</v>
      </c>
      <c r="H439" t="inlineStr">
        <is>
          <t>Efectivo</t>
        </is>
      </c>
      <c r="I439" t="inlineStr">
        <is>
          <t>04-2026</t>
        </is>
      </c>
      <c r="J439" t="inlineStr">
        <is>
          <t>14G281</t>
        </is>
      </c>
      <c r="K439" t="inlineStr">
        <is>
          <t>BYD D1</t>
        </is>
      </c>
      <c r="L439" t="inlineStr">
        <is>
          <t>UBER</t>
        </is>
      </c>
      <c r="M439" s="3">
        <f>IF(H439="Efectivo",IFERROR((VALUE(RIGHT(I439,4))-VALUE(RIGHT(E439,4)))*12+(VALUE(LEFT(I439,2))-VALUE(LEFT(E439,2))),""),"")</f>
        <v/>
      </c>
    </row>
    <row r="440">
      <c r="A440" t="inlineStr">
        <is>
          <t>GARFIAS HERNANDEZ MIGUEL ANGEL</t>
        </is>
      </c>
      <c r="B440" t="inlineStr">
        <is>
          <t>Hombre</t>
        </is>
      </c>
      <c r="C440" t="inlineStr">
        <is>
          <t>4646AF</t>
        </is>
      </c>
      <c r="D440" t="inlineStr">
        <is>
          <t>CDMX Y AREA METROPOLITANA</t>
        </is>
      </c>
      <c r="E440" t="inlineStr">
        <is>
          <t>04-2025</t>
        </is>
      </c>
      <c r="F440" t="inlineStr">
        <is>
          <t>12-2025</t>
        </is>
      </c>
      <c r="G440" t="n">
        <v>8</v>
      </c>
      <c r="H440" t="inlineStr">
        <is>
          <t>Cancelado</t>
        </is>
      </c>
      <c r="J440" t="inlineStr">
        <is>
          <t>37G930</t>
        </is>
      </c>
      <c r="K440" t="inlineStr">
        <is>
          <t>GAC AION S</t>
        </is>
      </c>
      <c r="L440" t="inlineStr">
        <is>
          <t>UBER</t>
        </is>
      </c>
      <c r="M440" s="3">
        <f>IF(H440="Efectivo",IFERROR((VALUE(RIGHT(I440,4))-VALUE(RIGHT(E440,4)))*12+(VALUE(LEFT(I440,2))-VALUE(LEFT(E440,2))),""),"")</f>
        <v/>
      </c>
    </row>
    <row r="441">
      <c r="A441" t="inlineStr">
        <is>
          <t>GARRIDO CRUZ GABRIEL</t>
        </is>
      </c>
      <c r="B441" t="inlineStr">
        <is>
          <t>Hombre</t>
        </is>
      </c>
      <c r="C441" t="inlineStr">
        <is>
          <t>5303AF</t>
        </is>
      </c>
      <c r="D441" t="inlineStr">
        <is>
          <t>CDMX Y AREA METROPOLITANA</t>
        </is>
      </c>
      <c r="E441" t="inlineStr">
        <is>
          <t>07-2025</t>
        </is>
      </c>
      <c r="F441" t="inlineStr">
        <is>
          <t>04-2026</t>
        </is>
      </c>
      <c r="G441" t="n">
        <v>9</v>
      </c>
      <c r="H441" t="inlineStr">
        <is>
          <t>Efectivo</t>
        </is>
      </c>
      <c r="I441" t="inlineStr">
        <is>
          <t>04-2026</t>
        </is>
      </c>
      <c r="J441" t="inlineStr">
        <is>
          <t>47G746</t>
        </is>
      </c>
      <c r="K441" t="inlineStr">
        <is>
          <t>BYD MINIDOLPHIN</t>
        </is>
      </c>
      <c r="L441" t="inlineStr">
        <is>
          <t>DIDI</t>
        </is>
      </c>
      <c r="M441" s="3">
        <f>IF(H441="Efectivo",IFERROR((VALUE(RIGHT(I441,4))-VALUE(RIGHT(E441,4)))*12+(VALUE(LEFT(I441,2))-VALUE(LEFT(E441,2))),""),"")</f>
        <v/>
      </c>
    </row>
    <row r="442">
      <c r="A442" t="inlineStr">
        <is>
          <t>GARRIDO ROCHA JUAN MANUEL</t>
        </is>
      </c>
      <c r="B442" t="inlineStr">
        <is>
          <t>Hombre</t>
        </is>
      </c>
      <c r="C442" t="inlineStr">
        <is>
          <t>4536AF</t>
        </is>
      </c>
      <c r="D442" t="inlineStr">
        <is>
          <t>CDMX Y AREA METROPOLITANA</t>
        </is>
      </c>
      <c r="E442" t="inlineStr">
        <is>
          <t>03-2025</t>
        </is>
      </c>
      <c r="F442" t="inlineStr">
        <is>
          <t>09-2025</t>
        </is>
      </c>
      <c r="G442" t="n">
        <v>6</v>
      </c>
      <c r="H442" t="inlineStr">
        <is>
          <t>Efectivo</t>
        </is>
      </c>
      <c r="I442" t="inlineStr">
        <is>
          <t>09-2025</t>
        </is>
      </c>
      <c r="J442" t="inlineStr">
        <is>
          <t>39G345</t>
        </is>
      </c>
      <c r="K442" t="inlineStr">
        <is>
          <t>GAC AION S</t>
        </is>
      </c>
      <c r="L442" t="inlineStr">
        <is>
          <t>UBER</t>
        </is>
      </c>
      <c r="M442" s="3">
        <f>IF(H442="Efectivo",IFERROR((VALUE(RIGHT(I442,4))-VALUE(RIGHT(E442,4)))*12+(VALUE(LEFT(I442,2))-VALUE(LEFT(E442,2))),""),"")</f>
        <v/>
      </c>
    </row>
    <row r="443">
      <c r="A443" t="inlineStr">
        <is>
          <t>GASPAR HERNANDEZ LUIS MIGUEL</t>
        </is>
      </c>
      <c r="B443" t="inlineStr">
        <is>
          <t>Hombre</t>
        </is>
      </c>
      <c r="C443" t="inlineStr">
        <is>
          <t>3490AF</t>
        </is>
      </c>
      <c r="D443" t="inlineStr">
        <is>
          <t>NUEVO LEON</t>
        </is>
      </c>
      <c r="E443" t="inlineStr">
        <is>
          <t>07-2024</t>
        </is>
      </c>
      <c r="F443" t="inlineStr">
        <is>
          <t>07-2025</t>
        </is>
      </c>
      <c r="G443" t="n">
        <v>12</v>
      </c>
      <c r="H443" t="inlineStr">
        <is>
          <t>Efectivo</t>
        </is>
      </c>
      <c r="I443" t="inlineStr">
        <is>
          <t>07-2025</t>
        </is>
      </c>
      <c r="J443" t="inlineStr">
        <is>
          <t>TCV541B</t>
        </is>
      </c>
      <c r="K443" t="inlineStr">
        <is>
          <t>ONIX</t>
        </is>
      </c>
      <c r="L443" t="inlineStr">
        <is>
          <t>UBER</t>
        </is>
      </c>
      <c r="M443" s="3">
        <f>IF(H443="Efectivo",IFERROR((VALUE(RIGHT(I443,4))-VALUE(RIGHT(E443,4)))*12+(VALUE(LEFT(I443,2))-VALUE(LEFT(E443,2))),""),"")</f>
        <v/>
      </c>
    </row>
    <row r="444">
      <c r="A444" t="inlineStr">
        <is>
          <t>GASPAR HERNANDEZ LUIS MIGUEL</t>
        </is>
      </c>
      <c r="B444" t="inlineStr">
        <is>
          <t>Hombre</t>
        </is>
      </c>
      <c r="C444" t="inlineStr">
        <is>
          <t>3490AF</t>
        </is>
      </c>
      <c r="D444" t="inlineStr">
        <is>
          <t>NUEVO LEON</t>
        </is>
      </c>
      <c r="E444" t="inlineStr">
        <is>
          <t>07-2024</t>
        </is>
      </c>
      <c r="F444" t="inlineStr">
        <is>
          <t>11-2025</t>
        </is>
      </c>
      <c r="G444" t="n">
        <v>16</v>
      </c>
      <c r="H444" t="inlineStr">
        <is>
          <t>Pendiente</t>
        </is>
      </c>
      <c r="J444" t="inlineStr">
        <is>
          <t>TCV541B</t>
        </is>
      </c>
      <c r="K444" t="inlineStr">
        <is>
          <t>ONIX</t>
        </is>
      </c>
      <c r="L444" t="inlineStr">
        <is>
          <t>UBER</t>
        </is>
      </c>
      <c r="M444" s="3">
        <f>IF(H444="Efectivo",IFERROR((VALUE(RIGHT(I444,4))-VALUE(RIGHT(E444,4)))*12+(VALUE(LEFT(I444,2))-VALUE(LEFT(E444,2))),""),"")</f>
        <v/>
      </c>
    </row>
    <row r="445">
      <c r="A445" t="inlineStr">
        <is>
          <t>GASPAR ONOFRE VICTOR HUGO</t>
        </is>
      </c>
      <c r="B445" t="inlineStr">
        <is>
          <t>Hombre</t>
        </is>
      </c>
      <c r="C445" t="inlineStr">
        <is>
          <t>6376AF</t>
        </is>
      </c>
      <c r="D445" t="inlineStr">
        <is>
          <t>NUEVO LEON</t>
        </is>
      </c>
      <c r="E445" t="inlineStr">
        <is>
          <t>11-2025</t>
        </is>
      </c>
      <c r="F445" t="inlineStr">
        <is>
          <t>04-2026</t>
        </is>
      </c>
      <c r="G445" t="n">
        <v>4</v>
      </c>
      <c r="H445" t="inlineStr">
        <is>
          <t>Efectivo</t>
        </is>
      </c>
      <c r="I445" t="inlineStr">
        <is>
          <t>04-2026</t>
        </is>
      </c>
      <c r="J445" t="inlineStr">
        <is>
          <t>RXW248C</t>
        </is>
      </c>
      <c r="K445" t="inlineStr">
        <is>
          <t>CHEVROLET AVEO</t>
        </is>
      </c>
      <c r="L445" t="inlineStr">
        <is>
          <t>DIDI</t>
        </is>
      </c>
      <c r="M445" s="3">
        <f>IF(H445="Efectivo",IFERROR((VALUE(RIGHT(I445,4))-VALUE(RIGHT(E445,4)))*12+(VALUE(LEFT(I445,2))-VALUE(LEFT(E445,2))),""),"")</f>
        <v/>
      </c>
    </row>
    <row r="446">
      <c r="A446" t="inlineStr">
        <is>
          <t>GASTELUM FELIX LUIS ALBERTO</t>
        </is>
      </c>
      <c r="B446" t="inlineStr">
        <is>
          <t>Hombre</t>
        </is>
      </c>
      <c r="C446" t="inlineStr">
        <is>
          <t>4916AF</t>
        </is>
      </c>
      <c r="D446" t="inlineStr">
        <is>
          <t>BAJA CALIFORNIA</t>
        </is>
      </c>
      <c r="E446" t="inlineStr">
        <is>
          <t>05-2025</t>
        </is>
      </c>
      <c r="F446" t="inlineStr">
        <is>
          <t>07-2025</t>
        </is>
      </c>
      <c r="G446" t="n">
        <v>2</v>
      </c>
      <c r="H446" t="inlineStr">
        <is>
          <t>Efectivo</t>
        </is>
      </c>
      <c r="I446" t="inlineStr">
        <is>
          <t>07-2025</t>
        </is>
      </c>
      <c r="J446" t="inlineStr">
        <is>
          <t>BYG581A</t>
        </is>
      </c>
      <c r="K446" t="inlineStr">
        <is>
          <t>CHEVROLET AVEO</t>
        </is>
      </c>
      <c r="L446" t="inlineStr">
        <is>
          <t>DIDI</t>
        </is>
      </c>
      <c r="M446" s="3">
        <f>IF(H446="Efectivo",IFERROR((VALUE(RIGHT(I446,4))-VALUE(RIGHT(E446,4)))*12+(VALUE(LEFT(I446,2))-VALUE(LEFT(E446,2))),""),"")</f>
        <v/>
      </c>
    </row>
    <row r="447">
      <c r="A447" t="inlineStr">
        <is>
          <t>GAYTAN TOLENTINO GUILLERMO</t>
        </is>
      </c>
      <c r="B447" t="inlineStr">
        <is>
          <t>Hombre</t>
        </is>
      </c>
      <c r="C447" t="inlineStr">
        <is>
          <t>5559AF</t>
        </is>
      </c>
      <c r="D447" t="inlineStr">
        <is>
          <t>CDMX Y AREA METROPOLITANA</t>
        </is>
      </c>
      <c r="E447" t="inlineStr">
        <is>
          <t>08-2025</t>
        </is>
      </c>
      <c r="F447" t="inlineStr">
        <is>
          <t>02-2026</t>
        </is>
      </c>
      <c r="G447" t="n">
        <v>5</v>
      </c>
      <c r="H447" t="inlineStr">
        <is>
          <t>Efectivo</t>
        </is>
      </c>
      <c r="I447" t="inlineStr">
        <is>
          <t>03-2026</t>
        </is>
      </c>
      <c r="J447" t="inlineStr">
        <is>
          <t>48G111</t>
        </is>
      </c>
      <c r="K447" t="inlineStr">
        <is>
          <t>BYD MINIDOLPHIN</t>
        </is>
      </c>
      <c r="L447" t="inlineStr">
        <is>
          <t>UBER</t>
        </is>
      </c>
      <c r="M447" s="3">
        <f>IF(H447="Efectivo",IFERROR((VALUE(RIGHT(I447,4))-VALUE(RIGHT(E447,4)))*12+(VALUE(LEFT(I447,2))-VALUE(LEFT(E447,2))),""),"")</f>
        <v/>
      </c>
    </row>
    <row r="448">
      <c r="A448" t="inlineStr">
        <is>
          <t>GIL MORALES EUGENIO GERARDO</t>
        </is>
      </c>
      <c r="B448" t="inlineStr">
        <is>
          <t>Hombre</t>
        </is>
      </c>
      <c r="C448" t="inlineStr">
        <is>
          <t>3103AF</t>
        </is>
      </c>
      <c r="D448" t="inlineStr">
        <is>
          <t>CDMX Y AREA METROPOLITANA</t>
        </is>
      </c>
      <c r="E448" t="inlineStr">
        <is>
          <t>03-2024</t>
        </is>
      </c>
      <c r="F448" t="inlineStr">
        <is>
          <t>06-2025</t>
        </is>
      </c>
      <c r="G448" t="n">
        <v>15</v>
      </c>
      <c r="H448" t="inlineStr">
        <is>
          <t>Efectivo</t>
        </is>
      </c>
      <c r="I448" t="inlineStr">
        <is>
          <t>07-2025</t>
        </is>
      </c>
      <c r="J448" t="inlineStr">
        <is>
          <t>X94BNL</t>
        </is>
      </c>
      <c r="K448" t="inlineStr">
        <is>
          <t>CHEVROLET AVEO</t>
        </is>
      </c>
      <c r="L448" t="inlineStr">
        <is>
          <t>UBER</t>
        </is>
      </c>
      <c r="M448" s="3">
        <f>IF(H448="Efectivo",IFERROR((VALUE(RIGHT(I448,4))-VALUE(RIGHT(E448,4)))*12+(VALUE(LEFT(I448,2))-VALUE(LEFT(E448,2))),""),"")</f>
        <v/>
      </c>
    </row>
    <row r="449">
      <c r="A449" t="inlineStr">
        <is>
          <t>GOMEZ BAEZA GREGORIO</t>
        </is>
      </c>
      <c r="B449" t="inlineStr">
        <is>
          <t>Hombre</t>
        </is>
      </c>
      <c r="C449" t="inlineStr">
        <is>
          <t>5955AF</t>
        </is>
      </c>
      <c r="D449" t="inlineStr">
        <is>
          <t>CDMX Y AREA METROPOLITANA</t>
        </is>
      </c>
      <c r="E449" t="inlineStr">
        <is>
          <t>10-2025</t>
        </is>
      </c>
      <c r="F449" t="inlineStr">
        <is>
          <t>03-2026</t>
        </is>
      </c>
      <c r="G449" t="n">
        <v>5</v>
      </c>
      <c r="H449" t="inlineStr">
        <is>
          <t>Efectivo</t>
        </is>
      </c>
      <c r="I449" t="inlineStr">
        <is>
          <t>03-2026</t>
        </is>
      </c>
      <c r="J449" t="inlineStr">
        <is>
          <t>51G504</t>
        </is>
      </c>
      <c r="K449" t="inlineStr">
        <is>
          <t>GAC AION S</t>
        </is>
      </c>
      <c r="L449" t="inlineStr">
        <is>
          <t>UBER</t>
        </is>
      </c>
      <c r="M449" s="3">
        <f>IF(H449="Efectivo",IFERROR((VALUE(RIGHT(I449,4))-VALUE(RIGHT(E449,4)))*12+(VALUE(LEFT(I449,2))-VALUE(LEFT(E449,2))),""),"")</f>
        <v/>
      </c>
    </row>
    <row r="450">
      <c r="A450" t="inlineStr">
        <is>
          <t>GOMEZ ESCOBAR LUIS FERNANDO</t>
        </is>
      </c>
      <c r="B450" t="inlineStr">
        <is>
          <t>Hombre</t>
        </is>
      </c>
      <c r="C450" t="inlineStr">
        <is>
          <t>5165AF</t>
        </is>
      </c>
      <c r="D450" t="inlineStr">
        <is>
          <t>BAJA CALIFORNIA</t>
        </is>
      </c>
      <c r="E450" t="inlineStr">
        <is>
          <t>06-2025</t>
        </is>
      </c>
      <c r="F450" t="inlineStr">
        <is>
          <t>03-2026</t>
        </is>
      </c>
      <c r="G450" t="n">
        <v>9</v>
      </c>
      <c r="H450" t="inlineStr">
        <is>
          <t>Efectivo</t>
        </is>
      </c>
      <c r="I450" t="inlineStr">
        <is>
          <t>03-2026</t>
        </is>
      </c>
      <c r="J450" t="inlineStr">
        <is>
          <t>BZB787A</t>
        </is>
      </c>
      <c r="K450" t="inlineStr">
        <is>
          <t>CHEVROLET AVEO</t>
        </is>
      </c>
      <c r="L450" t="inlineStr">
        <is>
          <t>UBER</t>
        </is>
      </c>
      <c r="M450" s="3">
        <f>IF(H450="Efectivo",IFERROR((VALUE(RIGHT(I450,4))-VALUE(RIGHT(E450,4)))*12+(VALUE(LEFT(I450,2))-VALUE(LEFT(E450,2))),""),"")</f>
        <v/>
      </c>
    </row>
    <row r="451">
      <c r="A451" t="inlineStr">
        <is>
          <t>GOMEZ GONZALEZ ARTURO</t>
        </is>
      </c>
      <c r="B451" t="inlineStr">
        <is>
          <t>Hombre</t>
        </is>
      </c>
      <c r="C451" t="inlineStr">
        <is>
          <t>3911AF</t>
        </is>
      </c>
      <c r="D451" t="inlineStr">
        <is>
          <t>CDMX Y AREA METROPOLITANA</t>
        </is>
      </c>
      <c r="E451" t="inlineStr">
        <is>
          <t>10-2024</t>
        </is>
      </c>
      <c r="F451" t="inlineStr">
        <is>
          <t>02-2026</t>
        </is>
      </c>
      <c r="G451" t="n">
        <v>16</v>
      </c>
      <c r="H451" t="inlineStr">
        <is>
          <t>Efectivo</t>
        </is>
      </c>
      <c r="I451" t="inlineStr">
        <is>
          <t>02-2026</t>
        </is>
      </c>
      <c r="J451" t="inlineStr">
        <is>
          <t>B66BPX</t>
        </is>
      </c>
      <c r="K451" t="inlineStr">
        <is>
          <t>TOYOTA AVANZA</t>
        </is>
      </c>
      <c r="L451" t="inlineStr">
        <is>
          <t>UBER</t>
        </is>
      </c>
      <c r="M451" s="3">
        <f>IF(H451="Efectivo",IFERROR((VALUE(RIGHT(I451,4))-VALUE(RIGHT(E451,4)))*12+(VALUE(LEFT(I451,2))-VALUE(LEFT(E451,2))),""),"")</f>
        <v/>
      </c>
    </row>
    <row r="452">
      <c r="A452" t="inlineStr">
        <is>
          <t>GOMEZ GONZALEZ MARIO ALBERTO</t>
        </is>
      </c>
      <c r="B452" t="inlineStr">
        <is>
          <t>Hombre</t>
        </is>
      </c>
      <c r="C452" t="inlineStr">
        <is>
          <t>3078AF</t>
        </is>
      </c>
      <c r="D452" t="inlineStr">
        <is>
          <t>CDMX Y AREA METROPOLITANA</t>
        </is>
      </c>
      <c r="E452" t="inlineStr">
        <is>
          <t>02-2024</t>
        </is>
      </c>
      <c r="F452" t="inlineStr">
        <is>
          <t>06-2025</t>
        </is>
      </c>
      <c r="G452" t="n">
        <v>15</v>
      </c>
      <c r="H452" t="inlineStr">
        <is>
          <t>Efectivo</t>
        </is>
      </c>
      <c r="I452" t="inlineStr">
        <is>
          <t>05-2025</t>
        </is>
      </c>
      <c r="J452" t="inlineStr">
        <is>
          <t>84F033</t>
        </is>
      </c>
      <c r="K452" t="inlineStr">
        <is>
          <t>BYD D1</t>
        </is>
      </c>
      <c r="L452" t="inlineStr">
        <is>
          <t>UBER</t>
        </is>
      </c>
      <c r="M452" s="3">
        <f>IF(H452="Efectivo",IFERROR((VALUE(RIGHT(I452,4))-VALUE(RIGHT(E452,4)))*12+(VALUE(LEFT(I452,2))-VALUE(LEFT(E452,2))),""),"")</f>
        <v/>
      </c>
    </row>
    <row r="453">
      <c r="A453" t="inlineStr">
        <is>
          <t>GOMEZ MARQUEZ TEODULO PABLO</t>
        </is>
      </c>
      <c r="B453" t="inlineStr">
        <is>
          <t>Hombre</t>
        </is>
      </c>
      <c r="C453" t="inlineStr">
        <is>
          <t>5528AF</t>
        </is>
      </c>
      <c r="D453" t="inlineStr">
        <is>
          <t>CDMX Y AREA METROPOLITANA</t>
        </is>
      </c>
      <c r="E453" t="inlineStr">
        <is>
          <t>08-2025</t>
        </is>
      </c>
      <c r="F453" t="inlineStr">
        <is>
          <t>02-2026</t>
        </is>
      </c>
      <c r="G453" t="n">
        <v>6</v>
      </c>
      <c r="H453" t="inlineStr">
        <is>
          <t>Efectivo</t>
        </is>
      </c>
      <c r="I453" t="inlineStr">
        <is>
          <t>04-2026</t>
        </is>
      </c>
      <c r="J453" t="inlineStr">
        <is>
          <t>42G765</t>
        </is>
      </c>
      <c r="K453" t="inlineStr">
        <is>
          <t>GAC AION S</t>
        </is>
      </c>
      <c r="L453" t="inlineStr">
        <is>
          <t>UBER</t>
        </is>
      </c>
      <c r="M453" s="3">
        <f>IF(H453="Efectivo",IFERROR((VALUE(RIGHT(I453,4))-VALUE(RIGHT(E453,4)))*12+(VALUE(LEFT(I453,2))-VALUE(LEFT(E453,2))),""),"")</f>
        <v/>
      </c>
    </row>
    <row r="454">
      <c r="A454" t="inlineStr">
        <is>
          <t>GOMEZ MEDINA MIGUEL ANGEL</t>
        </is>
      </c>
      <c r="B454" t="inlineStr">
        <is>
          <t>Hombre</t>
        </is>
      </c>
      <c r="C454" t="inlineStr">
        <is>
          <t>4348AF</t>
        </is>
      </c>
      <c r="D454" t="inlineStr">
        <is>
          <t>CDMX Y AREA METROPOLITANA</t>
        </is>
      </c>
      <c r="E454" t="inlineStr">
        <is>
          <t>02-2025</t>
        </is>
      </c>
      <c r="F454" t="inlineStr">
        <is>
          <t>06-2025</t>
        </is>
      </c>
      <c r="G454" t="n">
        <v>4</v>
      </c>
      <c r="H454" t="inlineStr">
        <is>
          <t>Efectivo</t>
        </is>
      </c>
      <c r="I454" t="inlineStr">
        <is>
          <t>07-2025</t>
        </is>
      </c>
      <c r="J454" t="inlineStr">
        <is>
          <t>19G552</t>
        </is>
      </c>
      <c r="K454" t="inlineStr">
        <is>
          <t>BYD D1</t>
        </is>
      </c>
      <c r="L454" t="inlineStr">
        <is>
          <t>UBER</t>
        </is>
      </c>
      <c r="M454" s="3">
        <f>IF(H454="Efectivo",IFERROR((VALUE(RIGHT(I454,4))-VALUE(RIGHT(E454,4)))*12+(VALUE(LEFT(I454,2))-VALUE(LEFT(E454,2))),""),"")</f>
        <v/>
      </c>
    </row>
    <row r="455">
      <c r="A455" t="inlineStr">
        <is>
          <t>GOMEZ MOHEDANO JOSE</t>
        </is>
      </c>
      <c r="B455" t="inlineStr">
        <is>
          <t>Hombre</t>
        </is>
      </c>
      <c r="C455" t="inlineStr">
        <is>
          <t>3368AF</t>
        </is>
      </c>
      <c r="D455" t="inlineStr">
        <is>
          <t>CDMX Y AREA METROPOLITANA</t>
        </is>
      </c>
      <c r="E455" t="inlineStr">
        <is>
          <t>06-2024</t>
        </is>
      </c>
      <c r="F455" t="inlineStr">
        <is>
          <t>11-2025</t>
        </is>
      </c>
      <c r="G455" t="n">
        <v>18</v>
      </c>
      <c r="H455" t="inlineStr">
        <is>
          <t>Efectivo</t>
        </is>
      </c>
      <c r="I455" t="inlineStr">
        <is>
          <t>12-2025</t>
        </is>
      </c>
      <c r="J455" t="inlineStr">
        <is>
          <t>A58BNM</t>
        </is>
      </c>
      <c r="K455" t="inlineStr">
        <is>
          <t>CHEVROLET AVEO</t>
        </is>
      </c>
      <c r="L455" t="inlineStr">
        <is>
          <t>UBER</t>
        </is>
      </c>
      <c r="M455" s="3">
        <f>IF(H455="Efectivo",IFERROR((VALUE(RIGHT(I455,4))-VALUE(RIGHT(E455,4)))*12+(VALUE(LEFT(I455,2))-VALUE(LEFT(E455,2))),""),"")</f>
        <v/>
      </c>
    </row>
    <row r="456">
      <c r="A456" t="inlineStr">
        <is>
          <t>GOMEZ MORALES WILLIAN ALEXIS</t>
        </is>
      </c>
      <c r="B456" t="inlineStr">
        <is>
          <t>Hombre</t>
        </is>
      </c>
      <c r="C456" t="inlineStr">
        <is>
          <t>5461AF</t>
        </is>
      </c>
      <c r="D456" t="inlineStr">
        <is>
          <t>BAJA CALIFORNIA</t>
        </is>
      </c>
      <c r="E456" t="inlineStr">
        <is>
          <t>08-2025</t>
        </is>
      </c>
      <c r="F456" t="inlineStr">
        <is>
          <t>01-2026</t>
        </is>
      </c>
      <c r="G456" t="n">
        <v>5</v>
      </c>
      <c r="H456" t="inlineStr">
        <is>
          <t>Efectivo</t>
        </is>
      </c>
      <c r="I456" t="inlineStr">
        <is>
          <t>01-2026</t>
        </is>
      </c>
      <c r="J456" t="inlineStr">
        <is>
          <t>BZA451A</t>
        </is>
      </c>
      <c r="K456" t="inlineStr">
        <is>
          <t>CHEVROLET AVEO</t>
        </is>
      </c>
      <c r="L456" t="inlineStr">
        <is>
          <t>UBER</t>
        </is>
      </c>
      <c r="M456" s="3">
        <f>IF(H456="Efectivo",IFERROR((VALUE(RIGHT(I456,4))-VALUE(RIGHT(E456,4)))*12+(VALUE(LEFT(I456,2))-VALUE(LEFT(E456,2))),""),"")</f>
        <v/>
      </c>
    </row>
    <row r="457">
      <c r="A457" t="inlineStr">
        <is>
          <t>GOMEZ OCHOA PEDRO FABIAN</t>
        </is>
      </c>
      <c r="B457" t="inlineStr">
        <is>
          <t>Hombre</t>
        </is>
      </c>
      <c r="C457" t="inlineStr">
        <is>
          <t>6171AF</t>
        </is>
      </c>
      <c r="D457" t="inlineStr">
        <is>
          <t>BAJA CALIFORNIA</t>
        </is>
      </c>
      <c r="E457" t="inlineStr">
        <is>
          <t>11-2025</t>
        </is>
      </c>
      <c r="F457" t="inlineStr">
        <is>
          <t>03-2026</t>
        </is>
      </c>
      <c r="G457" t="n">
        <v>4</v>
      </c>
      <c r="H457" t="inlineStr">
        <is>
          <t>Efectivo</t>
        </is>
      </c>
      <c r="I457" t="inlineStr">
        <is>
          <t>03-2026</t>
        </is>
      </c>
      <c r="J457" t="inlineStr">
        <is>
          <t>CAT832A</t>
        </is>
      </c>
      <c r="K457" t="inlineStr">
        <is>
          <t>CHEVROLET AVEO</t>
        </is>
      </c>
      <c r="L457" t="inlineStr">
        <is>
          <t>DIDI</t>
        </is>
      </c>
      <c r="M457" s="3">
        <f>IF(H457="Efectivo",IFERROR((VALUE(RIGHT(I457,4))-VALUE(RIGHT(E457,4)))*12+(VALUE(LEFT(I457,2))-VALUE(LEFT(E457,2))),""),"")</f>
        <v/>
      </c>
    </row>
    <row r="458">
      <c r="A458" t="inlineStr">
        <is>
          <t>GOMEZ OLMOS EDGAR ALEJANDRO</t>
        </is>
      </c>
      <c r="B458" t="inlineStr">
        <is>
          <t>Hombre</t>
        </is>
      </c>
      <c r="C458" t="inlineStr">
        <is>
          <t>3119AF</t>
        </is>
      </c>
      <c r="D458" t="inlineStr">
        <is>
          <t>CDMX Y AREA METROPOLITANA</t>
        </is>
      </c>
      <c r="E458" t="inlineStr">
        <is>
          <t>03-2024</t>
        </is>
      </c>
      <c r="F458" t="inlineStr">
        <is>
          <t>03-2026</t>
        </is>
      </c>
      <c r="G458" t="n">
        <v>24</v>
      </c>
      <c r="H458" t="inlineStr">
        <is>
          <t>Efectivo</t>
        </is>
      </c>
      <c r="I458" t="inlineStr">
        <is>
          <t>03-2026</t>
        </is>
      </c>
      <c r="J458" t="inlineStr">
        <is>
          <t>B15BNM</t>
        </is>
      </c>
      <c r="K458" t="inlineStr">
        <is>
          <t>TOYOTA AVANZA</t>
        </is>
      </c>
      <c r="L458" t="inlineStr">
        <is>
          <t>UBER</t>
        </is>
      </c>
      <c r="M458" s="3">
        <f>IF(H458="Efectivo",IFERROR((VALUE(RIGHT(I458,4))-VALUE(RIGHT(E458,4)))*12+(VALUE(LEFT(I458,2))-VALUE(LEFT(E458,2))),""),"")</f>
        <v/>
      </c>
    </row>
    <row r="459">
      <c r="A459" t="inlineStr">
        <is>
          <t>GOMEZ POZOS DANIEL</t>
        </is>
      </c>
      <c r="B459" t="inlineStr">
        <is>
          <t>Hombre</t>
        </is>
      </c>
      <c r="C459" t="inlineStr">
        <is>
          <t>4457AF</t>
        </is>
      </c>
      <c r="D459" t="inlineStr">
        <is>
          <t>CDMX Y AREA METROPOLITANA</t>
        </is>
      </c>
      <c r="E459" t="inlineStr">
        <is>
          <t>03-2025</t>
        </is>
      </c>
      <c r="F459" t="inlineStr">
        <is>
          <t>06-2025</t>
        </is>
      </c>
      <c r="G459" t="n">
        <v>2</v>
      </c>
      <c r="H459" t="inlineStr">
        <is>
          <t>Efectivo</t>
        </is>
      </c>
      <c r="I459" t="inlineStr">
        <is>
          <t>06-2025</t>
        </is>
      </c>
      <c r="J459" t="inlineStr">
        <is>
          <t>19G403</t>
        </is>
      </c>
      <c r="K459" t="inlineStr">
        <is>
          <t>BYD D1</t>
        </is>
      </c>
      <c r="L459" t="inlineStr">
        <is>
          <t>UBER</t>
        </is>
      </c>
      <c r="M459" s="3">
        <f>IF(H459="Efectivo",IFERROR((VALUE(RIGHT(I459,4))-VALUE(RIGHT(E459,4)))*12+(VALUE(LEFT(I459,2))-VALUE(LEFT(E459,2))),""),"")</f>
        <v/>
      </c>
    </row>
    <row r="460">
      <c r="A460" t="inlineStr">
        <is>
          <t>GOMEZ RODRIGUEZ AARON LEONARDO</t>
        </is>
      </c>
      <c r="B460" t="inlineStr">
        <is>
          <t>Hombre</t>
        </is>
      </c>
      <c r="C460" t="inlineStr">
        <is>
          <t>6332AF</t>
        </is>
      </c>
      <c r="D460" t="inlineStr">
        <is>
          <t>CDMX Y AREA METROPOLITANA</t>
        </is>
      </c>
      <c r="E460" t="inlineStr">
        <is>
          <t>11-2025</t>
        </is>
      </c>
      <c r="F460" t="inlineStr">
        <is>
          <t>04-2026</t>
        </is>
      </c>
      <c r="G460" t="n">
        <v>4</v>
      </c>
      <c r="H460" t="inlineStr">
        <is>
          <t>Efectivo</t>
        </is>
      </c>
      <c r="I460" t="inlineStr">
        <is>
          <t>04-2026</t>
        </is>
      </c>
      <c r="J460" t="inlineStr">
        <is>
          <t>62G375</t>
        </is>
      </c>
      <c r="K460" t="inlineStr">
        <is>
          <t>BYD E5</t>
        </is>
      </c>
      <c r="L460" t="inlineStr">
        <is>
          <t>UBER</t>
        </is>
      </c>
      <c r="M460" s="3">
        <f>IF(H460="Efectivo",IFERROR((VALUE(RIGHT(I460,4))-VALUE(RIGHT(E460,4)))*12+(VALUE(LEFT(I460,2))-VALUE(LEFT(E460,2))),""),"")</f>
        <v/>
      </c>
    </row>
    <row r="461">
      <c r="A461" t="inlineStr">
        <is>
          <t>GOMEZ RODRIGUEZ AXEL</t>
        </is>
      </c>
      <c r="B461" t="inlineStr">
        <is>
          <t>Hombre</t>
        </is>
      </c>
      <c r="C461" t="inlineStr">
        <is>
          <t>6058AF</t>
        </is>
      </c>
      <c r="D461" t="inlineStr">
        <is>
          <t>CDMX Y AREA METROPOLITANA</t>
        </is>
      </c>
      <c r="E461" t="inlineStr">
        <is>
          <t>10-2025</t>
        </is>
      </c>
      <c r="F461" t="inlineStr">
        <is>
          <t>05-2026</t>
        </is>
      </c>
      <c r="G461" t="n">
        <v>7</v>
      </c>
      <c r="H461" t="inlineStr">
        <is>
          <t>Pendiente</t>
        </is>
      </c>
      <c r="J461" t="inlineStr">
        <is>
          <t>Z44BPC</t>
        </is>
      </c>
      <c r="K461" t="inlineStr">
        <is>
          <t>CHEVROLET AVEO</t>
        </is>
      </c>
      <c r="L461" t="inlineStr">
        <is>
          <t>DIDI</t>
        </is>
      </c>
      <c r="M461" s="3">
        <f>IF(H461="Efectivo",IFERROR((VALUE(RIGHT(I461,4))-VALUE(RIGHT(E461,4)))*12+(VALUE(LEFT(I461,2))-VALUE(LEFT(E461,2))),""),"")</f>
        <v/>
      </c>
    </row>
    <row r="462">
      <c r="A462" t="inlineStr">
        <is>
          <t>GOMEZ ZACARIAS JUAN CARLOS</t>
        </is>
      </c>
      <c r="B462" t="inlineStr">
        <is>
          <t>Hombre</t>
        </is>
      </c>
      <c r="C462" t="inlineStr">
        <is>
          <t>5346AF</t>
        </is>
      </c>
      <c r="D462" t="inlineStr">
        <is>
          <t>CDMX Y AREA METROPOLITANA</t>
        </is>
      </c>
      <c r="E462" t="inlineStr">
        <is>
          <t>07-2025</t>
        </is>
      </c>
      <c r="F462" t="inlineStr">
        <is>
          <t>10-2025</t>
        </is>
      </c>
      <c r="G462" t="n">
        <v>2</v>
      </c>
      <c r="H462" t="inlineStr">
        <is>
          <t>Cancelado</t>
        </is>
      </c>
      <c r="J462" t="inlineStr">
        <is>
          <t>47G993</t>
        </is>
      </c>
      <c r="K462" t="inlineStr">
        <is>
          <t>BYD MINIDOLPHIN</t>
        </is>
      </c>
      <c r="L462" t="inlineStr">
        <is>
          <t>UBER</t>
        </is>
      </c>
      <c r="M462" s="3">
        <f>IF(H462="Efectivo",IFERROR((VALUE(RIGHT(I462,4))-VALUE(RIGHT(E462,4)))*12+(VALUE(LEFT(I462,2))-VALUE(LEFT(E462,2))),""),"")</f>
        <v/>
      </c>
    </row>
    <row r="463">
      <c r="A463" t="inlineStr">
        <is>
          <t>GOMORA RUIZ ENRIQUE</t>
        </is>
      </c>
      <c r="B463" t="inlineStr">
        <is>
          <t>Hombre</t>
        </is>
      </c>
      <c r="C463" t="inlineStr">
        <is>
          <t>4365AF</t>
        </is>
      </c>
      <c r="D463" t="inlineStr">
        <is>
          <t>CDMX Y AREA METROPOLITANA</t>
        </is>
      </c>
      <c r="E463" t="inlineStr">
        <is>
          <t>02-2025</t>
        </is>
      </c>
      <c r="F463" t="inlineStr">
        <is>
          <t>04-2025</t>
        </is>
      </c>
      <c r="G463" t="n">
        <v>2</v>
      </c>
      <c r="H463" t="inlineStr">
        <is>
          <t>Efectivo</t>
        </is>
      </c>
      <c r="I463" t="inlineStr">
        <is>
          <t>05-2025</t>
        </is>
      </c>
      <c r="J463" t="inlineStr">
        <is>
          <t>32G993</t>
        </is>
      </c>
      <c r="K463" t="inlineStr">
        <is>
          <t>GAC AION S</t>
        </is>
      </c>
      <c r="L463" t="inlineStr">
        <is>
          <t>DIDI</t>
        </is>
      </c>
      <c r="M463" s="3">
        <f>IF(H463="Efectivo",IFERROR((VALUE(RIGHT(I463,4))-VALUE(RIGHT(E463,4)))*12+(VALUE(LEFT(I463,2))-VALUE(LEFT(E463,2))),""),"")</f>
        <v/>
      </c>
    </row>
    <row r="464">
      <c r="A464" t="inlineStr">
        <is>
          <t>GONZALEZ ALFARO RAUL GERARDO</t>
        </is>
      </c>
      <c r="B464" t="inlineStr">
        <is>
          <t>Hombre</t>
        </is>
      </c>
      <c r="C464" t="inlineStr">
        <is>
          <t>4038AF</t>
        </is>
      </c>
      <c r="D464" t="inlineStr">
        <is>
          <t>CDMX Y AREA METROPOLITANA</t>
        </is>
      </c>
      <c r="E464" t="inlineStr">
        <is>
          <t>11-2024</t>
        </is>
      </c>
      <c r="F464" t="inlineStr">
        <is>
          <t>08-2025</t>
        </is>
      </c>
      <c r="G464" t="n">
        <v>9</v>
      </c>
      <c r="H464" t="inlineStr">
        <is>
          <t>Efectivo</t>
        </is>
      </c>
      <c r="I464" t="inlineStr">
        <is>
          <t>09-2025</t>
        </is>
      </c>
      <c r="J464" t="inlineStr">
        <is>
          <t>13G806</t>
        </is>
      </c>
      <c r="K464" t="inlineStr">
        <is>
          <t>BYD D1</t>
        </is>
      </c>
      <c r="L464" t="inlineStr">
        <is>
          <t>UBER</t>
        </is>
      </c>
      <c r="M464" s="3">
        <f>IF(H464="Efectivo",IFERROR((VALUE(RIGHT(I464,4))-VALUE(RIGHT(E464,4)))*12+(VALUE(LEFT(I464,2))-VALUE(LEFT(E464,2))),""),"")</f>
        <v/>
      </c>
    </row>
    <row r="465">
      <c r="A465" t="inlineStr">
        <is>
          <t>GONZALEZ BRISEÑO ANICETO</t>
        </is>
      </c>
      <c r="B465" t="inlineStr">
        <is>
          <t>Hombre</t>
        </is>
      </c>
      <c r="C465" t="inlineStr">
        <is>
          <t>3856AF</t>
        </is>
      </c>
      <c r="D465" t="inlineStr">
        <is>
          <t>CDMX Y AREA METROPOLITANA</t>
        </is>
      </c>
      <c r="E465" t="inlineStr">
        <is>
          <t>10-2024</t>
        </is>
      </c>
      <c r="F465" t="inlineStr">
        <is>
          <t>04-2026</t>
        </is>
      </c>
      <c r="G465" t="n">
        <v>18</v>
      </c>
      <c r="H465" t="inlineStr">
        <is>
          <t>Efectivo</t>
        </is>
      </c>
      <c r="I465" t="inlineStr">
        <is>
          <t>04-2026</t>
        </is>
      </c>
      <c r="J465" t="inlineStr">
        <is>
          <t>F77BPT</t>
        </is>
      </c>
      <c r="K465" t="inlineStr">
        <is>
          <t>TOYOTA AVANZA</t>
        </is>
      </c>
      <c r="L465" t="inlineStr">
        <is>
          <t>UBER</t>
        </is>
      </c>
      <c r="M465" s="3">
        <f>IF(H465="Efectivo",IFERROR((VALUE(RIGHT(I465,4))-VALUE(RIGHT(E465,4)))*12+(VALUE(LEFT(I465,2))-VALUE(LEFT(E465,2))),""),"")</f>
        <v/>
      </c>
    </row>
    <row r="466">
      <c r="A466" t="inlineStr">
        <is>
          <t>GONZALEZ CABRERA JOSE ALBERTO</t>
        </is>
      </c>
      <c r="B466" t="inlineStr">
        <is>
          <t>Hombre</t>
        </is>
      </c>
      <c r="C466" t="inlineStr">
        <is>
          <t>2491AF</t>
        </is>
      </c>
      <c r="D466" t="inlineStr">
        <is>
          <t>QUERETARO</t>
        </is>
      </c>
      <c r="E466" t="inlineStr">
        <is>
          <t>03-2023</t>
        </is>
      </c>
      <c r="F466" t="inlineStr">
        <is>
          <t>05-2025</t>
        </is>
      </c>
      <c r="G466" t="n">
        <v>26</v>
      </c>
      <c r="H466" t="inlineStr">
        <is>
          <t>Efectivo</t>
        </is>
      </c>
      <c r="I466" t="inlineStr">
        <is>
          <t>05-2025</t>
        </is>
      </c>
      <c r="J466" t="inlineStr">
        <is>
          <t>UPT747H</t>
        </is>
      </c>
      <c r="K466" t="inlineStr">
        <is>
          <t>ATTITUDE</t>
        </is>
      </c>
      <c r="L466" t="inlineStr">
        <is>
          <t>UBER</t>
        </is>
      </c>
      <c r="M466" s="3">
        <f>IF(H466="Efectivo",IFERROR((VALUE(RIGHT(I466,4))-VALUE(RIGHT(E466,4)))*12+(VALUE(LEFT(I466,2))-VALUE(LEFT(E466,2))),""),"")</f>
        <v/>
      </c>
    </row>
    <row r="467">
      <c r="A467" t="inlineStr">
        <is>
          <t>GONZALEZ CARRILLO YOEL BALAM</t>
        </is>
      </c>
      <c r="B467" t="inlineStr">
        <is>
          <t>Hombre</t>
        </is>
      </c>
      <c r="C467" t="inlineStr">
        <is>
          <t>5008AF</t>
        </is>
      </c>
      <c r="D467" t="inlineStr">
        <is>
          <t>CDMX Y AREA METROPOLITANA</t>
        </is>
      </c>
      <c r="E467" t="inlineStr">
        <is>
          <t>06-2025</t>
        </is>
      </c>
      <c r="F467" t="inlineStr">
        <is>
          <t>09-2025</t>
        </is>
      </c>
      <c r="G467" t="n">
        <v>3</v>
      </c>
      <c r="H467" t="inlineStr">
        <is>
          <t>Pendiente</t>
        </is>
      </c>
      <c r="J467" t="inlineStr">
        <is>
          <t>50G881</t>
        </is>
      </c>
      <c r="K467" t="inlineStr">
        <is>
          <t>GAC AION S</t>
        </is>
      </c>
      <c r="L467" t="inlineStr">
        <is>
          <t>UBER</t>
        </is>
      </c>
      <c r="M467" s="3">
        <f>IF(H467="Efectivo",IFERROR((VALUE(RIGHT(I467,4))-VALUE(RIGHT(E467,4)))*12+(VALUE(LEFT(I467,2))-VALUE(LEFT(E467,2))),""),"")</f>
        <v/>
      </c>
    </row>
    <row r="468">
      <c r="A468" t="inlineStr">
        <is>
          <t>GONZALEZ CENTENO LUIS ALBERTO</t>
        </is>
      </c>
      <c r="B468" t="inlineStr">
        <is>
          <t>Hombre</t>
        </is>
      </c>
      <c r="C468" t="inlineStr">
        <is>
          <t>4781AF</t>
        </is>
      </c>
      <c r="D468" t="inlineStr">
        <is>
          <t>BAJA CALIFORNIA</t>
        </is>
      </c>
      <c r="E468" t="inlineStr">
        <is>
          <t>05-2025</t>
        </is>
      </c>
      <c r="F468" t="inlineStr">
        <is>
          <t>03-2026</t>
        </is>
      </c>
      <c r="G468" t="n">
        <v>10</v>
      </c>
      <c r="H468" t="inlineStr">
        <is>
          <t>Efectivo</t>
        </is>
      </c>
      <c r="I468" t="inlineStr">
        <is>
          <t>03-2026</t>
        </is>
      </c>
      <c r="J468" t="inlineStr">
        <is>
          <t>BXT311A</t>
        </is>
      </c>
      <c r="K468" t="inlineStr">
        <is>
          <t>CHEVROLET AVEO</t>
        </is>
      </c>
      <c r="L468" t="inlineStr">
        <is>
          <t>UBER</t>
        </is>
      </c>
      <c r="M468" s="3">
        <f>IF(H468="Efectivo",IFERROR((VALUE(RIGHT(I468,4))-VALUE(RIGHT(E468,4)))*12+(VALUE(LEFT(I468,2))-VALUE(LEFT(E468,2))),""),"")</f>
        <v/>
      </c>
    </row>
    <row r="469">
      <c r="A469" t="inlineStr">
        <is>
          <t>GONZALEZ CISNEROS LUIS ENRIQUE</t>
        </is>
      </c>
      <c r="B469" t="inlineStr">
        <is>
          <t>Hombre</t>
        </is>
      </c>
      <c r="C469" t="inlineStr">
        <is>
          <t>4726AF</t>
        </is>
      </c>
      <c r="D469" t="inlineStr">
        <is>
          <t>BAJA CALIFORNIA</t>
        </is>
      </c>
      <c r="E469" t="inlineStr">
        <is>
          <t>04-2025</t>
        </is>
      </c>
      <c r="F469" t="inlineStr">
        <is>
          <t>02-2026</t>
        </is>
      </c>
      <c r="G469" t="n">
        <v>9</v>
      </c>
      <c r="H469" t="inlineStr">
        <is>
          <t>Efectivo</t>
        </is>
      </c>
      <c r="I469" t="inlineStr">
        <is>
          <t>02-2026</t>
        </is>
      </c>
      <c r="J469" t="inlineStr">
        <is>
          <t>BXT277A</t>
        </is>
      </c>
      <c r="K469" t="inlineStr">
        <is>
          <t>CHEVROLET AVEO</t>
        </is>
      </c>
      <c r="L469" t="inlineStr">
        <is>
          <t>UBER</t>
        </is>
      </c>
      <c r="M469" s="3">
        <f>IF(H469="Efectivo",IFERROR((VALUE(RIGHT(I469,4))-VALUE(RIGHT(E469,4)))*12+(VALUE(LEFT(I469,2))-VALUE(LEFT(E469,2))),""),"")</f>
        <v/>
      </c>
    </row>
    <row r="470">
      <c r="A470" t="inlineStr">
        <is>
          <t>GONZALEZ DIAZ DARIO</t>
        </is>
      </c>
      <c r="B470" t="inlineStr">
        <is>
          <t>Hombre</t>
        </is>
      </c>
      <c r="C470" t="inlineStr">
        <is>
          <t>4712AF</t>
        </is>
      </c>
      <c r="D470" t="inlineStr">
        <is>
          <t>CDMX Y AREA METROPOLITANA</t>
        </is>
      </c>
      <c r="E470" t="inlineStr">
        <is>
          <t>04-2025</t>
        </is>
      </c>
      <c r="F470" t="inlineStr">
        <is>
          <t>11-2025</t>
        </is>
      </c>
      <c r="G470" t="n">
        <v>6</v>
      </c>
      <c r="H470" t="inlineStr">
        <is>
          <t>Pendiente</t>
        </is>
      </c>
      <c r="J470" t="inlineStr">
        <is>
          <t>F23BRR</t>
        </is>
      </c>
      <c r="K470" t="inlineStr">
        <is>
          <t>CHEVROLET AVEO</t>
        </is>
      </c>
      <c r="L470" t="inlineStr">
        <is>
          <t>UBER</t>
        </is>
      </c>
      <c r="M470" s="3">
        <f>IF(H470="Efectivo",IFERROR((VALUE(RIGHT(I470,4))-VALUE(RIGHT(E470,4)))*12+(VALUE(LEFT(I470,2))-VALUE(LEFT(E470,2))),""),"")</f>
        <v/>
      </c>
    </row>
    <row r="471">
      <c r="A471" t="inlineStr">
        <is>
          <t>GONZALEZ DOMINGUEZ VICTOR MANUEL</t>
        </is>
      </c>
      <c r="B471" t="inlineStr">
        <is>
          <t>Hombre</t>
        </is>
      </c>
      <c r="C471" t="inlineStr">
        <is>
          <t>3655AF</t>
        </is>
      </c>
      <c r="D471" t="inlineStr">
        <is>
          <t>JALISCO</t>
        </is>
      </c>
      <c r="E471" t="inlineStr">
        <is>
          <t>08-2024</t>
        </is>
      </c>
      <c r="F471" t="inlineStr">
        <is>
          <t>01-2026</t>
        </is>
      </c>
      <c r="G471" t="n">
        <v>17</v>
      </c>
      <c r="H471" t="inlineStr">
        <is>
          <t>Efectivo</t>
        </is>
      </c>
      <c r="I471" t="inlineStr">
        <is>
          <t>03-2026</t>
        </is>
      </c>
      <c r="J471" t="inlineStr">
        <is>
          <t>HXC199A</t>
        </is>
      </c>
      <c r="K471" t="inlineStr">
        <is>
          <t>CHEVROLET AVEO</t>
        </is>
      </c>
      <c r="L471" t="inlineStr">
        <is>
          <t>UBER</t>
        </is>
      </c>
      <c r="M471" s="3">
        <f>IF(H471="Efectivo",IFERROR((VALUE(RIGHT(I471,4))-VALUE(RIGHT(E471,4)))*12+(VALUE(LEFT(I471,2))-VALUE(LEFT(E471,2))),""),"")</f>
        <v/>
      </c>
    </row>
    <row r="472">
      <c r="A472" t="inlineStr">
        <is>
          <t>GONZALEZ DUEÑAS SAMUEL</t>
        </is>
      </c>
      <c r="B472" t="inlineStr">
        <is>
          <t>Hombre</t>
        </is>
      </c>
      <c r="C472" t="inlineStr">
        <is>
          <t>5574AF</t>
        </is>
      </c>
      <c r="D472" t="inlineStr">
        <is>
          <t>CDMX Y AREA METROPOLITANA</t>
        </is>
      </c>
      <c r="E472" t="inlineStr">
        <is>
          <t>08-2025</t>
        </is>
      </c>
      <c r="F472" t="inlineStr">
        <is>
          <t>10-2025</t>
        </is>
      </c>
      <c r="G472" t="n">
        <v>1</v>
      </c>
      <c r="H472" t="inlineStr">
        <is>
          <t>Efectivo</t>
        </is>
      </c>
      <c r="I472" t="inlineStr">
        <is>
          <t>10-2025</t>
        </is>
      </c>
      <c r="J472" t="inlineStr">
        <is>
          <t>42G736</t>
        </is>
      </c>
      <c r="K472" t="inlineStr">
        <is>
          <t>GAC AION S</t>
        </is>
      </c>
      <c r="L472" t="inlineStr">
        <is>
          <t>UBER</t>
        </is>
      </c>
      <c r="M472" s="3">
        <f>IF(H472="Efectivo",IFERROR((VALUE(RIGHT(I472,4))-VALUE(RIGHT(E472,4)))*12+(VALUE(LEFT(I472,2))-VALUE(LEFT(E472,2))),""),"")</f>
        <v/>
      </c>
    </row>
    <row r="473">
      <c r="A473" t="inlineStr">
        <is>
          <t>GONZALEZ GARCIA URIEL JOMAIR</t>
        </is>
      </c>
      <c r="B473" t="inlineStr">
        <is>
          <t>Hombre</t>
        </is>
      </c>
      <c r="C473" t="inlineStr">
        <is>
          <t>3668AF</t>
        </is>
      </c>
      <c r="D473" t="inlineStr">
        <is>
          <t>CDMX Y AREA METROPOLITANA</t>
        </is>
      </c>
      <c r="E473" t="inlineStr">
        <is>
          <t>08-2024</t>
        </is>
      </c>
      <c r="F473" t="inlineStr">
        <is>
          <t>01-2025</t>
        </is>
      </c>
      <c r="G473" t="n">
        <v>5</v>
      </c>
      <c r="H473" t="inlineStr">
        <is>
          <t>Efectivo</t>
        </is>
      </c>
      <c r="I473" t="inlineStr">
        <is>
          <t>01-2025</t>
        </is>
      </c>
      <c r="J473" t="inlineStr">
        <is>
          <t>89F999</t>
        </is>
      </c>
      <c r="K473" t="inlineStr">
        <is>
          <t>BYD D1</t>
        </is>
      </c>
      <c r="L473" t="inlineStr">
        <is>
          <t>DIDI</t>
        </is>
      </c>
      <c r="M473" s="3">
        <f>IF(H473="Efectivo",IFERROR((VALUE(RIGHT(I473,4))-VALUE(RIGHT(E473,4)))*12+(VALUE(LEFT(I473,2))-VALUE(LEFT(E473,2))),""),"")</f>
        <v/>
      </c>
    </row>
    <row r="474">
      <c r="A474" t="inlineStr">
        <is>
          <t>GONZALEZ GONZALEZ ANGEL IVAN</t>
        </is>
      </c>
      <c r="B474" t="inlineStr">
        <is>
          <t>Hombre</t>
        </is>
      </c>
      <c r="C474" t="inlineStr">
        <is>
          <t>4648AF</t>
        </is>
      </c>
      <c r="D474" t="inlineStr">
        <is>
          <t>CDMX Y AREA METROPOLITANA</t>
        </is>
      </c>
      <c r="E474" t="inlineStr">
        <is>
          <t>04-2025</t>
        </is>
      </c>
      <c r="F474" t="inlineStr">
        <is>
          <t>08-2025</t>
        </is>
      </c>
      <c r="G474" t="n">
        <v>4</v>
      </c>
      <c r="H474" t="inlineStr">
        <is>
          <t>Efectivo</t>
        </is>
      </c>
      <c r="I474" t="inlineStr">
        <is>
          <t>08-2025</t>
        </is>
      </c>
      <c r="J474" t="inlineStr">
        <is>
          <t>38G280</t>
        </is>
      </c>
      <c r="K474" t="inlineStr">
        <is>
          <t>GAC AION S</t>
        </is>
      </c>
      <c r="L474" t="inlineStr">
        <is>
          <t>DIDI</t>
        </is>
      </c>
      <c r="M474" s="3">
        <f>IF(H474="Efectivo",IFERROR((VALUE(RIGHT(I474,4))-VALUE(RIGHT(E474,4)))*12+(VALUE(LEFT(I474,2))-VALUE(LEFT(E474,2))),""),"")</f>
        <v/>
      </c>
    </row>
    <row r="475">
      <c r="A475" t="inlineStr">
        <is>
          <t>GONZALEZ GONZALEZ EDGAR ADRIAN</t>
        </is>
      </c>
      <c r="B475" t="inlineStr">
        <is>
          <t>Hombre</t>
        </is>
      </c>
      <c r="C475" t="inlineStr">
        <is>
          <t>3519AF</t>
        </is>
      </c>
      <c r="D475" t="inlineStr">
        <is>
          <t>CDMX Y AREA METROPOLITANA</t>
        </is>
      </c>
      <c r="E475" t="inlineStr">
        <is>
          <t>07-2024</t>
        </is>
      </c>
      <c r="F475" t="inlineStr">
        <is>
          <t>04-2025</t>
        </is>
      </c>
      <c r="G475" t="n">
        <v>9</v>
      </c>
      <c r="H475" t="inlineStr">
        <is>
          <t>Efectivo</t>
        </is>
      </c>
      <c r="I475" t="inlineStr">
        <is>
          <t>05-2025</t>
        </is>
      </c>
      <c r="J475" t="inlineStr">
        <is>
          <t>E45BPF</t>
        </is>
      </c>
      <c r="K475" t="inlineStr">
        <is>
          <t>CHEVROLET AVEO</t>
        </is>
      </c>
      <c r="L475" t="inlineStr">
        <is>
          <t>UBER</t>
        </is>
      </c>
      <c r="M475" s="3">
        <f>IF(H475="Efectivo",IFERROR((VALUE(RIGHT(I475,4))-VALUE(RIGHT(E475,4)))*12+(VALUE(LEFT(I475,2))-VALUE(LEFT(E475,2))),""),"")</f>
        <v/>
      </c>
    </row>
    <row r="476">
      <c r="A476" t="inlineStr">
        <is>
          <t>GONZALEZ HERNANDEZ APOLINAR</t>
        </is>
      </c>
      <c r="B476" t="inlineStr">
        <is>
          <t>Hombre</t>
        </is>
      </c>
      <c r="C476" t="inlineStr">
        <is>
          <t>3644AF</t>
        </is>
      </c>
      <c r="D476" t="inlineStr">
        <is>
          <t>CDMX Y AREA METROPOLITANA</t>
        </is>
      </c>
      <c r="E476" t="inlineStr">
        <is>
          <t>08-2024</t>
        </is>
      </c>
      <c r="F476" t="inlineStr">
        <is>
          <t>03-2025</t>
        </is>
      </c>
      <c r="G476" t="n">
        <v>6</v>
      </c>
      <c r="H476" t="inlineStr">
        <is>
          <t>Efectivo</t>
        </is>
      </c>
      <c r="I476" t="inlineStr">
        <is>
          <t>03-2025</t>
        </is>
      </c>
      <c r="J476" t="inlineStr">
        <is>
          <t>P69BPH</t>
        </is>
      </c>
      <c r="K476" t="inlineStr">
        <is>
          <t>CHEVROLET AVEO</t>
        </is>
      </c>
      <c r="L476" t="inlineStr">
        <is>
          <t>UBER</t>
        </is>
      </c>
      <c r="M476" s="3">
        <f>IF(H476="Efectivo",IFERROR((VALUE(RIGHT(I476,4))-VALUE(RIGHT(E476,4)))*12+(VALUE(LEFT(I476,2))-VALUE(LEFT(E476,2))),""),"")</f>
        <v/>
      </c>
    </row>
    <row r="477">
      <c r="A477" t="inlineStr">
        <is>
          <t>GONZALEZ HERNANDEZ JACOBO ABRAHAM</t>
        </is>
      </c>
      <c r="B477" t="inlineStr">
        <is>
          <t>Hombre</t>
        </is>
      </c>
      <c r="C477" t="inlineStr">
        <is>
          <t>5560AF</t>
        </is>
      </c>
      <c r="D477" t="inlineStr">
        <is>
          <t>CDMX Y AREA METROPOLITANA</t>
        </is>
      </c>
      <c r="E477" t="inlineStr">
        <is>
          <t>08-2025</t>
        </is>
      </c>
      <c r="F477" t="inlineStr">
        <is>
          <t>01-2026</t>
        </is>
      </c>
      <c r="G477" t="n">
        <v>5</v>
      </c>
      <c r="H477" t="inlineStr">
        <is>
          <t>Efectivo</t>
        </is>
      </c>
      <c r="I477" t="inlineStr">
        <is>
          <t>02-2026</t>
        </is>
      </c>
      <c r="J477" t="inlineStr">
        <is>
          <t>48G139</t>
        </is>
      </c>
      <c r="K477" t="inlineStr">
        <is>
          <t>BYD MINIDOLPHIN</t>
        </is>
      </c>
      <c r="L477" t="inlineStr">
        <is>
          <t>DIDI</t>
        </is>
      </c>
      <c r="M477" s="3">
        <f>IF(H477="Efectivo",IFERROR((VALUE(RIGHT(I477,4))-VALUE(RIGHT(E477,4)))*12+(VALUE(LEFT(I477,2))-VALUE(LEFT(E477,2))),""),"")</f>
        <v/>
      </c>
    </row>
    <row r="478">
      <c r="A478" t="inlineStr">
        <is>
          <t>GONZALEZ MACIEL CARLOS ALFONSO</t>
        </is>
      </c>
      <c r="B478" t="inlineStr">
        <is>
          <t>Hombre</t>
        </is>
      </c>
      <c r="C478" t="inlineStr">
        <is>
          <t>3524AF</t>
        </is>
      </c>
      <c r="D478" t="inlineStr">
        <is>
          <t>JALISCO</t>
        </is>
      </c>
      <c r="E478" t="inlineStr">
        <is>
          <t>07-2024</t>
        </is>
      </c>
      <c r="F478" t="inlineStr">
        <is>
          <t>01-2025</t>
        </is>
      </c>
      <c r="G478" t="n">
        <v>6</v>
      </c>
      <c r="H478" t="inlineStr">
        <is>
          <t>Cancelado</t>
        </is>
      </c>
      <c r="J478" t="inlineStr">
        <is>
          <t>HWE351A</t>
        </is>
      </c>
      <c r="K478" t="inlineStr">
        <is>
          <t>TOYOTA AVANZA</t>
        </is>
      </c>
      <c r="L478" t="inlineStr">
        <is>
          <t>UBER</t>
        </is>
      </c>
      <c r="M478" s="3">
        <f>IF(H478="Efectivo",IFERROR((VALUE(RIGHT(I478,4))-VALUE(RIGHT(E478,4)))*12+(VALUE(LEFT(I478,2))-VALUE(LEFT(E478,2))),""),"")</f>
        <v/>
      </c>
    </row>
    <row r="479">
      <c r="A479" t="inlineStr">
        <is>
          <t>GONZALEZ MACIEL CARLOS ALFONSO</t>
        </is>
      </c>
      <c r="B479" t="inlineStr">
        <is>
          <t>Hombre</t>
        </is>
      </c>
      <c r="C479" t="inlineStr">
        <is>
          <t>3524AF</t>
        </is>
      </c>
      <c r="D479" t="inlineStr">
        <is>
          <t>JALISCO</t>
        </is>
      </c>
      <c r="E479" t="inlineStr">
        <is>
          <t>07-2024</t>
        </is>
      </c>
      <c r="F479" t="inlineStr">
        <is>
          <t>04-2026</t>
        </is>
      </c>
      <c r="G479" t="n">
        <v>21</v>
      </c>
      <c r="H479" t="inlineStr">
        <is>
          <t>Efectivo</t>
        </is>
      </c>
      <c r="I479" t="inlineStr">
        <is>
          <t>04-2026</t>
        </is>
      </c>
      <c r="J479" t="inlineStr">
        <is>
          <t>HWE351A</t>
        </is>
      </c>
      <c r="K479" t="inlineStr">
        <is>
          <t>TOYOTA AVANZA</t>
        </is>
      </c>
      <c r="L479" t="inlineStr">
        <is>
          <t>UBER</t>
        </is>
      </c>
      <c r="M479" s="3">
        <f>IF(H479="Efectivo",IFERROR((VALUE(RIGHT(I479,4))-VALUE(RIGHT(E479,4)))*12+(VALUE(LEFT(I479,2))-VALUE(LEFT(E479,2))),""),"")</f>
        <v/>
      </c>
    </row>
    <row r="480">
      <c r="A480" t="inlineStr">
        <is>
          <t>GONZALEZ MAGDALENO EDUARDO</t>
        </is>
      </c>
      <c r="B480" t="inlineStr">
        <is>
          <t>Hombre</t>
        </is>
      </c>
      <c r="C480" t="inlineStr">
        <is>
          <t>5140AF</t>
        </is>
      </c>
      <c r="D480" t="inlineStr">
        <is>
          <t>CDMX Y AREA METROPOLITANA</t>
        </is>
      </c>
      <c r="E480" t="inlineStr">
        <is>
          <t>06-2025</t>
        </is>
      </c>
      <c r="F480" t="inlineStr">
        <is>
          <t>08-2025</t>
        </is>
      </c>
      <c r="G480" t="n">
        <v>2</v>
      </c>
      <c r="H480" t="inlineStr">
        <is>
          <t>Cancelado</t>
        </is>
      </c>
      <c r="J480" t="inlineStr">
        <is>
          <t>50G849</t>
        </is>
      </c>
      <c r="K480" t="inlineStr">
        <is>
          <t>GAC AION S</t>
        </is>
      </c>
      <c r="L480" t="inlineStr">
        <is>
          <t>UBER</t>
        </is>
      </c>
      <c r="M480" s="3">
        <f>IF(H480="Efectivo",IFERROR((VALUE(RIGHT(I480,4))-VALUE(RIGHT(E480,4)))*12+(VALUE(LEFT(I480,2))-VALUE(LEFT(E480,2))),""),"")</f>
        <v/>
      </c>
    </row>
    <row r="481">
      <c r="A481" t="inlineStr">
        <is>
          <t>GONZALEZ MARTINEZ CLEORACLIO</t>
        </is>
      </c>
      <c r="B481" t="inlineStr">
        <is>
          <t>Hombre</t>
        </is>
      </c>
      <c r="C481" t="inlineStr">
        <is>
          <t>3642AF</t>
        </is>
      </c>
      <c r="D481" t="inlineStr">
        <is>
          <t>CDMX Y AREA METROPOLITANA</t>
        </is>
      </c>
      <c r="E481" t="inlineStr">
        <is>
          <t>08-2024</t>
        </is>
      </c>
      <c r="F481" t="inlineStr">
        <is>
          <t>05-2025</t>
        </is>
      </c>
      <c r="G481" t="n">
        <v>9</v>
      </c>
      <c r="H481" t="inlineStr">
        <is>
          <t>Efectivo</t>
        </is>
      </c>
      <c r="I481" t="inlineStr">
        <is>
          <t>06-2025</t>
        </is>
      </c>
      <c r="J481" t="inlineStr">
        <is>
          <t>R10BPH</t>
        </is>
      </c>
      <c r="K481" t="inlineStr">
        <is>
          <t>CHEVROLET AVEO</t>
        </is>
      </c>
      <c r="L481" t="inlineStr">
        <is>
          <t>UBER</t>
        </is>
      </c>
      <c r="M481" s="3">
        <f>IF(H481="Efectivo",IFERROR((VALUE(RIGHT(I481,4))-VALUE(RIGHT(E481,4)))*12+(VALUE(LEFT(I481,2))-VALUE(LEFT(E481,2))),""),"")</f>
        <v/>
      </c>
    </row>
    <row r="482">
      <c r="A482" t="inlineStr">
        <is>
          <t>GONZALEZ MOSQUEDA ROBERTO ALEJANDRO</t>
        </is>
      </c>
      <c r="B482" t="inlineStr">
        <is>
          <t>Hombre</t>
        </is>
      </c>
      <c r="C482" t="inlineStr">
        <is>
          <t>3932AF</t>
        </is>
      </c>
      <c r="D482" t="inlineStr">
        <is>
          <t>CDMX Y AREA METROPOLITANA</t>
        </is>
      </c>
      <c r="E482" t="inlineStr">
        <is>
          <t>10-2024</t>
        </is>
      </c>
      <c r="F482" t="inlineStr">
        <is>
          <t>06-2025</t>
        </is>
      </c>
      <c r="G482" t="n">
        <v>7</v>
      </c>
      <c r="H482" t="inlineStr">
        <is>
          <t>Efectivo</t>
        </is>
      </c>
      <c r="I482" t="inlineStr">
        <is>
          <t>06-2025</t>
        </is>
      </c>
      <c r="J482" t="inlineStr">
        <is>
          <t>13G873</t>
        </is>
      </c>
      <c r="K482" t="inlineStr">
        <is>
          <t>BYD D1</t>
        </is>
      </c>
      <c r="L482" t="inlineStr">
        <is>
          <t>DIDI</t>
        </is>
      </c>
      <c r="M482" s="3">
        <f>IF(H482="Efectivo",IFERROR((VALUE(RIGHT(I482,4))-VALUE(RIGHT(E482,4)))*12+(VALUE(LEFT(I482,2))-VALUE(LEFT(E482,2))),""),"")</f>
        <v/>
      </c>
    </row>
    <row r="483">
      <c r="A483" t="inlineStr">
        <is>
          <t>GONZALEZ MURCIA JOSE ALFONSO</t>
        </is>
      </c>
      <c r="B483" t="inlineStr">
        <is>
          <t>Hombre</t>
        </is>
      </c>
      <c r="C483" t="inlineStr">
        <is>
          <t>3252AF</t>
        </is>
      </c>
      <c r="D483" t="inlineStr">
        <is>
          <t>CDMX Y AREA METROPOLITANA</t>
        </is>
      </c>
      <c r="E483" t="inlineStr">
        <is>
          <t>05-2024</t>
        </is>
      </c>
      <c r="F483" t="inlineStr">
        <is>
          <t>01-2026</t>
        </is>
      </c>
      <c r="G483" t="n">
        <v>20</v>
      </c>
      <c r="H483" t="inlineStr">
        <is>
          <t>Efectivo</t>
        </is>
      </c>
      <c r="I483" t="inlineStr">
        <is>
          <t>01-2026</t>
        </is>
      </c>
      <c r="J483" t="inlineStr">
        <is>
          <t>A07BNM</t>
        </is>
      </c>
      <c r="K483" t="inlineStr">
        <is>
          <t>CHEVROLET AVEO</t>
        </is>
      </c>
      <c r="L483" t="inlineStr">
        <is>
          <t>UBER</t>
        </is>
      </c>
      <c r="M483" s="3">
        <f>IF(H483="Efectivo",IFERROR((VALUE(RIGHT(I483,4))-VALUE(RIGHT(E483,4)))*12+(VALUE(LEFT(I483,2))-VALUE(LEFT(E483,2))),""),"")</f>
        <v/>
      </c>
    </row>
    <row r="484">
      <c r="A484" t="inlineStr">
        <is>
          <t>GONZALEZ OREA ADAN</t>
        </is>
      </c>
      <c r="B484" t="inlineStr">
        <is>
          <t>Hombre</t>
        </is>
      </c>
      <c r="C484" t="inlineStr">
        <is>
          <t>5817AF</t>
        </is>
      </c>
      <c r="D484" t="inlineStr">
        <is>
          <t>CDMX Y AREA METROPOLITANA</t>
        </is>
      </c>
      <c r="E484" t="inlineStr">
        <is>
          <t>09-2025</t>
        </is>
      </c>
      <c r="F484" t="inlineStr">
        <is>
          <t>12-2025</t>
        </is>
      </c>
      <c r="G484" t="n">
        <v>2</v>
      </c>
      <c r="H484" t="inlineStr">
        <is>
          <t>Efectivo</t>
        </is>
      </c>
      <c r="I484" t="inlineStr">
        <is>
          <t>02-2026</t>
        </is>
      </c>
      <c r="J484" t="inlineStr">
        <is>
          <t>11K119</t>
        </is>
      </c>
      <c r="K484" t="inlineStr">
        <is>
          <t>BYD MINIDOLPHIN</t>
        </is>
      </c>
      <c r="L484" t="inlineStr">
        <is>
          <t>UBER</t>
        </is>
      </c>
      <c r="M484" s="3">
        <f>IF(H484="Efectivo",IFERROR((VALUE(RIGHT(I484,4))-VALUE(RIGHT(E484,4)))*12+(VALUE(LEFT(I484,2))-VALUE(LEFT(E484,2))),""),"")</f>
        <v/>
      </c>
    </row>
    <row r="485">
      <c r="A485" t="inlineStr">
        <is>
          <t>GONZALEZ PATLAN RAMON RUBEN</t>
        </is>
      </c>
      <c r="B485" t="inlineStr">
        <is>
          <t>Hombre</t>
        </is>
      </c>
      <c r="C485" t="inlineStr">
        <is>
          <t>5427AF</t>
        </is>
      </c>
      <c r="D485" t="inlineStr">
        <is>
          <t>CDMX Y AREA METROPOLITANA</t>
        </is>
      </c>
      <c r="E485" t="inlineStr">
        <is>
          <t>07-2025</t>
        </is>
      </c>
      <c r="F485" t="inlineStr">
        <is>
          <t>01-2026</t>
        </is>
      </c>
      <c r="G485" t="n">
        <v>6</v>
      </c>
      <c r="H485" t="inlineStr">
        <is>
          <t>Efectivo</t>
        </is>
      </c>
      <c r="I485" t="inlineStr">
        <is>
          <t>01-2026</t>
        </is>
      </c>
      <c r="J485" t="inlineStr">
        <is>
          <t>13G519</t>
        </is>
      </c>
      <c r="K485" t="inlineStr">
        <is>
          <t>BYD MINIDOLPHIN</t>
        </is>
      </c>
      <c r="L485" t="inlineStr">
        <is>
          <t>DIDI</t>
        </is>
      </c>
      <c r="M485" s="3">
        <f>IF(H485="Efectivo",IFERROR((VALUE(RIGHT(I485,4))-VALUE(RIGHT(E485,4)))*12+(VALUE(LEFT(I485,2))-VALUE(LEFT(E485,2))),""),"")</f>
        <v/>
      </c>
    </row>
    <row r="486">
      <c r="A486" t="inlineStr">
        <is>
          <t>GONZALEZ RANGEL DANIEL</t>
        </is>
      </c>
      <c r="B486" t="inlineStr">
        <is>
          <t>Hombre</t>
        </is>
      </c>
      <c r="C486" t="inlineStr">
        <is>
          <t>5046AF</t>
        </is>
      </c>
      <c r="D486" t="inlineStr">
        <is>
          <t>CDMX Y AREA METROPOLITANA</t>
        </is>
      </c>
      <c r="E486" t="inlineStr">
        <is>
          <t>06-2025</t>
        </is>
      </c>
      <c r="F486" t="inlineStr">
        <is>
          <t>03-2026</t>
        </is>
      </c>
      <c r="G486" t="n">
        <v>9</v>
      </c>
      <c r="H486" t="inlineStr">
        <is>
          <t>Efectivo</t>
        </is>
      </c>
      <c r="I486" t="inlineStr">
        <is>
          <t>03-2026</t>
        </is>
      </c>
      <c r="J486" t="inlineStr">
        <is>
          <t>50G673</t>
        </is>
      </c>
      <c r="K486" t="inlineStr">
        <is>
          <t>GAC AION S</t>
        </is>
      </c>
      <c r="L486" t="inlineStr">
        <is>
          <t>UBER</t>
        </is>
      </c>
      <c r="M486" s="3">
        <f>IF(H486="Efectivo",IFERROR((VALUE(RIGHT(I486,4))-VALUE(RIGHT(E486,4)))*12+(VALUE(LEFT(I486,2))-VALUE(LEFT(E486,2))),""),"")</f>
        <v/>
      </c>
    </row>
    <row r="487">
      <c r="A487" t="inlineStr">
        <is>
          <t>GONZALEZ ROMERO ARTURO</t>
        </is>
      </c>
      <c r="B487" t="inlineStr">
        <is>
          <t>Hombre</t>
        </is>
      </c>
      <c r="C487" t="inlineStr">
        <is>
          <t>3399AF</t>
        </is>
      </c>
      <c r="D487" t="inlineStr">
        <is>
          <t>CDMX Y AREA METROPOLITANA</t>
        </is>
      </c>
      <c r="E487" t="inlineStr">
        <is>
          <t>06-2024</t>
        </is>
      </c>
      <c r="F487" t="inlineStr">
        <is>
          <t>04-2025</t>
        </is>
      </c>
      <c r="G487" t="n">
        <v>10</v>
      </c>
      <c r="H487" t="inlineStr">
        <is>
          <t>Efectivo</t>
        </is>
      </c>
      <c r="I487" t="inlineStr">
        <is>
          <t>04-2025</t>
        </is>
      </c>
      <c r="J487" t="inlineStr">
        <is>
          <t>A02BNM</t>
        </is>
      </c>
      <c r="K487" t="inlineStr">
        <is>
          <t>CHEVROLET AVEO</t>
        </is>
      </c>
      <c r="L487" t="inlineStr">
        <is>
          <t>UBER</t>
        </is>
      </c>
      <c r="M487" s="3">
        <f>IF(H487="Efectivo",IFERROR((VALUE(RIGHT(I487,4))-VALUE(RIGHT(E487,4)))*12+(VALUE(LEFT(I487,2))-VALUE(LEFT(E487,2))),""),"")</f>
        <v/>
      </c>
    </row>
    <row r="488">
      <c r="A488" t="inlineStr">
        <is>
          <t>GONZALEZ SANCHEZ JESUS GIOVANNI</t>
        </is>
      </c>
      <c r="B488" t="inlineStr">
        <is>
          <t>Hombre</t>
        </is>
      </c>
      <c r="C488" t="inlineStr">
        <is>
          <t>5426AF</t>
        </is>
      </c>
      <c r="D488" t="inlineStr">
        <is>
          <t>CDMX Y AREA METROPOLITANA</t>
        </is>
      </c>
      <c r="E488" t="inlineStr">
        <is>
          <t>07-2025</t>
        </is>
      </c>
      <c r="F488" t="inlineStr">
        <is>
          <t>09-2025</t>
        </is>
      </c>
      <c r="G488" t="n">
        <v>2</v>
      </c>
      <c r="H488" t="inlineStr">
        <is>
          <t>Efectivo</t>
        </is>
      </c>
      <c r="I488" t="inlineStr">
        <is>
          <t>09-2025</t>
        </is>
      </c>
      <c r="J488" t="inlineStr">
        <is>
          <t>19G403</t>
        </is>
      </c>
      <c r="K488" t="inlineStr">
        <is>
          <t>BYD D1</t>
        </is>
      </c>
      <c r="L488" t="inlineStr">
        <is>
          <t>UBER</t>
        </is>
      </c>
      <c r="M488" s="3">
        <f>IF(H488="Efectivo",IFERROR((VALUE(RIGHT(I488,4))-VALUE(RIGHT(E488,4)))*12+(VALUE(LEFT(I488,2))-VALUE(LEFT(E488,2))),""),"")</f>
        <v/>
      </c>
    </row>
    <row r="489">
      <c r="A489" t="inlineStr">
        <is>
          <t>GONZALEZ SOSA LUIS</t>
        </is>
      </c>
      <c r="B489" t="inlineStr">
        <is>
          <t>Hombre</t>
        </is>
      </c>
      <c r="C489" t="inlineStr">
        <is>
          <t>4490AF</t>
        </is>
      </c>
      <c r="D489" t="inlineStr">
        <is>
          <t>CDMX Y AREA METROPOLITANA</t>
        </is>
      </c>
      <c r="E489" t="inlineStr">
        <is>
          <t>03-2025</t>
        </is>
      </c>
      <c r="F489" t="inlineStr">
        <is>
          <t>06-2025</t>
        </is>
      </c>
      <c r="G489" t="n">
        <v>3</v>
      </c>
      <c r="H489" t="inlineStr">
        <is>
          <t>Efectivo</t>
        </is>
      </c>
      <c r="I489" t="inlineStr">
        <is>
          <t>07-2025</t>
        </is>
      </c>
      <c r="J489" t="inlineStr">
        <is>
          <t>19G541</t>
        </is>
      </c>
      <c r="K489" t="inlineStr">
        <is>
          <t>BYD D1</t>
        </is>
      </c>
      <c r="L489" t="inlineStr">
        <is>
          <t>UBER</t>
        </is>
      </c>
      <c r="M489" s="3">
        <f>IF(H489="Efectivo",IFERROR((VALUE(RIGHT(I489,4))-VALUE(RIGHT(E489,4)))*12+(VALUE(LEFT(I489,2))-VALUE(LEFT(E489,2))),""),"")</f>
        <v/>
      </c>
    </row>
    <row r="490">
      <c r="A490" t="inlineStr">
        <is>
          <t>GONZALEZ VARGAS ROBERTO JACIEL</t>
        </is>
      </c>
      <c r="B490" t="inlineStr">
        <is>
          <t>Hombre</t>
        </is>
      </c>
      <c r="C490" t="inlineStr">
        <is>
          <t>4887AF</t>
        </is>
      </c>
      <c r="D490" t="inlineStr">
        <is>
          <t>NUEVO LEON</t>
        </is>
      </c>
      <c r="E490" t="inlineStr">
        <is>
          <t>05-2025</t>
        </is>
      </c>
      <c r="F490" t="inlineStr">
        <is>
          <t>03-2026</t>
        </is>
      </c>
      <c r="G490" t="n">
        <v>9</v>
      </c>
      <c r="H490" t="inlineStr">
        <is>
          <t>Cancelado</t>
        </is>
      </c>
      <c r="J490" t="inlineStr">
        <is>
          <t>RLW866C</t>
        </is>
      </c>
      <c r="K490" t="inlineStr">
        <is>
          <t>CHEVROLET AVEO</t>
        </is>
      </c>
      <c r="L490" t="inlineStr">
        <is>
          <t>DIDI</t>
        </is>
      </c>
      <c r="M490" s="3">
        <f>IF(H490="Efectivo",IFERROR((VALUE(RIGHT(I490,4))-VALUE(RIGHT(E490,4)))*12+(VALUE(LEFT(I490,2))-VALUE(LEFT(E490,2))),""),"")</f>
        <v/>
      </c>
    </row>
    <row r="491">
      <c r="A491" t="inlineStr">
        <is>
          <t>GONZALEZ VAZQUEZ NESTOR DANIEL</t>
        </is>
      </c>
      <c r="B491" t="inlineStr">
        <is>
          <t>Hombre</t>
        </is>
      </c>
      <c r="C491" t="inlineStr">
        <is>
          <t>4491AF</t>
        </is>
      </c>
      <c r="D491" t="inlineStr">
        <is>
          <t>CDMX Y AREA METROPOLITANA</t>
        </is>
      </c>
      <c r="E491" t="inlineStr">
        <is>
          <t>03-2025</t>
        </is>
      </c>
      <c r="F491" t="inlineStr">
        <is>
          <t>05-2026</t>
        </is>
      </c>
      <c r="G491" t="n">
        <v>14</v>
      </c>
      <c r="H491" t="inlineStr">
        <is>
          <t>Efectivo</t>
        </is>
      </c>
      <c r="I491" t="inlineStr">
        <is>
          <t>05-2026</t>
        </is>
      </c>
      <c r="J491" t="inlineStr">
        <is>
          <t>19G385</t>
        </is>
      </c>
      <c r="K491" t="inlineStr">
        <is>
          <t>BYD D1</t>
        </is>
      </c>
      <c r="L491" t="inlineStr">
        <is>
          <t>UBER</t>
        </is>
      </c>
      <c r="M491" s="3">
        <f>IF(H491="Efectivo",IFERROR((VALUE(RIGHT(I491,4))-VALUE(RIGHT(E491,4)))*12+(VALUE(LEFT(I491,2))-VALUE(LEFT(E491,2))),""),"")</f>
        <v/>
      </c>
    </row>
    <row r="492">
      <c r="A492" t="inlineStr">
        <is>
          <t>GONZALEZ VELEZ OMAR EDUARDO</t>
        </is>
      </c>
      <c r="B492" t="inlineStr">
        <is>
          <t>Hombre</t>
        </is>
      </c>
      <c r="C492" t="inlineStr">
        <is>
          <t>3162AF</t>
        </is>
      </c>
      <c r="D492" t="inlineStr">
        <is>
          <t>JALISCO</t>
        </is>
      </c>
      <c r="E492" t="inlineStr">
        <is>
          <t>04-2024</t>
        </is>
      </c>
      <c r="F492" t="inlineStr">
        <is>
          <t>02-2025</t>
        </is>
      </c>
      <c r="G492" t="n">
        <v>10</v>
      </c>
      <c r="H492" t="inlineStr">
        <is>
          <t>Efectivo</t>
        </is>
      </c>
      <c r="I492" t="inlineStr">
        <is>
          <t>02-2025</t>
        </is>
      </c>
      <c r="J492" t="inlineStr">
        <is>
          <t>HUL785A</t>
        </is>
      </c>
      <c r="K492" t="inlineStr">
        <is>
          <t>CHEVROLET AVEO</t>
        </is>
      </c>
      <c r="L492" t="inlineStr">
        <is>
          <t>UBER</t>
        </is>
      </c>
      <c r="M492" s="3">
        <f>IF(H492="Efectivo",IFERROR((VALUE(RIGHT(I492,4))-VALUE(RIGHT(E492,4)))*12+(VALUE(LEFT(I492,2))-VALUE(LEFT(E492,2))),""),"")</f>
        <v/>
      </c>
    </row>
    <row r="493">
      <c r="A493" t="inlineStr">
        <is>
          <t>GONZALEZ ZAMORA CARLOS CRUZ</t>
        </is>
      </c>
      <c r="B493" t="inlineStr">
        <is>
          <t>Hombre</t>
        </is>
      </c>
      <c r="C493" t="inlineStr">
        <is>
          <t>4461AF</t>
        </is>
      </c>
      <c r="D493" t="inlineStr">
        <is>
          <t>CDMX Y AREA METROPOLITANA</t>
        </is>
      </c>
      <c r="E493" t="inlineStr">
        <is>
          <t>03-2025</t>
        </is>
      </c>
      <c r="F493" t="inlineStr">
        <is>
          <t>08-2025</t>
        </is>
      </c>
      <c r="G493" t="n">
        <v>5</v>
      </c>
      <c r="H493" t="inlineStr">
        <is>
          <t>Efectivo</t>
        </is>
      </c>
      <c r="I493" t="inlineStr">
        <is>
          <t>08-2025</t>
        </is>
      </c>
      <c r="J493" t="inlineStr">
        <is>
          <t>19G726</t>
        </is>
      </c>
      <c r="K493" t="inlineStr">
        <is>
          <t>BYD MINIDOLPHIN</t>
        </is>
      </c>
      <c r="L493" t="inlineStr">
        <is>
          <t>UBER</t>
        </is>
      </c>
      <c r="M493" s="3">
        <f>IF(H493="Efectivo",IFERROR((VALUE(RIGHT(I493,4))-VALUE(RIGHT(E493,4)))*12+(VALUE(LEFT(I493,2))-VALUE(LEFT(E493,2))),""),"")</f>
        <v/>
      </c>
    </row>
    <row r="494">
      <c r="A494" t="inlineStr">
        <is>
          <t>GONZALEZ ZARAGOZA DAVID ISAIAS</t>
        </is>
      </c>
      <c r="B494" t="inlineStr">
        <is>
          <t>Hombre</t>
        </is>
      </c>
      <c r="C494" t="inlineStr">
        <is>
          <t>6162AF</t>
        </is>
      </c>
      <c r="D494" t="inlineStr">
        <is>
          <t>BAJA CALIFORNIA</t>
        </is>
      </c>
      <c r="E494" t="inlineStr">
        <is>
          <t>11-2025</t>
        </is>
      </c>
      <c r="F494" t="inlineStr">
        <is>
          <t>03-2026</t>
        </is>
      </c>
      <c r="G494" t="n">
        <v>4</v>
      </c>
      <c r="H494" t="inlineStr">
        <is>
          <t>Efectivo</t>
        </is>
      </c>
      <c r="I494" t="inlineStr">
        <is>
          <t>03-2026</t>
        </is>
      </c>
      <c r="J494" t="inlineStr">
        <is>
          <t>CAS984A</t>
        </is>
      </c>
      <c r="K494" t="inlineStr">
        <is>
          <t>CHEVROLET AVEO</t>
        </is>
      </c>
      <c r="L494" t="inlineStr">
        <is>
          <t>DIDI</t>
        </is>
      </c>
      <c r="M494" s="3">
        <f>IF(H494="Efectivo",IFERROR((VALUE(RIGHT(I494,4))-VALUE(RIGHT(E494,4)))*12+(VALUE(LEFT(I494,2))-VALUE(LEFT(E494,2))),""),"")</f>
        <v/>
      </c>
    </row>
    <row r="495">
      <c r="A495" t="inlineStr">
        <is>
          <t>GONZALEZ ZARAGOZA GERSON EMMANUEL</t>
        </is>
      </c>
      <c r="B495" t="inlineStr">
        <is>
          <t>Hombre</t>
        </is>
      </c>
      <c r="C495" t="inlineStr">
        <is>
          <t>6119AF</t>
        </is>
      </c>
      <c r="D495" t="inlineStr">
        <is>
          <t>BAJA CALIFORNIA</t>
        </is>
      </c>
      <c r="E495" t="inlineStr">
        <is>
          <t>10-2025</t>
        </is>
      </c>
      <c r="F495" t="inlineStr">
        <is>
          <t>01-2026</t>
        </is>
      </c>
      <c r="G495" t="n">
        <v>3</v>
      </c>
      <c r="H495" t="inlineStr">
        <is>
          <t>Efectivo</t>
        </is>
      </c>
      <c r="I495" t="inlineStr">
        <is>
          <t>01-2026</t>
        </is>
      </c>
      <c r="J495" t="inlineStr">
        <is>
          <t>CAS976A</t>
        </is>
      </c>
      <c r="K495" t="inlineStr">
        <is>
          <t>CHEVROLET AVEO</t>
        </is>
      </c>
      <c r="L495" t="inlineStr">
        <is>
          <t>UBER</t>
        </is>
      </c>
      <c r="M495" s="3">
        <f>IF(H495="Efectivo",IFERROR((VALUE(RIGHT(I495,4))-VALUE(RIGHT(E495,4)))*12+(VALUE(LEFT(I495,2))-VALUE(LEFT(E495,2))),""),"")</f>
        <v/>
      </c>
    </row>
    <row r="496">
      <c r="A496" t="inlineStr">
        <is>
          <t>GONZALEZ ZAVALA JAIR ALEJANDRO</t>
        </is>
      </c>
      <c r="B496" t="inlineStr">
        <is>
          <t>Hombre</t>
        </is>
      </c>
      <c r="C496" t="inlineStr">
        <is>
          <t>5234AF</t>
        </is>
      </c>
      <c r="D496" t="inlineStr">
        <is>
          <t>CDMX Y AREA METROPOLITANA</t>
        </is>
      </c>
      <c r="E496" t="inlineStr">
        <is>
          <t>07-2025</t>
        </is>
      </c>
      <c r="F496" t="inlineStr">
        <is>
          <t>09-2025</t>
        </is>
      </c>
      <c r="G496" t="n">
        <v>2</v>
      </c>
      <c r="H496" t="inlineStr">
        <is>
          <t>Pendiente</t>
        </is>
      </c>
      <c r="J496" t="inlineStr">
        <is>
          <t>89F836</t>
        </is>
      </c>
      <c r="K496" t="inlineStr">
        <is>
          <t>BYD D1</t>
        </is>
      </c>
      <c r="L496" t="inlineStr">
        <is>
          <t>UBER</t>
        </is>
      </c>
      <c r="M496" s="3">
        <f>IF(H496="Efectivo",IFERROR((VALUE(RIGHT(I496,4))-VALUE(RIGHT(E496,4)))*12+(VALUE(LEFT(I496,2))-VALUE(LEFT(E496,2))),""),"")</f>
        <v/>
      </c>
    </row>
    <row r="497">
      <c r="A497" t="inlineStr">
        <is>
          <t>GRACIA ALVAREZ NOE ISAAC</t>
        </is>
      </c>
      <c r="B497" t="inlineStr">
        <is>
          <t>Hombre</t>
        </is>
      </c>
      <c r="C497" t="inlineStr">
        <is>
          <t>2705AF</t>
        </is>
      </c>
      <c r="D497" t="inlineStr">
        <is>
          <t>CDMX Y AREA METROPOLITANA</t>
        </is>
      </c>
      <c r="E497" t="inlineStr">
        <is>
          <t>08-2023</t>
        </is>
      </c>
      <c r="F497" t="inlineStr">
        <is>
          <t>05-2025</t>
        </is>
      </c>
      <c r="G497" t="n">
        <v>21</v>
      </c>
      <c r="H497" t="inlineStr">
        <is>
          <t>Efectivo</t>
        </is>
      </c>
      <c r="I497" t="inlineStr">
        <is>
          <t>05-2025</t>
        </is>
      </c>
      <c r="J497" t="inlineStr">
        <is>
          <t>62F103</t>
        </is>
      </c>
      <c r="K497" t="inlineStr">
        <is>
          <t>SUZUKI ERTIGA</t>
        </is>
      </c>
      <c r="L497" t="inlineStr">
        <is>
          <t>UBER</t>
        </is>
      </c>
      <c r="M497" s="3">
        <f>IF(H497="Efectivo",IFERROR((VALUE(RIGHT(I497,4))-VALUE(RIGHT(E497,4)))*12+(VALUE(LEFT(I497,2))-VALUE(LEFT(E497,2))),""),"")</f>
        <v/>
      </c>
    </row>
    <row r="498">
      <c r="A498" t="inlineStr">
        <is>
          <t>GRAJALES MOLINA HENRY YAIR</t>
        </is>
      </c>
      <c r="B498" t="inlineStr">
        <is>
          <t>Hombre</t>
        </is>
      </c>
      <c r="C498" t="inlineStr">
        <is>
          <t>1980AF</t>
        </is>
      </c>
      <c r="D498" t="inlineStr">
        <is>
          <t>JALISCO</t>
        </is>
      </c>
      <c r="E498" t="inlineStr">
        <is>
          <t>02-2022</t>
        </is>
      </c>
      <c r="F498" t="inlineStr">
        <is>
          <t>01-2025</t>
        </is>
      </c>
      <c r="G498" t="n">
        <v>36</v>
      </c>
      <c r="H498" t="inlineStr">
        <is>
          <t>Efectivo</t>
        </is>
      </c>
      <c r="I498" t="inlineStr">
        <is>
          <t>02-2025</t>
        </is>
      </c>
      <c r="J498" t="inlineStr">
        <is>
          <t>JSY4729</t>
        </is>
      </c>
      <c r="K498" t="inlineStr">
        <is>
          <t>CHEVROLET AVEO</t>
        </is>
      </c>
      <c r="L498" t="inlineStr">
        <is>
          <t>UBER</t>
        </is>
      </c>
      <c r="M498" s="3">
        <f>IF(H498="Efectivo",IFERROR((VALUE(RIGHT(I498,4))-VALUE(RIGHT(E498,4)))*12+(VALUE(LEFT(I498,2))-VALUE(LEFT(E498,2))),""),"")</f>
        <v/>
      </c>
    </row>
    <row r="499">
      <c r="A499" t="inlineStr">
        <is>
          <t>GRANJA LARRAGA PAVEL</t>
        </is>
      </c>
      <c r="B499" t="inlineStr">
        <is>
          <t>Hombre</t>
        </is>
      </c>
      <c r="C499" t="inlineStr">
        <is>
          <t>3581AF</t>
        </is>
      </c>
      <c r="D499" t="inlineStr">
        <is>
          <t>CDMX Y AREA METROPOLITANA</t>
        </is>
      </c>
      <c r="E499" t="inlineStr">
        <is>
          <t>08-2024</t>
        </is>
      </c>
      <c r="F499" t="inlineStr">
        <is>
          <t>04-2025</t>
        </is>
      </c>
      <c r="G499" t="n">
        <v>8</v>
      </c>
      <c r="H499" t="inlineStr">
        <is>
          <t>Efectivo</t>
        </is>
      </c>
      <c r="I499" t="inlineStr">
        <is>
          <t>04-2025</t>
        </is>
      </c>
      <c r="J499" t="inlineStr">
        <is>
          <t>89F628</t>
        </is>
      </c>
      <c r="K499" t="inlineStr">
        <is>
          <t>SUZUKI ERTIGA</t>
        </is>
      </c>
      <c r="L499" t="inlineStr">
        <is>
          <t>UBER</t>
        </is>
      </c>
      <c r="M499" s="3">
        <f>IF(H499="Efectivo",IFERROR((VALUE(RIGHT(I499,4))-VALUE(RIGHT(E499,4)))*12+(VALUE(LEFT(I499,2))-VALUE(LEFT(E499,2))),""),"")</f>
        <v/>
      </c>
    </row>
    <row r="500">
      <c r="A500" t="inlineStr">
        <is>
          <t>GUADARRAMA JIMENEZ JOSUE</t>
        </is>
      </c>
      <c r="B500" t="inlineStr">
        <is>
          <t>Hombre</t>
        </is>
      </c>
      <c r="C500" t="inlineStr">
        <is>
          <t>5363AF</t>
        </is>
      </c>
      <c r="D500" t="inlineStr">
        <is>
          <t>CDMX Y AREA METROPOLITANA</t>
        </is>
      </c>
      <c r="E500" t="inlineStr">
        <is>
          <t>07-2025</t>
        </is>
      </c>
      <c r="F500" t="inlineStr">
        <is>
          <t>03-2026</t>
        </is>
      </c>
      <c r="G500" t="n">
        <v>7</v>
      </c>
      <c r="H500" t="inlineStr">
        <is>
          <t>Efectivo</t>
        </is>
      </c>
      <c r="I500" t="inlineStr">
        <is>
          <t>03-2026</t>
        </is>
      </c>
      <c r="J500" t="inlineStr">
        <is>
          <t>43G983</t>
        </is>
      </c>
      <c r="K500" t="inlineStr">
        <is>
          <t>GAC AION S</t>
        </is>
      </c>
      <c r="L500" t="inlineStr">
        <is>
          <t>UBER</t>
        </is>
      </c>
      <c r="M500" s="3">
        <f>IF(H500="Efectivo",IFERROR((VALUE(RIGHT(I500,4))-VALUE(RIGHT(E500,4)))*12+(VALUE(LEFT(I500,2))-VALUE(LEFT(E500,2))),""),"")</f>
        <v/>
      </c>
    </row>
    <row r="501">
      <c r="A501" t="inlineStr">
        <is>
          <t>GUADARRAMA RAMIREZ RAFAEL</t>
        </is>
      </c>
      <c r="B501" t="inlineStr">
        <is>
          <t>Hombre</t>
        </is>
      </c>
      <c r="C501" t="inlineStr">
        <is>
          <t>5921AF</t>
        </is>
      </c>
      <c r="D501" t="inlineStr">
        <is>
          <t>CDMX Y AREA METROPOLITANA</t>
        </is>
      </c>
      <c r="E501" t="inlineStr">
        <is>
          <t>10-2025</t>
        </is>
      </c>
      <c r="F501" t="inlineStr">
        <is>
          <t>03-2026</t>
        </is>
      </c>
      <c r="G501" t="n">
        <v>6</v>
      </c>
      <c r="H501" t="inlineStr">
        <is>
          <t>Efectivo</t>
        </is>
      </c>
      <c r="I501" t="inlineStr">
        <is>
          <t>04-2026</t>
        </is>
      </c>
      <c r="J501" t="inlineStr">
        <is>
          <t>51G689</t>
        </is>
      </c>
      <c r="K501" t="inlineStr">
        <is>
          <t>BYD MINIDOLPHIN</t>
        </is>
      </c>
      <c r="L501" t="inlineStr">
        <is>
          <t>DIDI</t>
        </is>
      </c>
      <c r="M501" s="3">
        <f>IF(H501="Efectivo",IFERROR((VALUE(RIGHT(I501,4))-VALUE(RIGHT(E501,4)))*12+(VALUE(LEFT(I501,2))-VALUE(LEFT(E501,2))),""),"")</f>
        <v/>
      </c>
    </row>
    <row r="502">
      <c r="A502" t="inlineStr">
        <is>
          <t>GUERRA BAHENA RODRIGO DANIEL</t>
        </is>
      </c>
      <c r="B502" t="inlineStr">
        <is>
          <t>Hombre</t>
        </is>
      </c>
      <c r="C502" t="inlineStr">
        <is>
          <t>3230AF</t>
        </is>
      </c>
      <c r="D502" t="inlineStr">
        <is>
          <t>BAJA CALIFORNIA</t>
        </is>
      </c>
      <c r="E502" t="inlineStr">
        <is>
          <t>04-2024</t>
        </is>
      </c>
      <c r="F502" t="inlineStr">
        <is>
          <t>10-2025</t>
        </is>
      </c>
      <c r="G502" t="n">
        <v>18</v>
      </c>
      <c r="H502" t="inlineStr">
        <is>
          <t>Cancelado</t>
        </is>
      </c>
      <c r="J502" t="inlineStr">
        <is>
          <t>BNE875A</t>
        </is>
      </c>
      <c r="K502" t="inlineStr">
        <is>
          <t>CHEVROLET AVEO</t>
        </is>
      </c>
      <c r="L502" t="inlineStr">
        <is>
          <t>UBER</t>
        </is>
      </c>
      <c r="M502" s="3">
        <f>IF(H502="Efectivo",IFERROR((VALUE(RIGHT(I502,4))-VALUE(RIGHT(E502,4)))*12+(VALUE(LEFT(I502,2))-VALUE(LEFT(E502,2))),""),"")</f>
        <v/>
      </c>
    </row>
    <row r="503">
      <c r="A503" t="inlineStr">
        <is>
          <t>GUERRERO SALAZAR JOSE GUADALUPE</t>
        </is>
      </c>
      <c r="B503" t="inlineStr">
        <is>
          <t>Hombre</t>
        </is>
      </c>
      <c r="C503" t="inlineStr">
        <is>
          <t>6395AF</t>
        </is>
      </c>
      <c r="D503" t="inlineStr">
        <is>
          <t>CDMX Y AREA METROPOLITANA</t>
        </is>
      </c>
      <c r="E503" t="inlineStr">
        <is>
          <t>12-2025</t>
        </is>
      </c>
      <c r="F503" t="inlineStr">
        <is>
          <t>04-2026</t>
        </is>
      </c>
      <c r="G503" t="n">
        <v>4</v>
      </c>
      <c r="H503" t="inlineStr">
        <is>
          <t>Efectivo</t>
        </is>
      </c>
      <c r="I503" t="inlineStr">
        <is>
          <t>05-2026</t>
        </is>
      </c>
      <c r="J503" t="inlineStr">
        <is>
          <t>M20BSF</t>
        </is>
      </c>
      <c r="K503" t="inlineStr">
        <is>
          <t>CHEVROLET AVEO</t>
        </is>
      </c>
      <c r="L503" t="inlineStr">
        <is>
          <t>UBER</t>
        </is>
      </c>
      <c r="M503" s="3">
        <f>IF(H503="Efectivo",IFERROR((VALUE(RIGHT(I503,4))-VALUE(RIGHT(E503,4)))*12+(VALUE(LEFT(I503,2))-VALUE(LEFT(E503,2))),""),"")</f>
        <v/>
      </c>
    </row>
    <row r="504">
      <c r="A504" t="inlineStr">
        <is>
          <t>GUILLEN HERNANDEZ JOSE LUIS</t>
        </is>
      </c>
      <c r="B504" t="inlineStr">
        <is>
          <t>Hombre</t>
        </is>
      </c>
      <c r="C504" t="inlineStr">
        <is>
          <t>4937AF</t>
        </is>
      </c>
      <c r="D504" t="inlineStr">
        <is>
          <t>CDMX Y AREA METROPOLITANA</t>
        </is>
      </c>
      <c r="E504" t="inlineStr">
        <is>
          <t>05-2025</t>
        </is>
      </c>
      <c r="F504" t="inlineStr">
        <is>
          <t>10-2025</t>
        </is>
      </c>
      <c r="G504" t="n">
        <v>4</v>
      </c>
      <c r="H504" t="inlineStr">
        <is>
          <t>Pendiente</t>
        </is>
      </c>
      <c r="J504" t="inlineStr">
        <is>
          <t>50G980</t>
        </is>
      </c>
      <c r="K504" t="inlineStr">
        <is>
          <t>GAC AION S</t>
        </is>
      </c>
      <c r="L504" t="inlineStr">
        <is>
          <t>UBER</t>
        </is>
      </c>
      <c r="M504" s="3">
        <f>IF(H504="Efectivo",IFERROR((VALUE(RIGHT(I504,4))-VALUE(RIGHT(E504,4)))*12+(VALUE(LEFT(I504,2))-VALUE(LEFT(E504,2))),""),"")</f>
        <v/>
      </c>
    </row>
    <row r="505">
      <c r="A505" t="inlineStr">
        <is>
          <t>GUIZAR REYES GUSTAVO ARMANDO</t>
        </is>
      </c>
      <c r="B505" t="inlineStr">
        <is>
          <t>Hombre</t>
        </is>
      </c>
      <c r="C505" t="inlineStr">
        <is>
          <t>4405AF</t>
        </is>
      </c>
      <c r="D505" t="inlineStr">
        <is>
          <t>CDMX Y AREA METROPOLITANA</t>
        </is>
      </c>
      <c r="E505" t="inlineStr">
        <is>
          <t>03-2025</t>
        </is>
      </c>
      <c r="F505" t="inlineStr">
        <is>
          <t>05-2025</t>
        </is>
      </c>
      <c r="G505" t="n">
        <v>2</v>
      </c>
      <c r="H505" t="inlineStr">
        <is>
          <t>Efectivo</t>
        </is>
      </c>
      <c r="I505" t="inlineStr">
        <is>
          <t>05-2025</t>
        </is>
      </c>
      <c r="J505" t="inlineStr">
        <is>
          <t>19G571</t>
        </is>
      </c>
      <c r="K505" t="inlineStr">
        <is>
          <t>BYD D1</t>
        </is>
      </c>
      <c r="L505" t="inlineStr">
        <is>
          <t>DIDI</t>
        </is>
      </c>
      <c r="M505" s="3">
        <f>IF(H505="Efectivo",IFERROR((VALUE(RIGHT(I505,4))-VALUE(RIGHT(E505,4)))*12+(VALUE(LEFT(I505,2))-VALUE(LEFT(E505,2))),""),"")</f>
        <v/>
      </c>
    </row>
    <row r="506">
      <c r="A506" t="inlineStr">
        <is>
          <t>GUTIERREZ AMBRIZ ANGEL</t>
        </is>
      </c>
      <c r="B506" t="inlineStr">
        <is>
          <t>Hombre</t>
        </is>
      </c>
      <c r="C506" t="inlineStr">
        <is>
          <t>5263AF</t>
        </is>
      </c>
      <c r="D506" t="inlineStr">
        <is>
          <t>CDMX Y AREA METROPOLITANA</t>
        </is>
      </c>
      <c r="E506" t="inlineStr">
        <is>
          <t>07-2025</t>
        </is>
      </c>
      <c r="F506" t="inlineStr">
        <is>
          <t>10-2025</t>
        </is>
      </c>
      <c r="G506" t="n">
        <v>3</v>
      </c>
      <c r="H506" t="inlineStr">
        <is>
          <t>Pendiente</t>
        </is>
      </c>
      <c r="J506" t="inlineStr">
        <is>
          <t>47G984</t>
        </is>
      </c>
      <c r="K506" t="inlineStr">
        <is>
          <t>BYD MINIDOLPHIN</t>
        </is>
      </c>
      <c r="L506" t="inlineStr">
        <is>
          <t>UBER</t>
        </is>
      </c>
      <c r="M506" s="3">
        <f>IF(H506="Efectivo",IFERROR((VALUE(RIGHT(I506,4))-VALUE(RIGHT(E506,4)))*12+(VALUE(LEFT(I506,2))-VALUE(LEFT(E506,2))),""),"")</f>
        <v/>
      </c>
    </row>
    <row r="507">
      <c r="A507" t="inlineStr">
        <is>
          <t>GUTIERREZ CANOVAS JUAN JESUS</t>
        </is>
      </c>
      <c r="B507" t="inlineStr">
        <is>
          <t>Hombre</t>
        </is>
      </c>
      <c r="C507" t="inlineStr">
        <is>
          <t>3882AF</t>
        </is>
      </c>
      <c r="D507" t="inlineStr">
        <is>
          <t>CDMX Y AREA METROPOLITANA</t>
        </is>
      </c>
      <c r="E507" t="inlineStr">
        <is>
          <t>10-2024</t>
        </is>
      </c>
      <c r="F507" t="inlineStr">
        <is>
          <t>01-2026</t>
        </is>
      </c>
      <c r="G507" t="n">
        <v>15</v>
      </c>
      <c r="H507" t="inlineStr">
        <is>
          <t>Efectivo</t>
        </is>
      </c>
      <c r="I507" t="inlineStr">
        <is>
          <t>02-2026</t>
        </is>
      </c>
      <c r="J507" t="inlineStr">
        <is>
          <t>R37BPH</t>
        </is>
      </c>
      <c r="K507" t="inlineStr">
        <is>
          <t>CHEVROLET AVEO</t>
        </is>
      </c>
      <c r="L507" t="inlineStr">
        <is>
          <t>UBER</t>
        </is>
      </c>
      <c r="M507" s="3">
        <f>IF(H507="Efectivo",IFERROR((VALUE(RIGHT(I507,4))-VALUE(RIGHT(E507,4)))*12+(VALUE(LEFT(I507,2))-VALUE(LEFT(E507,2))),""),"")</f>
        <v/>
      </c>
    </row>
    <row r="508">
      <c r="A508" t="inlineStr">
        <is>
          <t>GUTIERREZ COLLAZO JAVIER FELIPE</t>
        </is>
      </c>
      <c r="B508" t="inlineStr">
        <is>
          <t>Hombre</t>
        </is>
      </c>
      <c r="C508" t="inlineStr">
        <is>
          <t>3987AF</t>
        </is>
      </c>
      <c r="D508" t="inlineStr">
        <is>
          <t>CDMX Y AREA METROPOLITANA</t>
        </is>
      </c>
      <c r="E508" t="inlineStr">
        <is>
          <t>11-2024</t>
        </is>
      </c>
      <c r="F508" t="inlineStr">
        <is>
          <t>03-2025</t>
        </is>
      </c>
      <c r="G508" t="n">
        <v>4</v>
      </c>
      <c r="H508" t="inlineStr">
        <is>
          <t>Efectivo</t>
        </is>
      </c>
      <c r="I508" t="inlineStr">
        <is>
          <t>03-2025</t>
        </is>
      </c>
      <c r="J508" t="inlineStr">
        <is>
          <t>13G891</t>
        </is>
      </c>
      <c r="K508" t="inlineStr">
        <is>
          <t>BYD D1</t>
        </is>
      </c>
      <c r="L508" t="inlineStr">
        <is>
          <t>DIDI</t>
        </is>
      </c>
      <c r="M508" s="3">
        <f>IF(H508="Efectivo",IFERROR((VALUE(RIGHT(I508,4))-VALUE(RIGHT(E508,4)))*12+(VALUE(LEFT(I508,2))-VALUE(LEFT(E508,2))),""),"")</f>
        <v/>
      </c>
    </row>
    <row r="509">
      <c r="A509" t="inlineStr">
        <is>
          <t>GUTIERREZ HERNANDEZ ALEJANDRO</t>
        </is>
      </c>
      <c r="B509" t="inlineStr">
        <is>
          <t>Hombre</t>
        </is>
      </c>
      <c r="C509" t="inlineStr">
        <is>
          <t>5961AF</t>
        </is>
      </c>
      <c r="D509" t="inlineStr">
        <is>
          <t>CDMX Y AREA METROPOLITANA</t>
        </is>
      </c>
      <c r="E509" t="inlineStr">
        <is>
          <t>10-2025</t>
        </is>
      </c>
      <c r="F509" t="inlineStr">
        <is>
          <t>05-2026</t>
        </is>
      </c>
      <c r="G509" t="n">
        <v>7</v>
      </c>
      <c r="H509" t="inlineStr">
        <is>
          <t>Efectivo</t>
        </is>
      </c>
      <c r="I509" t="inlineStr">
        <is>
          <t>05-2026</t>
        </is>
      </c>
      <c r="J509" t="inlineStr">
        <is>
          <t>11K164</t>
        </is>
      </c>
      <c r="K509" t="inlineStr">
        <is>
          <t>BYD MINIDOLPHIN</t>
        </is>
      </c>
      <c r="L509" t="inlineStr">
        <is>
          <t>UBER</t>
        </is>
      </c>
      <c r="M509" s="3">
        <f>IF(H509="Efectivo",IFERROR((VALUE(RIGHT(I509,4))-VALUE(RIGHT(E509,4)))*12+(VALUE(LEFT(I509,2))-VALUE(LEFT(E509,2))),""),"")</f>
        <v/>
      </c>
    </row>
    <row r="510">
      <c r="A510" t="inlineStr">
        <is>
          <t>GUTIERREZ HILARIO MAURICIO</t>
        </is>
      </c>
      <c r="B510" t="inlineStr">
        <is>
          <t>Hombre</t>
        </is>
      </c>
      <c r="C510" t="inlineStr">
        <is>
          <t>4336AF</t>
        </is>
      </c>
      <c r="D510" t="inlineStr">
        <is>
          <t>CDMX Y AREA METROPOLITANA</t>
        </is>
      </c>
      <c r="E510" t="inlineStr">
        <is>
          <t>02-2025</t>
        </is>
      </c>
      <c r="F510" t="inlineStr">
        <is>
          <t>04-2025</t>
        </is>
      </c>
      <c r="G510" t="n">
        <v>2</v>
      </c>
      <c r="H510" t="inlineStr">
        <is>
          <t>Efectivo</t>
        </is>
      </c>
      <c r="I510" t="inlineStr">
        <is>
          <t>05-2025</t>
        </is>
      </c>
      <c r="J510" t="inlineStr">
        <is>
          <t>31G841</t>
        </is>
      </c>
      <c r="K510" t="inlineStr">
        <is>
          <t>GAC AION S</t>
        </is>
      </c>
      <c r="L510" t="inlineStr">
        <is>
          <t>DIDI</t>
        </is>
      </c>
      <c r="M510" s="3">
        <f>IF(H510="Efectivo",IFERROR((VALUE(RIGHT(I510,4))-VALUE(RIGHT(E510,4)))*12+(VALUE(LEFT(I510,2))-VALUE(LEFT(E510,2))),""),"")</f>
        <v/>
      </c>
    </row>
    <row r="511">
      <c r="A511" t="inlineStr">
        <is>
          <t>GUTIERREZ HUERTA SERGIO</t>
        </is>
      </c>
      <c r="B511" t="inlineStr">
        <is>
          <t>Hombre</t>
        </is>
      </c>
      <c r="C511" t="inlineStr">
        <is>
          <t>2506AF</t>
        </is>
      </c>
      <c r="D511" t="inlineStr">
        <is>
          <t>CDMX Y AREA METROPOLITANA</t>
        </is>
      </c>
      <c r="E511" t="inlineStr">
        <is>
          <t>03-2023</t>
        </is>
      </c>
      <c r="F511" t="inlineStr">
        <is>
          <t>04-2025</t>
        </is>
      </c>
      <c r="G511" t="n">
        <v>24</v>
      </c>
      <c r="H511" t="inlineStr">
        <is>
          <t>Efectivo</t>
        </is>
      </c>
      <c r="I511" t="inlineStr">
        <is>
          <t>04-2025</t>
        </is>
      </c>
      <c r="J511" t="inlineStr">
        <is>
          <t>G45BLM</t>
        </is>
      </c>
      <c r="K511" t="inlineStr">
        <is>
          <t>ATTITUDE</t>
        </is>
      </c>
      <c r="L511" t="inlineStr">
        <is>
          <t>UBER</t>
        </is>
      </c>
      <c r="M511" s="3">
        <f>IF(H511="Efectivo",IFERROR((VALUE(RIGHT(I511,4))-VALUE(RIGHT(E511,4)))*12+(VALUE(LEFT(I511,2))-VALUE(LEFT(E511,2))),""),"")</f>
        <v/>
      </c>
    </row>
    <row r="512">
      <c r="A512" t="inlineStr">
        <is>
          <t>GUTIERREZ LEON JOSE MANUEL</t>
        </is>
      </c>
      <c r="B512" t="inlineStr">
        <is>
          <t>Hombre</t>
        </is>
      </c>
      <c r="C512" t="inlineStr">
        <is>
          <t>5751AF</t>
        </is>
      </c>
      <c r="D512" t="inlineStr">
        <is>
          <t>CDMX Y AREA METROPOLITANA</t>
        </is>
      </c>
      <c r="E512" t="inlineStr">
        <is>
          <t>09-2025</t>
        </is>
      </c>
      <c r="F512" t="inlineStr">
        <is>
          <t>05-2026</t>
        </is>
      </c>
      <c r="G512" t="n">
        <v>7</v>
      </c>
      <c r="H512" t="inlineStr">
        <is>
          <t>Pendiente</t>
        </is>
      </c>
      <c r="J512" t="inlineStr">
        <is>
          <t>48G300</t>
        </is>
      </c>
      <c r="K512" t="inlineStr">
        <is>
          <t>BYD MINIDOLPHIN</t>
        </is>
      </c>
      <c r="L512" t="inlineStr">
        <is>
          <t>UBER</t>
        </is>
      </c>
      <c r="M512" s="3">
        <f>IF(H512="Efectivo",IFERROR((VALUE(RIGHT(I512,4))-VALUE(RIGHT(E512,4)))*12+(VALUE(LEFT(I512,2))-VALUE(LEFT(E512,2))),""),"")</f>
        <v/>
      </c>
    </row>
    <row r="513">
      <c r="A513" t="inlineStr">
        <is>
          <t>GUTIERREZ LUNA EDGAR EFREN</t>
        </is>
      </c>
      <c r="B513" t="inlineStr">
        <is>
          <t>Hombre</t>
        </is>
      </c>
      <c r="C513" t="inlineStr">
        <is>
          <t>4128AF</t>
        </is>
      </c>
      <c r="D513" t="inlineStr">
        <is>
          <t>CDMX Y AREA METROPOLITANA</t>
        </is>
      </c>
      <c r="E513" t="inlineStr">
        <is>
          <t>12-2024</t>
        </is>
      </c>
      <c r="F513" t="inlineStr">
        <is>
          <t>08-2025</t>
        </is>
      </c>
      <c r="G513" t="n">
        <v>8</v>
      </c>
      <c r="H513" t="inlineStr">
        <is>
          <t>Efectivo</t>
        </is>
      </c>
      <c r="I513" t="inlineStr">
        <is>
          <t>08-2025</t>
        </is>
      </c>
      <c r="J513" t="inlineStr">
        <is>
          <t>19G364</t>
        </is>
      </c>
      <c r="K513" t="inlineStr">
        <is>
          <t>BYD D1</t>
        </is>
      </c>
      <c r="L513" t="inlineStr">
        <is>
          <t>UBER</t>
        </is>
      </c>
      <c r="M513" s="3">
        <f>IF(H513="Efectivo",IFERROR((VALUE(RIGHT(I513,4))-VALUE(RIGHT(E513,4)))*12+(VALUE(LEFT(I513,2))-VALUE(LEFT(E513,2))),""),"")</f>
        <v/>
      </c>
    </row>
    <row r="514">
      <c r="A514" t="inlineStr">
        <is>
          <t>GUTIERREZ MEDINA JOSE ALBERTO</t>
        </is>
      </c>
      <c r="B514" t="inlineStr">
        <is>
          <t>Hombre</t>
        </is>
      </c>
      <c r="C514" t="inlineStr">
        <is>
          <t>4261AF</t>
        </is>
      </c>
      <c r="D514" t="inlineStr">
        <is>
          <t>CDMX Y AREA METROPOLITANA</t>
        </is>
      </c>
      <c r="E514" t="inlineStr">
        <is>
          <t>01-2025</t>
        </is>
      </c>
      <c r="F514" t="inlineStr">
        <is>
          <t>03-2025</t>
        </is>
      </c>
      <c r="G514" t="n">
        <v>2</v>
      </c>
      <c r="H514" t="inlineStr">
        <is>
          <t>Efectivo</t>
        </is>
      </c>
      <c r="I514" t="inlineStr">
        <is>
          <t>03-2025</t>
        </is>
      </c>
      <c r="J514" t="inlineStr">
        <is>
          <t>19G534</t>
        </is>
      </c>
      <c r="K514" t="inlineStr">
        <is>
          <t>BYD D1</t>
        </is>
      </c>
      <c r="L514" t="inlineStr">
        <is>
          <t>DIDI</t>
        </is>
      </c>
      <c r="M514" s="3">
        <f>IF(H514="Efectivo",IFERROR((VALUE(RIGHT(I514,4))-VALUE(RIGHT(E514,4)))*12+(VALUE(LEFT(I514,2))-VALUE(LEFT(E514,2))),""),"")</f>
        <v/>
      </c>
    </row>
    <row r="515">
      <c r="A515" t="inlineStr">
        <is>
          <t>GUTIERREZ MONTES LUIS ALBERTO</t>
        </is>
      </c>
      <c r="B515" t="inlineStr">
        <is>
          <t>Hombre</t>
        </is>
      </c>
      <c r="C515" t="inlineStr">
        <is>
          <t>4549AF</t>
        </is>
      </c>
      <c r="D515" t="inlineStr">
        <is>
          <t>CDMX Y AREA METROPOLITANA</t>
        </is>
      </c>
      <c r="E515" t="inlineStr">
        <is>
          <t>03-2025</t>
        </is>
      </c>
      <c r="F515" t="inlineStr">
        <is>
          <t>06-2025</t>
        </is>
      </c>
      <c r="G515" t="n">
        <v>3</v>
      </c>
      <c r="H515" t="inlineStr">
        <is>
          <t>Efectivo</t>
        </is>
      </c>
      <c r="I515" t="inlineStr">
        <is>
          <t>06-2025</t>
        </is>
      </c>
      <c r="J515" t="inlineStr">
        <is>
          <t>40G186</t>
        </is>
      </c>
      <c r="K515" t="inlineStr">
        <is>
          <t>GAC AION S</t>
        </is>
      </c>
      <c r="L515" t="inlineStr">
        <is>
          <t>DIDI</t>
        </is>
      </c>
      <c r="M515" s="3">
        <f>IF(H515="Efectivo",IFERROR((VALUE(RIGHT(I515,4))-VALUE(RIGHT(E515,4)))*12+(VALUE(LEFT(I515,2))-VALUE(LEFT(E515,2))),""),"")</f>
        <v/>
      </c>
    </row>
    <row r="516">
      <c r="A516" t="inlineStr">
        <is>
          <t>GUTIERREZ OSORIO LUIS ANTONIO</t>
        </is>
      </c>
      <c r="B516" t="inlineStr">
        <is>
          <t>Hombre</t>
        </is>
      </c>
      <c r="C516" t="inlineStr">
        <is>
          <t>2709AF</t>
        </is>
      </c>
      <c r="D516" t="inlineStr">
        <is>
          <t>QUERETARO</t>
        </is>
      </c>
      <c r="E516" t="inlineStr">
        <is>
          <t>08-2023</t>
        </is>
      </c>
      <c r="F516" t="inlineStr">
        <is>
          <t>05-2025</t>
        </is>
      </c>
      <c r="G516" t="n">
        <v>21</v>
      </c>
      <c r="H516" t="inlineStr">
        <is>
          <t>Efectivo</t>
        </is>
      </c>
      <c r="I516" t="inlineStr">
        <is>
          <t>06-2025</t>
        </is>
      </c>
      <c r="J516" t="inlineStr">
        <is>
          <t>ULK417H</t>
        </is>
      </c>
      <c r="K516" t="inlineStr">
        <is>
          <t>CHEVROLET AVEO</t>
        </is>
      </c>
      <c r="L516" t="inlineStr">
        <is>
          <t>UBER</t>
        </is>
      </c>
      <c r="M516" s="3">
        <f>IF(H516="Efectivo",IFERROR((VALUE(RIGHT(I516,4))-VALUE(RIGHT(E516,4)))*12+(VALUE(LEFT(I516,2))-VALUE(LEFT(E516,2))),""),"")</f>
        <v/>
      </c>
    </row>
    <row r="517">
      <c r="A517" t="inlineStr">
        <is>
          <t>GUTIERREZ PONCE DANIEL</t>
        </is>
      </c>
      <c r="B517" t="inlineStr">
        <is>
          <t>Hombre</t>
        </is>
      </c>
      <c r="C517" t="inlineStr">
        <is>
          <t>4307AF</t>
        </is>
      </c>
      <c r="D517" t="inlineStr">
        <is>
          <t>CDMX Y AREA METROPOLITANA</t>
        </is>
      </c>
      <c r="E517" t="inlineStr">
        <is>
          <t>02-2025</t>
        </is>
      </c>
      <c r="F517" t="inlineStr">
        <is>
          <t>05-2025</t>
        </is>
      </c>
      <c r="G517" t="n">
        <v>3</v>
      </c>
      <c r="H517" t="inlineStr">
        <is>
          <t>Efectivo</t>
        </is>
      </c>
      <c r="I517" t="inlineStr">
        <is>
          <t>06-2025</t>
        </is>
      </c>
      <c r="J517" t="inlineStr">
        <is>
          <t>19G361</t>
        </is>
      </c>
      <c r="K517" t="inlineStr">
        <is>
          <t>BYD D1</t>
        </is>
      </c>
      <c r="L517" t="inlineStr">
        <is>
          <t>DIDI</t>
        </is>
      </c>
      <c r="M517" s="3">
        <f>IF(H517="Efectivo",IFERROR((VALUE(RIGHT(I517,4))-VALUE(RIGHT(E517,4)))*12+(VALUE(LEFT(I517,2))-VALUE(LEFT(E517,2))),""),"")</f>
        <v/>
      </c>
    </row>
    <row r="518">
      <c r="A518" t="inlineStr">
        <is>
          <t>GUTIERREZ RAÑO BRIAN JESUS</t>
        </is>
      </c>
      <c r="B518" t="inlineStr">
        <is>
          <t>Hombre</t>
        </is>
      </c>
      <c r="C518" t="inlineStr">
        <is>
          <t>4537AF</t>
        </is>
      </c>
      <c r="D518" t="inlineStr">
        <is>
          <t>CDMX Y AREA METROPOLITANA</t>
        </is>
      </c>
      <c r="E518" t="inlineStr">
        <is>
          <t>03-2025</t>
        </is>
      </c>
      <c r="F518" t="inlineStr">
        <is>
          <t>02-2026</t>
        </is>
      </c>
      <c r="G518" t="n">
        <v>11</v>
      </c>
      <c r="H518" t="inlineStr">
        <is>
          <t>Pendiente</t>
        </is>
      </c>
      <c r="J518" t="inlineStr">
        <is>
          <t>39G932</t>
        </is>
      </c>
      <c r="K518" t="inlineStr">
        <is>
          <t>GAC AION S</t>
        </is>
      </c>
      <c r="L518" t="inlineStr">
        <is>
          <t>UBER</t>
        </is>
      </c>
      <c r="M518" s="3">
        <f>IF(H518="Efectivo",IFERROR((VALUE(RIGHT(I518,4))-VALUE(RIGHT(E518,4)))*12+(VALUE(LEFT(I518,2))-VALUE(LEFT(E518,2))),""),"")</f>
        <v/>
      </c>
    </row>
    <row r="519">
      <c r="A519" t="inlineStr">
        <is>
          <t>GUTIERREZ SANTIAGO BRIAN MAURICIO</t>
        </is>
      </c>
      <c r="B519" t="inlineStr">
        <is>
          <t>Hombre</t>
        </is>
      </c>
      <c r="C519" t="inlineStr">
        <is>
          <t>5169AF</t>
        </is>
      </c>
      <c r="D519" t="inlineStr">
        <is>
          <t>CDMX Y AREA METROPOLITANA</t>
        </is>
      </c>
      <c r="E519" t="inlineStr">
        <is>
          <t>06-2025</t>
        </is>
      </c>
      <c r="F519" t="inlineStr">
        <is>
          <t>08-2025</t>
        </is>
      </c>
      <c r="G519" t="n">
        <v>2</v>
      </c>
      <c r="H519" t="inlineStr">
        <is>
          <t>Efectivo</t>
        </is>
      </c>
      <c r="I519" t="inlineStr">
        <is>
          <t>09-2025</t>
        </is>
      </c>
      <c r="J519" t="inlineStr">
        <is>
          <t>47G950</t>
        </is>
      </c>
      <c r="K519" t="inlineStr">
        <is>
          <t>BYD MINIDOLPHIN</t>
        </is>
      </c>
      <c r="L519" t="inlineStr">
        <is>
          <t>DIDI</t>
        </is>
      </c>
      <c r="M519" s="3">
        <f>IF(H519="Efectivo",IFERROR((VALUE(RIGHT(I519,4))-VALUE(RIGHT(E519,4)))*12+(VALUE(LEFT(I519,2))-VALUE(LEFT(E519,2))),""),"")</f>
        <v/>
      </c>
    </row>
    <row r="520">
      <c r="A520" t="inlineStr">
        <is>
          <t>GUTIERREZ TEOFILO JONATHAN</t>
        </is>
      </c>
      <c r="B520" t="inlineStr">
        <is>
          <t>Hombre</t>
        </is>
      </c>
      <c r="C520" t="inlineStr">
        <is>
          <t>5874AF</t>
        </is>
      </c>
      <c r="D520" t="inlineStr">
        <is>
          <t>BAJA CALIFORNIA</t>
        </is>
      </c>
      <c r="E520" t="inlineStr">
        <is>
          <t>10-2025</t>
        </is>
      </c>
      <c r="F520" t="inlineStr">
        <is>
          <t>04-2026</t>
        </is>
      </c>
      <c r="G520" t="n">
        <v>6</v>
      </c>
      <c r="H520" t="inlineStr">
        <is>
          <t>Efectivo</t>
        </is>
      </c>
      <c r="I520" t="inlineStr">
        <is>
          <t>04-2026</t>
        </is>
      </c>
      <c r="J520" t="inlineStr">
        <is>
          <t>CAJ001A</t>
        </is>
      </c>
      <c r="K520" t="inlineStr">
        <is>
          <t>CHEVROLET AVEO</t>
        </is>
      </c>
      <c r="L520" t="inlineStr">
        <is>
          <t>UBER</t>
        </is>
      </c>
      <c r="M520" s="3">
        <f>IF(H520="Efectivo",IFERROR((VALUE(RIGHT(I520,4))-VALUE(RIGHT(E520,4)))*12+(VALUE(LEFT(I520,2))-VALUE(LEFT(E520,2))),""),"")</f>
        <v/>
      </c>
    </row>
    <row r="521">
      <c r="A521" t="inlineStr">
        <is>
          <t>GUZMAN CORTES EFREN</t>
        </is>
      </c>
      <c r="B521" t="inlineStr">
        <is>
          <t>Hombre</t>
        </is>
      </c>
      <c r="C521" t="inlineStr">
        <is>
          <t>3100AF</t>
        </is>
      </c>
      <c r="D521" t="inlineStr">
        <is>
          <t>JALISCO</t>
        </is>
      </c>
      <c r="E521" t="inlineStr">
        <is>
          <t>03-2024</t>
        </is>
      </c>
      <c r="F521" t="inlineStr">
        <is>
          <t>12-2025</t>
        </is>
      </c>
      <c r="G521" t="n">
        <v>22</v>
      </c>
      <c r="H521" t="inlineStr">
        <is>
          <t>Efectivo</t>
        </is>
      </c>
      <c r="I521" t="inlineStr">
        <is>
          <t>01-2026</t>
        </is>
      </c>
      <c r="J521" t="inlineStr">
        <is>
          <t>HSN693A</t>
        </is>
      </c>
      <c r="K521" t="inlineStr">
        <is>
          <t>CHEVROLET AVEO</t>
        </is>
      </c>
      <c r="L521" t="inlineStr">
        <is>
          <t>UBER</t>
        </is>
      </c>
      <c r="M521" s="3">
        <f>IF(H521="Efectivo",IFERROR((VALUE(RIGHT(I521,4))-VALUE(RIGHT(E521,4)))*12+(VALUE(LEFT(I521,2))-VALUE(LEFT(E521,2))),""),"")</f>
        <v/>
      </c>
    </row>
    <row r="522">
      <c r="A522" t="inlineStr">
        <is>
          <t>GUZMAN FELIPE ISMAEL MICHEL</t>
        </is>
      </c>
      <c r="B522" t="inlineStr">
        <is>
          <t>Hombre</t>
        </is>
      </c>
      <c r="C522" t="inlineStr">
        <is>
          <t>6218AF</t>
        </is>
      </c>
      <c r="D522" t="inlineStr">
        <is>
          <t>CDMX Y AREA METROPOLITANA</t>
        </is>
      </c>
      <c r="E522" t="inlineStr">
        <is>
          <t>11-2025</t>
        </is>
      </c>
      <c r="F522" t="inlineStr">
        <is>
          <t>02-2026</t>
        </is>
      </c>
      <c r="G522" t="n">
        <v>3</v>
      </c>
      <c r="H522" t="inlineStr">
        <is>
          <t>Efectivo</t>
        </is>
      </c>
      <c r="I522" t="inlineStr">
        <is>
          <t>02-2026</t>
        </is>
      </c>
      <c r="J522" t="inlineStr">
        <is>
          <t>08K015</t>
        </is>
      </c>
      <c r="K522" t="inlineStr">
        <is>
          <t>GAC AION S</t>
        </is>
      </c>
      <c r="L522" t="inlineStr">
        <is>
          <t>UBER</t>
        </is>
      </c>
      <c r="M522" s="3">
        <f>IF(H522="Efectivo",IFERROR((VALUE(RIGHT(I522,4))-VALUE(RIGHT(E522,4)))*12+(VALUE(LEFT(I522,2))-VALUE(LEFT(E522,2))),""),"")</f>
        <v/>
      </c>
    </row>
    <row r="523">
      <c r="A523" t="inlineStr">
        <is>
          <t>GUZMAN PARTIDA JORGE PAULINO</t>
        </is>
      </c>
      <c r="B523" t="inlineStr">
        <is>
          <t>Hombre</t>
        </is>
      </c>
      <c r="C523" t="inlineStr">
        <is>
          <t>2917AF</t>
        </is>
      </c>
      <c r="D523" t="inlineStr">
        <is>
          <t>BAJA CALIFORNIA</t>
        </is>
      </c>
      <c r="E523" t="inlineStr">
        <is>
          <t>12-2023</t>
        </is>
      </c>
      <c r="F523" t="inlineStr">
        <is>
          <t>03-2025</t>
        </is>
      </c>
      <c r="G523" t="n">
        <v>15</v>
      </c>
      <c r="H523" t="inlineStr">
        <is>
          <t>Efectivo</t>
        </is>
      </c>
      <c r="I523" t="inlineStr">
        <is>
          <t>03-2025</t>
        </is>
      </c>
      <c r="J523" t="inlineStr">
        <is>
          <t>BKS708A</t>
        </is>
      </c>
      <c r="K523" t="inlineStr">
        <is>
          <t>CHEVROLET AVEO</t>
        </is>
      </c>
      <c r="L523" t="inlineStr">
        <is>
          <t>UBER</t>
        </is>
      </c>
      <c r="M523" s="3">
        <f>IF(H523="Efectivo",IFERROR((VALUE(RIGHT(I523,4))-VALUE(RIGHT(E523,4)))*12+(VALUE(LEFT(I523,2))-VALUE(LEFT(E523,2))),""),"")</f>
        <v/>
      </c>
    </row>
    <row r="524">
      <c r="A524" t="inlineStr">
        <is>
          <t>GUZMAN RIVERA JOSE ALBERTO</t>
        </is>
      </c>
      <c r="B524" t="inlineStr">
        <is>
          <t>Hombre</t>
        </is>
      </c>
      <c r="C524" t="inlineStr">
        <is>
          <t>4274AF</t>
        </is>
      </c>
      <c r="D524" t="inlineStr">
        <is>
          <t>CDMX Y AREA METROPOLITANA</t>
        </is>
      </c>
      <c r="E524" t="inlineStr">
        <is>
          <t>01-2025</t>
        </is>
      </c>
      <c r="F524" t="inlineStr">
        <is>
          <t>06-2025</t>
        </is>
      </c>
      <c r="G524" t="n">
        <v>4</v>
      </c>
      <c r="H524" t="inlineStr">
        <is>
          <t>Efectivo</t>
        </is>
      </c>
      <c r="I524" t="inlineStr">
        <is>
          <t>06-2025</t>
        </is>
      </c>
      <c r="J524" t="inlineStr">
        <is>
          <t>31G628</t>
        </is>
      </c>
      <c r="K524" t="inlineStr">
        <is>
          <t>GAC AION S</t>
        </is>
      </c>
      <c r="L524" t="inlineStr">
        <is>
          <t>DIDI</t>
        </is>
      </c>
      <c r="M524" s="3">
        <f>IF(H524="Efectivo",IFERROR((VALUE(RIGHT(I524,4))-VALUE(RIGHT(E524,4)))*12+(VALUE(LEFT(I524,2))-VALUE(LEFT(E524,2))),""),"")</f>
        <v/>
      </c>
    </row>
    <row r="525">
      <c r="A525" t="inlineStr">
        <is>
          <t>HEREDIA ORTEGA LUIS FELIPE</t>
        </is>
      </c>
      <c r="B525" t="inlineStr">
        <is>
          <t>Hombre</t>
        </is>
      </c>
      <c r="C525" t="inlineStr">
        <is>
          <t>5829AF</t>
        </is>
      </c>
      <c r="D525" t="inlineStr">
        <is>
          <t>BAJA CALIFORNIA</t>
        </is>
      </c>
      <c r="E525" t="inlineStr">
        <is>
          <t>09-2025</t>
        </is>
      </c>
      <c r="F525" t="inlineStr">
        <is>
          <t>03-2026</t>
        </is>
      </c>
      <c r="G525" t="n">
        <v>5</v>
      </c>
      <c r="H525" t="inlineStr">
        <is>
          <t>Efectivo</t>
        </is>
      </c>
      <c r="I525" t="inlineStr">
        <is>
          <t>03-2026</t>
        </is>
      </c>
      <c r="J525" t="inlineStr">
        <is>
          <t>CAJ006A</t>
        </is>
      </c>
      <c r="K525" t="inlineStr">
        <is>
          <t>CHEVROLET AVEO</t>
        </is>
      </c>
      <c r="L525" t="inlineStr">
        <is>
          <t>DIDI</t>
        </is>
      </c>
      <c r="M525" s="3">
        <f>IF(H525="Efectivo",IFERROR((VALUE(RIGHT(I525,4))-VALUE(RIGHT(E525,4)))*12+(VALUE(LEFT(I525,2))-VALUE(LEFT(E525,2))),""),"")</f>
        <v/>
      </c>
    </row>
    <row r="526">
      <c r="A526" t="inlineStr">
        <is>
          <t>HERNANDEZ ACOSTA DANIEL EFREN</t>
        </is>
      </c>
      <c r="B526" t="inlineStr">
        <is>
          <t>Hombre</t>
        </is>
      </c>
      <c r="C526" t="inlineStr">
        <is>
          <t>4037AF</t>
        </is>
      </c>
      <c r="D526" t="inlineStr">
        <is>
          <t>CDMX Y AREA METROPOLITANA</t>
        </is>
      </c>
      <c r="E526" t="inlineStr">
        <is>
          <t>11-2024</t>
        </is>
      </c>
      <c r="F526" t="inlineStr">
        <is>
          <t>06-2025</t>
        </is>
      </c>
      <c r="G526" t="n">
        <v>6</v>
      </c>
      <c r="H526" t="inlineStr">
        <is>
          <t>Efectivo</t>
        </is>
      </c>
      <c r="I526" t="inlineStr">
        <is>
          <t>06-2025</t>
        </is>
      </c>
      <c r="J526" t="inlineStr">
        <is>
          <t>13G910</t>
        </is>
      </c>
      <c r="K526" t="inlineStr">
        <is>
          <t>BYD D1</t>
        </is>
      </c>
      <c r="L526" t="inlineStr">
        <is>
          <t>UBER</t>
        </is>
      </c>
      <c r="M526" s="3">
        <f>IF(H526="Efectivo",IFERROR((VALUE(RIGHT(I526,4))-VALUE(RIGHT(E526,4)))*12+(VALUE(LEFT(I526,2))-VALUE(LEFT(E526,2))),""),"")</f>
        <v/>
      </c>
    </row>
    <row r="527">
      <c r="A527" t="inlineStr">
        <is>
          <t>HERNANDEZ ALANIS JONATHAN ALEXIS</t>
        </is>
      </c>
      <c r="B527" t="inlineStr">
        <is>
          <t>Hombre</t>
        </is>
      </c>
      <c r="C527" t="inlineStr">
        <is>
          <t>5010AF</t>
        </is>
      </c>
      <c r="D527" t="inlineStr">
        <is>
          <t>NUEVO LEON</t>
        </is>
      </c>
      <c r="E527" t="inlineStr">
        <is>
          <t>06-2025</t>
        </is>
      </c>
      <c r="F527" t="inlineStr">
        <is>
          <t>09-2025</t>
        </is>
      </c>
      <c r="G527" t="n">
        <v>3</v>
      </c>
      <c r="H527" t="inlineStr">
        <is>
          <t>Pendiente</t>
        </is>
      </c>
      <c r="J527" t="inlineStr">
        <is>
          <t>RUW773C</t>
        </is>
      </c>
      <c r="K527" t="inlineStr">
        <is>
          <t>CHEVROLET AVEO</t>
        </is>
      </c>
      <c r="L527" t="inlineStr">
        <is>
          <t>UBER</t>
        </is>
      </c>
      <c r="M527" s="3">
        <f>IF(H527="Efectivo",IFERROR((VALUE(RIGHT(I527,4))-VALUE(RIGHT(E527,4)))*12+(VALUE(LEFT(I527,2))-VALUE(LEFT(E527,2))),""),"")</f>
        <v/>
      </c>
    </row>
    <row r="528">
      <c r="A528" t="inlineStr">
        <is>
          <t>HERNANDEZ ALCANTARA OSCAR</t>
        </is>
      </c>
      <c r="B528" t="inlineStr">
        <is>
          <t>Hombre</t>
        </is>
      </c>
      <c r="C528" t="inlineStr">
        <is>
          <t>6449AF</t>
        </is>
      </c>
      <c r="D528" t="inlineStr">
        <is>
          <t>CDMX Y AREA METROPOLITANA</t>
        </is>
      </c>
      <c r="E528" t="inlineStr">
        <is>
          <t>12-2025</t>
        </is>
      </c>
      <c r="F528" t="inlineStr">
        <is>
          <t>04-2026</t>
        </is>
      </c>
      <c r="G528" t="n">
        <v>4</v>
      </c>
      <c r="H528" t="inlineStr">
        <is>
          <t>Efectivo</t>
        </is>
      </c>
      <c r="I528" t="inlineStr">
        <is>
          <t>04-2026</t>
        </is>
      </c>
      <c r="J528" t="inlineStr">
        <is>
          <t>K43BSJ</t>
        </is>
      </c>
      <c r="K528" t="inlineStr">
        <is>
          <t>CHEVROLET AVEO</t>
        </is>
      </c>
      <c r="L528" t="inlineStr">
        <is>
          <t>DIDI</t>
        </is>
      </c>
      <c r="M528" s="3">
        <f>IF(H528="Efectivo",IFERROR((VALUE(RIGHT(I528,4))-VALUE(RIGHT(E528,4)))*12+(VALUE(LEFT(I528,2))-VALUE(LEFT(E528,2))),""),"")</f>
        <v/>
      </c>
    </row>
    <row r="529">
      <c r="A529" t="inlineStr">
        <is>
          <t>HERNANDEZ BARRIOS DAVID ALEJANDRO</t>
        </is>
      </c>
      <c r="B529" t="inlineStr">
        <is>
          <t>Hombre</t>
        </is>
      </c>
      <c r="C529" t="inlineStr">
        <is>
          <t>2349AF</t>
        </is>
      </c>
      <c r="D529" t="inlineStr">
        <is>
          <t>JALISCO</t>
        </is>
      </c>
      <c r="E529" t="inlineStr">
        <is>
          <t>11-2022</t>
        </is>
      </c>
      <c r="F529" t="inlineStr">
        <is>
          <t>11-2025</t>
        </is>
      </c>
      <c r="G529" t="n">
        <v>36</v>
      </c>
      <c r="H529" t="inlineStr">
        <is>
          <t>Efectivo</t>
        </is>
      </c>
      <c r="I529" t="inlineStr">
        <is>
          <t>01-2026</t>
        </is>
      </c>
      <c r="J529" t="inlineStr">
        <is>
          <t>JTK9817</t>
        </is>
      </c>
      <c r="K529" t="inlineStr">
        <is>
          <t>RIO</t>
        </is>
      </c>
      <c r="L529" t="inlineStr">
        <is>
          <t>UBER</t>
        </is>
      </c>
      <c r="M529" s="3">
        <f>IF(H529="Efectivo",IFERROR((VALUE(RIGHT(I529,4))-VALUE(RIGHT(E529,4)))*12+(VALUE(LEFT(I529,2))-VALUE(LEFT(E529,2))),""),"")</f>
        <v/>
      </c>
    </row>
    <row r="530">
      <c r="A530" t="inlineStr">
        <is>
          <t>HERNANDEZ BERNAL JORGE ENRIQUE</t>
        </is>
      </c>
      <c r="B530" t="inlineStr">
        <is>
          <t>Hombre</t>
        </is>
      </c>
      <c r="C530" t="inlineStr">
        <is>
          <t>5966AF</t>
        </is>
      </c>
      <c r="D530" t="inlineStr">
        <is>
          <t>NUEVO LEON</t>
        </is>
      </c>
      <c r="E530" t="inlineStr">
        <is>
          <t>10-2025</t>
        </is>
      </c>
      <c r="F530" t="inlineStr">
        <is>
          <t>12-2025</t>
        </is>
      </c>
      <c r="G530" t="n">
        <v>2</v>
      </c>
      <c r="H530" t="inlineStr">
        <is>
          <t>Efectivo</t>
        </is>
      </c>
      <c r="I530" t="inlineStr">
        <is>
          <t>02-2026</t>
        </is>
      </c>
      <c r="J530" t="inlineStr">
        <is>
          <t>RXC618C</t>
        </is>
      </c>
      <c r="K530" t="inlineStr">
        <is>
          <t>TOYOTA AVANZA</t>
        </is>
      </c>
      <c r="L530" t="inlineStr">
        <is>
          <t>UBER</t>
        </is>
      </c>
      <c r="M530" s="3">
        <f>IF(H530="Efectivo",IFERROR((VALUE(RIGHT(I530,4))-VALUE(RIGHT(E530,4)))*12+(VALUE(LEFT(I530,2))-VALUE(LEFT(E530,2))),""),"")</f>
        <v/>
      </c>
    </row>
    <row r="531">
      <c r="A531" t="inlineStr">
        <is>
          <t>HERNANDEZ CABRERA RODRIGO</t>
        </is>
      </c>
      <c r="B531" t="inlineStr">
        <is>
          <t>Hombre</t>
        </is>
      </c>
      <c r="C531" t="inlineStr">
        <is>
          <t>4755AF</t>
        </is>
      </c>
      <c r="D531" t="inlineStr">
        <is>
          <t>CDMX Y AREA METROPOLITANA</t>
        </is>
      </c>
      <c r="E531" t="inlineStr">
        <is>
          <t>04-2025</t>
        </is>
      </c>
      <c r="F531" t="inlineStr">
        <is>
          <t>03-2026</t>
        </is>
      </c>
      <c r="G531" t="n">
        <v>10</v>
      </c>
      <c r="H531" t="inlineStr">
        <is>
          <t>Efectivo</t>
        </is>
      </c>
      <c r="I531" t="inlineStr">
        <is>
          <t>05-2026</t>
        </is>
      </c>
      <c r="J531" t="inlineStr">
        <is>
          <t>50G945</t>
        </is>
      </c>
      <c r="K531" t="inlineStr">
        <is>
          <t>GAC AION S</t>
        </is>
      </c>
      <c r="L531" t="inlineStr">
        <is>
          <t>UBER</t>
        </is>
      </c>
      <c r="M531" s="3">
        <f>IF(H531="Efectivo",IFERROR((VALUE(RIGHT(I531,4))-VALUE(RIGHT(E531,4)))*12+(VALUE(LEFT(I531,2))-VALUE(LEFT(E531,2))),""),"")</f>
        <v/>
      </c>
    </row>
    <row r="532">
      <c r="A532" t="inlineStr">
        <is>
          <t>HERNANDEZ CABRERA VICTOR HUGO</t>
        </is>
      </c>
      <c r="B532" t="inlineStr">
        <is>
          <t>Hombre</t>
        </is>
      </c>
      <c r="C532" t="inlineStr">
        <is>
          <t>3464AF</t>
        </is>
      </c>
      <c r="D532" t="inlineStr">
        <is>
          <t>CDMX Y AREA METROPOLITANA</t>
        </is>
      </c>
      <c r="E532" t="inlineStr">
        <is>
          <t>07-2024</t>
        </is>
      </c>
      <c r="F532" t="inlineStr">
        <is>
          <t>09-2025</t>
        </is>
      </c>
      <c r="G532" t="n">
        <v>14</v>
      </c>
      <c r="H532" t="inlineStr">
        <is>
          <t>Pendiente</t>
        </is>
      </c>
      <c r="J532" t="inlineStr">
        <is>
          <t>89F700</t>
        </is>
      </c>
      <c r="K532" t="inlineStr">
        <is>
          <t>BYD D1</t>
        </is>
      </c>
      <c r="L532" t="inlineStr">
        <is>
          <t>UBER</t>
        </is>
      </c>
      <c r="M532" s="3">
        <f>IF(H532="Efectivo",IFERROR((VALUE(RIGHT(I532,4))-VALUE(RIGHT(E532,4)))*12+(VALUE(LEFT(I532,2))-VALUE(LEFT(E532,2))),""),"")</f>
        <v/>
      </c>
    </row>
    <row r="533">
      <c r="A533" t="inlineStr">
        <is>
          <t>HERNANDEZ CANO ABEL ISAAC</t>
        </is>
      </c>
      <c r="B533" t="inlineStr">
        <is>
          <t>Hombre</t>
        </is>
      </c>
      <c r="C533" t="inlineStr">
        <is>
          <t>4429AF</t>
        </is>
      </c>
      <c r="D533" t="inlineStr">
        <is>
          <t>CDMX Y AREA METROPOLITANA</t>
        </is>
      </c>
      <c r="E533" t="inlineStr">
        <is>
          <t>03-2025</t>
        </is>
      </c>
      <c r="F533" t="inlineStr">
        <is>
          <t>03-2026</t>
        </is>
      </c>
      <c r="G533" t="n">
        <v>12</v>
      </c>
      <c r="H533" t="inlineStr">
        <is>
          <t>Efectivo</t>
        </is>
      </c>
      <c r="I533" t="inlineStr">
        <is>
          <t>03-2026</t>
        </is>
      </c>
      <c r="J533" t="inlineStr">
        <is>
          <t>19G565</t>
        </is>
      </c>
      <c r="K533" t="inlineStr">
        <is>
          <t>BYD D1</t>
        </is>
      </c>
      <c r="L533" t="inlineStr">
        <is>
          <t>UBER</t>
        </is>
      </c>
      <c r="M533" s="3">
        <f>IF(H533="Efectivo",IFERROR((VALUE(RIGHT(I533,4))-VALUE(RIGHT(E533,4)))*12+(VALUE(LEFT(I533,2))-VALUE(LEFT(E533,2))),""),"")</f>
        <v/>
      </c>
    </row>
    <row r="534">
      <c r="A534" t="inlineStr">
        <is>
          <t>HERNANDEZ CASTAÑEDA JHONATAN</t>
        </is>
      </c>
      <c r="B534" t="inlineStr">
        <is>
          <t>Hombre</t>
        </is>
      </c>
      <c r="C534" t="inlineStr">
        <is>
          <t>5703AF</t>
        </is>
      </c>
      <c r="D534" t="inlineStr">
        <is>
          <t>BAJA CALIFORNIA</t>
        </is>
      </c>
      <c r="E534" t="inlineStr">
        <is>
          <t>09-2025</t>
        </is>
      </c>
      <c r="F534" t="inlineStr">
        <is>
          <t>03-2026</t>
        </is>
      </c>
      <c r="G534" t="n">
        <v>6</v>
      </c>
      <c r="H534" t="inlineStr">
        <is>
          <t>Efectivo</t>
        </is>
      </c>
      <c r="I534" t="inlineStr">
        <is>
          <t>03-2026</t>
        </is>
      </c>
      <c r="J534" t="inlineStr">
        <is>
          <t>BYZ204A</t>
        </is>
      </c>
      <c r="K534" t="inlineStr">
        <is>
          <t>CHEVROLET AVEO</t>
        </is>
      </c>
      <c r="L534" t="inlineStr">
        <is>
          <t>DIDI</t>
        </is>
      </c>
      <c r="M534" s="3">
        <f>IF(H534="Efectivo",IFERROR((VALUE(RIGHT(I534,4))-VALUE(RIGHT(E534,4)))*12+(VALUE(LEFT(I534,2))-VALUE(LEFT(E534,2))),""),"")</f>
        <v/>
      </c>
    </row>
    <row r="535">
      <c r="A535" t="inlineStr">
        <is>
          <t>HERNANDEZ CAUDILLO JAHIRO</t>
        </is>
      </c>
      <c r="B535" t="inlineStr">
        <is>
          <t>Hombre</t>
        </is>
      </c>
      <c r="C535" t="inlineStr">
        <is>
          <t>5068AF</t>
        </is>
      </c>
      <c r="D535" t="inlineStr">
        <is>
          <t>CDMX Y AREA METROPOLITANA</t>
        </is>
      </c>
      <c r="E535" t="inlineStr">
        <is>
          <t>06-2025</t>
        </is>
      </c>
      <c r="F535" t="inlineStr">
        <is>
          <t>05-2026</t>
        </is>
      </c>
      <c r="G535" t="n">
        <v>11</v>
      </c>
      <c r="H535" t="inlineStr">
        <is>
          <t>Pendiente</t>
        </is>
      </c>
      <c r="J535" t="inlineStr">
        <is>
          <t>50G406</t>
        </is>
      </c>
      <c r="K535" t="inlineStr">
        <is>
          <t>GAC AION S</t>
        </is>
      </c>
      <c r="L535" t="inlineStr">
        <is>
          <t>UBER</t>
        </is>
      </c>
      <c r="M535" s="3">
        <f>IF(H535="Efectivo",IFERROR((VALUE(RIGHT(I535,4))-VALUE(RIGHT(E535,4)))*12+(VALUE(LEFT(I535,2))-VALUE(LEFT(E535,2))),""),"")</f>
        <v/>
      </c>
    </row>
    <row r="536">
      <c r="A536" t="inlineStr">
        <is>
          <t>HERNANDEZ CORDOVA LUIS SALOMON</t>
        </is>
      </c>
      <c r="B536" t="inlineStr">
        <is>
          <t>Hombre</t>
        </is>
      </c>
      <c r="C536" t="inlineStr">
        <is>
          <t>2391AF</t>
        </is>
      </c>
      <c r="D536" t="inlineStr">
        <is>
          <t>JALISCO</t>
        </is>
      </c>
      <c r="E536" t="inlineStr">
        <is>
          <t>01-2023</t>
        </is>
      </c>
      <c r="F536" t="inlineStr">
        <is>
          <t>09-2025</t>
        </is>
      </c>
      <c r="G536" t="n">
        <v>33</v>
      </c>
      <c r="H536" t="inlineStr">
        <is>
          <t>Cancelado</t>
        </is>
      </c>
      <c r="J536" t="inlineStr">
        <is>
          <t>JTN4628</t>
        </is>
      </c>
      <c r="K536" t="inlineStr">
        <is>
          <t>RIO</t>
        </is>
      </c>
      <c r="L536" t="inlineStr">
        <is>
          <t>UBER</t>
        </is>
      </c>
      <c r="M536" s="3">
        <f>IF(H536="Efectivo",IFERROR((VALUE(RIGHT(I536,4))-VALUE(RIGHT(E536,4)))*12+(VALUE(LEFT(I536,2))-VALUE(LEFT(E536,2))),""),"")</f>
        <v/>
      </c>
    </row>
    <row r="537">
      <c r="A537" t="inlineStr">
        <is>
          <t>HERNANDEZ ELEUTERIO IVAN IGNACIO</t>
        </is>
      </c>
      <c r="B537" t="inlineStr">
        <is>
          <t>Hombre</t>
        </is>
      </c>
      <c r="C537" t="inlineStr">
        <is>
          <t>4228AF</t>
        </is>
      </c>
      <c r="D537" t="inlineStr">
        <is>
          <t>CDMX Y AREA METROPOLITANA</t>
        </is>
      </c>
      <c r="E537" t="inlineStr">
        <is>
          <t>01-2025</t>
        </is>
      </c>
      <c r="F537" t="inlineStr">
        <is>
          <t>09-2025</t>
        </is>
      </c>
      <c r="G537" t="n">
        <v>7</v>
      </c>
      <c r="H537" t="inlineStr">
        <is>
          <t>Efectivo</t>
        </is>
      </c>
      <c r="I537" t="inlineStr">
        <is>
          <t>09-2025</t>
        </is>
      </c>
      <c r="J537" t="inlineStr">
        <is>
          <t>E89BPF</t>
        </is>
      </c>
      <c r="K537" t="inlineStr">
        <is>
          <t>CHEVROLET AVEO</t>
        </is>
      </c>
      <c r="L537" t="inlineStr">
        <is>
          <t>UBER</t>
        </is>
      </c>
      <c r="M537" s="3">
        <f>IF(H537="Efectivo",IFERROR((VALUE(RIGHT(I537,4))-VALUE(RIGHT(E537,4)))*12+(VALUE(LEFT(I537,2))-VALUE(LEFT(E537,2))),""),"")</f>
        <v/>
      </c>
    </row>
    <row r="538">
      <c r="A538" t="inlineStr">
        <is>
          <t>HERNANDEZ FAVILA EDUARDO</t>
        </is>
      </c>
      <c r="B538" t="inlineStr">
        <is>
          <t>Hombre</t>
        </is>
      </c>
      <c r="C538" t="inlineStr">
        <is>
          <t>5918AF</t>
        </is>
      </c>
      <c r="D538" t="inlineStr">
        <is>
          <t>CDMX Y AREA METROPOLITANA</t>
        </is>
      </c>
      <c r="E538" t="inlineStr">
        <is>
          <t>10-2025</t>
        </is>
      </c>
      <c r="F538" t="inlineStr">
        <is>
          <t>03-2026</t>
        </is>
      </c>
      <c r="G538" t="n">
        <v>5</v>
      </c>
      <c r="H538" t="inlineStr">
        <is>
          <t>Efectivo</t>
        </is>
      </c>
      <c r="I538" t="inlineStr">
        <is>
          <t>03-2026</t>
        </is>
      </c>
      <c r="J538" t="inlineStr">
        <is>
          <t>11K126</t>
        </is>
      </c>
      <c r="K538" t="inlineStr">
        <is>
          <t>BYD MINIDOLPHIN</t>
        </is>
      </c>
      <c r="L538" t="inlineStr">
        <is>
          <t>UBER</t>
        </is>
      </c>
      <c r="M538" s="3">
        <f>IF(H538="Efectivo",IFERROR((VALUE(RIGHT(I538,4))-VALUE(RIGHT(E538,4)))*12+(VALUE(LEFT(I538,2))-VALUE(LEFT(E538,2))),""),"")</f>
        <v/>
      </c>
    </row>
    <row r="539">
      <c r="A539" t="inlineStr">
        <is>
          <t>HERNANDEZ FLORES GUILLERMO</t>
        </is>
      </c>
      <c r="B539" t="inlineStr">
        <is>
          <t>Hombre</t>
        </is>
      </c>
      <c r="C539" t="inlineStr">
        <is>
          <t>5339AF</t>
        </is>
      </c>
      <c r="D539" t="inlineStr">
        <is>
          <t>CDMX Y AREA METROPOLITANA</t>
        </is>
      </c>
      <c r="E539" t="inlineStr">
        <is>
          <t>01-2026</t>
        </is>
      </c>
      <c r="F539" t="inlineStr">
        <is>
          <t>05-2026</t>
        </is>
      </c>
      <c r="G539" t="n">
        <v>4</v>
      </c>
      <c r="H539" t="inlineStr">
        <is>
          <t>Pendiente</t>
        </is>
      </c>
      <c r="J539" t="inlineStr">
        <is>
          <t>43G999</t>
        </is>
      </c>
      <c r="K539" t="inlineStr">
        <is>
          <t>GAC AION S</t>
        </is>
      </c>
      <c r="L539" t="inlineStr">
        <is>
          <t>UBER</t>
        </is>
      </c>
      <c r="M539" s="3">
        <f>IF(H539="Efectivo",IFERROR((VALUE(RIGHT(I539,4))-VALUE(RIGHT(E539,4)))*12+(VALUE(LEFT(I539,2))-VALUE(LEFT(E539,2))),""),"")</f>
        <v/>
      </c>
    </row>
    <row r="540">
      <c r="A540" t="inlineStr">
        <is>
          <t>HERNANDEZ GOMEZ ERNESTO</t>
        </is>
      </c>
      <c r="B540" t="inlineStr">
        <is>
          <t>Hombre</t>
        </is>
      </c>
      <c r="C540" t="inlineStr">
        <is>
          <t>2889AF</t>
        </is>
      </c>
      <c r="D540" t="inlineStr">
        <is>
          <t>BAJA CALIFORNIA</t>
        </is>
      </c>
      <c r="E540" t="inlineStr">
        <is>
          <t>11-2023</t>
        </is>
      </c>
      <c r="F540" t="inlineStr">
        <is>
          <t>03-2026</t>
        </is>
      </c>
      <c r="G540" t="n">
        <v>28</v>
      </c>
      <c r="H540" t="inlineStr">
        <is>
          <t>Efectivo</t>
        </is>
      </c>
      <c r="I540" t="inlineStr">
        <is>
          <t>03-2026</t>
        </is>
      </c>
      <c r="J540" t="inlineStr">
        <is>
          <t>BKM796A</t>
        </is>
      </c>
      <c r="K540" t="inlineStr">
        <is>
          <t>CHEVROLET AVEO</t>
        </is>
      </c>
      <c r="L540" t="inlineStr">
        <is>
          <t>UBER</t>
        </is>
      </c>
      <c r="M540" s="3">
        <f>IF(H540="Efectivo",IFERROR((VALUE(RIGHT(I540,4))-VALUE(RIGHT(E540,4)))*12+(VALUE(LEFT(I540,2))-VALUE(LEFT(E540,2))),""),"")</f>
        <v/>
      </c>
    </row>
    <row r="541">
      <c r="A541" t="inlineStr">
        <is>
          <t>HERNANDEZ GOMEZ FELIPE</t>
        </is>
      </c>
      <c r="B541" t="inlineStr">
        <is>
          <t>Hombre</t>
        </is>
      </c>
      <c r="C541" t="inlineStr">
        <is>
          <t>6151AF</t>
        </is>
      </c>
      <c r="D541" t="inlineStr">
        <is>
          <t>CDMX Y AREA METROPOLITANA</t>
        </is>
      </c>
      <c r="E541" t="inlineStr">
        <is>
          <t>11-2025</t>
        </is>
      </c>
      <c r="F541" t="inlineStr">
        <is>
          <t>03-2026</t>
        </is>
      </c>
      <c r="G541" t="n">
        <v>4</v>
      </c>
      <c r="H541" t="inlineStr">
        <is>
          <t>Efectivo</t>
        </is>
      </c>
      <c r="I541" t="inlineStr">
        <is>
          <t>05-2026</t>
        </is>
      </c>
      <c r="J541" t="inlineStr">
        <is>
          <t>62G232</t>
        </is>
      </c>
      <c r="K541" t="inlineStr">
        <is>
          <t>BYD E5</t>
        </is>
      </c>
      <c r="L541" t="inlineStr">
        <is>
          <t>UBER</t>
        </is>
      </c>
      <c r="M541" s="3">
        <f>IF(H541="Efectivo",IFERROR((VALUE(RIGHT(I541,4))-VALUE(RIGHT(E541,4)))*12+(VALUE(LEFT(I541,2))-VALUE(LEFT(E541,2))),""),"")</f>
        <v/>
      </c>
    </row>
    <row r="542">
      <c r="A542" t="inlineStr">
        <is>
          <t>HERNANDEZ GONZALEZ EDGAR YAIR</t>
        </is>
      </c>
      <c r="B542" t="inlineStr">
        <is>
          <t>Hombre</t>
        </is>
      </c>
      <c r="C542" t="inlineStr">
        <is>
          <t>5117AF</t>
        </is>
      </c>
      <c r="D542" t="inlineStr">
        <is>
          <t>CDMX Y AREA METROPOLITANA</t>
        </is>
      </c>
      <c r="E542" t="inlineStr">
        <is>
          <t>06-2025</t>
        </is>
      </c>
      <c r="F542" t="inlineStr">
        <is>
          <t>03-2026</t>
        </is>
      </c>
      <c r="G542" t="n">
        <v>9</v>
      </c>
      <c r="H542" t="inlineStr">
        <is>
          <t>Efectivo</t>
        </is>
      </c>
      <c r="I542" t="inlineStr">
        <is>
          <t>03-2026</t>
        </is>
      </c>
      <c r="J542" t="inlineStr">
        <is>
          <t>F09BRR</t>
        </is>
      </c>
      <c r="K542" t="inlineStr">
        <is>
          <t>CHEVROLET AVEO</t>
        </is>
      </c>
      <c r="L542" t="inlineStr">
        <is>
          <t>UBER</t>
        </is>
      </c>
      <c r="M542" s="3">
        <f>IF(H542="Efectivo",IFERROR((VALUE(RIGHT(I542,4))-VALUE(RIGHT(E542,4)))*12+(VALUE(LEFT(I542,2))-VALUE(LEFT(E542,2))),""),"")</f>
        <v/>
      </c>
    </row>
    <row r="543">
      <c r="A543" t="inlineStr">
        <is>
          <t>HERNANDEZ GONZALEZ LUIS MIGUEL</t>
        </is>
      </c>
      <c r="B543" t="inlineStr">
        <is>
          <t>Hombre</t>
        </is>
      </c>
      <c r="C543" t="inlineStr">
        <is>
          <t>3779AF</t>
        </is>
      </c>
      <c r="D543" t="inlineStr">
        <is>
          <t>CDMX Y AREA METROPOLITANA</t>
        </is>
      </c>
      <c r="E543" t="inlineStr">
        <is>
          <t>09-2024</t>
        </is>
      </c>
      <c r="F543" t="inlineStr">
        <is>
          <t>11-2025</t>
        </is>
      </c>
      <c r="G543" t="n">
        <v>14</v>
      </c>
      <c r="H543" t="inlineStr">
        <is>
          <t>Efectivo</t>
        </is>
      </c>
      <c r="I543" t="inlineStr">
        <is>
          <t>01-2026</t>
        </is>
      </c>
      <c r="J543" t="inlineStr">
        <is>
          <t>13G575</t>
        </is>
      </c>
      <c r="K543" t="inlineStr">
        <is>
          <t>BYD MINIDOLPHIN</t>
        </is>
      </c>
      <c r="L543" t="inlineStr">
        <is>
          <t>DIDI</t>
        </is>
      </c>
      <c r="M543" s="3">
        <f>IF(H543="Efectivo",IFERROR((VALUE(RIGHT(I543,4))-VALUE(RIGHT(E543,4)))*12+(VALUE(LEFT(I543,2))-VALUE(LEFT(E543,2))),""),"")</f>
        <v/>
      </c>
    </row>
    <row r="544">
      <c r="A544" t="inlineStr">
        <is>
          <t>HERNANDEZ GRANADOS ABRAHAM</t>
        </is>
      </c>
      <c r="B544" t="inlineStr">
        <is>
          <t>Hombre</t>
        </is>
      </c>
      <c r="C544" t="inlineStr">
        <is>
          <t>3840AF</t>
        </is>
      </c>
      <c r="D544" t="inlineStr">
        <is>
          <t>CDMX Y AREA METROPOLITANA</t>
        </is>
      </c>
      <c r="E544" t="inlineStr">
        <is>
          <t>10-2024</t>
        </is>
      </c>
      <c r="F544" t="inlineStr">
        <is>
          <t>02-2026</t>
        </is>
      </c>
      <c r="G544" t="n">
        <v>16</v>
      </c>
      <c r="H544" t="inlineStr">
        <is>
          <t>Efectivo</t>
        </is>
      </c>
      <c r="I544" t="inlineStr">
        <is>
          <t>02-2026</t>
        </is>
      </c>
      <c r="J544" t="inlineStr">
        <is>
          <t>08G116</t>
        </is>
      </c>
      <c r="K544" t="inlineStr">
        <is>
          <t>BYD D1</t>
        </is>
      </c>
      <c r="L544" t="inlineStr">
        <is>
          <t>UBER</t>
        </is>
      </c>
      <c r="M544" s="3">
        <f>IF(H544="Efectivo",IFERROR((VALUE(RIGHT(I544,4))-VALUE(RIGHT(E544,4)))*12+(VALUE(LEFT(I544,2))-VALUE(LEFT(E544,2))),""),"")</f>
        <v/>
      </c>
    </row>
    <row r="545">
      <c r="A545" t="inlineStr">
        <is>
          <t>HERNANDEZ HAWK JOSE PABLO</t>
        </is>
      </c>
      <c r="B545" t="inlineStr">
        <is>
          <t>Hombre</t>
        </is>
      </c>
      <c r="C545" t="inlineStr">
        <is>
          <t>5463AF</t>
        </is>
      </c>
      <c r="D545" t="inlineStr">
        <is>
          <t>CDMX Y AREA METROPOLITANA</t>
        </is>
      </c>
      <c r="E545" t="inlineStr">
        <is>
          <t>08-2025</t>
        </is>
      </c>
      <c r="F545" t="inlineStr">
        <is>
          <t>01-2026</t>
        </is>
      </c>
      <c r="G545" t="n">
        <v>5</v>
      </c>
      <c r="H545" t="inlineStr">
        <is>
          <t>Efectivo</t>
        </is>
      </c>
      <c r="I545" t="inlineStr">
        <is>
          <t>01-2026</t>
        </is>
      </c>
      <c r="J545" t="inlineStr">
        <is>
          <t>44G007</t>
        </is>
      </c>
      <c r="K545" t="inlineStr">
        <is>
          <t>GAC AION S</t>
        </is>
      </c>
      <c r="L545" t="inlineStr">
        <is>
          <t>UBER</t>
        </is>
      </c>
      <c r="M545" s="3">
        <f>IF(H545="Efectivo",IFERROR((VALUE(RIGHT(I545,4))-VALUE(RIGHT(E545,4)))*12+(VALUE(LEFT(I545,2))-VALUE(LEFT(E545,2))),""),"")</f>
        <v/>
      </c>
    </row>
    <row r="546">
      <c r="A546" t="inlineStr">
        <is>
          <t>HERNANDEZ HERNANDEZ ERIC RICARDO</t>
        </is>
      </c>
      <c r="B546" t="inlineStr">
        <is>
          <t>Hombre</t>
        </is>
      </c>
      <c r="C546" t="inlineStr">
        <is>
          <t>4337AF</t>
        </is>
      </c>
      <c r="D546" t="inlineStr">
        <is>
          <t>CDMX Y AREA METROPOLITANA</t>
        </is>
      </c>
      <c r="E546" t="inlineStr">
        <is>
          <t>02-2025</t>
        </is>
      </c>
      <c r="F546" t="inlineStr">
        <is>
          <t>04-2025</t>
        </is>
      </c>
      <c r="G546" t="n">
        <v>2</v>
      </c>
      <c r="H546" t="inlineStr">
        <is>
          <t>Efectivo</t>
        </is>
      </c>
      <c r="I546" t="inlineStr">
        <is>
          <t>05-2025</t>
        </is>
      </c>
      <c r="J546" t="inlineStr">
        <is>
          <t>31G619</t>
        </is>
      </c>
      <c r="K546" t="inlineStr">
        <is>
          <t>GAC AION S</t>
        </is>
      </c>
      <c r="L546" t="inlineStr">
        <is>
          <t>DIDI</t>
        </is>
      </c>
      <c r="M546" s="3">
        <f>IF(H546="Efectivo",IFERROR((VALUE(RIGHT(I546,4))-VALUE(RIGHT(E546,4)))*12+(VALUE(LEFT(I546,2))-VALUE(LEFT(E546,2))),""),"")</f>
        <v/>
      </c>
    </row>
    <row r="547">
      <c r="A547" t="inlineStr">
        <is>
          <t>HERNANDEZ HERNANDEZ LUIS FERNANDO</t>
        </is>
      </c>
      <c r="B547" t="inlineStr">
        <is>
          <t>Hombre</t>
        </is>
      </c>
      <c r="C547" t="inlineStr">
        <is>
          <t>2767AF</t>
        </is>
      </c>
      <c r="D547" t="inlineStr">
        <is>
          <t>NUEVO LEON</t>
        </is>
      </c>
      <c r="E547" t="inlineStr">
        <is>
          <t>09-2023</t>
        </is>
      </c>
      <c r="F547" t="inlineStr">
        <is>
          <t>02-2026</t>
        </is>
      </c>
      <c r="G547" t="n">
        <v>29</v>
      </c>
      <c r="H547" t="inlineStr">
        <is>
          <t>Efectivo</t>
        </is>
      </c>
      <c r="I547" t="inlineStr">
        <is>
          <t>02-2026</t>
        </is>
      </c>
      <c r="J547" t="inlineStr">
        <is>
          <t>SSK139B</t>
        </is>
      </c>
      <c r="K547" t="inlineStr">
        <is>
          <t>CHEVROLET AVEO</t>
        </is>
      </c>
      <c r="L547" t="inlineStr">
        <is>
          <t>UBER</t>
        </is>
      </c>
      <c r="M547" s="3">
        <f>IF(H547="Efectivo",IFERROR((VALUE(RIGHT(I547,4))-VALUE(RIGHT(E547,4)))*12+(VALUE(LEFT(I547,2))-VALUE(LEFT(E547,2))),""),"")</f>
        <v/>
      </c>
    </row>
    <row r="548">
      <c r="A548" t="inlineStr">
        <is>
          <t>HERNANDEZ HERNANDEZ OSCAR ULISES</t>
        </is>
      </c>
      <c r="B548" t="inlineStr">
        <is>
          <t>Hombre</t>
        </is>
      </c>
      <c r="C548" t="inlineStr">
        <is>
          <t>5232AF</t>
        </is>
      </c>
      <c r="D548" t="inlineStr">
        <is>
          <t>CDMX Y AREA METROPOLITANA</t>
        </is>
      </c>
      <c r="E548" t="inlineStr">
        <is>
          <t>07-2025</t>
        </is>
      </c>
      <c r="F548" t="inlineStr">
        <is>
          <t>02-2026</t>
        </is>
      </c>
      <c r="G548" t="n">
        <v>7</v>
      </c>
      <c r="H548" t="inlineStr">
        <is>
          <t>Efectivo</t>
        </is>
      </c>
      <c r="I548" t="inlineStr">
        <is>
          <t>05-2026</t>
        </is>
      </c>
      <c r="J548" t="inlineStr">
        <is>
          <t>13G701</t>
        </is>
      </c>
      <c r="K548" t="inlineStr">
        <is>
          <t>BYD D1</t>
        </is>
      </c>
      <c r="L548" t="inlineStr">
        <is>
          <t>UBER</t>
        </is>
      </c>
      <c r="M548" s="3">
        <f>IF(H548="Efectivo",IFERROR((VALUE(RIGHT(I548,4))-VALUE(RIGHT(E548,4)))*12+(VALUE(LEFT(I548,2))-VALUE(LEFT(E548,2))),""),"")</f>
        <v/>
      </c>
    </row>
    <row r="549">
      <c r="A549" t="inlineStr">
        <is>
          <t>HERNANDEZ HUERTA DULCE JEANNETTE</t>
        </is>
      </c>
      <c r="B549" t="inlineStr">
        <is>
          <t>Mujer</t>
        </is>
      </c>
      <c r="C549" t="inlineStr">
        <is>
          <t>5616AF</t>
        </is>
      </c>
      <c r="D549" t="inlineStr">
        <is>
          <t>CDMX Y AREA METROPOLITANA</t>
        </is>
      </c>
      <c r="E549" t="inlineStr">
        <is>
          <t>08-2025</t>
        </is>
      </c>
      <c r="F549" t="inlineStr">
        <is>
          <t>04-2026</t>
        </is>
      </c>
      <c r="G549" t="n">
        <v>7</v>
      </c>
      <c r="H549" t="inlineStr">
        <is>
          <t>Pendiente</t>
        </is>
      </c>
      <c r="J549" t="inlineStr">
        <is>
          <t>43G887</t>
        </is>
      </c>
      <c r="K549" t="inlineStr">
        <is>
          <t>GAC AION S</t>
        </is>
      </c>
      <c r="L549" t="inlineStr">
        <is>
          <t>UBER</t>
        </is>
      </c>
      <c r="M549" s="3">
        <f>IF(H549="Efectivo",IFERROR((VALUE(RIGHT(I549,4))-VALUE(RIGHT(E549,4)))*12+(VALUE(LEFT(I549,2))-VALUE(LEFT(E549,2))),""),"")</f>
        <v/>
      </c>
    </row>
    <row r="550">
      <c r="A550" t="inlineStr">
        <is>
          <t>HERNANDEZ JIMENEZ GONZALO</t>
        </is>
      </c>
      <c r="B550" t="inlineStr">
        <is>
          <t>Hombre</t>
        </is>
      </c>
      <c r="C550" t="inlineStr">
        <is>
          <t>3188AF</t>
        </is>
      </c>
      <c r="D550" t="inlineStr">
        <is>
          <t>CDMX Y AREA METROPOLITANA</t>
        </is>
      </c>
      <c r="E550" t="inlineStr">
        <is>
          <t>04-2024</t>
        </is>
      </c>
      <c r="F550" t="inlineStr">
        <is>
          <t>04-2025</t>
        </is>
      </c>
      <c r="G550" t="n">
        <v>11</v>
      </c>
      <c r="H550" t="inlineStr">
        <is>
          <t>Pendiente</t>
        </is>
      </c>
      <c r="J550" t="inlineStr">
        <is>
          <t>Y24BNL</t>
        </is>
      </c>
      <c r="K550" t="inlineStr">
        <is>
          <t>CHEVROLET AVEO</t>
        </is>
      </c>
      <c r="L550" t="inlineStr">
        <is>
          <t>UBER</t>
        </is>
      </c>
      <c r="M550" s="3">
        <f>IF(H550="Efectivo",IFERROR((VALUE(RIGHT(I550,4))-VALUE(RIGHT(E550,4)))*12+(VALUE(LEFT(I550,2))-VALUE(LEFT(E550,2))),""),"")</f>
        <v/>
      </c>
    </row>
    <row r="551">
      <c r="A551" t="inlineStr">
        <is>
          <t>HERNANDEZ LERMA ISAAC</t>
        </is>
      </c>
      <c r="B551" t="inlineStr">
        <is>
          <t>Hombre</t>
        </is>
      </c>
      <c r="C551" t="inlineStr">
        <is>
          <t>4817AF</t>
        </is>
      </c>
      <c r="D551" t="inlineStr">
        <is>
          <t>CDMX Y AREA METROPOLITANA</t>
        </is>
      </c>
      <c r="E551" t="inlineStr">
        <is>
          <t>05-2025</t>
        </is>
      </c>
      <c r="F551" t="inlineStr">
        <is>
          <t>09-2025</t>
        </is>
      </c>
      <c r="G551" t="n">
        <v>4</v>
      </c>
      <c r="H551" t="inlineStr">
        <is>
          <t>Pendiente</t>
        </is>
      </c>
      <c r="J551" t="inlineStr">
        <is>
          <t>19G375</t>
        </is>
      </c>
      <c r="K551" t="inlineStr">
        <is>
          <t>BYD D1</t>
        </is>
      </c>
      <c r="L551" t="inlineStr">
        <is>
          <t>UBER</t>
        </is>
      </c>
      <c r="M551" s="3">
        <f>IF(H551="Efectivo",IFERROR((VALUE(RIGHT(I551,4))-VALUE(RIGHT(E551,4)))*12+(VALUE(LEFT(I551,2))-VALUE(LEFT(E551,2))),""),"")</f>
        <v/>
      </c>
    </row>
    <row r="552">
      <c r="A552" t="inlineStr">
        <is>
          <t>HERNANDEZ LOPEZ FRANCISCO JAVIER</t>
        </is>
      </c>
      <c r="B552" t="inlineStr">
        <is>
          <t>Hombre</t>
        </is>
      </c>
      <c r="C552" t="inlineStr">
        <is>
          <t>4367AF</t>
        </is>
      </c>
      <c r="D552" t="inlineStr">
        <is>
          <t>CDMX Y AREA METROPOLITANA</t>
        </is>
      </c>
      <c r="E552" t="inlineStr">
        <is>
          <t>02-2025</t>
        </is>
      </c>
      <c r="F552" t="inlineStr">
        <is>
          <t>05-2026</t>
        </is>
      </c>
      <c r="G552" t="n">
        <v>14</v>
      </c>
      <c r="H552" t="inlineStr">
        <is>
          <t>Efectivo</t>
        </is>
      </c>
      <c r="I552" t="inlineStr">
        <is>
          <t>05-2026</t>
        </is>
      </c>
      <c r="J552" t="inlineStr">
        <is>
          <t>31G830</t>
        </is>
      </c>
      <c r="K552" t="inlineStr">
        <is>
          <t>GAC AION S</t>
        </is>
      </c>
      <c r="L552" t="inlineStr">
        <is>
          <t>UBER</t>
        </is>
      </c>
      <c r="M552" s="3">
        <f>IF(H552="Efectivo",IFERROR((VALUE(RIGHT(I552,4))-VALUE(RIGHT(E552,4)))*12+(VALUE(LEFT(I552,2))-VALUE(LEFT(E552,2))),""),"")</f>
        <v/>
      </c>
    </row>
    <row r="553">
      <c r="A553" t="inlineStr">
        <is>
          <t>HERNANDEZ MARIANO JOSE JUAN</t>
        </is>
      </c>
      <c r="B553" t="inlineStr">
        <is>
          <t>Hombre</t>
        </is>
      </c>
      <c r="C553" t="inlineStr">
        <is>
          <t>4086AF</t>
        </is>
      </c>
      <c r="D553" t="inlineStr">
        <is>
          <t>BAJA CALIFORNIA</t>
        </is>
      </c>
      <c r="E553" t="inlineStr">
        <is>
          <t>12-2024</t>
        </is>
      </c>
      <c r="F553" t="inlineStr">
        <is>
          <t>02-2026</t>
        </is>
      </c>
      <c r="G553" t="n">
        <v>15</v>
      </c>
      <c r="H553" t="inlineStr">
        <is>
          <t>Efectivo</t>
        </is>
      </c>
      <c r="I553" t="inlineStr">
        <is>
          <t>02-2026</t>
        </is>
      </c>
      <c r="J553" t="inlineStr">
        <is>
          <t>BKS742A</t>
        </is>
      </c>
      <c r="K553" t="inlineStr">
        <is>
          <t>CHEVROLET AVEO</t>
        </is>
      </c>
      <c r="L553" t="inlineStr">
        <is>
          <t>UBER</t>
        </is>
      </c>
      <c r="M553" s="3">
        <f>IF(H553="Efectivo",IFERROR((VALUE(RIGHT(I553,4))-VALUE(RIGHT(E553,4)))*12+(VALUE(LEFT(I553,2))-VALUE(LEFT(E553,2))),""),"")</f>
        <v/>
      </c>
    </row>
    <row r="554">
      <c r="A554" t="inlineStr">
        <is>
          <t>HERNANDEZ MARQUEZ FABIAN IGNACIO</t>
        </is>
      </c>
      <c r="B554" t="inlineStr">
        <is>
          <t>Hombre</t>
        </is>
      </c>
      <c r="C554" t="inlineStr">
        <is>
          <t>4959AF</t>
        </is>
      </c>
      <c r="D554" t="inlineStr">
        <is>
          <t>CDMX Y AREA METROPOLITANA</t>
        </is>
      </c>
      <c r="E554" t="inlineStr">
        <is>
          <t>05-2025</t>
        </is>
      </c>
      <c r="F554" t="inlineStr">
        <is>
          <t>04-2026</t>
        </is>
      </c>
      <c r="G554" t="n">
        <v>10</v>
      </c>
      <c r="H554" t="inlineStr">
        <is>
          <t>Efectivo</t>
        </is>
      </c>
      <c r="I554" t="inlineStr">
        <is>
          <t>04-2026</t>
        </is>
      </c>
      <c r="J554" t="inlineStr">
        <is>
          <t>19G363</t>
        </is>
      </c>
      <c r="K554" t="inlineStr">
        <is>
          <t>BYD D1</t>
        </is>
      </c>
      <c r="L554" t="inlineStr">
        <is>
          <t>UBER</t>
        </is>
      </c>
      <c r="M554" s="3">
        <f>IF(H554="Efectivo",IFERROR((VALUE(RIGHT(I554,4))-VALUE(RIGHT(E554,4)))*12+(VALUE(LEFT(I554,2))-VALUE(LEFT(E554,2))),""),"")</f>
        <v/>
      </c>
    </row>
    <row r="555">
      <c r="A555" t="inlineStr">
        <is>
          <t>HERNANDEZ MEDINA GERARDO</t>
        </is>
      </c>
      <c r="B555" t="inlineStr">
        <is>
          <t>Hombre</t>
        </is>
      </c>
      <c r="C555" t="inlineStr">
        <is>
          <t>5984AF</t>
        </is>
      </c>
      <c r="D555" t="inlineStr">
        <is>
          <t>CDMX Y AREA METROPOLITANA</t>
        </is>
      </c>
      <c r="E555" t="inlineStr">
        <is>
          <t>10-2025</t>
        </is>
      </c>
      <c r="F555" t="inlineStr">
        <is>
          <t>12-2025</t>
        </is>
      </c>
      <c r="G555" t="n">
        <v>2</v>
      </c>
      <c r="H555" t="inlineStr">
        <is>
          <t>Efectivo</t>
        </is>
      </c>
      <c r="I555" t="inlineStr">
        <is>
          <t>01-2026</t>
        </is>
      </c>
      <c r="J555" t="inlineStr">
        <is>
          <t>51G682</t>
        </is>
      </c>
      <c r="K555" t="inlineStr">
        <is>
          <t>GAC AION S</t>
        </is>
      </c>
      <c r="L555" t="inlineStr">
        <is>
          <t>UBER</t>
        </is>
      </c>
      <c r="M555" s="3">
        <f>IF(H555="Efectivo",IFERROR((VALUE(RIGHT(I555,4))-VALUE(RIGHT(E555,4)))*12+(VALUE(LEFT(I555,2))-VALUE(LEFT(E555,2))),""),"")</f>
        <v/>
      </c>
    </row>
    <row r="556">
      <c r="A556" t="inlineStr">
        <is>
          <t>HERNANDEZ OLVERA VICTOR MANUEL</t>
        </is>
      </c>
      <c r="B556" t="inlineStr">
        <is>
          <t>Hombre</t>
        </is>
      </c>
      <c r="C556" t="inlineStr">
        <is>
          <t>6163AF</t>
        </is>
      </c>
      <c r="D556" t="inlineStr">
        <is>
          <t>CDMX Y AREA METROPOLITANA</t>
        </is>
      </c>
      <c r="E556" t="inlineStr">
        <is>
          <t>11-2025</t>
        </is>
      </c>
      <c r="F556" t="inlineStr">
        <is>
          <t>02-2026</t>
        </is>
      </c>
      <c r="G556" t="n">
        <v>3</v>
      </c>
      <c r="H556" t="inlineStr">
        <is>
          <t>Pendiente</t>
        </is>
      </c>
      <c r="J556" t="inlineStr">
        <is>
          <t>H33BSF</t>
        </is>
      </c>
      <c r="K556" t="inlineStr">
        <is>
          <t>CHEVROLET AVEO</t>
        </is>
      </c>
      <c r="L556" t="inlineStr">
        <is>
          <t>UBER</t>
        </is>
      </c>
      <c r="M556" s="3">
        <f>IF(H556="Efectivo",IFERROR((VALUE(RIGHT(I556,4))-VALUE(RIGHT(E556,4)))*12+(VALUE(LEFT(I556,2))-VALUE(LEFT(E556,2))),""),"")</f>
        <v/>
      </c>
    </row>
    <row r="557">
      <c r="A557" t="inlineStr">
        <is>
          <t>HERNANDEZ PAEZ LUIS ANTONIO</t>
        </is>
      </c>
      <c r="B557" t="inlineStr">
        <is>
          <t>Hombre</t>
        </is>
      </c>
      <c r="C557" t="inlineStr">
        <is>
          <t>4745AF</t>
        </is>
      </c>
      <c r="D557" t="inlineStr">
        <is>
          <t>CDMX Y AREA METROPOLITANA</t>
        </is>
      </c>
      <c r="E557" t="inlineStr">
        <is>
          <t>04-2025</t>
        </is>
      </c>
      <c r="F557" t="inlineStr">
        <is>
          <t>11-2025</t>
        </is>
      </c>
      <c r="G557" t="n">
        <v>6</v>
      </c>
      <c r="H557" t="inlineStr">
        <is>
          <t>Pendiente</t>
        </is>
      </c>
      <c r="J557" t="inlineStr">
        <is>
          <t>41G556</t>
        </is>
      </c>
      <c r="K557" t="inlineStr">
        <is>
          <t>BYD MINIDOLPHIN</t>
        </is>
      </c>
      <c r="L557" t="inlineStr">
        <is>
          <t>DIDI</t>
        </is>
      </c>
      <c r="M557" s="3">
        <f>IF(H557="Efectivo",IFERROR((VALUE(RIGHT(I557,4))-VALUE(RIGHT(E557,4)))*12+(VALUE(LEFT(I557,2))-VALUE(LEFT(E557,2))),""),"")</f>
        <v/>
      </c>
    </row>
    <row r="558">
      <c r="A558" t="inlineStr">
        <is>
          <t>HERNANDEZ PALOMINO SAMUEL ALEJANDRO</t>
        </is>
      </c>
      <c r="B558" t="inlineStr">
        <is>
          <t>Hombre</t>
        </is>
      </c>
      <c r="C558" t="inlineStr">
        <is>
          <t>2275AF</t>
        </is>
      </c>
      <c r="D558" t="inlineStr">
        <is>
          <t>BAJA CALIFORNIA</t>
        </is>
      </c>
      <c r="E558" t="inlineStr">
        <is>
          <t>09-2022</t>
        </is>
      </c>
      <c r="F558" t="inlineStr">
        <is>
          <t>01-2025</t>
        </is>
      </c>
      <c r="G558" t="n">
        <v>28</v>
      </c>
      <c r="H558" t="inlineStr">
        <is>
          <t>Cancelado</t>
        </is>
      </c>
      <c r="J558" t="inlineStr">
        <is>
          <t>AYG683A</t>
        </is>
      </c>
      <c r="K558" t="inlineStr">
        <is>
          <t>RIO</t>
        </is>
      </c>
      <c r="L558" t="inlineStr">
        <is>
          <t>UBER</t>
        </is>
      </c>
      <c r="M558" s="3">
        <f>IF(H558="Efectivo",IFERROR((VALUE(RIGHT(I558,4))-VALUE(RIGHT(E558,4)))*12+(VALUE(LEFT(I558,2))-VALUE(LEFT(E558,2))),""),"")</f>
        <v/>
      </c>
    </row>
    <row r="559">
      <c r="A559" t="inlineStr">
        <is>
          <t>HERNANDEZ QUINTERO JESUS MARIO</t>
        </is>
      </c>
      <c r="B559" t="inlineStr">
        <is>
          <t>Hombre</t>
        </is>
      </c>
      <c r="C559" t="inlineStr">
        <is>
          <t>3249AF</t>
        </is>
      </c>
      <c r="D559" t="inlineStr">
        <is>
          <t>CDMX Y AREA METROPOLITANA</t>
        </is>
      </c>
      <c r="E559" t="inlineStr">
        <is>
          <t>05-2024</t>
        </is>
      </c>
      <c r="F559" t="inlineStr">
        <is>
          <t>03-2026</t>
        </is>
      </c>
      <c r="G559" t="n">
        <v>22</v>
      </c>
      <c r="H559" t="inlineStr">
        <is>
          <t>Efectivo</t>
        </is>
      </c>
      <c r="I559" t="inlineStr">
        <is>
          <t>03-2026</t>
        </is>
      </c>
      <c r="J559" t="inlineStr">
        <is>
          <t>84F122</t>
        </is>
      </c>
      <c r="K559" t="inlineStr">
        <is>
          <t>BYD D1</t>
        </is>
      </c>
      <c r="L559" t="inlineStr">
        <is>
          <t>UBER</t>
        </is>
      </c>
      <c r="M559" s="3">
        <f>IF(H559="Efectivo",IFERROR((VALUE(RIGHT(I559,4))-VALUE(RIGHT(E559,4)))*12+(VALUE(LEFT(I559,2))-VALUE(LEFT(E559,2))),""),"")</f>
        <v/>
      </c>
    </row>
    <row r="560">
      <c r="A560" t="inlineStr">
        <is>
          <t>HERNANDEZ RAMIREZ MAURICIO</t>
        </is>
      </c>
      <c r="B560" t="inlineStr">
        <is>
          <t>Hombre</t>
        </is>
      </c>
      <c r="C560" t="inlineStr">
        <is>
          <t>3793AF</t>
        </is>
      </c>
      <c r="D560" t="inlineStr">
        <is>
          <t>CDMX Y AREA METROPOLITANA</t>
        </is>
      </c>
      <c r="E560" t="inlineStr">
        <is>
          <t>09-2024</t>
        </is>
      </c>
      <c r="F560" t="inlineStr">
        <is>
          <t>03-2026</t>
        </is>
      </c>
      <c r="G560" t="n">
        <v>18</v>
      </c>
      <c r="H560" t="inlineStr">
        <is>
          <t>Efectivo</t>
        </is>
      </c>
      <c r="I560" t="inlineStr">
        <is>
          <t>03-2026</t>
        </is>
      </c>
      <c r="J560" t="inlineStr">
        <is>
          <t>D80BPN</t>
        </is>
      </c>
      <c r="K560" t="inlineStr">
        <is>
          <t>TOYOTA AVANZA</t>
        </is>
      </c>
      <c r="L560" t="inlineStr">
        <is>
          <t>UBER</t>
        </is>
      </c>
      <c r="M560" s="3">
        <f>IF(H560="Efectivo",IFERROR((VALUE(RIGHT(I560,4))-VALUE(RIGHT(E560,4)))*12+(VALUE(LEFT(I560,2))-VALUE(LEFT(E560,2))),""),"")</f>
        <v/>
      </c>
    </row>
    <row r="561">
      <c r="A561" t="inlineStr">
        <is>
          <t>HERNANDEZ RAMIREZ RICARDO</t>
        </is>
      </c>
      <c r="B561" t="inlineStr">
        <is>
          <t>Hombre</t>
        </is>
      </c>
      <c r="C561" t="inlineStr">
        <is>
          <t>5446AF</t>
        </is>
      </c>
      <c r="D561" t="inlineStr">
        <is>
          <t>CDMX Y AREA METROPOLITANA</t>
        </is>
      </c>
      <c r="E561" t="inlineStr">
        <is>
          <t>07-2025</t>
        </is>
      </c>
      <c r="F561" t="inlineStr">
        <is>
          <t>11-2025</t>
        </is>
      </c>
      <c r="G561" t="n">
        <v>4</v>
      </c>
      <c r="H561" t="inlineStr">
        <is>
          <t>Efectivo</t>
        </is>
      </c>
      <c r="I561" t="inlineStr">
        <is>
          <t>11-2025</t>
        </is>
      </c>
      <c r="J561" t="inlineStr">
        <is>
          <t>29G385</t>
        </is>
      </c>
      <c r="K561" t="inlineStr">
        <is>
          <t>GAC AION S</t>
        </is>
      </c>
      <c r="L561" t="inlineStr">
        <is>
          <t>UBER</t>
        </is>
      </c>
      <c r="M561" s="3">
        <f>IF(H561="Efectivo",IFERROR((VALUE(RIGHT(I561,4))-VALUE(RIGHT(E561,4)))*12+(VALUE(LEFT(I561,2))-VALUE(LEFT(E561,2))),""),"")</f>
        <v/>
      </c>
    </row>
    <row r="562">
      <c r="A562" t="inlineStr">
        <is>
          <t>HERNANDEZ RIVAS GILBERTO OMAR</t>
        </is>
      </c>
      <c r="B562" t="inlineStr">
        <is>
          <t>Hombre</t>
        </is>
      </c>
      <c r="C562" t="inlineStr">
        <is>
          <t>4838AF</t>
        </is>
      </c>
      <c r="D562" t="inlineStr">
        <is>
          <t>CDMX Y AREA METROPOLITANA</t>
        </is>
      </c>
      <c r="E562" t="inlineStr">
        <is>
          <t>05-2025</t>
        </is>
      </c>
      <c r="F562" t="inlineStr">
        <is>
          <t>03-2026</t>
        </is>
      </c>
      <c r="G562" t="n">
        <v>10</v>
      </c>
      <c r="H562" t="inlineStr">
        <is>
          <t>Efectivo</t>
        </is>
      </c>
      <c r="I562" t="inlineStr">
        <is>
          <t>03-2026</t>
        </is>
      </c>
      <c r="J562" t="inlineStr">
        <is>
          <t>D69BRR</t>
        </is>
      </c>
      <c r="K562" t="inlineStr">
        <is>
          <t>CHEVROLET AVEO</t>
        </is>
      </c>
      <c r="L562" t="inlineStr">
        <is>
          <t>DIDI</t>
        </is>
      </c>
      <c r="M562" s="3">
        <f>IF(H562="Efectivo",IFERROR((VALUE(RIGHT(I562,4))-VALUE(RIGHT(E562,4)))*12+(VALUE(LEFT(I562,2))-VALUE(LEFT(E562,2))),""),"")</f>
        <v/>
      </c>
    </row>
    <row r="563">
      <c r="A563" t="inlineStr">
        <is>
          <t>HERNANDEZ ROJAS ALFREDO</t>
        </is>
      </c>
      <c r="B563" t="inlineStr">
        <is>
          <t>Hombre</t>
        </is>
      </c>
      <c r="C563" t="inlineStr">
        <is>
          <t>3071AF</t>
        </is>
      </c>
      <c r="D563" t="inlineStr">
        <is>
          <t>CDMX Y AREA METROPOLITANA</t>
        </is>
      </c>
      <c r="E563" t="inlineStr">
        <is>
          <t>02-2024</t>
        </is>
      </c>
      <c r="F563" t="inlineStr">
        <is>
          <t>09-2025</t>
        </is>
      </c>
      <c r="G563" t="n">
        <v>19</v>
      </c>
      <c r="H563" t="inlineStr">
        <is>
          <t>Efectivo</t>
        </is>
      </c>
      <c r="I563" t="inlineStr">
        <is>
          <t>10-2025</t>
        </is>
      </c>
      <c r="J563" t="inlineStr">
        <is>
          <t>77F748</t>
        </is>
      </c>
      <c r="K563" t="inlineStr">
        <is>
          <t>BYD D1</t>
        </is>
      </c>
      <c r="L563" t="inlineStr">
        <is>
          <t>UBER</t>
        </is>
      </c>
      <c r="M563" s="3">
        <f>IF(H563="Efectivo",IFERROR((VALUE(RIGHT(I563,4))-VALUE(RIGHT(E563,4)))*12+(VALUE(LEFT(I563,2))-VALUE(LEFT(E563,2))),""),"")</f>
        <v/>
      </c>
    </row>
    <row r="564">
      <c r="A564" t="inlineStr">
        <is>
          <t>HERNANDEZ SALADO CARLOS</t>
        </is>
      </c>
      <c r="B564" t="inlineStr">
        <is>
          <t>Hombre</t>
        </is>
      </c>
      <c r="C564" t="inlineStr">
        <is>
          <t>4171AF</t>
        </is>
      </c>
      <c r="D564" t="inlineStr">
        <is>
          <t>CDMX Y AREA METROPOLITANA</t>
        </is>
      </c>
      <c r="E564" t="inlineStr">
        <is>
          <t>01-2025</t>
        </is>
      </c>
      <c r="F564" t="inlineStr">
        <is>
          <t>06-2025</t>
        </is>
      </c>
      <c r="G564" t="n">
        <v>6</v>
      </c>
      <c r="H564" t="inlineStr">
        <is>
          <t>Efectivo</t>
        </is>
      </c>
      <c r="I564" t="inlineStr">
        <is>
          <t>07-2025</t>
        </is>
      </c>
      <c r="J564" t="inlineStr">
        <is>
          <t>19G634</t>
        </is>
      </c>
      <c r="K564" t="inlineStr">
        <is>
          <t>BYD D1</t>
        </is>
      </c>
      <c r="L564" t="inlineStr">
        <is>
          <t>DIDI</t>
        </is>
      </c>
      <c r="M564" s="3">
        <f>IF(H564="Efectivo",IFERROR((VALUE(RIGHT(I564,4))-VALUE(RIGHT(E564,4)))*12+(VALUE(LEFT(I564,2))-VALUE(LEFT(E564,2))),""),"")</f>
        <v/>
      </c>
    </row>
    <row r="565">
      <c r="A565" t="inlineStr">
        <is>
          <t>HERNANDEZ SALOMON FRANCISCO JAVIER</t>
        </is>
      </c>
      <c r="B565" t="inlineStr">
        <is>
          <t>Hombre</t>
        </is>
      </c>
      <c r="C565" t="inlineStr">
        <is>
          <t>3807AF</t>
        </is>
      </c>
      <c r="D565" t="inlineStr">
        <is>
          <t>CDMX Y AREA METROPOLITANA</t>
        </is>
      </c>
      <c r="E565" t="inlineStr">
        <is>
          <t>09-2024</t>
        </is>
      </c>
      <c r="F565" t="inlineStr">
        <is>
          <t>06-2025</t>
        </is>
      </c>
      <c r="G565" t="n">
        <v>8</v>
      </c>
      <c r="H565" t="inlineStr">
        <is>
          <t>Efectivo</t>
        </is>
      </c>
      <c r="I565" t="inlineStr">
        <is>
          <t>07-2025</t>
        </is>
      </c>
      <c r="J565" t="inlineStr">
        <is>
          <t>13G683</t>
        </is>
      </c>
      <c r="K565" t="inlineStr">
        <is>
          <t>BYD MINIDOLPHIN</t>
        </is>
      </c>
      <c r="L565" t="inlineStr">
        <is>
          <t>DIDI</t>
        </is>
      </c>
      <c r="M565" s="3">
        <f>IF(H565="Efectivo",IFERROR((VALUE(RIGHT(I565,4))-VALUE(RIGHT(E565,4)))*12+(VALUE(LEFT(I565,2))-VALUE(LEFT(E565,2))),""),"")</f>
        <v/>
      </c>
    </row>
    <row r="566">
      <c r="A566" t="inlineStr">
        <is>
          <t>HERNANDEZ SANCHEZ ROMEO</t>
        </is>
      </c>
      <c r="B566" t="inlineStr">
        <is>
          <t>Hombre</t>
        </is>
      </c>
      <c r="C566" t="inlineStr">
        <is>
          <t>5906AF</t>
        </is>
      </c>
      <c r="D566" t="inlineStr">
        <is>
          <t>BAJA CALIFORNIA</t>
        </is>
      </c>
      <c r="E566" t="inlineStr">
        <is>
          <t>10-2025</t>
        </is>
      </c>
      <c r="F566" t="inlineStr">
        <is>
          <t>05-2026</t>
        </is>
      </c>
      <c r="G566" t="n">
        <v>7</v>
      </c>
      <c r="H566" t="inlineStr">
        <is>
          <t>Pendiente</t>
        </is>
      </c>
      <c r="J566" t="inlineStr">
        <is>
          <t>CAJ345A</t>
        </is>
      </c>
      <c r="K566" t="inlineStr">
        <is>
          <t>CHEVROLET AVEO</t>
        </is>
      </c>
      <c r="L566" t="inlineStr">
        <is>
          <t>DIDI</t>
        </is>
      </c>
      <c r="M566" s="3">
        <f>IF(H566="Efectivo",IFERROR((VALUE(RIGHT(I566,4))-VALUE(RIGHT(E566,4)))*12+(VALUE(LEFT(I566,2))-VALUE(LEFT(E566,2))),""),"")</f>
        <v/>
      </c>
    </row>
    <row r="567">
      <c r="A567" t="inlineStr">
        <is>
          <t>HERNANDEZ SIFUENTES JUAN JOSE</t>
        </is>
      </c>
      <c r="B567" t="inlineStr">
        <is>
          <t>Hombre</t>
        </is>
      </c>
      <c r="C567" t="inlineStr">
        <is>
          <t>5827AF</t>
        </is>
      </c>
      <c r="D567" t="inlineStr">
        <is>
          <t>NUEVO LEON</t>
        </is>
      </c>
      <c r="E567" t="inlineStr">
        <is>
          <t>09-2025</t>
        </is>
      </c>
      <c r="F567" t="inlineStr">
        <is>
          <t>01-2026</t>
        </is>
      </c>
      <c r="G567" t="n">
        <v>4</v>
      </c>
      <c r="H567" t="inlineStr">
        <is>
          <t>Efectivo</t>
        </is>
      </c>
      <c r="I567" t="inlineStr">
        <is>
          <t>01-2026</t>
        </is>
      </c>
      <c r="J567" t="inlineStr">
        <is>
          <t>RXC632C</t>
        </is>
      </c>
      <c r="K567" t="inlineStr">
        <is>
          <t>TOYOTA AVANZA</t>
        </is>
      </c>
      <c r="L567" t="inlineStr">
        <is>
          <t>DIDI</t>
        </is>
      </c>
      <c r="M567" s="3">
        <f>IF(H567="Efectivo",IFERROR((VALUE(RIGHT(I567,4))-VALUE(RIGHT(E567,4)))*12+(VALUE(LEFT(I567,2))-VALUE(LEFT(E567,2))),""),"")</f>
        <v/>
      </c>
    </row>
    <row r="568">
      <c r="A568" t="inlineStr">
        <is>
          <t>HERNANDEZ VARGAS FERNANDO</t>
        </is>
      </c>
      <c r="B568" t="inlineStr">
        <is>
          <t>Hombre</t>
        </is>
      </c>
      <c r="C568" t="inlineStr">
        <is>
          <t>5131AF</t>
        </is>
      </c>
      <c r="D568" t="inlineStr">
        <is>
          <t>CDMX Y AREA METROPOLITANA</t>
        </is>
      </c>
      <c r="E568" t="inlineStr">
        <is>
          <t>06-2025</t>
        </is>
      </c>
      <c r="F568" t="inlineStr">
        <is>
          <t>09-2025</t>
        </is>
      </c>
      <c r="G568" t="n">
        <v>2</v>
      </c>
      <c r="H568" t="inlineStr">
        <is>
          <t>Pendiente</t>
        </is>
      </c>
      <c r="J568" t="inlineStr">
        <is>
          <t>50G970</t>
        </is>
      </c>
      <c r="K568" t="inlineStr">
        <is>
          <t>GAC AION S</t>
        </is>
      </c>
      <c r="L568" t="inlineStr">
        <is>
          <t>UBER</t>
        </is>
      </c>
      <c r="M568" s="3">
        <f>IF(H568="Efectivo",IFERROR((VALUE(RIGHT(I568,4))-VALUE(RIGHT(E568,4)))*12+(VALUE(LEFT(I568,2))-VALUE(LEFT(E568,2))),""),"")</f>
        <v/>
      </c>
    </row>
    <row r="569">
      <c r="A569" t="inlineStr">
        <is>
          <t>HERNANDEZ VICTORIA REGINO FRANCISCO</t>
        </is>
      </c>
      <c r="B569" t="inlineStr">
        <is>
          <t>Hombre</t>
        </is>
      </c>
      <c r="C569" t="inlineStr">
        <is>
          <t>4993AF</t>
        </is>
      </c>
      <c r="D569" t="inlineStr">
        <is>
          <t>CDMX Y AREA METROPOLITANA</t>
        </is>
      </c>
      <c r="E569" t="inlineStr">
        <is>
          <t>06-2025</t>
        </is>
      </c>
      <c r="F569" t="inlineStr">
        <is>
          <t>02-2026</t>
        </is>
      </c>
      <c r="G569" t="n">
        <v>8</v>
      </c>
      <c r="H569" t="inlineStr">
        <is>
          <t>Efectivo</t>
        </is>
      </c>
      <c r="I569" t="inlineStr">
        <is>
          <t>02-2026</t>
        </is>
      </c>
      <c r="J569" t="inlineStr">
        <is>
          <t>47G517</t>
        </is>
      </c>
      <c r="K569" t="inlineStr">
        <is>
          <t>BYD MINIDOLPHIN</t>
        </is>
      </c>
      <c r="L569" t="inlineStr">
        <is>
          <t>DIDI</t>
        </is>
      </c>
      <c r="M569" s="3">
        <f>IF(H569="Efectivo",IFERROR((VALUE(RIGHT(I569,4))-VALUE(RIGHT(E569,4)))*12+(VALUE(LEFT(I569,2))-VALUE(LEFT(E569,2))),""),"")</f>
        <v/>
      </c>
    </row>
    <row r="570">
      <c r="A570" t="inlineStr">
        <is>
          <t>HERRERA ABREGO OSVALDO FELIPE</t>
        </is>
      </c>
      <c r="B570" t="inlineStr">
        <is>
          <t>Hombre</t>
        </is>
      </c>
      <c r="C570" t="inlineStr">
        <is>
          <t>5691AF</t>
        </is>
      </c>
      <c r="D570" t="inlineStr">
        <is>
          <t>CDMX Y AREA METROPOLITANA</t>
        </is>
      </c>
      <c r="E570" t="inlineStr">
        <is>
          <t>09-2025</t>
        </is>
      </c>
      <c r="F570" t="inlineStr">
        <is>
          <t>03-2026</t>
        </is>
      </c>
      <c r="G570" t="n">
        <v>6</v>
      </c>
      <c r="H570" t="inlineStr">
        <is>
          <t>Efectivo</t>
        </is>
      </c>
      <c r="I570" t="inlineStr">
        <is>
          <t>03-2026</t>
        </is>
      </c>
      <c r="J570" t="inlineStr">
        <is>
          <t>09K158</t>
        </is>
      </c>
      <c r="K570" t="inlineStr">
        <is>
          <t>GAC AION S</t>
        </is>
      </c>
      <c r="L570" t="inlineStr">
        <is>
          <t>UBER</t>
        </is>
      </c>
      <c r="M570" s="3">
        <f>IF(H570="Efectivo",IFERROR((VALUE(RIGHT(I570,4))-VALUE(RIGHT(E570,4)))*12+(VALUE(LEFT(I570,2))-VALUE(LEFT(E570,2))),""),"")</f>
        <v/>
      </c>
    </row>
    <row r="571">
      <c r="A571" t="inlineStr">
        <is>
          <t>HERRERA BARRERA JAIR ALEJANDRO</t>
        </is>
      </c>
      <c r="B571" t="inlineStr">
        <is>
          <t>Hombre</t>
        </is>
      </c>
      <c r="C571" t="inlineStr">
        <is>
          <t>6263AF</t>
        </is>
      </c>
      <c r="D571" t="inlineStr">
        <is>
          <t>CDMX Y AREA METROPOLITANA</t>
        </is>
      </c>
      <c r="E571" t="inlineStr">
        <is>
          <t>11-2025</t>
        </is>
      </c>
      <c r="F571" t="inlineStr">
        <is>
          <t>05-2026</t>
        </is>
      </c>
      <c r="G571" t="n">
        <v>6</v>
      </c>
      <c r="H571" t="inlineStr">
        <is>
          <t>Efectivo</t>
        </is>
      </c>
      <c r="I571" t="inlineStr">
        <is>
          <t>05-2026</t>
        </is>
      </c>
      <c r="J571" t="inlineStr">
        <is>
          <t>31G992</t>
        </is>
      </c>
      <c r="K571" t="inlineStr">
        <is>
          <t>GAC AION S</t>
        </is>
      </c>
      <c r="L571" t="inlineStr">
        <is>
          <t>UBER</t>
        </is>
      </c>
      <c r="M571" s="3">
        <f>IF(H571="Efectivo",IFERROR((VALUE(RIGHT(I571,4))-VALUE(RIGHT(E571,4)))*12+(VALUE(LEFT(I571,2))-VALUE(LEFT(E571,2))),""),"")</f>
        <v/>
      </c>
    </row>
    <row r="572">
      <c r="A572" t="inlineStr">
        <is>
          <t>HERRERA GARCIA MARTIN RICARDO</t>
        </is>
      </c>
      <c r="B572" t="inlineStr">
        <is>
          <t>Hombre</t>
        </is>
      </c>
      <c r="C572" t="inlineStr">
        <is>
          <t>6132AF</t>
        </is>
      </c>
      <c r="D572" t="inlineStr">
        <is>
          <t>CDMX Y AREA METROPOLITANA</t>
        </is>
      </c>
      <c r="E572" t="inlineStr">
        <is>
          <t>10-2025</t>
        </is>
      </c>
      <c r="F572" t="inlineStr">
        <is>
          <t>12-2025</t>
        </is>
      </c>
      <c r="G572" t="n">
        <v>2</v>
      </c>
      <c r="H572" t="inlineStr">
        <is>
          <t>Efectivo</t>
        </is>
      </c>
      <c r="I572" t="inlineStr">
        <is>
          <t>01-2026</t>
        </is>
      </c>
      <c r="J572" t="inlineStr">
        <is>
          <t>62G315</t>
        </is>
      </c>
      <c r="K572" t="inlineStr">
        <is>
          <t>BYD E5</t>
        </is>
      </c>
      <c r="L572" t="inlineStr">
        <is>
          <t>UBER</t>
        </is>
      </c>
      <c r="M572" s="3">
        <f>IF(H572="Efectivo",IFERROR((VALUE(RIGHT(I572,4))-VALUE(RIGHT(E572,4)))*12+(VALUE(LEFT(I572,2))-VALUE(LEFT(E572,2))),""),"")</f>
        <v/>
      </c>
    </row>
    <row r="573">
      <c r="A573" t="inlineStr">
        <is>
          <t>HERRERA LOPEZ ADRIAN DANIEL</t>
        </is>
      </c>
      <c r="B573" t="inlineStr">
        <is>
          <t>Hombre</t>
        </is>
      </c>
      <c r="C573" t="inlineStr">
        <is>
          <t>6326AF</t>
        </is>
      </c>
      <c r="D573" t="inlineStr">
        <is>
          <t>CDMX Y AREA METROPOLITANA</t>
        </is>
      </c>
      <c r="E573" t="inlineStr">
        <is>
          <t>11-2025</t>
        </is>
      </c>
      <c r="F573" t="inlineStr">
        <is>
          <t>04-2026</t>
        </is>
      </c>
      <c r="G573" t="n">
        <v>4</v>
      </c>
      <c r="H573" t="inlineStr">
        <is>
          <t>Pendiente</t>
        </is>
      </c>
      <c r="J573" t="inlineStr">
        <is>
          <t>62G230</t>
        </is>
      </c>
      <c r="K573" t="inlineStr">
        <is>
          <t>BYD E5</t>
        </is>
      </c>
      <c r="L573" t="inlineStr">
        <is>
          <t>UBER</t>
        </is>
      </c>
      <c r="M573" s="3">
        <f>IF(H573="Efectivo",IFERROR((VALUE(RIGHT(I573,4))-VALUE(RIGHT(E573,4)))*12+(VALUE(LEFT(I573,2))-VALUE(LEFT(E573,2))),""),"")</f>
        <v/>
      </c>
    </row>
    <row r="574">
      <c r="A574" t="inlineStr">
        <is>
          <t>HERRERA LOPEZ ISMAEL</t>
        </is>
      </c>
      <c r="B574" t="inlineStr">
        <is>
          <t>Hombre</t>
        </is>
      </c>
      <c r="C574" t="inlineStr">
        <is>
          <t>2851AF</t>
        </is>
      </c>
      <c r="D574" t="inlineStr">
        <is>
          <t>CDMX Y AREA METROPOLITANA</t>
        </is>
      </c>
      <c r="E574" t="inlineStr">
        <is>
          <t>11-2023</t>
        </is>
      </c>
      <c r="F574" t="inlineStr">
        <is>
          <t>05-2026</t>
        </is>
      </c>
      <c r="G574" t="n">
        <v>30</v>
      </c>
      <c r="H574" t="inlineStr">
        <is>
          <t>Efectivo</t>
        </is>
      </c>
      <c r="I574" t="inlineStr">
        <is>
          <t>05-2026</t>
        </is>
      </c>
      <c r="J574" t="inlineStr">
        <is>
          <t>Y93BNC</t>
        </is>
      </c>
      <c r="K574" t="inlineStr">
        <is>
          <t>CHEVROLET AVEO</t>
        </is>
      </c>
      <c r="L574" t="inlineStr">
        <is>
          <t>UBER</t>
        </is>
      </c>
      <c r="M574" s="3">
        <f>IF(H574="Efectivo",IFERROR((VALUE(RIGHT(I574,4))-VALUE(RIGHT(E574,4)))*12+(VALUE(LEFT(I574,2))-VALUE(LEFT(E574,2))),""),"")</f>
        <v/>
      </c>
    </row>
    <row r="575">
      <c r="A575" t="inlineStr">
        <is>
          <t>HERRERA LUIS FREDDY</t>
        </is>
      </c>
      <c r="B575" t="inlineStr">
        <is>
          <t>Hombre</t>
        </is>
      </c>
      <c r="C575" t="inlineStr">
        <is>
          <t>4364AF</t>
        </is>
      </c>
      <c r="D575" t="inlineStr">
        <is>
          <t>NUEVO LEON</t>
        </is>
      </c>
      <c r="E575" t="inlineStr">
        <is>
          <t>02-2025</t>
        </is>
      </c>
      <c r="F575" t="inlineStr">
        <is>
          <t>09-2025</t>
        </is>
      </c>
      <c r="G575" t="n">
        <v>6</v>
      </c>
      <c r="H575" t="inlineStr">
        <is>
          <t>Efectivo</t>
        </is>
      </c>
      <c r="I575" t="inlineStr">
        <is>
          <t>10-2025</t>
        </is>
      </c>
      <c r="J575" t="inlineStr">
        <is>
          <t>TFP748B</t>
        </is>
      </c>
      <c r="K575" t="inlineStr">
        <is>
          <t>CHEVROLET AVEO</t>
        </is>
      </c>
      <c r="L575" t="inlineStr">
        <is>
          <t>UBER</t>
        </is>
      </c>
      <c r="M575" s="3">
        <f>IF(H575="Efectivo",IFERROR((VALUE(RIGHT(I575,4))-VALUE(RIGHT(E575,4)))*12+(VALUE(LEFT(I575,2))-VALUE(LEFT(E575,2))),""),"")</f>
        <v/>
      </c>
    </row>
    <row r="576">
      <c r="A576" t="inlineStr">
        <is>
          <t>HERRERA MENDOZA ALFONSO</t>
        </is>
      </c>
      <c r="B576" t="inlineStr">
        <is>
          <t>Hombre</t>
        </is>
      </c>
      <c r="C576" t="inlineStr">
        <is>
          <t>6148AF</t>
        </is>
      </c>
      <c r="D576" t="inlineStr">
        <is>
          <t>CDMX Y AREA METROPOLITANA</t>
        </is>
      </c>
      <c r="E576" t="inlineStr">
        <is>
          <t>11-2025</t>
        </is>
      </c>
      <c r="F576" t="inlineStr">
        <is>
          <t>03-2026</t>
        </is>
      </c>
      <c r="G576" t="n">
        <v>4</v>
      </c>
      <c r="H576" t="inlineStr">
        <is>
          <t>Efectivo</t>
        </is>
      </c>
      <c r="I576" t="inlineStr">
        <is>
          <t>04-2026</t>
        </is>
      </c>
      <c r="J576" t="inlineStr">
        <is>
          <t>62G248</t>
        </is>
      </c>
      <c r="K576" t="inlineStr">
        <is>
          <t>BYD E5</t>
        </is>
      </c>
      <c r="L576" t="inlineStr">
        <is>
          <t>UBER</t>
        </is>
      </c>
      <c r="M576" s="3">
        <f>IF(H576="Efectivo",IFERROR((VALUE(RIGHT(I576,4))-VALUE(RIGHT(E576,4)))*12+(VALUE(LEFT(I576,2))-VALUE(LEFT(E576,2))),""),"")</f>
        <v/>
      </c>
    </row>
    <row r="577">
      <c r="A577" t="inlineStr">
        <is>
          <t>HERRERA MERCADO MARCO ANTONIO</t>
        </is>
      </c>
      <c r="B577" t="inlineStr">
        <is>
          <t>Hombre</t>
        </is>
      </c>
      <c r="C577" t="inlineStr">
        <is>
          <t>4601AF</t>
        </is>
      </c>
      <c r="D577" t="inlineStr">
        <is>
          <t>CDMX Y AREA METROPOLITANA</t>
        </is>
      </c>
      <c r="E577" t="inlineStr">
        <is>
          <t>04-2025</t>
        </is>
      </c>
      <c r="F577" t="inlineStr">
        <is>
          <t>12-2025</t>
        </is>
      </c>
      <c r="G577" t="n">
        <v>8</v>
      </c>
      <c r="H577" t="inlineStr">
        <is>
          <t>Cancelado</t>
        </is>
      </c>
      <c r="J577" t="inlineStr">
        <is>
          <t>27G700</t>
        </is>
      </c>
      <c r="K577" t="inlineStr">
        <is>
          <t>BYD MINIDOLPHIN</t>
        </is>
      </c>
      <c r="L577" t="inlineStr">
        <is>
          <t>UBER</t>
        </is>
      </c>
      <c r="M577" s="3">
        <f>IF(H577="Efectivo",IFERROR((VALUE(RIGHT(I577,4))-VALUE(RIGHT(E577,4)))*12+(VALUE(LEFT(I577,2))-VALUE(LEFT(E577,2))),""),"")</f>
        <v/>
      </c>
    </row>
    <row r="578">
      <c r="A578" t="inlineStr">
        <is>
          <t>HILARIO ROJAS JOAQUIN</t>
        </is>
      </c>
      <c r="B578" t="inlineStr">
        <is>
          <t>Hombre</t>
        </is>
      </c>
      <c r="C578" t="inlineStr">
        <is>
          <t>5831AF</t>
        </is>
      </c>
      <c r="D578" t="inlineStr">
        <is>
          <t>CDMX Y AREA METROPOLITANA</t>
        </is>
      </c>
      <c r="E578" t="inlineStr">
        <is>
          <t>09-2025</t>
        </is>
      </c>
      <c r="F578" t="inlineStr">
        <is>
          <t>12-2025</t>
        </is>
      </c>
      <c r="G578" t="n">
        <v>2</v>
      </c>
      <c r="H578" t="inlineStr">
        <is>
          <t>Efectivo</t>
        </is>
      </c>
      <c r="I578" t="inlineStr">
        <is>
          <t>04-2026</t>
        </is>
      </c>
      <c r="J578" t="inlineStr">
        <is>
          <t>09K886</t>
        </is>
      </c>
      <c r="K578" t="inlineStr">
        <is>
          <t>GAC AION S</t>
        </is>
      </c>
      <c r="L578" t="inlineStr">
        <is>
          <t>UBER</t>
        </is>
      </c>
      <c r="M578" s="3">
        <f>IF(H578="Efectivo",IFERROR((VALUE(RIGHT(I578,4))-VALUE(RIGHT(E578,4)))*12+(VALUE(LEFT(I578,2))-VALUE(LEFT(E578,2))),""),"")</f>
        <v/>
      </c>
    </row>
    <row r="579">
      <c r="A579" t="inlineStr">
        <is>
          <t>HINOJOSA CHANEZ RAMON</t>
        </is>
      </c>
      <c r="B579" t="inlineStr">
        <is>
          <t>Hombre</t>
        </is>
      </c>
      <c r="C579" t="inlineStr">
        <is>
          <t>5032AF</t>
        </is>
      </c>
      <c r="D579" t="inlineStr">
        <is>
          <t>BAJA CALIFORNIA</t>
        </is>
      </c>
      <c r="E579" t="inlineStr">
        <is>
          <t>06-2025</t>
        </is>
      </c>
      <c r="F579" t="inlineStr">
        <is>
          <t>12-2025</t>
        </is>
      </c>
      <c r="G579" t="n">
        <v>6</v>
      </c>
      <c r="H579" t="inlineStr">
        <is>
          <t>Efectivo</t>
        </is>
      </c>
      <c r="I579" t="inlineStr">
        <is>
          <t>01-2026</t>
        </is>
      </c>
      <c r="J579" t="inlineStr">
        <is>
          <t>BYN546A</t>
        </is>
      </c>
      <c r="K579" t="inlineStr">
        <is>
          <t>CHEVROLET AVEO</t>
        </is>
      </c>
      <c r="L579" t="inlineStr">
        <is>
          <t>UBER</t>
        </is>
      </c>
      <c r="M579" s="3">
        <f>IF(H579="Efectivo",IFERROR((VALUE(RIGHT(I579,4))-VALUE(RIGHT(E579,4)))*12+(VALUE(LEFT(I579,2))-VALUE(LEFT(E579,2))),""),"")</f>
        <v/>
      </c>
    </row>
    <row r="580">
      <c r="A580" t="inlineStr">
        <is>
          <t>HUERTA CORONEL JUAN EDMUNDO</t>
        </is>
      </c>
      <c r="B580" t="inlineStr">
        <is>
          <t>Hombre</t>
        </is>
      </c>
      <c r="C580" t="inlineStr">
        <is>
          <t>3875AF</t>
        </is>
      </c>
      <c r="D580" t="inlineStr">
        <is>
          <t>CDMX Y AREA METROPOLITANA</t>
        </is>
      </c>
      <c r="E580" t="inlineStr">
        <is>
          <t>10-2024</t>
        </is>
      </c>
      <c r="F580" t="inlineStr">
        <is>
          <t>05-2026</t>
        </is>
      </c>
      <c r="G580" t="n">
        <v>19</v>
      </c>
      <c r="H580" t="inlineStr">
        <is>
          <t>Pendiente</t>
        </is>
      </c>
      <c r="J580" t="inlineStr">
        <is>
          <t>E69BPT</t>
        </is>
      </c>
      <c r="K580" t="inlineStr">
        <is>
          <t>TOYOTA AVANZA</t>
        </is>
      </c>
      <c r="L580" t="inlineStr">
        <is>
          <t>UBER</t>
        </is>
      </c>
      <c r="M580" s="3">
        <f>IF(H580="Efectivo",IFERROR((VALUE(RIGHT(I580,4))-VALUE(RIGHT(E580,4)))*12+(VALUE(LEFT(I580,2))-VALUE(LEFT(E580,2))),""),"")</f>
        <v/>
      </c>
    </row>
    <row r="581">
      <c r="A581" t="inlineStr">
        <is>
          <t>HUERTA SANCHEZ PEDRO</t>
        </is>
      </c>
      <c r="B581" t="inlineStr">
        <is>
          <t>Hombre</t>
        </is>
      </c>
      <c r="C581" t="inlineStr">
        <is>
          <t>4396AF</t>
        </is>
      </c>
      <c r="D581" t="inlineStr">
        <is>
          <t>CDMX Y AREA METROPOLITANA</t>
        </is>
      </c>
      <c r="E581" t="inlineStr">
        <is>
          <t>02-2025</t>
        </is>
      </c>
      <c r="F581" t="inlineStr">
        <is>
          <t>06-2025</t>
        </is>
      </c>
      <c r="G581" t="n">
        <v>4</v>
      </c>
      <c r="H581" t="inlineStr">
        <is>
          <t>Efectivo</t>
        </is>
      </c>
      <c r="I581" t="inlineStr">
        <is>
          <t>07-2025</t>
        </is>
      </c>
      <c r="J581" t="inlineStr">
        <is>
          <t>31G624</t>
        </is>
      </c>
      <c r="K581" t="inlineStr">
        <is>
          <t>GAC AION S</t>
        </is>
      </c>
      <c r="L581" t="inlineStr">
        <is>
          <t>DIDI</t>
        </is>
      </c>
      <c r="M581" s="3">
        <f>IF(H581="Efectivo",IFERROR((VALUE(RIGHT(I581,4))-VALUE(RIGHT(E581,4)))*12+(VALUE(LEFT(I581,2))-VALUE(LEFT(E581,2))),""),"")</f>
        <v/>
      </c>
    </row>
    <row r="582">
      <c r="A582" t="inlineStr">
        <is>
          <t>HUITRON RAMIREZ PAVEL</t>
        </is>
      </c>
      <c r="B582" t="inlineStr">
        <is>
          <t>Hombre</t>
        </is>
      </c>
      <c r="C582" t="inlineStr">
        <is>
          <t>4187AF</t>
        </is>
      </c>
      <c r="D582" t="inlineStr">
        <is>
          <t>CDMX Y AREA METROPOLITANA</t>
        </is>
      </c>
      <c r="E582" t="inlineStr">
        <is>
          <t>01-2025</t>
        </is>
      </c>
      <c r="F582" t="inlineStr">
        <is>
          <t>09-2025</t>
        </is>
      </c>
      <c r="G582" t="n">
        <v>8</v>
      </c>
      <c r="H582" t="inlineStr">
        <is>
          <t>Efectivo</t>
        </is>
      </c>
      <c r="I582" t="inlineStr">
        <is>
          <t>10-2025</t>
        </is>
      </c>
      <c r="J582" t="inlineStr">
        <is>
          <t>45F573</t>
        </is>
      </c>
      <c r="K582" t="inlineStr">
        <is>
          <t>GAC AION S</t>
        </is>
      </c>
      <c r="L582" t="inlineStr">
        <is>
          <t>DIDI</t>
        </is>
      </c>
      <c r="M582" s="3">
        <f>IF(H582="Efectivo",IFERROR((VALUE(RIGHT(I582,4))-VALUE(RIGHT(E582,4)))*12+(VALUE(LEFT(I582,2))-VALUE(LEFT(E582,2))),""),"")</f>
        <v/>
      </c>
    </row>
    <row r="583">
      <c r="A583" t="inlineStr">
        <is>
          <t>HURTADO AGUILERA JUAN MANUEL</t>
        </is>
      </c>
      <c r="B583" t="inlineStr">
        <is>
          <t>Hombre</t>
        </is>
      </c>
      <c r="C583" t="inlineStr">
        <is>
          <t>3609AF</t>
        </is>
      </c>
      <c r="D583" t="inlineStr">
        <is>
          <t>CDMX Y AREA METROPOLITANA</t>
        </is>
      </c>
      <c r="E583" t="inlineStr">
        <is>
          <t>08-2024</t>
        </is>
      </c>
      <c r="F583" t="inlineStr">
        <is>
          <t>04-2025</t>
        </is>
      </c>
      <c r="G583" t="n">
        <v>8</v>
      </c>
      <c r="H583" t="inlineStr">
        <is>
          <t>Efectivo</t>
        </is>
      </c>
      <c r="I583" t="inlineStr">
        <is>
          <t>04-2025</t>
        </is>
      </c>
      <c r="J583" t="inlineStr">
        <is>
          <t>69F729</t>
        </is>
      </c>
      <c r="K583" t="inlineStr">
        <is>
          <t>SUZUKI ERTIGA</t>
        </is>
      </c>
      <c r="L583" t="inlineStr">
        <is>
          <t>UBER</t>
        </is>
      </c>
      <c r="M583" s="3">
        <f>IF(H583="Efectivo",IFERROR((VALUE(RIGHT(I583,4))-VALUE(RIGHT(E583,4)))*12+(VALUE(LEFT(I583,2))-VALUE(LEFT(E583,2))),""),"")</f>
        <v/>
      </c>
    </row>
    <row r="584">
      <c r="A584" t="inlineStr">
        <is>
          <t>HURTADO RODRIGUEZ CRISTIAN</t>
        </is>
      </c>
      <c r="B584" t="inlineStr">
        <is>
          <t>Hombre</t>
        </is>
      </c>
      <c r="C584" t="inlineStr">
        <is>
          <t>6278AF</t>
        </is>
      </c>
      <c r="D584" t="inlineStr">
        <is>
          <t>BAJA CALIFORNIA</t>
        </is>
      </c>
      <c r="E584" t="inlineStr">
        <is>
          <t>11-2025</t>
        </is>
      </c>
      <c r="F584" t="inlineStr">
        <is>
          <t>05-2026</t>
        </is>
      </c>
      <c r="G584" t="n">
        <v>5</v>
      </c>
      <c r="H584" t="inlineStr">
        <is>
          <t>Pendiente</t>
        </is>
      </c>
      <c r="J584" t="inlineStr">
        <is>
          <t>CAT826A</t>
        </is>
      </c>
      <c r="K584" t="inlineStr">
        <is>
          <t>CHEVROLET AVEO</t>
        </is>
      </c>
      <c r="L584" t="inlineStr">
        <is>
          <t>UBER</t>
        </is>
      </c>
      <c r="M584" s="3">
        <f>IF(H584="Efectivo",IFERROR((VALUE(RIGHT(I584,4))-VALUE(RIGHT(E584,4)))*12+(VALUE(LEFT(I584,2))-VALUE(LEFT(E584,2))),""),"")</f>
        <v/>
      </c>
    </row>
    <row r="585">
      <c r="A585" t="inlineStr">
        <is>
          <t>INFANTE JIMENEZ ALEJANDRO</t>
        </is>
      </c>
      <c r="B585" t="inlineStr">
        <is>
          <t>Hombre</t>
        </is>
      </c>
      <c r="C585" t="inlineStr">
        <is>
          <t>3097AF</t>
        </is>
      </c>
      <c r="D585" t="inlineStr">
        <is>
          <t>NUEVO LEON</t>
        </is>
      </c>
      <c r="E585" t="inlineStr">
        <is>
          <t>03-2024</t>
        </is>
      </c>
      <c r="F585" t="inlineStr">
        <is>
          <t>12-2025</t>
        </is>
      </c>
      <c r="G585" t="n">
        <v>21</v>
      </c>
      <c r="H585" t="inlineStr">
        <is>
          <t>Efectivo</t>
        </is>
      </c>
      <c r="I585" t="inlineStr">
        <is>
          <t>01-2026</t>
        </is>
      </c>
      <c r="J585" t="inlineStr">
        <is>
          <t>SVZ841B</t>
        </is>
      </c>
      <c r="K585" t="inlineStr">
        <is>
          <t>CHEVROLET AVEO</t>
        </is>
      </c>
      <c r="L585" t="inlineStr">
        <is>
          <t>UBER</t>
        </is>
      </c>
      <c r="M585" s="3">
        <f>IF(H585="Efectivo",IFERROR((VALUE(RIGHT(I585,4))-VALUE(RIGHT(E585,4)))*12+(VALUE(LEFT(I585,2))-VALUE(LEFT(E585,2))),""),"")</f>
        <v/>
      </c>
    </row>
    <row r="586">
      <c r="A586" t="inlineStr">
        <is>
          <t>ISLAS ARROYO JOSE RUBEN</t>
        </is>
      </c>
      <c r="B586" t="inlineStr">
        <is>
          <t>Hombre</t>
        </is>
      </c>
      <c r="C586" t="inlineStr">
        <is>
          <t>6676AF</t>
        </is>
      </c>
      <c r="D586" t="inlineStr">
        <is>
          <t>CDMX Y AREA METROPOLITANA</t>
        </is>
      </c>
      <c r="E586" t="inlineStr">
        <is>
          <t>01-2026</t>
        </is>
      </c>
      <c r="F586" t="inlineStr">
        <is>
          <t>05-2026</t>
        </is>
      </c>
      <c r="G586" t="n">
        <v>4</v>
      </c>
      <c r="H586" t="inlineStr">
        <is>
          <t>Efectivo</t>
        </is>
      </c>
      <c r="I586" t="inlineStr">
        <is>
          <t>05-2026</t>
        </is>
      </c>
      <c r="J586" t="inlineStr">
        <is>
          <t>G54BSP</t>
        </is>
      </c>
      <c r="K586" t="inlineStr">
        <is>
          <t>CHEVROLET AVEO</t>
        </is>
      </c>
      <c r="L586" t="inlineStr">
        <is>
          <t>UBER</t>
        </is>
      </c>
      <c r="M586" s="3">
        <f>IF(H586="Efectivo",IFERROR((VALUE(RIGHT(I586,4))-VALUE(RIGHT(E586,4)))*12+(VALUE(LEFT(I586,2))-VALUE(LEFT(E586,2))),""),"")</f>
        <v/>
      </c>
    </row>
    <row r="587">
      <c r="A587" t="inlineStr">
        <is>
          <t>ISLAS CARRANZA ROBERTO</t>
        </is>
      </c>
      <c r="B587" t="inlineStr">
        <is>
          <t>Hombre</t>
        </is>
      </c>
      <c r="C587" t="inlineStr">
        <is>
          <t>5610AF</t>
        </is>
      </c>
      <c r="D587" t="inlineStr">
        <is>
          <t>CDMX Y AREA METROPOLITANA</t>
        </is>
      </c>
      <c r="E587" t="inlineStr">
        <is>
          <t>08-2025</t>
        </is>
      </c>
      <c r="F587" t="inlineStr">
        <is>
          <t>04-2026</t>
        </is>
      </c>
      <c r="G587" t="n">
        <v>7</v>
      </c>
      <c r="H587" t="inlineStr">
        <is>
          <t>Efectivo</t>
        </is>
      </c>
      <c r="I587" t="inlineStr">
        <is>
          <t>04-2026</t>
        </is>
      </c>
      <c r="J587" t="inlineStr">
        <is>
          <t>07K826</t>
        </is>
      </c>
      <c r="K587" t="inlineStr">
        <is>
          <t>GAC AION S</t>
        </is>
      </c>
      <c r="L587" t="inlineStr">
        <is>
          <t>UBER</t>
        </is>
      </c>
      <c r="M587" s="3">
        <f>IF(H587="Efectivo",IFERROR((VALUE(RIGHT(I587,4))-VALUE(RIGHT(E587,4)))*12+(VALUE(LEFT(I587,2))-VALUE(LEFT(E587,2))),""),"")</f>
        <v/>
      </c>
    </row>
    <row r="588">
      <c r="A588" t="inlineStr">
        <is>
          <t>ITURBE ESQUIVEL ISRAEL</t>
        </is>
      </c>
      <c r="B588" t="inlineStr">
        <is>
          <t>Hombre</t>
        </is>
      </c>
      <c r="C588" t="inlineStr">
        <is>
          <t>3148AF</t>
        </is>
      </c>
      <c r="D588" t="inlineStr">
        <is>
          <t>CDMX Y AREA METROPOLITANA</t>
        </is>
      </c>
      <c r="E588" t="inlineStr">
        <is>
          <t>03-2024</t>
        </is>
      </c>
      <c r="F588" t="inlineStr">
        <is>
          <t>04-2025</t>
        </is>
      </c>
      <c r="G588" t="n">
        <v>12</v>
      </c>
      <c r="H588" t="inlineStr">
        <is>
          <t>Efectivo</t>
        </is>
      </c>
      <c r="I588" t="inlineStr">
        <is>
          <t>04-2025</t>
        </is>
      </c>
      <c r="J588" t="inlineStr">
        <is>
          <t>84F049</t>
        </is>
      </c>
      <c r="K588" t="inlineStr">
        <is>
          <t>BYD D1</t>
        </is>
      </c>
      <c r="L588" t="inlineStr">
        <is>
          <t>UBER</t>
        </is>
      </c>
      <c r="M588" s="3">
        <f>IF(H588="Efectivo",IFERROR((VALUE(RIGHT(I588,4))-VALUE(RIGHT(E588,4)))*12+(VALUE(LEFT(I588,2))-VALUE(LEFT(E588,2))),""),"")</f>
        <v/>
      </c>
    </row>
    <row r="589">
      <c r="A589" t="inlineStr">
        <is>
          <t>ITURBIDE ROSAS RENORREIS</t>
        </is>
      </c>
      <c r="B589" t="inlineStr">
        <is>
          <t>Hombre</t>
        </is>
      </c>
      <c r="C589" t="inlineStr">
        <is>
          <t>5781AF</t>
        </is>
      </c>
      <c r="D589" t="inlineStr">
        <is>
          <t>CDMX Y AREA METROPOLITANA</t>
        </is>
      </c>
      <c r="E589" t="inlineStr">
        <is>
          <t>09-2025</t>
        </is>
      </c>
      <c r="F589" t="inlineStr">
        <is>
          <t>01-2026</t>
        </is>
      </c>
      <c r="G589" t="n">
        <v>4</v>
      </c>
      <c r="H589" t="inlineStr">
        <is>
          <t>Efectivo</t>
        </is>
      </c>
      <c r="I589" t="inlineStr">
        <is>
          <t>02-2026</t>
        </is>
      </c>
      <c r="J589" t="inlineStr">
        <is>
          <t>09K937</t>
        </is>
      </c>
      <c r="K589" t="inlineStr">
        <is>
          <t>GAC AION S</t>
        </is>
      </c>
      <c r="L589" t="inlineStr">
        <is>
          <t>UBER</t>
        </is>
      </c>
      <c r="M589" s="3">
        <f>IF(H589="Efectivo",IFERROR((VALUE(RIGHT(I589,4))-VALUE(RIGHT(E589,4)))*12+(VALUE(LEFT(I589,2))-VALUE(LEFT(E589,2))),""),"")</f>
        <v/>
      </c>
    </row>
    <row r="590">
      <c r="A590" t="inlineStr">
        <is>
          <t>JAIMES ALONSO MIGUEL ANGEL</t>
        </is>
      </c>
      <c r="B590" t="inlineStr">
        <is>
          <t>Hombre</t>
        </is>
      </c>
      <c r="C590" t="inlineStr">
        <is>
          <t>4676AF</t>
        </is>
      </c>
      <c r="D590" t="inlineStr">
        <is>
          <t>CDMX Y AREA METROPOLITANA</t>
        </is>
      </c>
      <c r="E590" t="inlineStr">
        <is>
          <t>04-2025</t>
        </is>
      </c>
      <c r="F590" t="inlineStr">
        <is>
          <t>08-2025</t>
        </is>
      </c>
      <c r="G590" t="n">
        <v>4</v>
      </c>
      <c r="H590" t="inlineStr">
        <is>
          <t>Efectivo</t>
        </is>
      </c>
      <c r="I590" t="inlineStr">
        <is>
          <t>09-2025</t>
        </is>
      </c>
      <c r="J590" t="inlineStr">
        <is>
          <t>47G413</t>
        </is>
      </c>
      <c r="K590" t="inlineStr">
        <is>
          <t>BYD MINIDOLPHIN</t>
        </is>
      </c>
      <c r="L590" t="inlineStr">
        <is>
          <t>UBER</t>
        </is>
      </c>
      <c r="M590" s="3">
        <f>IF(H590="Efectivo",IFERROR((VALUE(RIGHT(I590,4))-VALUE(RIGHT(E590,4)))*12+(VALUE(LEFT(I590,2))-VALUE(LEFT(E590,2))),""),"")</f>
        <v/>
      </c>
    </row>
    <row r="591">
      <c r="A591" t="inlineStr">
        <is>
          <t>JARAMILLO TOLENTINO JOSE EDUARDO</t>
        </is>
      </c>
      <c r="B591" t="inlineStr">
        <is>
          <t>Hombre</t>
        </is>
      </c>
      <c r="C591" t="inlineStr">
        <is>
          <t>4019AF</t>
        </is>
      </c>
      <c r="D591" t="inlineStr">
        <is>
          <t>CDMX Y AREA METROPOLITANA</t>
        </is>
      </c>
      <c r="E591" t="inlineStr">
        <is>
          <t>11-2024</t>
        </is>
      </c>
      <c r="F591" t="inlineStr">
        <is>
          <t>04-2025</t>
        </is>
      </c>
      <c r="G591" t="n">
        <v>5</v>
      </c>
      <c r="H591" t="inlineStr">
        <is>
          <t>Efectivo</t>
        </is>
      </c>
      <c r="I591" t="inlineStr">
        <is>
          <t>04-2025</t>
        </is>
      </c>
      <c r="J591" t="inlineStr">
        <is>
          <t>13G701</t>
        </is>
      </c>
      <c r="K591" t="inlineStr">
        <is>
          <t>BYD D1</t>
        </is>
      </c>
      <c r="L591" t="inlineStr">
        <is>
          <t>DIDI</t>
        </is>
      </c>
      <c r="M591" s="3">
        <f>IF(H591="Efectivo",IFERROR((VALUE(RIGHT(I591,4))-VALUE(RIGHT(E591,4)))*12+(VALUE(LEFT(I591,2))-VALUE(LEFT(E591,2))),""),"")</f>
        <v/>
      </c>
    </row>
    <row r="592">
      <c r="A592" t="inlineStr">
        <is>
          <t>JARDON RIVERA ALEJANDRO</t>
        </is>
      </c>
      <c r="B592" t="inlineStr">
        <is>
          <t>Hombre</t>
        </is>
      </c>
      <c r="C592" t="inlineStr">
        <is>
          <t>3772AF</t>
        </is>
      </c>
      <c r="D592" t="inlineStr">
        <is>
          <t>CDMX Y AREA METROPOLITANA</t>
        </is>
      </c>
      <c r="E592" t="inlineStr">
        <is>
          <t>09-2024</t>
        </is>
      </c>
      <c r="F592" t="inlineStr">
        <is>
          <t>08-2025</t>
        </is>
      </c>
      <c r="G592" t="n">
        <v>11</v>
      </c>
      <c r="H592" t="inlineStr">
        <is>
          <t>Efectivo</t>
        </is>
      </c>
      <c r="I592" t="inlineStr">
        <is>
          <t>09-2025</t>
        </is>
      </c>
      <c r="J592" t="inlineStr">
        <is>
          <t>08G197</t>
        </is>
      </c>
      <c r="K592" t="inlineStr">
        <is>
          <t>BYD D1</t>
        </is>
      </c>
      <c r="L592" t="inlineStr">
        <is>
          <t>UBER</t>
        </is>
      </c>
      <c r="M592" s="3">
        <f>IF(H592="Efectivo",IFERROR((VALUE(RIGHT(I592,4))-VALUE(RIGHT(E592,4)))*12+(VALUE(LEFT(I592,2))-VALUE(LEFT(E592,2))),""),"")</f>
        <v/>
      </c>
    </row>
    <row r="593">
      <c r="A593" t="inlineStr">
        <is>
          <t>JIMENEZ DE LA CRUZ ERNESTO</t>
        </is>
      </c>
      <c r="B593" t="inlineStr">
        <is>
          <t>Hombre</t>
        </is>
      </c>
      <c r="C593" t="inlineStr">
        <is>
          <t>3866AF</t>
        </is>
      </c>
      <c r="D593" t="inlineStr">
        <is>
          <t>CDMX Y AREA METROPOLITANA</t>
        </is>
      </c>
      <c r="E593" t="inlineStr">
        <is>
          <t>10-2024</t>
        </is>
      </c>
      <c r="F593" t="inlineStr">
        <is>
          <t>01-2025</t>
        </is>
      </c>
      <c r="G593" t="n">
        <v>3</v>
      </c>
      <c r="H593" t="inlineStr">
        <is>
          <t>Efectivo</t>
        </is>
      </c>
      <c r="I593" t="inlineStr">
        <is>
          <t>02-2025</t>
        </is>
      </c>
      <c r="J593" t="inlineStr">
        <is>
          <t>08G158</t>
        </is>
      </c>
      <c r="K593" t="inlineStr">
        <is>
          <t>BYD D1</t>
        </is>
      </c>
      <c r="L593" t="inlineStr">
        <is>
          <t>UBER</t>
        </is>
      </c>
      <c r="M593" s="3">
        <f>IF(H593="Efectivo",IFERROR((VALUE(RIGHT(I593,4))-VALUE(RIGHT(E593,4)))*12+(VALUE(LEFT(I593,2))-VALUE(LEFT(E593,2))),""),"")</f>
        <v/>
      </c>
    </row>
    <row r="594">
      <c r="A594" t="inlineStr">
        <is>
          <t>JIMENEZ DOMINGUEZ SERGIO JAVIER</t>
        </is>
      </c>
      <c r="B594" t="inlineStr">
        <is>
          <t>Hombre</t>
        </is>
      </c>
      <c r="C594" t="inlineStr">
        <is>
          <t>5663AF</t>
        </is>
      </c>
      <c r="D594" t="inlineStr">
        <is>
          <t>CDMX Y AREA METROPOLITANA</t>
        </is>
      </c>
      <c r="E594" t="inlineStr">
        <is>
          <t>09-2025</t>
        </is>
      </c>
      <c r="F594" t="inlineStr">
        <is>
          <t>01-2026</t>
        </is>
      </c>
      <c r="G594" t="n">
        <v>4</v>
      </c>
      <c r="H594" t="inlineStr">
        <is>
          <t>Efectivo</t>
        </is>
      </c>
      <c r="I594" t="inlineStr">
        <is>
          <t>01-2026</t>
        </is>
      </c>
      <c r="J594" t="inlineStr">
        <is>
          <t>41G414</t>
        </is>
      </c>
      <c r="K594" t="inlineStr">
        <is>
          <t>BYD MINIDOLPHIN</t>
        </is>
      </c>
      <c r="L594" t="inlineStr">
        <is>
          <t>DIDI</t>
        </is>
      </c>
      <c r="M594" s="3">
        <f>IF(H594="Efectivo",IFERROR((VALUE(RIGHT(I594,4))-VALUE(RIGHT(E594,4)))*12+(VALUE(LEFT(I594,2))-VALUE(LEFT(E594,2))),""),"")</f>
        <v/>
      </c>
    </row>
    <row r="595">
      <c r="A595" t="inlineStr">
        <is>
          <t>JIMENEZ HERNANDEZ EDGAR YOSSIMAR</t>
        </is>
      </c>
      <c r="B595" t="inlineStr">
        <is>
          <t>Hombre</t>
        </is>
      </c>
      <c r="C595" t="inlineStr">
        <is>
          <t>3989AF</t>
        </is>
      </c>
      <c r="D595" t="inlineStr">
        <is>
          <t>CDMX Y AREA METROPOLITANA</t>
        </is>
      </c>
      <c r="E595" t="inlineStr">
        <is>
          <t>11-2024</t>
        </is>
      </c>
      <c r="F595" t="inlineStr">
        <is>
          <t>02-2025</t>
        </is>
      </c>
      <c r="G595" t="n">
        <v>3</v>
      </c>
      <c r="H595" t="inlineStr">
        <is>
          <t>Efectivo</t>
        </is>
      </c>
      <c r="I595" t="inlineStr">
        <is>
          <t>03-2025</t>
        </is>
      </c>
      <c r="J595" t="inlineStr">
        <is>
          <t>13G810</t>
        </is>
      </c>
      <c r="K595" t="inlineStr">
        <is>
          <t>BYD D1</t>
        </is>
      </c>
      <c r="L595" t="inlineStr">
        <is>
          <t>UBER</t>
        </is>
      </c>
      <c r="M595" s="3">
        <f>IF(H595="Efectivo",IFERROR((VALUE(RIGHT(I595,4))-VALUE(RIGHT(E595,4)))*12+(VALUE(LEFT(I595,2))-VALUE(LEFT(E595,2))),""),"")</f>
        <v/>
      </c>
    </row>
    <row r="596">
      <c r="A596" t="inlineStr">
        <is>
          <t>JIMENEZ JIMENEZ DAVID ARTURO</t>
        </is>
      </c>
      <c r="B596" t="inlineStr">
        <is>
          <t>Hombre</t>
        </is>
      </c>
      <c r="C596" t="inlineStr">
        <is>
          <t>4582AF</t>
        </is>
      </c>
      <c r="D596" t="inlineStr">
        <is>
          <t>CDMX Y AREA METROPOLITANA</t>
        </is>
      </c>
      <c r="E596" t="inlineStr">
        <is>
          <t>04-2025</t>
        </is>
      </c>
      <c r="F596" t="inlineStr">
        <is>
          <t>08-2025</t>
        </is>
      </c>
      <c r="G596" t="n">
        <v>4</v>
      </c>
      <c r="H596" t="inlineStr">
        <is>
          <t>Efectivo</t>
        </is>
      </c>
      <c r="I596" t="inlineStr">
        <is>
          <t>08-2025</t>
        </is>
      </c>
      <c r="J596" t="inlineStr">
        <is>
          <t>40G085</t>
        </is>
      </c>
      <c r="K596" t="inlineStr">
        <is>
          <t>GAC AION S</t>
        </is>
      </c>
      <c r="L596" t="inlineStr">
        <is>
          <t>UBER</t>
        </is>
      </c>
      <c r="M596" s="3">
        <f>IF(H596="Efectivo",IFERROR((VALUE(RIGHT(I596,4))-VALUE(RIGHT(E596,4)))*12+(VALUE(LEFT(I596,2))-VALUE(LEFT(E596,2))),""),"")</f>
        <v/>
      </c>
    </row>
    <row r="597">
      <c r="A597" t="inlineStr">
        <is>
          <t>JIMENEZ MARROQUIN ANTONIO</t>
        </is>
      </c>
      <c r="B597" t="inlineStr">
        <is>
          <t>Hombre</t>
        </is>
      </c>
      <c r="C597" t="inlineStr">
        <is>
          <t>4084AF</t>
        </is>
      </c>
      <c r="D597" t="inlineStr">
        <is>
          <t>CDMX Y AREA METROPOLITANA</t>
        </is>
      </c>
      <c r="E597" t="inlineStr">
        <is>
          <t>12-2024</t>
        </is>
      </c>
      <c r="F597" t="inlineStr">
        <is>
          <t>10-2025</t>
        </is>
      </c>
      <c r="G597" t="n">
        <v>10</v>
      </c>
      <c r="H597" t="inlineStr">
        <is>
          <t>Cancelado</t>
        </is>
      </c>
      <c r="J597" t="inlineStr">
        <is>
          <t>H17BLM</t>
        </is>
      </c>
      <c r="K597" t="inlineStr">
        <is>
          <t>ATTITUDE</t>
        </is>
      </c>
      <c r="L597" t="inlineStr">
        <is>
          <t>UBER</t>
        </is>
      </c>
      <c r="M597" s="3">
        <f>IF(H597="Efectivo",IFERROR((VALUE(RIGHT(I597,4))-VALUE(RIGHT(E597,4)))*12+(VALUE(LEFT(I597,2))-VALUE(LEFT(E597,2))),""),"")</f>
        <v/>
      </c>
    </row>
    <row r="598">
      <c r="A598" t="inlineStr">
        <is>
          <t>JIMENEZ MARROQUIN ANTONIO</t>
        </is>
      </c>
      <c r="B598" t="inlineStr">
        <is>
          <t>Hombre</t>
        </is>
      </c>
      <c r="C598" t="inlineStr">
        <is>
          <t>4084AF</t>
        </is>
      </c>
      <c r="D598" t="inlineStr">
        <is>
          <t>CDMX Y AREA METROPOLITANA</t>
        </is>
      </c>
      <c r="E598" t="inlineStr">
        <is>
          <t>12-2024</t>
        </is>
      </c>
      <c r="F598" t="inlineStr">
        <is>
          <t>04-2026</t>
        </is>
      </c>
      <c r="G598" t="n">
        <v>16</v>
      </c>
      <c r="H598" t="inlineStr">
        <is>
          <t>Efectivo</t>
        </is>
      </c>
      <c r="I598" t="inlineStr">
        <is>
          <t>05-2026</t>
        </is>
      </c>
      <c r="J598" t="inlineStr">
        <is>
          <t>H17BLM</t>
        </is>
      </c>
      <c r="K598" t="inlineStr">
        <is>
          <t>ATTITUDE</t>
        </is>
      </c>
      <c r="L598" t="inlineStr">
        <is>
          <t>UBER</t>
        </is>
      </c>
      <c r="M598" s="3">
        <f>IF(H598="Efectivo",IFERROR((VALUE(RIGHT(I598,4))-VALUE(RIGHT(E598,4)))*12+(VALUE(LEFT(I598,2))-VALUE(LEFT(E598,2))),""),"")</f>
        <v/>
      </c>
    </row>
    <row r="599">
      <c r="A599" t="inlineStr">
        <is>
          <t>JIMENEZ ORTEGA JUAN MANUEL</t>
        </is>
      </c>
      <c r="B599" t="inlineStr">
        <is>
          <t>Hombre</t>
        </is>
      </c>
      <c r="C599" t="inlineStr">
        <is>
          <t>3043AF</t>
        </is>
      </c>
      <c r="D599" t="inlineStr">
        <is>
          <t>JALISCO</t>
        </is>
      </c>
      <c r="E599" t="inlineStr">
        <is>
          <t>02-2024</t>
        </is>
      </c>
      <c r="F599" t="inlineStr">
        <is>
          <t>03-2025</t>
        </is>
      </c>
      <c r="G599" t="n">
        <v>13</v>
      </c>
      <c r="H599" t="inlineStr">
        <is>
          <t>Efectivo</t>
        </is>
      </c>
      <c r="I599" t="inlineStr">
        <is>
          <t>03-2025</t>
        </is>
      </c>
      <c r="J599" t="inlineStr">
        <is>
          <t>HSN692A</t>
        </is>
      </c>
      <c r="K599" t="inlineStr">
        <is>
          <t>CHEVROLET AVEO</t>
        </is>
      </c>
      <c r="L599" t="inlineStr">
        <is>
          <t>UBER</t>
        </is>
      </c>
      <c r="M599" s="3">
        <f>IF(H599="Efectivo",IFERROR((VALUE(RIGHT(I599,4))-VALUE(RIGHT(E599,4)))*12+(VALUE(LEFT(I599,2))-VALUE(LEFT(E599,2))),""),"")</f>
        <v/>
      </c>
    </row>
    <row r="600">
      <c r="A600" t="inlineStr">
        <is>
          <t>JIMENEZ ROMERO JORGE ANTONIO</t>
        </is>
      </c>
      <c r="B600" t="inlineStr">
        <is>
          <t>Hombre</t>
        </is>
      </c>
      <c r="C600" t="inlineStr">
        <is>
          <t>5673AF</t>
        </is>
      </c>
      <c r="D600" t="inlineStr">
        <is>
          <t>BAJA CALIFORNIA</t>
        </is>
      </c>
      <c r="E600" t="inlineStr">
        <is>
          <t>09-2025</t>
        </is>
      </c>
      <c r="F600" t="inlineStr">
        <is>
          <t>01-2026</t>
        </is>
      </c>
      <c r="G600" t="n">
        <v>4</v>
      </c>
      <c r="H600" t="inlineStr">
        <is>
          <t>Cancelado</t>
        </is>
      </c>
      <c r="J600" t="inlineStr">
        <is>
          <t>CAD353A</t>
        </is>
      </c>
      <c r="K600" t="inlineStr">
        <is>
          <t>CHEVROLET AVEO</t>
        </is>
      </c>
      <c r="L600" t="inlineStr">
        <is>
          <t>DIDI</t>
        </is>
      </c>
      <c r="M600" s="3">
        <f>IF(H600="Efectivo",IFERROR((VALUE(RIGHT(I600,4))-VALUE(RIGHT(E600,4)))*12+(VALUE(LEFT(I600,2))-VALUE(LEFT(E600,2))),""),"")</f>
        <v/>
      </c>
    </row>
    <row r="601">
      <c r="A601" t="inlineStr">
        <is>
          <t>JUAREZ BELLO JOSE LUIS</t>
        </is>
      </c>
      <c r="B601" t="inlineStr">
        <is>
          <t>Hombre</t>
        </is>
      </c>
      <c r="C601" t="inlineStr">
        <is>
          <t>4293AF</t>
        </is>
      </c>
      <c r="D601" t="inlineStr">
        <is>
          <t>CDMX Y AREA METROPOLITANA</t>
        </is>
      </c>
      <c r="E601" t="inlineStr">
        <is>
          <t>02-2025</t>
        </is>
      </c>
      <c r="F601" t="inlineStr">
        <is>
          <t>09-2025</t>
        </is>
      </c>
      <c r="G601" t="n">
        <v>8</v>
      </c>
      <c r="H601" t="inlineStr">
        <is>
          <t>Efectivo</t>
        </is>
      </c>
      <c r="I601" t="inlineStr">
        <is>
          <t>09-2025</t>
        </is>
      </c>
      <c r="J601" t="inlineStr">
        <is>
          <t>31G992</t>
        </is>
      </c>
      <c r="K601" t="inlineStr">
        <is>
          <t>GAC AION S</t>
        </is>
      </c>
      <c r="L601" t="inlineStr">
        <is>
          <t>DIDI</t>
        </is>
      </c>
      <c r="M601" s="3">
        <f>IF(H601="Efectivo",IFERROR((VALUE(RIGHT(I601,4))-VALUE(RIGHT(E601,4)))*12+(VALUE(LEFT(I601,2))-VALUE(LEFT(E601,2))),""),"")</f>
        <v/>
      </c>
    </row>
    <row r="602">
      <c r="A602" t="inlineStr">
        <is>
          <t>JUAREZ CORTEZ EDGAR JESUS</t>
        </is>
      </c>
      <c r="B602" t="inlineStr">
        <is>
          <t>Hombre</t>
        </is>
      </c>
      <c r="C602" t="inlineStr">
        <is>
          <t>4179AF</t>
        </is>
      </c>
      <c r="D602" t="inlineStr">
        <is>
          <t>CDMX Y AREA METROPOLITANA</t>
        </is>
      </c>
      <c r="E602" t="inlineStr">
        <is>
          <t>01-2025</t>
        </is>
      </c>
      <c r="F602" t="inlineStr">
        <is>
          <t>06-2025</t>
        </is>
      </c>
      <c r="G602" t="n">
        <v>5</v>
      </c>
      <c r="H602" t="inlineStr">
        <is>
          <t>Efectivo</t>
        </is>
      </c>
      <c r="I602" t="inlineStr">
        <is>
          <t>07-2025</t>
        </is>
      </c>
      <c r="J602" t="inlineStr">
        <is>
          <t>19G527</t>
        </is>
      </c>
      <c r="K602" t="inlineStr">
        <is>
          <t>BYD D1</t>
        </is>
      </c>
      <c r="L602" t="inlineStr">
        <is>
          <t>UBER</t>
        </is>
      </c>
      <c r="M602" s="3">
        <f>IF(H602="Efectivo",IFERROR((VALUE(RIGHT(I602,4))-VALUE(RIGHT(E602,4)))*12+(VALUE(LEFT(I602,2))-VALUE(LEFT(E602,2))),""),"")</f>
        <v/>
      </c>
    </row>
    <row r="603">
      <c r="A603" t="inlineStr">
        <is>
          <t>JUAREZ CORTEZ EDGAR JESUS</t>
        </is>
      </c>
      <c r="B603" t="inlineStr">
        <is>
          <t>Hombre</t>
        </is>
      </c>
      <c r="C603" t="inlineStr">
        <is>
          <t>6858AF</t>
        </is>
      </c>
      <c r="D603" t="inlineStr">
        <is>
          <t>CDMX Y AREA METROPOLITANA</t>
        </is>
      </c>
      <c r="E603" t="inlineStr">
        <is>
          <t>01-2026</t>
        </is>
      </c>
      <c r="F603" t="inlineStr">
        <is>
          <t>05-2026</t>
        </is>
      </c>
      <c r="G603" t="n">
        <v>3</v>
      </c>
      <c r="H603" t="inlineStr">
        <is>
          <t>Pendiente</t>
        </is>
      </c>
      <c r="J603" t="inlineStr">
        <is>
          <t>39G976</t>
        </is>
      </c>
      <c r="K603" t="inlineStr">
        <is>
          <t>GAC AION S</t>
        </is>
      </c>
      <c r="L603" t="inlineStr">
        <is>
          <t>UBER</t>
        </is>
      </c>
      <c r="M603" s="3">
        <f>IF(H603="Efectivo",IFERROR((VALUE(RIGHT(I603,4))-VALUE(RIGHT(E603,4)))*12+(VALUE(LEFT(I603,2))-VALUE(LEFT(E603,2))),""),"")</f>
        <v/>
      </c>
    </row>
    <row r="604">
      <c r="A604" t="inlineStr">
        <is>
          <t>JUAREZ DUQUE FRANCISCO JAVIER</t>
        </is>
      </c>
      <c r="B604" t="inlineStr">
        <is>
          <t>Hombre</t>
        </is>
      </c>
      <c r="C604" t="inlineStr">
        <is>
          <t>6685AF</t>
        </is>
      </c>
      <c r="D604" t="inlineStr">
        <is>
          <t>NUEVO LEON</t>
        </is>
      </c>
      <c r="E604" t="inlineStr">
        <is>
          <t>01-2026</t>
        </is>
      </c>
      <c r="F604" t="inlineStr">
        <is>
          <t>02-2026</t>
        </is>
      </c>
      <c r="G604" t="n">
        <v>1</v>
      </c>
      <c r="H604" t="inlineStr">
        <is>
          <t>Efectivo</t>
        </is>
      </c>
      <c r="I604" t="inlineStr">
        <is>
          <t>02-2026</t>
        </is>
      </c>
      <c r="J604" t="inlineStr">
        <is>
          <t>RYU282C</t>
        </is>
      </c>
      <c r="K604" t="inlineStr">
        <is>
          <t>CHEVROLET AVEO</t>
        </is>
      </c>
      <c r="L604" t="inlineStr">
        <is>
          <t>UBER</t>
        </is>
      </c>
      <c r="M604" s="3">
        <f>IF(H604="Efectivo",IFERROR((VALUE(RIGHT(I604,4))-VALUE(RIGHT(E604,4)))*12+(VALUE(LEFT(I604,2))-VALUE(LEFT(E604,2))),""),"")</f>
        <v/>
      </c>
    </row>
    <row r="605">
      <c r="A605" t="inlineStr">
        <is>
          <t>JUAREZ GARCIA ZAIT CESAR</t>
        </is>
      </c>
      <c r="B605" t="inlineStr">
        <is>
          <t>Hombre</t>
        </is>
      </c>
      <c r="C605" t="inlineStr">
        <is>
          <t>3792AF</t>
        </is>
      </c>
      <c r="D605" t="inlineStr">
        <is>
          <t>CDMX Y AREA METROPOLITANA</t>
        </is>
      </c>
      <c r="E605" t="inlineStr">
        <is>
          <t>10-2024</t>
        </is>
      </c>
      <c r="F605" t="inlineStr">
        <is>
          <t>01-2026</t>
        </is>
      </c>
      <c r="G605" t="n">
        <v>16</v>
      </c>
      <c r="H605" t="inlineStr">
        <is>
          <t>Efectivo</t>
        </is>
      </c>
      <c r="I605" t="inlineStr">
        <is>
          <t>02-2026</t>
        </is>
      </c>
      <c r="J605" t="inlineStr">
        <is>
          <t>E99BPN</t>
        </is>
      </c>
      <c r="K605" t="inlineStr">
        <is>
          <t>TOYOTA AVANZA</t>
        </is>
      </c>
      <c r="L605" t="inlineStr">
        <is>
          <t>UBER</t>
        </is>
      </c>
      <c r="M605" s="3">
        <f>IF(H605="Efectivo",IFERROR((VALUE(RIGHT(I605,4))-VALUE(RIGHT(E605,4)))*12+(VALUE(LEFT(I605,2))-VALUE(LEFT(E605,2))),""),"")</f>
        <v/>
      </c>
    </row>
    <row r="606">
      <c r="A606" t="inlineStr">
        <is>
          <t>JUAREZ GONZALEZ JOSE MARTIN</t>
        </is>
      </c>
      <c r="B606" t="inlineStr">
        <is>
          <t>Hombre</t>
        </is>
      </c>
      <c r="C606" t="inlineStr">
        <is>
          <t>4630AF</t>
        </is>
      </c>
      <c r="D606" t="inlineStr">
        <is>
          <t>CDMX Y AREA METROPOLITANA</t>
        </is>
      </c>
      <c r="E606" t="inlineStr">
        <is>
          <t>04-2025</t>
        </is>
      </c>
      <c r="F606" t="inlineStr">
        <is>
          <t>04-2026</t>
        </is>
      </c>
      <c r="G606" t="n">
        <v>12</v>
      </c>
      <c r="H606" t="inlineStr">
        <is>
          <t>Efectivo</t>
        </is>
      </c>
      <c r="I606" t="inlineStr">
        <is>
          <t>05-2026</t>
        </is>
      </c>
      <c r="J606" t="inlineStr">
        <is>
          <t>27G720</t>
        </is>
      </c>
      <c r="K606" t="inlineStr">
        <is>
          <t>BYD MINIDOLPHIN</t>
        </is>
      </c>
      <c r="L606" t="inlineStr">
        <is>
          <t>DIDI</t>
        </is>
      </c>
      <c r="M606" s="3">
        <f>IF(H606="Efectivo",IFERROR((VALUE(RIGHT(I606,4))-VALUE(RIGHT(E606,4)))*12+(VALUE(LEFT(I606,2))-VALUE(LEFT(E606,2))),""),"")</f>
        <v/>
      </c>
    </row>
    <row r="607">
      <c r="A607" t="inlineStr">
        <is>
          <t>JUAREZ GUERRERO ARTURO VIDAL</t>
        </is>
      </c>
      <c r="B607" t="inlineStr">
        <is>
          <t>Hombre</t>
        </is>
      </c>
      <c r="C607" t="inlineStr">
        <is>
          <t>5665AF</t>
        </is>
      </c>
      <c r="D607" t="inlineStr">
        <is>
          <t>CDMX Y AREA METROPOLITANA</t>
        </is>
      </c>
      <c r="E607" t="inlineStr">
        <is>
          <t>09-2025</t>
        </is>
      </c>
      <c r="F607" t="inlineStr">
        <is>
          <t>01-2026</t>
        </is>
      </c>
      <c r="G607" t="n">
        <v>4</v>
      </c>
      <c r="H607" t="inlineStr">
        <is>
          <t>Efectivo</t>
        </is>
      </c>
      <c r="I607" t="inlineStr">
        <is>
          <t>02-2026</t>
        </is>
      </c>
      <c r="J607" t="inlineStr">
        <is>
          <t>09K863</t>
        </is>
      </c>
      <c r="K607" t="inlineStr">
        <is>
          <t>GAC AION S</t>
        </is>
      </c>
      <c r="L607" t="inlineStr">
        <is>
          <t>UBER</t>
        </is>
      </c>
      <c r="M607" s="3">
        <f>IF(H607="Efectivo",IFERROR((VALUE(RIGHT(I607,4))-VALUE(RIGHT(E607,4)))*12+(VALUE(LEFT(I607,2))-VALUE(LEFT(E607,2))),""),"")</f>
        <v/>
      </c>
    </row>
    <row r="608">
      <c r="A608" t="inlineStr">
        <is>
          <t>JUAREZ MARTINEZ OSCAR LEONARDO</t>
        </is>
      </c>
      <c r="B608" t="inlineStr">
        <is>
          <t>Hombre</t>
        </is>
      </c>
      <c r="C608" t="inlineStr">
        <is>
          <t>4059AF</t>
        </is>
      </c>
      <c r="D608" t="inlineStr">
        <is>
          <t>CDMX Y AREA METROPOLITANA</t>
        </is>
      </c>
      <c r="E608" t="inlineStr">
        <is>
          <t>12-2024</t>
        </is>
      </c>
      <c r="F608" t="inlineStr">
        <is>
          <t>04-2026</t>
        </is>
      </c>
      <c r="G608" t="n">
        <v>17</v>
      </c>
      <c r="H608" t="inlineStr">
        <is>
          <t>Efectivo</t>
        </is>
      </c>
      <c r="I608" t="inlineStr">
        <is>
          <t>04-2026</t>
        </is>
      </c>
      <c r="J608" t="inlineStr">
        <is>
          <t>13G763</t>
        </is>
      </c>
      <c r="K608" t="inlineStr">
        <is>
          <t>BYD D1</t>
        </is>
      </c>
      <c r="L608" t="inlineStr">
        <is>
          <t>UBER</t>
        </is>
      </c>
      <c r="M608" s="3">
        <f>IF(H608="Efectivo",IFERROR((VALUE(RIGHT(I608,4))-VALUE(RIGHT(E608,4)))*12+(VALUE(LEFT(I608,2))-VALUE(LEFT(E608,2))),""),"")</f>
        <v/>
      </c>
    </row>
    <row r="609">
      <c r="A609" t="inlineStr">
        <is>
          <t>JUAREZ MARTINEZ RAFAEL</t>
        </is>
      </c>
      <c r="B609" t="inlineStr">
        <is>
          <t>Hombre</t>
        </is>
      </c>
      <c r="C609" t="inlineStr">
        <is>
          <t>6206AF</t>
        </is>
      </c>
      <c r="D609" t="inlineStr">
        <is>
          <t>CDMX Y AREA METROPOLITANA</t>
        </is>
      </c>
      <c r="E609" t="inlineStr">
        <is>
          <t>11-2025</t>
        </is>
      </c>
      <c r="F609" t="inlineStr">
        <is>
          <t>03-2026</t>
        </is>
      </c>
      <c r="G609" t="n">
        <v>4</v>
      </c>
      <c r="H609" t="inlineStr">
        <is>
          <t>Efectivo</t>
        </is>
      </c>
      <c r="I609" t="inlineStr">
        <is>
          <t>03-2026</t>
        </is>
      </c>
      <c r="J609" t="inlineStr">
        <is>
          <t>15K074</t>
        </is>
      </c>
      <c r="K609" t="inlineStr">
        <is>
          <t>BYD MINIDOLPHIN</t>
        </is>
      </c>
      <c r="L609" t="inlineStr">
        <is>
          <t>UBER</t>
        </is>
      </c>
      <c r="M609" s="3">
        <f>IF(H609="Efectivo",IFERROR((VALUE(RIGHT(I609,4))-VALUE(RIGHT(E609,4)))*12+(VALUE(LEFT(I609,2))-VALUE(LEFT(E609,2))),""),"")</f>
        <v/>
      </c>
    </row>
    <row r="610">
      <c r="A610" t="inlineStr">
        <is>
          <t>JUAREZ REYES ALEJANDRO</t>
        </is>
      </c>
      <c r="B610" t="inlineStr">
        <is>
          <t>Hombre</t>
        </is>
      </c>
      <c r="C610" t="inlineStr">
        <is>
          <t>4249AF</t>
        </is>
      </c>
      <c r="D610" t="inlineStr">
        <is>
          <t>BAJA CALIFORNIA</t>
        </is>
      </c>
      <c r="E610" t="inlineStr">
        <is>
          <t>01-2025</t>
        </is>
      </c>
      <c r="F610" t="inlineStr">
        <is>
          <t>04-2025</t>
        </is>
      </c>
      <c r="G610" t="n">
        <v>3</v>
      </c>
      <c r="H610" t="inlineStr">
        <is>
          <t>Efectivo</t>
        </is>
      </c>
      <c r="I610" t="inlineStr">
        <is>
          <t>06-2025</t>
        </is>
      </c>
      <c r="J610" t="inlineStr">
        <is>
          <t>BUR873A</t>
        </is>
      </c>
      <c r="K610" t="inlineStr">
        <is>
          <t>CHEVROLET AVEO</t>
        </is>
      </c>
      <c r="L610" t="inlineStr">
        <is>
          <t>UBER</t>
        </is>
      </c>
      <c r="M610" s="3">
        <f>IF(H610="Efectivo",IFERROR((VALUE(RIGHT(I610,4))-VALUE(RIGHT(E610,4)))*12+(VALUE(LEFT(I610,2))-VALUE(LEFT(E610,2))),""),"")</f>
        <v/>
      </c>
    </row>
    <row r="611">
      <c r="A611" t="inlineStr">
        <is>
          <t>JURADO CALZADA MAURICIO</t>
        </is>
      </c>
      <c r="B611" t="inlineStr">
        <is>
          <t>Hombre</t>
        </is>
      </c>
      <c r="C611" t="inlineStr">
        <is>
          <t>5102AF</t>
        </is>
      </c>
      <c r="D611" t="inlineStr">
        <is>
          <t>CDMX Y AREA METROPOLITANA</t>
        </is>
      </c>
      <c r="E611" t="inlineStr">
        <is>
          <t>06-2025</t>
        </is>
      </c>
      <c r="F611" t="inlineStr">
        <is>
          <t>02-2026</t>
        </is>
      </c>
      <c r="G611" t="n">
        <v>8</v>
      </c>
      <c r="H611" t="inlineStr">
        <is>
          <t>Efectivo</t>
        </is>
      </c>
      <c r="I611" t="inlineStr">
        <is>
          <t>03-2026</t>
        </is>
      </c>
      <c r="J611" t="inlineStr">
        <is>
          <t>50G794</t>
        </is>
      </c>
      <c r="K611" t="inlineStr">
        <is>
          <t>GAC AION S</t>
        </is>
      </c>
      <c r="L611" t="inlineStr">
        <is>
          <t>UBER</t>
        </is>
      </c>
      <c r="M611" s="3">
        <f>IF(H611="Efectivo",IFERROR((VALUE(RIGHT(I611,4))-VALUE(RIGHT(E611,4)))*12+(VALUE(LEFT(I611,2))-VALUE(LEFT(E611,2))),""),"")</f>
        <v/>
      </c>
    </row>
    <row r="612">
      <c r="A612" t="inlineStr">
        <is>
          <t>KINGSTON ORTIZ JUAN CARLOS</t>
        </is>
      </c>
      <c r="B612" t="inlineStr">
        <is>
          <t>Hombre</t>
        </is>
      </c>
      <c r="C612" t="inlineStr">
        <is>
          <t>3509AF</t>
        </is>
      </c>
      <c r="D612" t="inlineStr">
        <is>
          <t>CDMX Y AREA METROPOLITANA</t>
        </is>
      </c>
      <c r="E612" t="inlineStr">
        <is>
          <t>07-2024</t>
        </is>
      </c>
      <c r="F612" t="inlineStr">
        <is>
          <t>07-2025</t>
        </is>
      </c>
      <c r="G612" t="n">
        <v>12</v>
      </c>
      <c r="H612" t="inlineStr">
        <is>
          <t>Efectivo</t>
        </is>
      </c>
      <c r="I612" t="inlineStr">
        <is>
          <t>07-2025</t>
        </is>
      </c>
      <c r="J612" t="inlineStr">
        <is>
          <t>89F706</t>
        </is>
      </c>
      <c r="K612" t="inlineStr">
        <is>
          <t>BYD D1</t>
        </is>
      </c>
      <c r="L612" t="inlineStr">
        <is>
          <t>UBER</t>
        </is>
      </c>
      <c r="M612" s="3">
        <f>IF(H612="Efectivo",IFERROR((VALUE(RIGHT(I612,4))-VALUE(RIGHT(E612,4)))*12+(VALUE(LEFT(I612,2))-VALUE(LEFT(E612,2))),""),"")</f>
        <v/>
      </c>
    </row>
    <row r="613">
      <c r="A613" t="inlineStr">
        <is>
          <t>LACRUHY ENRIQUEZ JUAN JOSE</t>
        </is>
      </c>
      <c r="B613" t="inlineStr">
        <is>
          <t>Hombre</t>
        </is>
      </c>
      <c r="C613" t="inlineStr">
        <is>
          <t>5064AF</t>
        </is>
      </c>
      <c r="D613" t="inlineStr">
        <is>
          <t>BAJA CALIFORNIA</t>
        </is>
      </c>
      <c r="E613" t="inlineStr">
        <is>
          <t>06-2025</t>
        </is>
      </c>
      <c r="F613" t="inlineStr">
        <is>
          <t>03-2026</t>
        </is>
      </c>
      <c r="G613" t="n">
        <v>9</v>
      </c>
      <c r="H613" t="inlineStr">
        <is>
          <t>Pendiente</t>
        </is>
      </c>
      <c r="J613" t="inlineStr">
        <is>
          <t>BYN544A</t>
        </is>
      </c>
      <c r="K613" t="inlineStr">
        <is>
          <t>CHEVROLET AVEO</t>
        </is>
      </c>
      <c r="L613" t="inlineStr">
        <is>
          <t>UBER</t>
        </is>
      </c>
      <c r="M613" s="3">
        <f>IF(H613="Efectivo",IFERROR((VALUE(RIGHT(I613,4))-VALUE(RIGHT(E613,4)))*12+(VALUE(LEFT(I613,2))-VALUE(LEFT(E613,2))),""),"")</f>
        <v/>
      </c>
    </row>
    <row r="614">
      <c r="A614" t="inlineStr">
        <is>
          <t>LAGUNA CAMACHO CARLOS ALBERTO</t>
        </is>
      </c>
      <c r="B614" t="inlineStr">
        <is>
          <t>Hombre</t>
        </is>
      </c>
      <c r="C614" t="inlineStr">
        <is>
          <t>4221AF</t>
        </is>
      </c>
      <c r="D614" t="inlineStr">
        <is>
          <t>CDMX Y AREA METROPOLITANA</t>
        </is>
      </c>
      <c r="E614" t="inlineStr">
        <is>
          <t>01-2025</t>
        </is>
      </c>
      <c r="F614" t="inlineStr">
        <is>
          <t>06-2025</t>
        </is>
      </c>
      <c r="G614" t="n">
        <v>5</v>
      </c>
      <c r="H614" t="inlineStr">
        <is>
          <t>Efectivo</t>
        </is>
      </c>
      <c r="I614" t="inlineStr">
        <is>
          <t>06-2025</t>
        </is>
      </c>
      <c r="J614" t="inlineStr">
        <is>
          <t>27G420</t>
        </is>
      </c>
      <c r="K614" t="inlineStr">
        <is>
          <t>BYD MINIDOLPHIN</t>
        </is>
      </c>
      <c r="L614" t="inlineStr">
        <is>
          <t>UBER</t>
        </is>
      </c>
      <c r="M614" s="3">
        <f>IF(H614="Efectivo",IFERROR((VALUE(RIGHT(I614,4))-VALUE(RIGHT(E614,4)))*12+(VALUE(LEFT(I614,2))-VALUE(LEFT(E614,2))),""),"")</f>
        <v/>
      </c>
    </row>
    <row r="615">
      <c r="A615" t="inlineStr">
        <is>
          <t>LARA FLORES OMAR</t>
        </is>
      </c>
      <c r="B615" t="inlineStr">
        <is>
          <t>Hombre</t>
        </is>
      </c>
      <c r="C615" t="inlineStr">
        <is>
          <t>5372AF</t>
        </is>
      </c>
      <c r="D615" t="inlineStr">
        <is>
          <t>CDMX Y AREA METROPOLITANA</t>
        </is>
      </c>
      <c r="E615" t="inlineStr">
        <is>
          <t>07-2025</t>
        </is>
      </c>
      <c r="F615" t="inlineStr">
        <is>
          <t>03-2026</t>
        </is>
      </c>
      <c r="G615" t="n">
        <v>7</v>
      </c>
      <c r="H615" t="inlineStr">
        <is>
          <t>Pendiente</t>
        </is>
      </c>
      <c r="J615" t="inlineStr">
        <is>
          <t>48G031</t>
        </is>
      </c>
      <c r="K615" t="inlineStr">
        <is>
          <t>BYD MINIDOLPHIN</t>
        </is>
      </c>
      <c r="L615" t="inlineStr">
        <is>
          <t>DIDI</t>
        </is>
      </c>
      <c r="M615" s="3">
        <f>IF(H615="Efectivo",IFERROR((VALUE(RIGHT(I615,4))-VALUE(RIGHT(E615,4)))*12+(VALUE(LEFT(I615,2))-VALUE(LEFT(E615,2))),""),"")</f>
        <v/>
      </c>
    </row>
    <row r="616">
      <c r="A616" t="inlineStr">
        <is>
          <t>LARA GARDUÑO VICTOR MANUEL</t>
        </is>
      </c>
      <c r="B616" t="inlineStr">
        <is>
          <t>Hombre</t>
        </is>
      </c>
      <c r="C616" t="inlineStr">
        <is>
          <t>2198AF</t>
        </is>
      </c>
      <c r="D616" t="inlineStr">
        <is>
          <t>CDMX Y AREA METROPOLITANA</t>
        </is>
      </c>
      <c r="E616" t="inlineStr">
        <is>
          <t>08-2022</t>
        </is>
      </c>
      <c r="F616" t="inlineStr">
        <is>
          <t>03-2025</t>
        </is>
      </c>
      <c r="G616" t="n">
        <v>32</v>
      </c>
      <c r="H616" t="inlineStr">
        <is>
          <t>Efectivo</t>
        </is>
      </c>
      <c r="I616" t="inlineStr">
        <is>
          <t>03-2025</t>
        </is>
      </c>
      <c r="J616" t="inlineStr">
        <is>
          <t>K36BMZ</t>
        </is>
      </c>
      <c r="K616" t="inlineStr">
        <is>
          <t>IGNIS</t>
        </is>
      </c>
      <c r="L616" t="inlineStr">
        <is>
          <t>UBER</t>
        </is>
      </c>
      <c r="M616" s="3">
        <f>IF(H616="Efectivo",IFERROR((VALUE(RIGHT(I616,4))-VALUE(RIGHT(E616,4)))*12+(VALUE(LEFT(I616,2))-VALUE(LEFT(E616,2))),""),"")</f>
        <v/>
      </c>
    </row>
    <row r="617">
      <c r="A617" t="inlineStr">
        <is>
          <t>LARA MEJIA JAIME JEOVANNY</t>
        </is>
      </c>
      <c r="B617" t="inlineStr">
        <is>
          <t>Hombre</t>
        </is>
      </c>
      <c r="C617" t="inlineStr">
        <is>
          <t>3826AF</t>
        </is>
      </c>
      <c r="D617" t="inlineStr">
        <is>
          <t>CDMX Y AREA METROPOLITANA</t>
        </is>
      </c>
      <c r="E617" t="inlineStr">
        <is>
          <t>10-2024</t>
        </is>
      </c>
      <c r="F617" t="inlineStr">
        <is>
          <t>04-2025</t>
        </is>
      </c>
      <c r="G617" t="n">
        <v>7</v>
      </c>
      <c r="H617" t="inlineStr">
        <is>
          <t>Efectivo</t>
        </is>
      </c>
      <c r="I617" t="inlineStr">
        <is>
          <t>05-2025</t>
        </is>
      </c>
      <c r="J617" t="inlineStr">
        <is>
          <t>08G149</t>
        </is>
      </c>
      <c r="K617" t="inlineStr">
        <is>
          <t>BYD D1</t>
        </is>
      </c>
      <c r="L617" t="inlineStr">
        <is>
          <t>DIDI</t>
        </is>
      </c>
      <c r="M617" s="3">
        <f>IF(H617="Efectivo",IFERROR((VALUE(RIGHT(I617,4))-VALUE(RIGHT(E617,4)))*12+(VALUE(LEFT(I617,2))-VALUE(LEFT(E617,2))),""),"")</f>
        <v/>
      </c>
    </row>
    <row r="618">
      <c r="A618" t="inlineStr">
        <is>
          <t>LARA ORTEGA MIGUEL ANGEL</t>
        </is>
      </c>
      <c r="B618" t="inlineStr">
        <is>
          <t>Hombre</t>
        </is>
      </c>
      <c r="C618" t="inlineStr">
        <is>
          <t>5071AF</t>
        </is>
      </c>
      <c r="D618" t="inlineStr">
        <is>
          <t>CDMX Y AREA METROPOLITANA</t>
        </is>
      </c>
      <c r="E618" t="inlineStr">
        <is>
          <t>06-2025</t>
        </is>
      </c>
      <c r="F618" t="inlineStr">
        <is>
          <t>03-2026</t>
        </is>
      </c>
      <c r="G618" t="n">
        <v>9</v>
      </c>
      <c r="H618" t="inlineStr">
        <is>
          <t>Efectivo</t>
        </is>
      </c>
      <c r="I618" t="inlineStr">
        <is>
          <t>04-2026</t>
        </is>
      </c>
      <c r="J618" t="inlineStr">
        <is>
          <t>28G749</t>
        </is>
      </c>
      <c r="K618" t="inlineStr">
        <is>
          <t>GAC AION S</t>
        </is>
      </c>
      <c r="L618" t="inlineStr">
        <is>
          <t>UBER</t>
        </is>
      </c>
      <c r="M618" s="3">
        <f>IF(H618="Efectivo",IFERROR((VALUE(RIGHT(I618,4))-VALUE(RIGHT(E618,4)))*12+(VALUE(LEFT(I618,2))-VALUE(LEFT(E618,2))),""),"")</f>
        <v/>
      </c>
    </row>
    <row r="619">
      <c r="A619" t="inlineStr">
        <is>
          <t>LARA PARAJON JOSE GUADALUPE</t>
        </is>
      </c>
      <c r="B619" t="inlineStr">
        <is>
          <t>Hombre</t>
        </is>
      </c>
      <c r="C619" t="inlineStr">
        <is>
          <t>6666AF</t>
        </is>
      </c>
      <c r="D619" t="inlineStr">
        <is>
          <t>CDMX Y AREA METROPOLITANA</t>
        </is>
      </c>
      <c r="E619" t="inlineStr">
        <is>
          <t>01-2026</t>
        </is>
      </c>
      <c r="F619" t="inlineStr">
        <is>
          <t>03-2026</t>
        </is>
      </c>
      <c r="G619" t="n">
        <v>2</v>
      </c>
      <c r="H619" t="inlineStr">
        <is>
          <t>Efectivo</t>
        </is>
      </c>
      <c r="I619" t="inlineStr">
        <is>
          <t>04-2026</t>
        </is>
      </c>
      <c r="J619" t="inlineStr">
        <is>
          <t>51G913</t>
        </is>
      </c>
      <c r="K619" t="inlineStr">
        <is>
          <t>BYD E5</t>
        </is>
      </c>
      <c r="L619" t="inlineStr">
        <is>
          <t>UBER</t>
        </is>
      </c>
      <c r="M619" s="3">
        <f>IF(H619="Efectivo",IFERROR((VALUE(RIGHT(I619,4))-VALUE(RIGHT(E619,4)))*12+(VALUE(LEFT(I619,2))-VALUE(LEFT(E619,2))),""),"")</f>
        <v/>
      </c>
    </row>
    <row r="620">
      <c r="A620" t="inlineStr">
        <is>
          <t>LARIOS ALCARAZ VICTOR</t>
        </is>
      </c>
      <c r="B620" t="inlineStr">
        <is>
          <t>Hombre</t>
        </is>
      </c>
      <c r="C620" t="inlineStr">
        <is>
          <t>4613AF</t>
        </is>
      </c>
      <c r="D620" t="inlineStr">
        <is>
          <t>BAJA CALIFORNIA</t>
        </is>
      </c>
      <c r="E620" t="inlineStr">
        <is>
          <t>04-2025</t>
        </is>
      </c>
      <c r="F620" t="inlineStr">
        <is>
          <t>11-2025</t>
        </is>
      </c>
      <c r="G620" t="n">
        <v>8</v>
      </c>
      <c r="H620" t="inlineStr">
        <is>
          <t>Efectivo</t>
        </is>
      </c>
      <c r="I620" t="inlineStr">
        <is>
          <t>12-2025</t>
        </is>
      </c>
      <c r="J620" t="inlineStr">
        <is>
          <t>BWX666A</t>
        </is>
      </c>
      <c r="K620" t="inlineStr">
        <is>
          <t>CHEVROLET AVEO</t>
        </is>
      </c>
      <c r="L620" t="inlineStr">
        <is>
          <t>UBER</t>
        </is>
      </c>
      <c r="M620" s="3">
        <f>IF(H620="Efectivo",IFERROR((VALUE(RIGHT(I620,4))-VALUE(RIGHT(E620,4)))*12+(VALUE(LEFT(I620,2))-VALUE(LEFT(E620,2))),""),"")</f>
        <v/>
      </c>
    </row>
    <row r="621">
      <c r="A621" t="inlineStr">
        <is>
          <t>LEDESMA ORDUÑA CESAR UBALDO</t>
        </is>
      </c>
      <c r="B621" t="inlineStr">
        <is>
          <t>Hombre</t>
        </is>
      </c>
      <c r="C621" t="inlineStr">
        <is>
          <t>4460AF</t>
        </is>
      </c>
      <c r="D621" t="inlineStr">
        <is>
          <t>CDMX Y AREA METROPOLITANA</t>
        </is>
      </c>
      <c r="E621" t="inlineStr">
        <is>
          <t>03-2025</t>
        </is>
      </c>
      <c r="F621" t="inlineStr">
        <is>
          <t>09-2025</t>
        </is>
      </c>
      <c r="G621" t="n">
        <v>6</v>
      </c>
      <c r="H621" t="inlineStr">
        <is>
          <t>Efectivo</t>
        </is>
      </c>
      <c r="I621" t="inlineStr">
        <is>
          <t>10-2025</t>
        </is>
      </c>
      <c r="J621" t="inlineStr">
        <is>
          <t>27G449</t>
        </is>
      </c>
      <c r="K621" t="inlineStr">
        <is>
          <t>BYD MINIDOLPHIN</t>
        </is>
      </c>
      <c r="L621" t="inlineStr">
        <is>
          <t>UBER</t>
        </is>
      </c>
      <c r="M621" s="3">
        <f>IF(H621="Efectivo",IFERROR((VALUE(RIGHT(I621,4))-VALUE(RIGHT(E621,4)))*12+(VALUE(LEFT(I621,2))-VALUE(LEFT(E621,2))),""),"")</f>
        <v/>
      </c>
    </row>
    <row r="622">
      <c r="A622" t="inlineStr">
        <is>
          <t>LEDEZMA IZAGUIRRE ALEJANDRO</t>
        </is>
      </c>
      <c r="B622" t="inlineStr">
        <is>
          <t>Hombre</t>
        </is>
      </c>
      <c r="C622" t="inlineStr">
        <is>
          <t>5323AF</t>
        </is>
      </c>
      <c r="D622" t="inlineStr">
        <is>
          <t>CDMX Y AREA METROPOLITANA</t>
        </is>
      </c>
      <c r="E622" t="inlineStr">
        <is>
          <t>07-2025</t>
        </is>
      </c>
      <c r="F622" t="inlineStr">
        <is>
          <t>09-2025</t>
        </is>
      </c>
      <c r="G622" t="n">
        <v>2</v>
      </c>
      <c r="H622" t="inlineStr">
        <is>
          <t>Efectivo</t>
        </is>
      </c>
      <c r="I622" t="inlineStr">
        <is>
          <t>08-2025</t>
        </is>
      </c>
      <c r="J622" t="inlineStr">
        <is>
          <t>13G755</t>
        </is>
      </c>
      <c r="K622" t="inlineStr">
        <is>
          <t>BYD D1</t>
        </is>
      </c>
      <c r="L622" t="inlineStr">
        <is>
          <t>DIDI</t>
        </is>
      </c>
      <c r="M622" s="3">
        <f>IF(H622="Efectivo",IFERROR((VALUE(RIGHT(I622,4))-VALUE(RIGHT(E622,4)))*12+(VALUE(LEFT(I622,2))-VALUE(LEFT(E622,2))),""),"")</f>
        <v/>
      </c>
    </row>
    <row r="623">
      <c r="A623" t="inlineStr">
        <is>
          <t>LEGORRETA HERNANDEZ GERMAN</t>
        </is>
      </c>
      <c r="B623" t="inlineStr">
        <is>
          <t>Hombre</t>
        </is>
      </c>
      <c r="C623" t="inlineStr">
        <is>
          <t>5009AF</t>
        </is>
      </c>
      <c r="D623" t="inlineStr">
        <is>
          <t>CDMX Y AREA METROPOLITANA</t>
        </is>
      </c>
      <c r="E623" t="inlineStr">
        <is>
          <t>06-2025</t>
        </is>
      </c>
      <c r="F623" t="inlineStr">
        <is>
          <t>01-2026</t>
        </is>
      </c>
      <c r="G623" t="n">
        <v>8</v>
      </c>
      <c r="H623" t="inlineStr">
        <is>
          <t>Efectivo</t>
        </is>
      </c>
      <c r="I623" t="inlineStr">
        <is>
          <t>01-2026</t>
        </is>
      </c>
      <c r="J623" t="inlineStr">
        <is>
          <t>05G231</t>
        </is>
      </c>
      <c r="K623" t="inlineStr">
        <is>
          <t>BYD D1</t>
        </is>
      </c>
      <c r="L623" t="inlineStr">
        <is>
          <t>UBER</t>
        </is>
      </c>
      <c r="M623" s="3">
        <f>IF(H623="Efectivo",IFERROR((VALUE(RIGHT(I623,4))-VALUE(RIGHT(E623,4)))*12+(VALUE(LEFT(I623,2))-VALUE(LEFT(E623,2))),""),"")</f>
        <v/>
      </c>
    </row>
    <row r="624">
      <c r="A624" t="inlineStr">
        <is>
          <t>LEMUS GOMEZ ENRIQUE FABIAN</t>
        </is>
      </c>
      <c r="B624" t="inlineStr">
        <is>
          <t>Hombre</t>
        </is>
      </c>
      <c r="C624" t="inlineStr">
        <is>
          <t>4246AF</t>
        </is>
      </c>
      <c r="D624" t="inlineStr">
        <is>
          <t>JALISCO</t>
        </is>
      </c>
      <c r="E624" t="inlineStr">
        <is>
          <t>01-2025</t>
        </is>
      </c>
      <c r="F624" t="inlineStr">
        <is>
          <t>05-2025</t>
        </is>
      </c>
      <c r="G624" t="n">
        <v>4</v>
      </c>
      <c r="H624" t="inlineStr">
        <is>
          <t>Efectivo</t>
        </is>
      </c>
      <c r="I624" t="inlineStr">
        <is>
          <t>05-2025</t>
        </is>
      </c>
      <c r="J624" t="inlineStr">
        <is>
          <t>HWS678A</t>
        </is>
      </c>
      <c r="K624" t="inlineStr">
        <is>
          <t>CHEVROLET AVEO</t>
        </is>
      </c>
      <c r="L624" t="inlineStr">
        <is>
          <t>UBER</t>
        </is>
      </c>
      <c r="M624" s="3">
        <f>IF(H624="Efectivo",IFERROR((VALUE(RIGHT(I624,4))-VALUE(RIGHT(E624,4)))*12+(VALUE(LEFT(I624,2))-VALUE(LEFT(E624,2))),""),"")</f>
        <v/>
      </c>
    </row>
    <row r="625">
      <c r="A625" t="inlineStr">
        <is>
          <t>LEON CORNEJO LUIS GUILLERMO</t>
        </is>
      </c>
      <c r="B625" t="inlineStr">
        <is>
          <t>Hombre</t>
        </is>
      </c>
      <c r="C625" t="inlineStr">
        <is>
          <t>3458AF</t>
        </is>
      </c>
      <c r="D625" t="inlineStr">
        <is>
          <t>BAJA CALIFORNIA</t>
        </is>
      </c>
      <c r="E625" t="inlineStr">
        <is>
          <t>07-2024</t>
        </is>
      </c>
      <c r="F625" t="inlineStr">
        <is>
          <t>02-2026</t>
        </is>
      </c>
      <c r="G625" t="n">
        <v>19</v>
      </c>
      <c r="H625" t="inlineStr">
        <is>
          <t>Efectivo</t>
        </is>
      </c>
      <c r="I625" t="inlineStr">
        <is>
          <t>03-2026</t>
        </is>
      </c>
      <c r="J625" t="inlineStr">
        <is>
          <t>BPW858A</t>
        </is>
      </c>
      <c r="K625" t="inlineStr">
        <is>
          <t>TOYOTA AVANZA</t>
        </is>
      </c>
      <c r="L625" t="inlineStr">
        <is>
          <t>UBER</t>
        </is>
      </c>
      <c r="M625" s="3">
        <f>IF(H625="Efectivo",IFERROR((VALUE(RIGHT(I625,4))-VALUE(RIGHT(E625,4)))*12+(VALUE(LEFT(I625,2))-VALUE(LEFT(E625,2))),""),"")</f>
        <v/>
      </c>
    </row>
    <row r="626">
      <c r="A626" t="inlineStr">
        <is>
          <t>LEZA LOPEZ DAVID HORACIO</t>
        </is>
      </c>
      <c r="B626" t="inlineStr">
        <is>
          <t>Hombre</t>
        </is>
      </c>
      <c r="C626" t="inlineStr">
        <is>
          <t>4287AF</t>
        </is>
      </c>
      <c r="D626" t="inlineStr">
        <is>
          <t>NUEVO LEON</t>
        </is>
      </c>
      <c r="E626" t="inlineStr">
        <is>
          <t>02-2025</t>
        </is>
      </c>
      <c r="F626" t="inlineStr">
        <is>
          <t>02-2026</t>
        </is>
      </c>
      <c r="G626" t="n">
        <v>12</v>
      </c>
      <c r="H626" t="inlineStr">
        <is>
          <t>Efectivo</t>
        </is>
      </c>
      <c r="I626" t="inlineStr">
        <is>
          <t>03-2026</t>
        </is>
      </c>
      <c r="J626" t="inlineStr">
        <is>
          <t>TFP431B</t>
        </is>
      </c>
      <c r="K626" t="inlineStr">
        <is>
          <t>CHEVROLET AVEO</t>
        </is>
      </c>
      <c r="L626" t="inlineStr">
        <is>
          <t>DIDI</t>
        </is>
      </c>
      <c r="M626" s="3">
        <f>IF(H626="Efectivo",IFERROR((VALUE(RIGHT(I626,4))-VALUE(RIGHT(E626,4)))*12+(VALUE(LEFT(I626,2))-VALUE(LEFT(E626,2))),""),"")</f>
        <v/>
      </c>
    </row>
    <row r="627">
      <c r="A627" t="inlineStr">
        <is>
          <t>LEZAMA VALLADOLID SERGIO ALEJANDRO</t>
        </is>
      </c>
      <c r="B627" t="inlineStr">
        <is>
          <t>Hombre</t>
        </is>
      </c>
      <c r="C627" t="inlineStr">
        <is>
          <t>4893AF</t>
        </is>
      </c>
      <c r="D627" t="inlineStr">
        <is>
          <t>JALISCO</t>
        </is>
      </c>
      <c r="E627" t="inlineStr">
        <is>
          <t>05-2025</t>
        </is>
      </c>
      <c r="F627" t="inlineStr">
        <is>
          <t>02-2026</t>
        </is>
      </c>
      <c r="G627" t="n">
        <v>8</v>
      </c>
      <c r="H627" t="inlineStr">
        <is>
          <t>Efectivo</t>
        </is>
      </c>
      <c r="I627" t="inlineStr">
        <is>
          <t>03-2026</t>
        </is>
      </c>
      <c r="J627" t="inlineStr">
        <is>
          <t>JAY035A</t>
        </is>
      </c>
      <c r="K627" t="inlineStr">
        <is>
          <t>TOYOTA AVANZA</t>
        </is>
      </c>
      <c r="L627" t="inlineStr">
        <is>
          <t>DIDI</t>
        </is>
      </c>
      <c r="M627" s="3">
        <f>IF(H627="Efectivo",IFERROR((VALUE(RIGHT(I627,4))-VALUE(RIGHT(E627,4)))*12+(VALUE(LEFT(I627,2))-VALUE(LEFT(E627,2))),""),"")</f>
        <v/>
      </c>
    </row>
    <row r="628">
      <c r="A628" t="inlineStr">
        <is>
          <t>LIMA ACEVES DAVID ALEJANDRO</t>
        </is>
      </c>
      <c r="B628" t="inlineStr">
        <is>
          <t>Hombre</t>
        </is>
      </c>
      <c r="C628" t="inlineStr">
        <is>
          <t>3669AF</t>
        </is>
      </c>
      <c r="D628" t="inlineStr">
        <is>
          <t>CDMX Y AREA METROPOLITANA</t>
        </is>
      </c>
      <c r="E628" t="inlineStr">
        <is>
          <t>08-2024</t>
        </is>
      </c>
      <c r="F628" t="inlineStr">
        <is>
          <t>04-2025</t>
        </is>
      </c>
      <c r="G628" t="n">
        <v>7</v>
      </c>
      <c r="H628" t="inlineStr">
        <is>
          <t>Efectivo</t>
        </is>
      </c>
      <c r="I628" t="inlineStr">
        <is>
          <t>04-2025</t>
        </is>
      </c>
      <c r="J628" t="inlineStr">
        <is>
          <t>89F836</t>
        </is>
      </c>
      <c r="K628" t="inlineStr">
        <is>
          <t>BYD D1</t>
        </is>
      </c>
      <c r="L628" t="inlineStr">
        <is>
          <t>DIDI</t>
        </is>
      </c>
      <c r="M628" s="3">
        <f>IF(H628="Efectivo",IFERROR((VALUE(RIGHT(I628,4))-VALUE(RIGHT(E628,4)))*12+(VALUE(LEFT(I628,2))-VALUE(LEFT(E628,2))),""),"")</f>
        <v/>
      </c>
    </row>
    <row r="629">
      <c r="A629" t="inlineStr">
        <is>
          <t>LIMON TAPIA MARIO ALBERTO</t>
        </is>
      </c>
      <c r="B629" t="inlineStr">
        <is>
          <t>Hombre</t>
        </is>
      </c>
      <c r="C629" t="inlineStr">
        <is>
          <t>4449AF</t>
        </is>
      </c>
      <c r="D629" t="inlineStr">
        <is>
          <t>CDMX Y AREA METROPOLITANA</t>
        </is>
      </c>
      <c r="E629" t="inlineStr">
        <is>
          <t>03-2025</t>
        </is>
      </c>
      <c r="F629" t="inlineStr">
        <is>
          <t>09-2025</t>
        </is>
      </c>
      <c r="G629" t="n">
        <v>6</v>
      </c>
      <c r="H629" t="inlineStr">
        <is>
          <t>Efectivo</t>
        </is>
      </c>
      <c r="I629" t="inlineStr">
        <is>
          <t>09-2025</t>
        </is>
      </c>
      <c r="J629" t="inlineStr">
        <is>
          <t>19G669</t>
        </is>
      </c>
      <c r="K629" t="inlineStr">
        <is>
          <t>BYD D1</t>
        </is>
      </c>
      <c r="L629" t="inlineStr">
        <is>
          <t>UBER</t>
        </is>
      </c>
      <c r="M629" s="3">
        <f>IF(H629="Efectivo",IFERROR((VALUE(RIGHT(I629,4))-VALUE(RIGHT(E629,4)))*12+(VALUE(LEFT(I629,2))-VALUE(LEFT(E629,2))),""),"")</f>
        <v/>
      </c>
    </row>
    <row r="630">
      <c r="A630" t="inlineStr">
        <is>
          <t>LIRA BECERRA JOSE GUADALUPE</t>
        </is>
      </c>
      <c r="B630" t="inlineStr">
        <is>
          <t>Hombre</t>
        </is>
      </c>
      <c r="C630" t="inlineStr">
        <is>
          <t>4191AF</t>
        </is>
      </c>
      <c r="D630" t="inlineStr">
        <is>
          <t>CDMX Y AREA METROPOLITANA</t>
        </is>
      </c>
      <c r="E630" t="inlineStr">
        <is>
          <t>01-2025</t>
        </is>
      </c>
      <c r="F630" t="inlineStr">
        <is>
          <t>05-2025</t>
        </is>
      </c>
      <c r="G630" t="n">
        <v>4</v>
      </c>
      <c r="H630" t="inlineStr">
        <is>
          <t>Efectivo</t>
        </is>
      </c>
      <c r="I630" t="inlineStr">
        <is>
          <t>05-2025</t>
        </is>
      </c>
      <c r="J630" t="inlineStr">
        <is>
          <t>20G815</t>
        </is>
      </c>
      <c r="K630" t="inlineStr">
        <is>
          <t>GAC AION S</t>
        </is>
      </c>
      <c r="L630" t="inlineStr">
        <is>
          <t>DIDI</t>
        </is>
      </c>
      <c r="M630" s="3">
        <f>IF(H630="Efectivo",IFERROR((VALUE(RIGHT(I630,4))-VALUE(RIGHT(E630,4)))*12+(VALUE(LEFT(I630,2))-VALUE(LEFT(E630,2))),""),"")</f>
        <v/>
      </c>
    </row>
    <row r="631">
      <c r="A631" t="inlineStr">
        <is>
          <t>LIZARRAGA SOLANO HUGO JESUS</t>
        </is>
      </c>
      <c r="B631" t="inlineStr">
        <is>
          <t>Hombre</t>
        </is>
      </c>
      <c r="C631" t="inlineStr">
        <is>
          <t>3801AF</t>
        </is>
      </c>
      <c r="D631" t="inlineStr">
        <is>
          <t>BAJA CALIFORNIA</t>
        </is>
      </c>
      <c r="E631" t="inlineStr">
        <is>
          <t>10-2024</t>
        </is>
      </c>
      <c r="F631" t="inlineStr">
        <is>
          <t>01-2025</t>
        </is>
      </c>
      <c r="G631" t="n">
        <v>3</v>
      </c>
      <c r="H631" t="inlineStr">
        <is>
          <t>Efectivo</t>
        </is>
      </c>
      <c r="I631" t="inlineStr">
        <is>
          <t>01-2025</t>
        </is>
      </c>
      <c r="J631" t="inlineStr">
        <is>
          <t>BSG380A</t>
        </is>
      </c>
      <c r="K631" t="inlineStr">
        <is>
          <t>CHEVROLET AVEO</t>
        </is>
      </c>
      <c r="L631" t="inlineStr">
        <is>
          <t>UBER</t>
        </is>
      </c>
      <c r="M631" s="3">
        <f>IF(H631="Efectivo",IFERROR((VALUE(RIGHT(I631,4))-VALUE(RIGHT(E631,4)))*12+(VALUE(LEFT(I631,2))-VALUE(LEFT(E631,2))),""),"")</f>
        <v/>
      </c>
    </row>
    <row r="632">
      <c r="A632" t="inlineStr">
        <is>
          <t>LOPEZ ALBA SERGIO ARTURO</t>
        </is>
      </c>
      <c r="B632" t="inlineStr">
        <is>
          <t>Hombre</t>
        </is>
      </c>
      <c r="C632" t="inlineStr">
        <is>
          <t>3204AF</t>
        </is>
      </c>
      <c r="D632" t="inlineStr">
        <is>
          <t>CDMX Y AREA METROPOLITANA</t>
        </is>
      </c>
      <c r="E632" t="inlineStr">
        <is>
          <t>04-2024</t>
        </is>
      </c>
      <c r="F632" t="inlineStr">
        <is>
          <t>07-2025</t>
        </is>
      </c>
      <c r="G632" t="n">
        <v>15</v>
      </c>
      <c r="H632" t="inlineStr">
        <is>
          <t>Efectivo</t>
        </is>
      </c>
      <c r="I632" t="inlineStr">
        <is>
          <t>07-2025</t>
        </is>
      </c>
      <c r="J632" t="inlineStr">
        <is>
          <t>X71BNL</t>
        </is>
      </c>
      <c r="K632" t="inlineStr">
        <is>
          <t>CHEVROLET AVEO</t>
        </is>
      </c>
      <c r="L632" t="inlineStr">
        <is>
          <t>UBER</t>
        </is>
      </c>
      <c r="M632" s="3">
        <f>IF(H632="Efectivo",IFERROR((VALUE(RIGHT(I632,4))-VALUE(RIGHT(E632,4)))*12+(VALUE(LEFT(I632,2))-VALUE(LEFT(E632,2))),""),"")</f>
        <v/>
      </c>
    </row>
    <row r="633">
      <c r="A633" t="inlineStr">
        <is>
          <t>LOPEZ ALMARAZ LUIS GABRIEL</t>
        </is>
      </c>
      <c r="B633" t="inlineStr">
        <is>
          <t>Hombre</t>
        </is>
      </c>
      <c r="C633" t="inlineStr">
        <is>
          <t>3506AF</t>
        </is>
      </c>
      <c r="D633" t="inlineStr">
        <is>
          <t>CDMX Y AREA METROPOLITANA</t>
        </is>
      </c>
      <c r="E633" t="inlineStr">
        <is>
          <t>07-2024</t>
        </is>
      </c>
      <c r="F633" t="inlineStr">
        <is>
          <t>02-2026</t>
        </is>
      </c>
      <c r="G633" t="n">
        <v>19</v>
      </c>
      <c r="H633" t="inlineStr">
        <is>
          <t>Pendiente</t>
        </is>
      </c>
      <c r="J633" t="inlineStr">
        <is>
          <t>89F730</t>
        </is>
      </c>
      <c r="K633" t="inlineStr">
        <is>
          <t>BYD D1</t>
        </is>
      </c>
      <c r="L633" t="inlineStr">
        <is>
          <t>UBER</t>
        </is>
      </c>
      <c r="M633" s="3">
        <f>IF(H633="Efectivo",IFERROR((VALUE(RIGHT(I633,4))-VALUE(RIGHT(E633,4)))*12+(VALUE(LEFT(I633,2))-VALUE(LEFT(E633,2))),""),"")</f>
        <v/>
      </c>
    </row>
    <row r="634">
      <c r="A634" t="inlineStr">
        <is>
          <t>LOPEZ CARDENAS FRANCISCO OSVALDO</t>
        </is>
      </c>
      <c r="B634" t="inlineStr">
        <is>
          <t>Hombre</t>
        </is>
      </c>
      <c r="C634" t="inlineStr">
        <is>
          <t>5279AF</t>
        </is>
      </c>
      <c r="D634" t="inlineStr">
        <is>
          <t>NUEVO LEON</t>
        </is>
      </c>
      <c r="E634" t="inlineStr">
        <is>
          <t>07-2025</t>
        </is>
      </c>
      <c r="F634" t="inlineStr">
        <is>
          <t>01-2026</t>
        </is>
      </c>
      <c r="G634" t="n">
        <v>6</v>
      </c>
      <c r="H634" t="inlineStr">
        <is>
          <t>Efectivo</t>
        </is>
      </c>
      <c r="I634" t="inlineStr">
        <is>
          <t>01-2026</t>
        </is>
      </c>
      <c r="J634" t="inlineStr">
        <is>
          <t>RVX606C</t>
        </is>
      </c>
      <c r="K634" t="inlineStr">
        <is>
          <t>CHEVROLET AVEO</t>
        </is>
      </c>
      <c r="L634" t="inlineStr">
        <is>
          <t>DIDI</t>
        </is>
      </c>
      <c r="M634" s="3">
        <f>IF(H634="Efectivo",IFERROR((VALUE(RIGHT(I634,4))-VALUE(RIGHT(E634,4)))*12+(VALUE(LEFT(I634,2))-VALUE(LEFT(E634,2))),""),"")</f>
        <v/>
      </c>
    </row>
    <row r="635">
      <c r="A635" t="inlineStr">
        <is>
          <t>LOPEZ ESPINO JUAN</t>
        </is>
      </c>
      <c r="B635" t="inlineStr">
        <is>
          <t>Hombre</t>
        </is>
      </c>
      <c r="C635" t="inlineStr">
        <is>
          <t>5164AF</t>
        </is>
      </c>
      <c r="D635" t="inlineStr">
        <is>
          <t>BAJA CALIFORNIA</t>
        </is>
      </c>
      <c r="E635" t="inlineStr">
        <is>
          <t>06-2025</t>
        </is>
      </c>
      <c r="F635" t="inlineStr">
        <is>
          <t>08-2025</t>
        </is>
      </c>
      <c r="G635" t="n">
        <v>1</v>
      </c>
      <c r="H635" t="inlineStr">
        <is>
          <t>Efectivo</t>
        </is>
      </c>
      <c r="I635" t="inlineStr">
        <is>
          <t>08-2025</t>
        </is>
      </c>
      <c r="J635" t="inlineStr">
        <is>
          <t>BYN542A</t>
        </is>
      </c>
      <c r="K635" t="inlineStr">
        <is>
          <t>CHEVROLET AVEO</t>
        </is>
      </c>
      <c r="L635" t="inlineStr">
        <is>
          <t>DIDI</t>
        </is>
      </c>
      <c r="M635" s="3">
        <f>IF(H635="Efectivo",IFERROR((VALUE(RIGHT(I635,4))-VALUE(RIGHT(E635,4)))*12+(VALUE(LEFT(I635,2))-VALUE(LEFT(E635,2))),""),"")</f>
        <v/>
      </c>
    </row>
    <row r="636">
      <c r="A636" t="inlineStr">
        <is>
          <t>LOPEZ FLORES MARIO ALBERTO</t>
        </is>
      </c>
      <c r="B636" t="inlineStr">
        <is>
          <t>Hombre</t>
        </is>
      </c>
      <c r="C636" t="inlineStr">
        <is>
          <t>4796AF</t>
        </is>
      </c>
      <c r="D636" t="inlineStr">
        <is>
          <t>BAJA CALIFORNIA</t>
        </is>
      </c>
      <c r="E636" t="inlineStr">
        <is>
          <t>05-2025</t>
        </is>
      </c>
      <c r="F636" t="inlineStr">
        <is>
          <t>03-2026</t>
        </is>
      </c>
      <c r="G636" t="n">
        <v>11</v>
      </c>
      <c r="H636" t="inlineStr">
        <is>
          <t>Efectivo</t>
        </is>
      </c>
      <c r="I636" t="inlineStr">
        <is>
          <t>03-2026</t>
        </is>
      </c>
      <c r="J636" t="inlineStr">
        <is>
          <t>BXT310A</t>
        </is>
      </c>
      <c r="K636" t="inlineStr">
        <is>
          <t>CHEVROLET AVEO</t>
        </is>
      </c>
      <c r="L636" t="inlineStr">
        <is>
          <t>UBER</t>
        </is>
      </c>
      <c r="M636" s="3">
        <f>IF(H636="Efectivo",IFERROR((VALUE(RIGHT(I636,4))-VALUE(RIGHT(E636,4)))*12+(VALUE(LEFT(I636,2))-VALUE(LEFT(E636,2))),""),"")</f>
        <v/>
      </c>
    </row>
    <row r="637">
      <c r="A637" t="inlineStr">
        <is>
          <t>LOPEZ GARCIA VICTOR HUGO</t>
        </is>
      </c>
      <c r="B637" t="inlineStr">
        <is>
          <t>Hombre</t>
        </is>
      </c>
      <c r="C637" t="inlineStr">
        <is>
          <t>4622AF</t>
        </is>
      </c>
      <c r="D637" t="inlineStr">
        <is>
          <t>CDMX Y AREA METROPOLITANA</t>
        </is>
      </c>
      <c r="E637" t="inlineStr">
        <is>
          <t>04-2025</t>
        </is>
      </c>
      <c r="F637" t="inlineStr">
        <is>
          <t>03-2026</t>
        </is>
      </c>
      <c r="G637" t="n">
        <v>11</v>
      </c>
      <c r="H637" t="inlineStr">
        <is>
          <t>Efectivo</t>
        </is>
      </c>
      <c r="I637" t="inlineStr">
        <is>
          <t>04-2026</t>
        </is>
      </c>
      <c r="J637" t="inlineStr">
        <is>
          <t>37G949</t>
        </is>
      </c>
      <c r="K637" t="inlineStr">
        <is>
          <t>GAC AION S</t>
        </is>
      </c>
      <c r="L637" t="inlineStr">
        <is>
          <t>DIDI</t>
        </is>
      </c>
      <c r="M637" s="3">
        <f>IF(H637="Efectivo",IFERROR((VALUE(RIGHT(I637,4))-VALUE(RIGHT(E637,4)))*12+(VALUE(LEFT(I637,2))-VALUE(LEFT(E637,2))),""),"")</f>
        <v/>
      </c>
    </row>
    <row r="638">
      <c r="A638" t="inlineStr">
        <is>
          <t>LOPEZ GUTIERREZ LEONARDO JESUS</t>
        </is>
      </c>
      <c r="B638" t="inlineStr">
        <is>
          <t>Hombre</t>
        </is>
      </c>
      <c r="C638" t="inlineStr">
        <is>
          <t>4690AF</t>
        </is>
      </c>
      <c r="D638" t="inlineStr">
        <is>
          <t>CDMX Y AREA METROPOLITANA</t>
        </is>
      </c>
      <c r="E638" t="inlineStr">
        <is>
          <t>04-2025</t>
        </is>
      </c>
      <c r="F638" t="inlineStr">
        <is>
          <t>02-2026</t>
        </is>
      </c>
      <c r="G638" t="n">
        <v>9</v>
      </c>
      <c r="H638" t="inlineStr">
        <is>
          <t>Cancelado</t>
        </is>
      </c>
      <c r="J638" t="inlineStr">
        <is>
          <t>38G288</t>
        </is>
      </c>
      <c r="K638" t="inlineStr">
        <is>
          <t>GAC AION S</t>
        </is>
      </c>
      <c r="L638" t="inlineStr">
        <is>
          <t>UBER</t>
        </is>
      </c>
      <c r="M638" s="3">
        <f>IF(H638="Efectivo",IFERROR((VALUE(RIGHT(I638,4))-VALUE(RIGHT(E638,4)))*12+(VALUE(LEFT(I638,2))-VALUE(LEFT(E638,2))),""),"")</f>
        <v/>
      </c>
    </row>
    <row r="639">
      <c r="A639" t="inlineStr">
        <is>
          <t>LOPEZ IBARRA PEDRO</t>
        </is>
      </c>
      <c r="B639" t="inlineStr">
        <is>
          <t>Hombre</t>
        </is>
      </c>
      <c r="C639" t="inlineStr">
        <is>
          <t>4041AF</t>
        </is>
      </c>
      <c r="D639" t="inlineStr">
        <is>
          <t>CDMX Y AREA METROPOLITANA</t>
        </is>
      </c>
      <c r="E639" t="inlineStr">
        <is>
          <t>11-2024</t>
        </is>
      </c>
      <c r="F639" t="inlineStr">
        <is>
          <t>04-2025</t>
        </is>
      </c>
      <c r="G639" t="n">
        <v>5</v>
      </c>
      <c r="H639" t="inlineStr">
        <is>
          <t>Efectivo</t>
        </is>
      </c>
      <c r="I639" t="inlineStr">
        <is>
          <t>04-2025</t>
        </is>
      </c>
      <c r="J639" t="inlineStr">
        <is>
          <t>13G698</t>
        </is>
      </c>
      <c r="K639" t="inlineStr">
        <is>
          <t>BYD D1</t>
        </is>
      </c>
      <c r="L639" t="inlineStr">
        <is>
          <t>UBER</t>
        </is>
      </c>
      <c r="M639" s="3">
        <f>IF(H639="Efectivo",IFERROR((VALUE(RIGHT(I639,4))-VALUE(RIGHT(E639,4)))*12+(VALUE(LEFT(I639,2))-VALUE(LEFT(E639,2))),""),"")</f>
        <v/>
      </c>
    </row>
    <row r="640">
      <c r="A640" t="inlineStr">
        <is>
          <t>LOPEZ JUAREZ MARCO ANTONIO</t>
        </is>
      </c>
      <c r="B640" t="inlineStr">
        <is>
          <t>Hombre</t>
        </is>
      </c>
      <c r="C640" t="inlineStr">
        <is>
          <t>3497AF</t>
        </is>
      </c>
      <c r="D640" t="inlineStr">
        <is>
          <t>BAJA CALIFORNIA</t>
        </is>
      </c>
      <c r="E640" t="inlineStr">
        <is>
          <t>07-2024</t>
        </is>
      </c>
      <c r="F640" t="inlineStr">
        <is>
          <t>07-2025</t>
        </is>
      </c>
      <c r="G640" t="n">
        <v>12</v>
      </c>
      <c r="H640" t="inlineStr">
        <is>
          <t>Efectivo</t>
        </is>
      </c>
      <c r="I640" t="inlineStr">
        <is>
          <t>07-2025</t>
        </is>
      </c>
      <c r="J640" t="inlineStr">
        <is>
          <t>BPW793A</t>
        </is>
      </c>
      <c r="K640" t="inlineStr">
        <is>
          <t>CHEVROLET AVEO</t>
        </is>
      </c>
      <c r="L640" t="inlineStr">
        <is>
          <t>UBER</t>
        </is>
      </c>
      <c r="M640" s="3">
        <f>IF(H640="Efectivo",IFERROR((VALUE(RIGHT(I640,4))-VALUE(RIGHT(E640,4)))*12+(VALUE(LEFT(I640,2))-VALUE(LEFT(E640,2))),""),"")</f>
        <v/>
      </c>
    </row>
    <row r="641">
      <c r="A641" t="inlineStr">
        <is>
          <t>LOPEZ MARTINEZ DIEGO ARMANDO</t>
        </is>
      </c>
      <c r="B641" t="inlineStr">
        <is>
          <t>Hombre</t>
        </is>
      </c>
      <c r="C641" t="inlineStr">
        <is>
          <t>3143AF</t>
        </is>
      </c>
      <c r="D641" t="inlineStr">
        <is>
          <t>CDMX Y AREA METROPOLITANA</t>
        </is>
      </c>
      <c r="E641" t="inlineStr">
        <is>
          <t>03-2024</t>
        </is>
      </c>
      <c r="F641" t="inlineStr">
        <is>
          <t>09-2025</t>
        </is>
      </c>
      <c r="G641" t="n">
        <v>18</v>
      </c>
      <c r="H641" t="inlineStr">
        <is>
          <t>Cancelado</t>
        </is>
      </c>
      <c r="J641" t="inlineStr">
        <is>
          <t>84F098</t>
        </is>
      </c>
      <c r="K641" t="inlineStr">
        <is>
          <t>BYD D1</t>
        </is>
      </c>
      <c r="L641" t="inlineStr">
        <is>
          <t>UBER</t>
        </is>
      </c>
      <c r="M641" s="3">
        <f>IF(H641="Efectivo",IFERROR((VALUE(RIGHT(I641,4))-VALUE(RIGHT(E641,4)))*12+(VALUE(LEFT(I641,2))-VALUE(LEFT(E641,2))),""),"")</f>
        <v/>
      </c>
    </row>
    <row r="642">
      <c r="A642" t="inlineStr">
        <is>
          <t>LOPEZ MARTINEZ DIEGO ARMANDO</t>
        </is>
      </c>
      <c r="B642" t="inlineStr">
        <is>
          <t>Hombre</t>
        </is>
      </c>
      <c r="C642" t="inlineStr">
        <is>
          <t>3143AF</t>
        </is>
      </c>
      <c r="D642" t="inlineStr">
        <is>
          <t>CDMX Y AREA METROPOLITANA</t>
        </is>
      </c>
      <c r="E642" t="inlineStr">
        <is>
          <t>03-2024</t>
        </is>
      </c>
      <c r="F642" t="inlineStr">
        <is>
          <t>01-2026</t>
        </is>
      </c>
      <c r="G642" t="n">
        <v>22</v>
      </c>
      <c r="H642" t="inlineStr">
        <is>
          <t>Efectivo</t>
        </is>
      </c>
      <c r="I642" t="inlineStr">
        <is>
          <t>01-2026</t>
        </is>
      </c>
      <c r="J642" t="inlineStr">
        <is>
          <t>84F098</t>
        </is>
      </c>
      <c r="K642" t="inlineStr">
        <is>
          <t>BYD D1</t>
        </is>
      </c>
      <c r="L642" t="inlineStr">
        <is>
          <t>UBER</t>
        </is>
      </c>
      <c r="M642" s="3">
        <f>IF(H642="Efectivo",IFERROR((VALUE(RIGHT(I642,4))-VALUE(RIGHT(E642,4)))*12+(VALUE(LEFT(I642,2))-VALUE(LEFT(E642,2))),""),"")</f>
        <v/>
      </c>
    </row>
    <row r="643">
      <c r="A643" t="inlineStr">
        <is>
          <t>LOPEZ ORTEGA JESUS</t>
        </is>
      </c>
      <c r="B643" t="inlineStr">
        <is>
          <t>Hombre</t>
        </is>
      </c>
      <c r="C643" t="inlineStr">
        <is>
          <t>3462AF</t>
        </is>
      </c>
      <c r="D643" t="inlineStr">
        <is>
          <t>CDMX Y AREA METROPOLITANA</t>
        </is>
      </c>
      <c r="E643" t="inlineStr">
        <is>
          <t>07-2024</t>
        </is>
      </c>
      <c r="F643" t="inlineStr">
        <is>
          <t>06-2025</t>
        </is>
      </c>
      <c r="G643" t="n">
        <v>12</v>
      </c>
      <c r="H643" t="inlineStr">
        <is>
          <t>Efectivo</t>
        </is>
      </c>
      <c r="I643" t="inlineStr">
        <is>
          <t>06-2025</t>
        </is>
      </c>
      <c r="J643" t="inlineStr">
        <is>
          <t>77F025</t>
        </is>
      </c>
      <c r="K643" t="inlineStr">
        <is>
          <t>BYD D1</t>
        </is>
      </c>
      <c r="L643" t="inlineStr">
        <is>
          <t>UBER</t>
        </is>
      </c>
      <c r="M643" s="3">
        <f>IF(H643="Efectivo",IFERROR((VALUE(RIGHT(I643,4))-VALUE(RIGHT(E643,4)))*12+(VALUE(LEFT(I643,2))-VALUE(LEFT(E643,2))),""),"")</f>
        <v/>
      </c>
    </row>
    <row r="644">
      <c r="A644" t="inlineStr">
        <is>
          <t>LOPEZ PEREZ SERGIO EDUARDO</t>
        </is>
      </c>
      <c r="B644" t="inlineStr">
        <is>
          <t>Hombre</t>
        </is>
      </c>
      <c r="C644" t="inlineStr">
        <is>
          <t>6076AF</t>
        </is>
      </c>
      <c r="D644" t="inlineStr">
        <is>
          <t>CDMX Y AREA METROPOLITANA</t>
        </is>
      </c>
      <c r="E644" t="inlineStr">
        <is>
          <t>10-2025</t>
        </is>
      </c>
      <c r="F644" t="inlineStr">
        <is>
          <t>03-2026</t>
        </is>
      </c>
      <c r="G644" t="n">
        <v>4</v>
      </c>
      <c r="H644" t="inlineStr">
        <is>
          <t>Efectivo</t>
        </is>
      </c>
      <c r="I644" t="inlineStr">
        <is>
          <t>03-2026</t>
        </is>
      </c>
      <c r="J644" t="inlineStr">
        <is>
          <t>15K073</t>
        </is>
      </c>
      <c r="K644" t="inlineStr">
        <is>
          <t>BYD MINIDOLPHIN</t>
        </is>
      </c>
      <c r="L644" t="inlineStr">
        <is>
          <t>UBER</t>
        </is>
      </c>
      <c r="M644" s="3">
        <f>IF(H644="Efectivo",IFERROR((VALUE(RIGHT(I644,4))-VALUE(RIGHT(E644,4)))*12+(VALUE(LEFT(I644,2))-VALUE(LEFT(E644,2))),""),"")</f>
        <v/>
      </c>
    </row>
    <row r="645">
      <c r="A645" t="inlineStr">
        <is>
          <t>LOPEZ PLASCENCIA ARIEL</t>
        </is>
      </c>
      <c r="B645" t="inlineStr">
        <is>
          <t>Hombre</t>
        </is>
      </c>
      <c r="C645" t="inlineStr">
        <is>
          <t>4273AF</t>
        </is>
      </c>
      <c r="D645" t="inlineStr">
        <is>
          <t>CDMX Y AREA METROPOLITANA</t>
        </is>
      </c>
      <c r="E645" t="inlineStr">
        <is>
          <t>01-2025</t>
        </is>
      </c>
      <c r="F645" t="inlineStr">
        <is>
          <t>04-2025</t>
        </is>
      </c>
      <c r="G645" t="n">
        <v>2</v>
      </c>
      <c r="H645" t="inlineStr">
        <is>
          <t>Efectivo</t>
        </is>
      </c>
      <c r="I645" t="inlineStr">
        <is>
          <t>04-2025</t>
        </is>
      </c>
      <c r="J645" t="inlineStr">
        <is>
          <t>31G432</t>
        </is>
      </c>
      <c r="K645" t="inlineStr">
        <is>
          <t>GAC AION S</t>
        </is>
      </c>
      <c r="L645" t="inlineStr">
        <is>
          <t>DIDI</t>
        </is>
      </c>
      <c r="M645" s="3">
        <f>IF(H645="Efectivo",IFERROR((VALUE(RIGHT(I645,4))-VALUE(RIGHT(E645,4)))*12+(VALUE(LEFT(I645,2))-VALUE(LEFT(E645,2))),""),"")</f>
        <v/>
      </c>
    </row>
    <row r="646">
      <c r="A646" t="inlineStr">
        <is>
          <t>LOPEZ PLATA JAVIER</t>
        </is>
      </c>
      <c r="B646" t="inlineStr">
        <is>
          <t>Hombre</t>
        </is>
      </c>
      <c r="C646" t="inlineStr">
        <is>
          <t>6719AF</t>
        </is>
      </c>
      <c r="D646" t="inlineStr">
        <is>
          <t>CDMX Y AREA METROPOLITANA</t>
        </is>
      </c>
      <c r="E646" t="inlineStr">
        <is>
          <t>01-2026</t>
        </is>
      </c>
      <c r="F646" t="inlineStr">
        <is>
          <t>02-2026</t>
        </is>
      </c>
      <c r="G646" t="n">
        <v>1</v>
      </c>
      <c r="H646" t="inlineStr">
        <is>
          <t>Efectivo</t>
        </is>
      </c>
      <c r="I646" t="inlineStr">
        <is>
          <t>02-2026</t>
        </is>
      </c>
      <c r="J646" t="inlineStr">
        <is>
          <t>V30BSR</t>
        </is>
      </c>
      <c r="K646" t="inlineStr">
        <is>
          <t>CHEVROLET AVEO</t>
        </is>
      </c>
      <c r="L646" t="inlineStr">
        <is>
          <t>UBER</t>
        </is>
      </c>
      <c r="M646" s="3">
        <f>IF(H646="Efectivo",IFERROR((VALUE(RIGHT(I646,4))-VALUE(RIGHT(E646,4)))*12+(VALUE(LEFT(I646,2))-VALUE(LEFT(E646,2))),""),"")</f>
        <v/>
      </c>
    </row>
    <row r="647">
      <c r="A647" t="inlineStr">
        <is>
          <t>LOPEZ RAMIREZ JOSE ANTONIO</t>
        </is>
      </c>
      <c r="B647" t="inlineStr">
        <is>
          <t>Hombre</t>
        </is>
      </c>
      <c r="C647" t="inlineStr">
        <is>
          <t>3810AF</t>
        </is>
      </c>
      <c r="D647" t="inlineStr">
        <is>
          <t>CDMX Y AREA METROPOLITANA</t>
        </is>
      </c>
      <c r="E647" t="inlineStr">
        <is>
          <t>09-2024</t>
        </is>
      </c>
      <c r="F647" t="inlineStr">
        <is>
          <t>01-2026</t>
        </is>
      </c>
      <c r="G647" t="n">
        <v>16</v>
      </c>
      <c r="H647" t="inlineStr">
        <is>
          <t>Efectivo</t>
        </is>
      </c>
      <c r="I647" t="inlineStr">
        <is>
          <t>01-2026</t>
        </is>
      </c>
      <c r="J647" t="inlineStr">
        <is>
          <t>13G647</t>
        </is>
      </c>
      <c r="K647" t="inlineStr">
        <is>
          <t>BYD MINIDOLPHIN</t>
        </is>
      </c>
      <c r="L647" t="inlineStr">
        <is>
          <t>UBER</t>
        </is>
      </c>
      <c r="M647" s="3">
        <f>IF(H647="Efectivo",IFERROR((VALUE(RIGHT(I647,4))-VALUE(RIGHT(E647,4)))*12+(VALUE(LEFT(I647,2))-VALUE(LEFT(E647,2))),""),"")</f>
        <v/>
      </c>
    </row>
    <row r="648">
      <c r="A648" t="inlineStr">
        <is>
          <t>LOPEZ RICO JOSE FERNANDO</t>
        </is>
      </c>
      <c r="B648" t="inlineStr">
        <is>
          <t>Hombre</t>
        </is>
      </c>
      <c r="C648" t="inlineStr">
        <is>
          <t>4214AF</t>
        </is>
      </c>
      <c r="D648" t="inlineStr">
        <is>
          <t>CDMX Y AREA METROPOLITANA</t>
        </is>
      </c>
      <c r="E648" t="inlineStr">
        <is>
          <t>01-2025</t>
        </is>
      </c>
      <c r="F648" t="inlineStr">
        <is>
          <t>04-2025</t>
        </is>
      </c>
      <c r="G648" t="n">
        <v>3</v>
      </c>
      <c r="H648" t="inlineStr">
        <is>
          <t>Efectivo</t>
        </is>
      </c>
      <c r="I648" t="inlineStr">
        <is>
          <t>04-2025</t>
        </is>
      </c>
      <c r="J648" t="inlineStr">
        <is>
          <t>23G320</t>
        </is>
      </c>
      <c r="K648" t="inlineStr">
        <is>
          <t>GAC AION S</t>
        </is>
      </c>
      <c r="L648" t="inlineStr">
        <is>
          <t>UBER</t>
        </is>
      </c>
      <c r="M648" s="3">
        <f>IF(H648="Efectivo",IFERROR((VALUE(RIGHT(I648,4))-VALUE(RIGHT(E648,4)))*12+(VALUE(LEFT(I648,2))-VALUE(LEFT(E648,2))),""),"")</f>
        <v/>
      </c>
    </row>
    <row r="649">
      <c r="A649" t="inlineStr">
        <is>
          <t>LOPEZ RUDECINO MAURICIO</t>
        </is>
      </c>
      <c r="B649" t="inlineStr">
        <is>
          <t>Hombre</t>
        </is>
      </c>
      <c r="C649" t="inlineStr">
        <is>
          <t>5208AF</t>
        </is>
      </c>
      <c r="D649" t="inlineStr">
        <is>
          <t>NUEVO LEON</t>
        </is>
      </c>
      <c r="E649" t="inlineStr">
        <is>
          <t>07-2025</t>
        </is>
      </c>
      <c r="F649" t="inlineStr">
        <is>
          <t>11-2025</t>
        </is>
      </c>
      <c r="G649" t="n">
        <v>5</v>
      </c>
      <c r="H649" t="inlineStr">
        <is>
          <t>Efectivo</t>
        </is>
      </c>
      <c r="I649" t="inlineStr">
        <is>
          <t>12-2025</t>
        </is>
      </c>
      <c r="J649" t="inlineStr">
        <is>
          <t>RUW803C</t>
        </is>
      </c>
      <c r="K649" t="inlineStr">
        <is>
          <t>TOYOTA AVANZA</t>
        </is>
      </c>
      <c r="L649" t="inlineStr">
        <is>
          <t>UBER</t>
        </is>
      </c>
      <c r="M649" s="3">
        <f>IF(H649="Efectivo",IFERROR((VALUE(RIGHT(I649,4))-VALUE(RIGHT(E649,4)))*12+(VALUE(LEFT(I649,2))-VALUE(LEFT(E649,2))),""),"")</f>
        <v/>
      </c>
    </row>
    <row r="650">
      <c r="A650" t="inlineStr">
        <is>
          <t>LOPEZ SANCHEZ CARLOS ALBERTO</t>
        </is>
      </c>
      <c r="B650" t="inlineStr">
        <is>
          <t>Hombre</t>
        </is>
      </c>
      <c r="C650" t="inlineStr">
        <is>
          <t>4300AF</t>
        </is>
      </c>
      <c r="D650" t="inlineStr">
        <is>
          <t>CDMX Y AREA METROPOLITANA</t>
        </is>
      </c>
      <c r="E650" t="inlineStr">
        <is>
          <t>02-2025</t>
        </is>
      </c>
      <c r="F650" t="inlineStr">
        <is>
          <t>06-2025</t>
        </is>
      </c>
      <c r="G650" t="n">
        <v>4</v>
      </c>
      <c r="H650" t="inlineStr">
        <is>
          <t>Efectivo</t>
        </is>
      </c>
      <c r="I650" t="inlineStr">
        <is>
          <t>08-2025</t>
        </is>
      </c>
      <c r="J650" t="inlineStr">
        <is>
          <t>31G961</t>
        </is>
      </c>
      <c r="K650" t="inlineStr">
        <is>
          <t>GAC AION S</t>
        </is>
      </c>
      <c r="L650" t="inlineStr">
        <is>
          <t>DIDI</t>
        </is>
      </c>
      <c r="M650" s="3">
        <f>IF(H650="Efectivo",IFERROR((VALUE(RIGHT(I650,4))-VALUE(RIGHT(E650,4)))*12+(VALUE(LEFT(I650,2))-VALUE(LEFT(E650,2))),""),"")</f>
        <v/>
      </c>
    </row>
    <row r="651">
      <c r="A651" t="inlineStr">
        <is>
          <t>LOPEZ SANTAMARIA GABRIEL</t>
        </is>
      </c>
      <c r="B651" t="inlineStr">
        <is>
          <t>Hombre</t>
        </is>
      </c>
      <c r="C651" t="inlineStr">
        <is>
          <t>4345AF</t>
        </is>
      </c>
      <c r="D651" t="inlineStr">
        <is>
          <t>CDMX Y AREA METROPOLITANA</t>
        </is>
      </c>
      <c r="E651" t="inlineStr">
        <is>
          <t>02-2025</t>
        </is>
      </c>
      <c r="F651" t="inlineStr">
        <is>
          <t>06-2025</t>
        </is>
      </c>
      <c r="G651" t="n">
        <v>4</v>
      </c>
      <c r="H651" t="inlineStr">
        <is>
          <t>Efectivo</t>
        </is>
      </c>
      <c r="I651" t="inlineStr">
        <is>
          <t>06-2025</t>
        </is>
      </c>
      <c r="J651" t="inlineStr">
        <is>
          <t>31G990</t>
        </is>
      </c>
      <c r="K651" t="inlineStr">
        <is>
          <t>GAC AION S</t>
        </is>
      </c>
      <c r="L651" t="inlineStr">
        <is>
          <t>DIDI</t>
        </is>
      </c>
      <c r="M651" s="3">
        <f>IF(H651="Efectivo",IFERROR((VALUE(RIGHT(I651,4))-VALUE(RIGHT(E651,4)))*12+(VALUE(LEFT(I651,2))-VALUE(LEFT(E651,2))),""),"")</f>
        <v/>
      </c>
    </row>
    <row r="652">
      <c r="A652" t="inlineStr">
        <is>
          <t>LOPEZ SANTOS FELIPE UZIEL</t>
        </is>
      </c>
      <c r="B652" t="inlineStr">
        <is>
          <t>Hombre</t>
        </is>
      </c>
      <c r="C652" t="inlineStr">
        <is>
          <t>4369AF</t>
        </is>
      </c>
      <c r="D652" t="inlineStr">
        <is>
          <t>CDMX Y AREA METROPOLITANA</t>
        </is>
      </c>
      <c r="E652" t="inlineStr">
        <is>
          <t>02-2025</t>
        </is>
      </c>
      <c r="F652" t="inlineStr">
        <is>
          <t>06-2025</t>
        </is>
      </c>
      <c r="G652" t="n">
        <v>3</v>
      </c>
      <c r="H652" t="inlineStr">
        <is>
          <t>Efectivo</t>
        </is>
      </c>
      <c r="I652" t="inlineStr">
        <is>
          <t>06-2025</t>
        </is>
      </c>
      <c r="J652" t="inlineStr">
        <is>
          <t>19G326</t>
        </is>
      </c>
      <c r="K652" t="inlineStr">
        <is>
          <t>BYD D1</t>
        </is>
      </c>
      <c r="L652" t="inlineStr">
        <is>
          <t>UBER</t>
        </is>
      </c>
      <c r="M652" s="3">
        <f>IF(H652="Efectivo",IFERROR((VALUE(RIGHT(I652,4))-VALUE(RIGHT(E652,4)))*12+(VALUE(LEFT(I652,2))-VALUE(LEFT(E652,2))),""),"")</f>
        <v/>
      </c>
    </row>
    <row r="653">
      <c r="A653" t="inlineStr">
        <is>
          <t>LOPEZ SORIANO CARLOS</t>
        </is>
      </c>
      <c r="B653" t="inlineStr">
        <is>
          <t>Hombre</t>
        </is>
      </c>
      <c r="C653" t="inlineStr">
        <is>
          <t>5732AF</t>
        </is>
      </c>
      <c r="D653" t="inlineStr">
        <is>
          <t>CDMX Y AREA METROPOLITANA</t>
        </is>
      </c>
      <c r="E653" t="inlineStr">
        <is>
          <t>09-2025</t>
        </is>
      </c>
      <c r="F653" t="inlineStr">
        <is>
          <t>02-2026</t>
        </is>
      </c>
      <c r="G653" t="n">
        <v>5</v>
      </c>
      <c r="H653" t="inlineStr">
        <is>
          <t>Efectivo</t>
        </is>
      </c>
      <c r="I653" t="inlineStr">
        <is>
          <t>05-2026</t>
        </is>
      </c>
      <c r="J653" t="inlineStr">
        <is>
          <t>09K367</t>
        </is>
      </c>
      <c r="K653" t="inlineStr">
        <is>
          <t>GAC AION S</t>
        </is>
      </c>
      <c r="L653" t="inlineStr">
        <is>
          <t>UBER</t>
        </is>
      </c>
      <c r="M653" s="3">
        <f>IF(H653="Efectivo",IFERROR((VALUE(RIGHT(I653,4))-VALUE(RIGHT(E653,4)))*12+(VALUE(LEFT(I653,2))-VALUE(LEFT(E653,2))),""),"")</f>
        <v/>
      </c>
    </row>
    <row r="654">
      <c r="A654" t="inlineStr">
        <is>
          <t>LOPEZ VERDUGO LUIS ANGEL</t>
        </is>
      </c>
      <c r="B654" t="inlineStr">
        <is>
          <t>Hombre</t>
        </is>
      </c>
      <c r="C654" t="inlineStr">
        <is>
          <t>6292AF</t>
        </is>
      </c>
      <c r="D654" t="inlineStr">
        <is>
          <t>BAJA CALIFORNIA</t>
        </is>
      </c>
      <c r="E654" t="inlineStr">
        <is>
          <t>11-2025</t>
        </is>
      </c>
      <c r="F654" t="inlineStr">
        <is>
          <t>02-2026</t>
        </is>
      </c>
      <c r="G654" t="n">
        <v>2</v>
      </c>
      <c r="H654" t="inlineStr">
        <is>
          <t>Efectivo</t>
        </is>
      </c>
      <c r="I654" t="inlineStr">
        <is>
          <t>03-2026</t>
        </is>
      </c>
      <c r="J654" t="inlineStr">
        <is>
          <t>CAT840A</t>
        </is>
      </c>
      <c r="K654" t="inlineStr">
        <is>
          <t>CHEVROLET AVEO</t>
        </is>
      </c>
      <c r="L654" t="inlineStr">
        <is>
          <t>DIDI</t>
        </is>
      </c>
      <c r="M654" s="3">
        <f>IF(H654="Efectivo",IFERROR((VALUE(RIGHT(I654,4))-VALUE(RIGHT(E654,4)))*12+(VALUE(LEFT(I654,2))-VALUE(LEFT(E654,2))),""),"")</f>
        <v/>
      </c>
    </row>
    <row r="655">
      <c r="A655" t="inlineStr">
        <is>
          <t>LORENZO BELLO MARTIN</t>
        </is>
      </c>
      <c r="B655" t="inlineStr">
        <is>
          <t>Hombre</t>
        </is>
      </c>
      <c r="C655" t="inlineStr">
        <is>
          <t>5632AF</t>
        </is>
      </c>
      <c r="D655" t="inlineStr">
        <is>
          <t>CDMX Y AREA METROPOLITANA</t>
        </is>
      </c>
      <c r="E655" t="inlineStr">
        <is>
          <t>08-2025</t>
        </is>
      </c>
      <c r="F655" t="inlineStr">
        <is>
          <t>03-2026</t>
        </is>
      </c>
      <c r="G655" t="n">
        <v>6</v>
      </c>
      <c r="H655" t="inlineStr">
        <is>
          <t>Efectivo</t>
        </is>
      </c>
      <c r="I655" t="inlineStr">
        <is>
          <t>03-2026</t>
        </is>
      </c>
      <c r="J655" t="inlineStr">
        <is>
          <t>48G269</t>
        </is>
      </c>
      <c r="K655" t="inlineStr">
        <is>
          <t>BYD MINIDOLPHIN</t>
        </is>
      </c>
      <c r="L655" t="inlineStr">
        <is>
          <t>UBER</t>
        </is>
      </c>
      <c r="M655" s="3">
        <f>IF(H655="Efectivo",IFERROR((VALUE(RIGHT(I655,4))-VALUE(RIGHT(E655,4)))*12+(VALUE(LEFT(I655,2))-VALUE(LEFT(E655,2))),""),"")</f>
        <v/>
      </c>
    </row>
    <row r="656">
      <c r="A656" t="inlineStr">
        <is>
          <t>LOZANO MARTINEZ JUAN CARLOS</t>
        </is>
      </c>
      <c r="B656" t="inlineStr">
        <is>
          <t>Hombre</t>
        </is>
      </c>
      <c r="C656" t="inlineStr">
        <is>
          <t>6130AF</t>
        </is>
      </c>
      <c r="D656" t="inlineStr">
        <is>
          <t>CDMX Y AREA METROPOLITANA</t>
        </is>
      </c>
      <c r="E656" t="inlineStr">
        <is>
          <t>10-2025</t>
        </is>
      </c>
      <c r="F656" t="inlineStr">
        <is>
          <t>12-2025</t>
        </is>
      </c>
      <c r="G656" t="n">
        <v>2</v>
      </c>
      <c r="H656" t="inlineStr">
        <is>
          <t>Efectivo</t>
        </is>
      </c>
      <c r="I656" t="inlineStr">
        <is>
          <t>01-2026</t>
        </is>
      </c>
      <c r="J656" t="inlineStr">
        <is>
          <t>62G202</t>
        </is>
      </c>
      <c r="K656" t="inlineStr">
        <is>
          <t>BYD E5</t>
        </is>
      </c>
      <c r="L656" t="inlineStr">
        <is>
          <t>UBER</t>
        </is>
      </c>
      <c r="M656" s="3">
        <f>IF(H656="Efectivo",IFERROR((VALUE(RIGHT(I656,4))-VALUE(RIGHT(E656,4)))*12+(VALUE(LEFT(I656,2))-VALUE(LEFT(E656,2))),""),"")</f>
        <v/>
      </c>
    </row>
    <row r="657">
      <c r="A657" t="inlineStr">
        <is>
          <t>LUGO ALVARADO FERNANDO</t>
        </is>
      </c>
      <c r="B657" t="inlineStr">
        <is>
          <t>Hombre</t>
        </is>
      </c>
      <c r="C657" t="inlineStr">
        <is>
          <t>5647AF</t>
        </is>
      </c>
      <c r="D657" t="inlineStr">
        <is>
          <t>CDMX Y AREA METROPOLITANA</t>
        </is>
      </c>
      <c r="E657" t="inlineStr">
        <is>
          <t>08-2025</t>
        </is>
      </c>
      <c r="F657" t="inlineStr">
        <is>
          <t>02-2026</t>
        </is>
      </c>
      <c r="G657" t="n">
        <v>5</v>
      </c>
      <c r="H657" t="inlineStr">
        <is>
          <t>Efectivo</t>
        </is>
      </c>
      <c r="I657" t="inlineStr">
        <is>
          <t>02-2026</t>
        </is>
      </c>
      <c r="J657" t="inlineStr">
        <is>
          <t>L62BNL</t>
        </is>
      </c>
      <c r="K657" t="inlineStr">
        <is>
          <t>CHEVROLET AVEO</t>
        </is>
      </c>
      <c r="L657" t="inlineStr">
        <is>
          <t>UBER</t>
        </is>
      </c>
      <c r="M657" s="3">
        <f>IF(H657="Efectivo",IFERROR((VALUE(RIGHT(I657,4))-VALUE(RIGHT(E657,4)))*12+(VALUE(LEFT(I657,2))-VALUE(LEFT(E657,2))),""),"")</f>
        <v/>
      </c>
    </row>
    <row r="658">
      <c r="A658" t="inlineStr">
        <is>
          <t>LUGO HERNANDEZ HUGO JOEL</t>
        </is>
      </c>
      <c r="B658" t="inlineStr">
        <is>
          <t>Hombre</t>
        </is>
      </c>
      <c r="C658" t="inlineStr">
        <is>
          <t>3995AF</t>
        </is>
      </c>
      <c r="D658" t="inlineStr">
        <is>
          <t>CDMX Y AREA METROPOLITANA</t>
        </is>
      </c>
      <c r="E658" t="inlineStr">
        <is>
          <t>11-2024</t>
        </is>
      </c>
      <c r="F658" t="inlineStr">
        <is>
          <t>07-2025</t>
        </is>
      </c>
      <c r="G658" t="n">
        <v>8</v>
      </c>
      <c r="H658" t="inlineStr">
        <is>
          <t>Efectivo</t>
        </is>
      </c>
      <c r="I658" t="inlineStr">
        <is>
          <t>08-2025</t>
        </is>
      </c>
      <c r="J658" t="inlineStr">
        <is>
          <t>13G875</t>
        </is>
      </c>
      <c r="K658" t="inlineStr">
        <is>
          <t>BYD D1</t>
        </is>
      </c>
      <c r="L658" t="inlineStr">
        <is>
          <t>DIDI</t>
        </is>
      </c>
      <c r="M658" s="3">
        <f>IF(H658="Efectivo",IFERROR((VALUE(RIGHT(I658,4))-VALUE(RIGHT(E658,4)))*12+(VALUE(LEFT(I658,2))-VALUE(LEFT(E658,2))),""),"")</f>
        <v/>
      </c>
    </row>
    <row r="659">
      <c r="A659" t="inlineStr">
        <is>
          <t>LUGO MARTINEZ PABLO</t>
        </is>
      </c>
      <c r="B659" t="inlineStr">
        <is>
          <t>Hombre</t>
        </is>
      </c>
      <c r="C659" t="inlineStr">
        <is>
          <t>4072AF</t>
        </is>
      </c>
      <c r="D659" t="inlineStr">
        <is>
          <t>CDMX Y AREA METROPOLITANA</t>
        </is>
      </c>
      <c r="E659" t="inlineStr">
        <is>
          <t>12-2024</t>
        </is>
      </c>
      <c r="F659" t="inlineStr">
        <is>
          <t>07-2025</t>
        </is>
      </c>
      <c r="G659" t="n">
        <v>7</v>
      </c>
      <c r="H659" t="inlineStr">
        <is>
          <t>Efectivo</t>
        </is>
      </c>
      <c r="I659" t="inlineStr">
        <is>
          <t>08-2025</t>
        </is>
      </c>
      <c r="J659" t="inlineStr">
        <is>
          <t>19G315</t>
        </is>
      </c>
      <c r="K659" t="inlineStr">
        <is>
          <t>BYD D1</t>
        </is>
      </c>
      <c r="L659" t="inlineStr">
        <is>
          <t>UBER</t>
        </is>
      </c>
      <c r="M659" s="3">
        <f>IF(H659="Efectivo",IFERROR((VALUE(RIGHT(I659,4))-VALUE(RIGHT(E659,4)))*12+(VALUE(LEFT(I659,2))-VALUE(LEFT(E659,2))),""),"")</f>
        <v/>
      </c>
    </row>
    <row r="660">
      <c r="A660" t="inlineStr">
        <is>
          <t>LUNA AMARILLAS VICTOR MANUEL</t>
        </is>
      </c>
      <c r="B660" t="inlineStr">
        <is>
          <t>Hombre</t>
        </is>
      </c>
      <c r="C660" t="inlineStr">
        <is>
          <t>5278AF</t>
        </is>
      </c>
      <c r="D660" t="inlineStr">
        <is>
          <t>BAJA CALIFORNIA</t>
        </is>
      </c>
      <c r="E660" t="inlineStr">
        <is>
          <t>07-2025</t>
        </is>
      </c>
      <c r="F660" t="inlineStr">
        <is>
          <t>11-2025</t>
        </is>
      </c>
      <c r="G660" t="n">
        <v>4</v>
      </c>
      <c r="H660" t="inlineStr">
        <is>
          <t>Pendiente</t>
        </is>
      </c>
      <c r="J660" t="inlineStr">
        <is>
          <t>BNE981A</t>
        </is>
      </c>
      <c r="K660" t="inlineStr">
        <is>
          <t>CHEVROLET AVEO</t>
        </is>
      </c>
      <c r="L660" t="inlineStr">
        <is>
          <t>DIDI</t>
        </is>
      </c>
      <c r="M660" s="3">
        <f>IF(H660="Efectivo",IFERROR((VALUE(RIGHT(I660,4))-VALUE(RIGHT(E660,4)))*12+(VALUE(LEFT(I660,2))-VALUE(LEFT(E660,2))),""),"")</f>
        <v/>
      </c>
    </row>
    <row r="661">
      <c r="A661" t="inlineStr">
        <is>
          <t>LUNA CABRERA MIGUEL ANGEL</t>
        </is>
      </c>
      <c r="B661" t="inlineStr">
        <is>
          <t>Hombre</t>
        </is>
      </c>
      <c r="C661" t="inlineStr">
        <is>
          <t>5370AF</t>
        </is>
      </c>
      <c r="D661" t="inlineStr">
        <is>
          <t>CDMX Y AREA METROPOLITANA</t>
        </is>
      </c>
      <c r="E661" t="inlineStr">
        <is>
          <t>07-2025</t>
        </is>
      </c>
      <c r="F661" t="inlineStr">
        <is>
          <t>12-2025</t>
        </is>
      </c>
      <c r="G661" t="n">
        <v>5</v>
      </c>
      <c r="H661" t="inlineStr">
        <is>
          <t>Efectivo</t>
        </is>
      </c>
      <c r="I661" t="inlineStr">
        <is>
          <t>01-2026</t>
        </is>
      </c>
      <c r="J661" t="inlineStr">
        <is>
          <t>43G901</t>
        </is>
      </c>
      <c r="K661" t="inlineStr">
        <is>
          <t>GAC AION S</t>
        </is>
      </c>
      <c r="L661" t="inlineStr">
        <is>
          <t>UBER</t>
        </is>
      </c>
      <c r="M661" s="3">
        <f>IF(H661="Efectivo",IFERROR((VALUE(RIGHT(I661,4))-VALUE(RIGHT(E661,4)))*12+(VALUE(LEFT(I661,2))-VALUE(LEFT(E661,2))),""),"")</f>
        <v/>
      </c>
    </row>
    <row r="662">
      <c r="A662" t="inlineStr">
        <is>
          <t>LUNA CAMARILLO ENRIQUE</t>
        </is>
      </c>
      <c r="B662" t="inlineStr">
        <is>
          <t>Hombre</t>
        </is>
      </c>
      <c r="C662" t="inlineStr">
        <is>
          <t>4180AF</t>
        </is>
      </c>
      <c r="D662" t="inlineStr">
        <is>
          <t>CDMX Y AREA METROPOLITANA</t>
        </is>
      </c>
      <c r="E662" t="inlineStr">
        <is>
          <t>01-2025</t>
        </is>
      </c>
      <c r="F662" t="inlineStr">
        <is>
          <t>04-2025</t>
        </is>
      </c>
      <c r="G662" t="n">
        <v>3</v>
      </c>
      <c r="H662" t="inlineStr">
        <is>
          <t>Efectivo</t>
        </is>
      </c>
      <c r="I662" t="inlineStr">
        <is>
          <t>04-2025</t>
        </is>
      </c>
      <c r="J662" t="inlineStr">
        <is>
          <t>19G474</t>
        </is>
      </c>
      <c r="K662" t="inlineStr">
        <is>
          <t>BYD D1</t>
        </is>
      </c>
      <c r="L662" t="inlineStr">
        <is>
          <t>UBER</t>
        </is>
      </c>
      <c r="M662" s="3">
        <f>IF(H662="Efectivo",IFERROR((VALUE(RIGHT(I662,4))-VALUE(RIGHT(E662,4)))*12+(VALUE(LEFT(I662,2))-VALUE(LEFT(E662,2))),""),"")</f>
        <v/>
      </c>
    </row>
    <row r="663">
      <c r="A663" t="inlineStr">
        <is>
          <t>LUNA HERNANDEZ JULIO ARMANDO</t>
        </is>
      </c>
      <c r="B663" t="inlineStr">
        <is>
          <t>Hombre</t>
        </is>
      </c>
      <c r="C663" t="inlineStr">
        <is>
          <t>3318AF</t>
        </is>
      </c>
      <c r="D663" t="inlineStr">
        <is>
          <t>BAJA CALIFORNIA</t>
        </is>
      </c>
      <c r="E663" t="inlineStr">
        <is>
          <t>05-2024</t>
        </is>
      </c>
      <c r="F663" t="inlineStr">
        <is>
          <t>08-2025</t>
        </is>
      </c>
      <c r="G663" t="n">
        <v>15</v>
      </c>
      <c r="H663" t="inlineStr">
        <is>
          <t>Efectivo</t>
        </is>
      </c>
      <c r="I663" t="inlineStr">
        <is>
          <t>08-2025</t>
        </is>
      </c>
      <c r="J663" t="inlineStr">
        <is>
          <t>BPC076A</t>
        </is>
      </c>
      <c r="K663" t="inlineStr">
        <is>
          <t>CHEVROLET AVEO</t>
        </is>
      </c>
      <c r="L663" t="inlineStr">
        <is>
          <t>UBER</t>
        </is>
      </c>
      <c r="M663" s="3">
        <f>IF(H663="Efectivo",IFERROR((VALUE(RIGHT(I663,4))-VALUE(RIGHT(E663,4)))*12+(VALUE(LEFT(I663,2))-VALUE(LEFT(E663,2))),""),"")</f>
        <v/>
      </c>
    </row>
    <row r="664">
      <c r="A664" t="inlineStr">
        <is>
          <t>LUNA MEJIA LUIS ENRIQUE</t>
        </is>
      </c>
      <c r="B664" t="inlineStr">
        <is>
          <t>Hombre</t>
        </is>
      </c>
      <c r="C664" t="inlineStr">
        <is>
          <t>4347AF</t>
        </is>
      </c>
      <c r="D664" t="inlineStr">
        <is>
          <t>CDMX Y AREA METROPOLITANA</t>
        </is>
      </c>
      <c r="E664" t="inlineStr">
        <is>
          <t>02-2025</t>
        </is>
      </c>
      <c r="F664" t="inlineStr">
        <is>
          <t>06-2025</t>
        </is>
      </c>
      <c r="G664" t="n">
        <v>4</v>
      </c>
      <c r="H664" t="inlineStr">
        <is>
          <t>Efectivo</t>
        </is>
      </c>
      <c r="I664" t="inlineStr">
        <is>
          <t>06-2025</t>
        </is>
      </c>
      <c r="J664" t="inlineStr">
        <is>
          <t>19G652</t>
        </is>
      </c>
      <c r="K664" t="inlineStr">
        <is>
          <t>BYD D1</t>
        </is>
      </c>
      <c r="L664" t="inlineStr">
        <is>
          <t>DIDI</t>
        </is>
      </c>
      <c r="M664" s="3">
        <f>IF(H664="Efectivo",IFERROR((VALUE(RIGHT(I664,4))-VALUE(RIGHT(E664,4)))*12+(VALUE(LEFT(I664,2))-VALUE(LEFT(E664,2))),""),"")</f>
        <v/>
      </c>
    </row>
    <row r="665">
      <c r="A665" t="inlineStr">
        <is>
          <t>MADRIGAL SOLARES LEOPOLDO</t>
        </is>
      </c>
      <c r="B665" t="inlineStr">
        <is>
          <t>Hombre</t>
        </is>
      </c>
      <c r="C665" t="inlineStr">
        <is>
          <t>4388AF</t>
        </is>
      </c>
      <c r="D665" t="inlineStr">
        <is>
          <t>CDMX Y AREA METROPOLITANA</t>
        </is>
      </c>
      <c r="E665" t="inlineStr">
        <is>
          <t>02-2025</t>
        </is>
      </c>
      <c r="F665" t="inlineStr">
        <is>
          <t>11-2025</t>
        </is>
      </c>
      <c r="G665" t="n">
        <v>9</v>
      </c>
      <c r="H665" t="inlineStr">
        <is>
          <t>Pendiente</t>
        </is>
      </c>
      <c r="J665" t="inlineStr">
        <is>
          <t>F17BRJ</t>
        </is>
      </c>
      <c r="K665" t="inlineStr">
        <is>
          <t>CHEVROLET AVEO</t>
        </is>
      </c>
      <c r="L665" t="inlineStr">
        <is>
          <t>UBER</t>
        </is>
      </c>
      <c r="M665" s="3">
        <f>IF(H665="Efectivo",IFERROR((VALUE(RIGHT(I665,4))-VALUE(RIGHT(E665,4)))*12+(VALUE(LEFT(I665,2))-VALUE(LEFT(E665,2))),""),"")</f>
        <v/>
      </c>
    </row>
    <row r="666">
      <c r="A666" t="inlineStr">
        <is>
          <t>MAGAÑA MONTES MARCO JIOVANNY</t>
        </is>
      </c>
      <c r="B666" t="inlineStr">
        <is>
          <t>Hombre</t>
        </is>
      </c>
      <c r="C666" t="inlineStr">
        <is>
          <t>4732AF</t>
        </is>
      </c>
      <c r="D666" t="inlineStr">
        <is>
          <t>CDMX Y AREA METROPOLITANA</t>
        </is>
      </c>
      <c r="E666" t="inlineStr">
        <is>
          <t>04-2025</t>
        </is>
      </c>
      <c r="F666" t="inlineStr">
        <is>
          <t>08-2025</t>
        </is>
      </c>
      <c r="G666" t="n">
        <v>3</v>
      </c>
      <c r="H666" t="inlineStr">
        <is>
          <t>Efectivo</t>
        </is>
      </c>
      <c r="I666" t="inlineStr">
        <is>
          <t>08-2025</t>
        </is>
      </c>
      <c r="J666" t="inlineStr">
        <is>
          <t>E02BRC</t>
        </is>
      </c>
      <c r="K666" t="inlineStr">
        <is>
          <t>ATTITUDE</t>
        </is>
      </c>
      <c r="L666" t="inlineStr">
        <is>
          <t>UBER</t>
        </is>
      </c>
      <c r="M666" s="3">
        <f>IF(H666="Efectivo",IFERROR((VALUE(RIGHT(I666,4))-VALUE(RIGHT(E666,4)))*12+(VALUE(LEFT(I666,2))-VALUE(LEFT(E666,2))),""),"")</f>
        <v/>
      </c>
    </row>
    <row r="667">
      <c r="A667" t="inlineStr">
        <is>
          <t>MAGDALENO ESCALANTE JOSE IVAN</t>
        </is>
      </c>
      <c r="B667" t="inlineStr">
        <is>
          <t>Hombre</t>
        </is>
      </c>
      <c r="C667" t="inlineStr">
        <is>
          <t>3702AF</t>
        </is>
      </c>
      <c r="D667" t="inlineStr">
        <is>
          <t>BAJA CALIFORNIA</t>
        </is>
      </c>
      <c r="E667" t="inlineStr">
        <is>
          <t>09-2024</t>
        </is>
      </c>
      <c r="F667" t="inlineStr">
        <is>
          <t>12-2025</t>
        </is>
      </c>
      <c r="G667" t="n">
        <v>15</v>
      </c>
      <c r="H667" t="inlineStr">
        <is>
          <t>Efectivo</t>
        </is>
      </c>
      <c r="I667" t="inlineStr">
        <is>
          <t>12-2025</t>
        </is>
      </c>
      <c r="J667" t="inlineStr">
        <is>
          <t>BRH511A</t>
        </is>
      </c>
      <c r="K667" t="inlineStr">
        <is>
          <t>CHEVROLET AVEO</t>
        </is>
      </c>
      <c r="L667" t="inlineStr">
        <is>
          <t>UBER</t>
        </is>
      </c>
      <c r="M667" s="3">
        <f>IF(H667="Efectivo",IFERROR((VALUE(RIGHT(I667,4))-VALUE(RIGHT(E667,4)))*12+(VALUE(LEFT(I667,2))-VALUE(LEFT(E667,2))),""),"")</f>
        <v/>
      </c>
    </row>
    <row r="668">
      <c r="A668" t="inlineStr">
        <is>
          <t>MALDONADO AVILA ABRAHAM ELIAS</t>
        </is>
      </c>
      <c r="B668" t="inlineStr">
        <is>
          <t>Hombre</t>
        </is>
      </c>
      <c r="C668" t="inlineStr">
        <is>
          <t>3819AF</t>
        </is>
      </c>
      <c r="D668" t="inlineStr">
        <is>
          <t>NUEVO LEON</t>
        </is>
      </c>
      <c r="E668" t="inlineStr">
        <is>
          <t>10-2024</t>
        </is>
      </c>
      <c r="F668" t="inlineStr">
        <is>
          <t>08-2025</t>
        </is>
      </c>
      <c r="G668" t="n">
        <v>11</v>
      </c>
      <c r="H668" t="inlineStr">
        <is>
          <t>Efectivo</t>
        </is>
      </c>
      <c r="I668" t="inlineStr">
        <is>
          <t>09-2025</t>
        </is>
      </c>
      <c r="J668" t="inlineStr">
        <is>
          <t>TCV549B</t>
        </is>
      </c>
      <c r="K668" t="inlineStr">
        <is>
          <t>ONIX</t>
        </is>
      </c>
      <c r="L668" t="inlineStr">
        <is>
          <t>UBER</t>
        </is>
      </c>
      <c r="M668" s="3">
        <f>IF(H668="Efectivo",IFERROR((VALUE(RIGHT(I668,4))-VALUE(RIGHT(E668,4)))*12+(VALUE(LEFT(I668,2))-VALUE(LEFT(E668,2))),""),"")</f>
        <v/>
      </c>
    </row>
    <row r="669">
      <c r="A669" t="inlineStr">
        <is>
          <t>MALDONADO BUSTAMANTE RAUL ALEJANDRO</t>
        </is>
      </c>
      <c r="B669" t="inlineStr">
        <is>
          <t>Hombre</t>
        </is>
      </c>
      <c r="C669" t="inlineStr">
        <is>
          <t>3864AF</t>
        </is>
      </c>
      <c r="D669" t="inlineStr">
        <is>
          <t>CDMX Y AREA METROPOLITANA</t>
        </is>
      </c>
      <c r="E669" t="inlineStr">
        <is>
          <t>10-2024</t>
        </is>
      </c>
      <c r="F669" t="inlineStr">
        <is>
          <t>04-2025</t>
        </is>
      </c>
      <c r="G669" t="n">
        <v>6</v>
      </c>
      <c r="H669" t="inlineStr">
        <is>
          <t>Efectivo</t>
        </is>
      </c>
      <c r="I669" t="inlineStr">
        <is>
          <t>04-2025</t>
        </is>
      </c>
      <c r="J669" t="inlineStr">
        <is>
          <t>08G109</t>
        </is>
      </c>
      <c r="K669" t="inlineStr">
        <is>
          <t>BYD D1</t>
        </is>
      </c>
      <c r="L669" t="inlineStr">
        <is>
          <t>UBER</t>
        </is>
      </c>
      <c r="M669" s="3">
        <f>IF(H669="Efectivo",IFERROR((VALUE(RIGHT(I669,4))-VALUE(RIGHT(E669,4)))*12+(VALUE(LEFT(I669,2))-VALUE(LEFT(E669,2))),""),"")</f>
        <v/>
      </c>
    </row>
    <row r="670">
      <c r="A670" t="inlineStr">
        <is>
          <t>MALDONADO RUIZ KEVIN EDUARDO</t>
        </is>
      </c>
      <c r="B670" t="inlineStr">
        <is>
          <t>Hombre</t>
        </is>
      </c>
      <c r="C670" t="inlineStr">
        <is>
          <t>5410AF</t>
        </is>
      </c>
      <c r="D670" t="inlineStr">
        <is>
          <t>CDMX Y AREA METROPOLITANA</t>
        </is>
      </c>
      <c r="E670" t="inlineStr">
        <is>
          <t>07-2025</t>
        </is>
      </c>
      <c r="F670" t="inlineStr">
        <is>
          <t>03-2026</t>
        </is>
      </c>
      <c r="G670" t="n">
        <v>7</v>
      </c>
      <c r="H670" t="inlineStr">
        <is>
          <t>Cancelado</t>
        </is>
      </c>
      <c r="J670" t="inlineStr">
        <is>
          <t>48G138</t>
        </is>
      </c>
      <c r="K670" t="inlineStr">
        <is>
          <t>BYD MINIDOLPHIN</t>
        </is>
      </c>
      <c r="L670" t="inlineStr">
        <is>
          <t>UBER</t>
        </is>
      </c>
      <c r="M670" s="3">
        <f>IF(H670="Efectivo",IFERROR((VALUE(RIGHT(I670,4))-VALUE(RIGHT(E670,4)))*12+(VALUE(LEFT(I670,2))-VALUE(LEFT(E670,2))),""),"")</f>
        <v/>
      </c>
    </row>
    <row r="671">
      <c r="A671" t="inlineStr">
        <is>
          <t>MANCILLA CHABOLLA DAVID GERSON</t>
        </is>
      </c>
      <c r="B671" t="inlineStr">
        <is>
          <t>Hombre</t>
        </is>
      </c>
      <c r="C671" t="inlineStr">
        <is>
          <t>4884AF</t>
        </is>
      </c>
      <c r="D671" t="inlineStr">
        <is>
          <t>CDMX Y AREA METROPOLITANA</t>
        </is>
      </c>
      <c r="E671" t="inlineStr">
        <is>
          <t>05-2025</t>
        </is>
      </c>
      <c r="F671" t="inlineStr">
        <is>
          <t>04-2026</t>
        </is>
      </c>
      <c r="G671" t="n">
        <v>11</v>
      </c>
      <c r="H671" t="inlineStr">
        <is>
          <t>Efectivo</t>
        </is>
      </c>
      <c r="I671" t="inlineStr">
        <is>
          <t>04-2026</t>
        </is>
      </c>
      <c r="J671" t="inlineStr">
        <is>
          <t>19G358</t>
        </is>
      </c>
      <c r="K671" t="inlineStr">
        <is>
          <t>BYD D1</t>
        </is>
      </c>
      <c r="L671" t="inlineStr">
        <is>
          <t>UBER</t>
        </is>
      </c>
      <c r="M671" s="3">
        <f>IF(H671="Efectivo",IFERROR((VALUE(RIGHT(I671,4))-VALUE(RIGHT(E671,4)))*12+(VALUE(LEFT(I671,2))-VALUE(LEFT(E671,2))),""),"")</f>
        <v/>
      </c>
    </row>
    <row r="672">
      <c r="A672" t="inlineStr">
        <is>
          <t>MANZANARES DE LA LUZ ROBERTO CARLOS</t>
        </is>
      </c>
      <c r="B672" t="inlineStr">
        <is>
          <t>Hombre</t>
        </is>
      </c>
      <c r="C672" t="inlineStr">
        <is>
          <t>5181AF</t>
        </is>
      </c>
      <c r="D672" t="inlineStr">
        <is>
          <t>CDMX Y AREA METROPOLITANA</t>
        </is>
      </c>
      <c r="E672" t="inlineStr">
        <is>
          <t>06-2025</t>
        </is>
      </c>
      <c r="F672" t="inlineStr">
        <is>
          <t>03-2026</t>
        </is>
      </c>
      <c r="G672" t="n">
        <v>9</v>
      </c>
      <c r="H672" t="inlineStr">
        <is>
          <t>Efectivo</t>
        </is>
      </c>
      <c r="I672" t="inlineStr">
        <is>
          <t>04-2026</t>
        </is>
      </c>
      <c r="J672" t="inlineStr">
        <is>
          <t>47G782</t>
        </is>
      </c>
      <c r="K672" t="inlineStr">
        <is>
          <t>BYD MINIDOLPHIN</t>
        </is>
      </c>
      <c r="L672" t="inlineStr">
        <is>
          <t>UBER</t>
        </is>
      </c>
      <c r="M672" s="3">
        <f>IF(H672="Efectivo",IFERROR((VALUE(RIGHT(I672,4))-VALUE(RIGHT(E672,4)))*12+(VALUE(LEFT(I672,2))-VALUE(LEFT(E672,2))),""),"")</f>
        <v/>
      </c>
    </row>
    <row r="673">
      <c r="A673" t="inlineStr">
        <is>
          <t>MANZANO PACHECO FELIX</t>
        </is>
      </c>
      <c r="B673" t="inlineStr">
        <is>
          <t>Hombre</t>
        </is>
      </c>
      <c r="C673" t="inlineStr">
        <is>
          <t>4338AF</t>
        </is>
      </c>
      <c r="D673" t="inlineStr">
        <is>
          <t>CDMX Y AREA METROPOLITANA</t>
        </is>
      </c>
      <c r="E673" t="inlineStr">
        <is>
          <t>02-2025</t>
        </is>
      </c>
      <c r="F673" t="inlineStr">
        <is>
          <t>03-2026</t>
        </is>
      </c>
      <c r="G673" t="n">
        <v>13</v>
      </c>
      <c r="H673" t="inlineStr">
        <is>
          <t>Efectivo</t>
        </is>
      </c>
      <c r="I673" t="inlineStr">
        <is>
          <t>03-2026</t>
        </is>
      </c>
      <c r="J673" t="inlineStr">
        <is>
          <t>31G929</t>
        </is>
      </c>
      <c r="K673" t="inlineStr">
        <is>
          <t>GAC AION S</t>
        </is>
      </c>
      <c r="L673" t="inlineStr">
        <is>
          <t>DIDI</t>
        </is>
      </c>
      <c r="M673" s="3">
        <f>IF(H673="Efectivo",IFERROR((VALUE(RIGHT(I673,4))-VALUE(RIGHT(E673,4)))*12+(VALUE(LEFT(I673,2))-VALUE(LEFT(E673,2))),""),"")</f>
        <v/>
      </c>
    </row>
    <row r="674">
      <c r="A674" t="inlineStr">
        <is>
          <t>MARCELINO SUMAYA LUIS ALBERTO</t>
        </is>
      </c>
      <c r="B674" t="inlineStr">
        <is>
          <t>Hombre</t>
        </is>
      </c>
      <c r="C674" t="inlineStr">
        <is>
          <t>5176AF</t>
        </is>
      </c>
      <c r="D674" t="inlineStr">
        <is>
          <t>CDMX Y AREA METROPOLITANA</t>
        </is>
      </c>
      <c r="E674" t="inlineStr">
        <is>
          <t>06-2025</t>
        </is>
      </c>
      <c r="F674" t="inlineStr">
        <is>
          <t>09-2025</t>
        </is>
      </c>
      <c r="G674" t="n">
        <v>2</v>
      </c>
      <c r="H674" t="inlineStr">
        <is>
          <t>Cancelado</t>
        </is>
      </c>
      <c r="J674" t="inlineStr">
        <is>
          <t>47G865</t>
        </is>
      </c>
      <c r="K674" t="inlineStr">
        <is>
          <t>BYD MINIDOLPHIN</t>
        </is>
      </c>
      <c r="L674" t="inlineStr">
        <is>
          <t>UBER</t>
        </is>
      </c>
      <c r="M674" s="3">
        <f>IF(H674="Efectivo",IFERROR((VALUE(RIGHT(I674,4))-VALUE(RIGHT(E674,4)))*12+(VALUE(LEFT(I674,2))-VALUE(LEFT(E674,2))),""),"")</f>
        <v/>
      </c>
    </row>
    <row r="675">
      <c r="A675" t="inlineStr">
        <is>
          <t>MARIN GARCIA ALBERTO DE JESUS</t>
        </is>
      </c>
      <c r="B675" t="inlineStr">
        <is>
          <t>Hombre</t>
        </is>
      </c>
      <c r="C675" t="inlineStr">
        <is>
          <t>5290AF</t>
        </is>
      </c>
      <c r="D675" t="inlineStr">
        <is>
          <t>JALISCO</t>
        </is>
      </c>
      <c r="E675" t="inlineStr">
        <is>
          <t>07-2025</t>
        </is>
      </c>
      <c r="F675" t="inlineStr">
        <is>
          <t>08-2025</t>
        </is>
      </c>
      <c r="G675" t="n">
        <v>1</v>
      </c>
      <c r="H675" t="inlineStr">
        <is>
          <t>Cancelado</t>
        </is>
      </c>
      <c r="J675" t="inlineStr">
        <is>
          <t>JBB658A</t>
        </is>
      </c>
      <c r="K675" t="inlineStr">
        <is>
          <t>TOYOTA AVANZA</t>
        </is>
      </c>
      <c r="L675" t="inlineStr">
        <is>
          <t>UBER</t>
        </is>
      </c>
      <c r="M675" s="3">
        <f>IF(H675="Efectivo",IFERROR((VALUE(RIGHT(I675,4))-VALUE(RIGHT(E675,4)))*12+(VALUE(LEFT(I675,2))-VALUE(LEFT(E675,2))),""),"")</f>
        <v/>
      </c>
    </row>
    <row r="676">
      <c r="A676" t="inlineStr">
        <is>
          <t>MARIN SALAZAR RAFAEL</t>
        </is>
      </c>
      <c r="B676" t="inlineStr">
        <is>
          <t>Hombre</t>
        </is>
      </c>
      <c r="C676" t="inlineStr">
        <is>
          <t>5173AF</t>
        </is>
      </c>
      <c r="D676" t="inlineStr">
        <is>
          <t>CDMX Y AREA METROPOLITANA</t>
        </is>
      </c>
      <c r="E676" t="inlineStr">
        <is>
          <t>06-2025</t>
        </is>
      </c>
      <c r="F676" t="inlineStr">
        <is>
          <t>10-2025</t>
        </is>
      </c>
      <c r="G676" t="n">
        <v>3</v>
      </c>
      <c r="H676" t="inlineStr">
        <is>
          <t>Cancelado</t>
        </is>
      </c>
      <c r="J676" t="inlineStr">
        <is>
          <t>47G860</t>
        </is>
      </c>
      <c r="K676" t="inlineStr">
        <is>
          <t>BYD MINIDOLPHIN</t>
        </is>
      </c>
      <c r="L676" t="inlineStr">
        <is>
          <t>UBER</t>
        </is>
      </c>
      <c r="M676" s="3">
        <f>IF(H676="Efectivo",IFERROR((VALUE(RIGHT(I676,4))-VALUE(RIGHT(E676,4)))*12+(VALUE(LEFT(I676,2))-VALUE(LEFT(E676,2))),""),"")</f>
        <v/>
      </c>
    </row>
    <row r="677">
      <c r="A677" t="inlineStr">
        <is>
          <t>MARIN VAZQUEZ ANDRES</t>
        </is>
      </c>
      <c r="B677" t="inlineStr">
        <is>
          <t>Hombre</t>
        </is>
      </c>
      <c r="C677" t="inlineStr">
        <is>
          <t>6268AF</t>
        </is>
      </c>
      <c r="D677" t="inlineStr">
        <is>
          <t>CDMX Y AREA METROPOLITANA</t>
        </is>
      </c>
      <c r="E677" t="inlineStr">
        <is>
          <t>11-2025</t>
        </is>
      </c>
      <c r="F677" t="inlineStr">
        <is>
          <t>03-2026</t>
        </is>
      </c>
      <c r="G677" t="n">
        <v>4</v>
      </c>
      <c r="H677" t="inlineStr">
        <is>
          <t>Efectivo</t>
        </is>
      </c>
      <c r="I677" t="inlineStr">
        <is>
          <t>03-2026</t>
        </is>
      </c>
      <c r="J677" t="inlineStr">
        <is>
          <t>15K071</t>
        </is>
      </c>
      <c r="K677" t="inlineStr">
        <is>
          <t>BYD MINIDOLPHIN</t>
        </is>
      </c>
      <c r="L677" t="inlineStr">
        <is>
          <t>UBER</t>
        </is>
      </c>
      <c r="M677" s="3">
        <f>IF(H677="Efectivo",IFERROR((VALUE(RIGHT(I677,4))-VALUE(RIGHT(E677,4)))*12+(VALUE(LEFT(I677,2))-VALUE(LEFT(E677,2))),""),"")</f>
        <v/>
      </c>
    </row>
    <row r="678">
      <c r="A678" t="inlineStr">
        <is>
          <t>MARISCAL VARGAS MARCO ANTONIO</t>
        </is>
      </c>
      <c r="B678" t="inlineStr">
        <is>
          <t>Hombre</t>
        </is>
      </c>
      <c r="C678" t="inlineStr">
        <is>
          <t>5479AF</t>
        </is>
      </c>
      <c r="D678" t="inlineStr">
        <is>
          <t>CDMX Y AREA METROPOLITANA</t>
        </is>
      </c>
      <c r="E678" t="inlineStr">
        <is>
          <t>08-2025</t>
        </is>
      </c>
      <c r="F678" t="inlineStr">
        <is>
          <t>03-2026</t>
        </is>
      </c>
      <c r="G678" t="n">
        <v>7</v>
      </c>
      <c r="H678" t="inlineStr">
        <is>
          <t>Efectivo</t>
        </is>
      </c>
      <c r="I678" t="inlineStr">
        <is>
          <t>03-2026</t>
        </is>
      </c>
      <c r="J678" t="inlineStr">
        <is>
          <t>48G148</t>
        </is>
      </c>
      <c r="K678" t="inlineStr">
        <is>
          <t>BYD MINIDOLPHIN</t>
        </is>
      </c>
      <c r="L678" t="inlineStr">
        <is>
          <t>DIDI</t>
        </is>
      </c>
      <c r="M678" s="3">
        <f>IF(H678="Efectivo",IFERROR((VALUE(RIGHT(I678,4))-VALUE(RIGHT(E678,4)))*12+(VALUE(LEFT(I678,2))-VALUE(LEFT(E678,2))),""),"")</f>
        <v/>
      </c>
    </row>
    <row r="679">
      <c r="A679" t="inlineStr">
        <is>
          <t>MARQUEZ MENDEZ RAUL</t>
        </is>
      </c>
      <c r="B679" t="inlineStr">
        <is>
          <t>Hombre</t>
        </is>
      </c>
      <c r="C679" t="inlineStr">
        <is>
          <t>4278AF</t>
        </is>
      </c>
      <c r="D679" t="inlineStr">
        <is>
          <t>CDMX Y AREA METROPOLITANA</t>
        </is>
      </c>
      <c r="E679" t="inlineStr">
        <is>
          <t>01-2025</t>
        </is>
      </c>
      <c r="F679" t="inlineStr">
        <is>
          <t>04-2025</t>
        </is>
      </c>
      <c r="G679" t="n">
        <v>3</v>
      </c>
      <c r="H679" t="inlineStr">
        <is>
          <t>Pendiente</t>
        </is>
      </c>
      <c r="J679" t="inlineStr">
        <is>
          <t>31G966</t>
        </is>
      </c>
      <c r="K679" t="inlineStr">
        <is>
          <t>GAC AION S</t>
        </is>
      </c>
      <c r="L679" t="inlineStr">
        <is>
          <t>UBER</t>
        </is>
      </c>
      <c r="M679" s="3">
        <f>IF(H679="Efectivo",IFERROR((VALUE(RIGHT(I679,4))-VALUE(RIGHT(E679,4)))*12+(VALUE(LEFT(I679,2))-VALUE(LEFT(E679,2))),""),"")</f>
        <v/>
      </c>
    </row>
    <row r="680">
      <c r="A680" t="inlineStr">
        <is>
          <t>MARQUEZ SANCHEZ ROBERTO FRANCISCO</t>
        </is>
      </c>
      <c r="B680" t="inlineStr">
        <is>
          <t>Hombre</t>
        </is>
      </c>
      <c r="C680" t="inlineStr">
        <is>
          <t>5043AF</t>
        </is>
      </c>
      <c r="D680" t="inlineStr">
        <is>
          <t>CDMX Y AREA METROPOLITANA</t>
        </is>
      </c>
      <c r="E680" t="inlineStr">
        <is>
          <t>06-2025</t>
        </is>
      </c>
      <c r="F680" t="inlineStr">
        <is>
          <t>07-2025</t>
        </is>
      </c>
      <c r="G680" t="n">
        <v>2</v>
      </c>
      <c r="H680" t="inlineStr">
        <is>
          <t>Efectivo</t>
        </is>
      </c>
      <c r="I680" t="inlineStr">
        <is>
          <t>07-2025</t>
        </is>
      </c>
      <c r="J680" t="inlineStr">
        <is>
          <t>13G947</t>
        </is>
      </c>
      <c r="K680" t="inlineStr">
        <is>
          <t>BYD D1</t>
        </is>
      </c>
      <c r="L680" t="inlineStr">
        <is>
          <t>DIDI</t>
        </is>
      </c>
      <c r="M680" s="3">
        <f>IF(H680="Efectivo",IFERROR((VALUE(RIGHT(I680,4))-VALUE(RIGHT(E680,4)))*12+(VALUE(LEFT(I680,2))-VALUE(LEFT(E680,2))),""),"")</f>
        <v/>
      </c>
    </row>
    <row r="681">
      <c r="A681" t="inlineStr">
        <is>
          <t>MARTINEZ AGUIRRE RODOLFO</t>
        </is>
      </c>
      <c r="B681" t="inlineStr">
        <is>
          <t>Hombre</t>
        </is>
      </c>
      <c r="C681" t="inlineStr">
        <is>
          <t>4756AF</t>
        </is>
      </c>
      <c r="D681" t="inlineStr">
        <is>
          <t>CDMX Y AREA METROPOLITANA</t>
        </is>
      </c>
      <c r="E681" t="inlineStr">
        <is>
          <t>04-2025</t>
        </is>
      </c>
      <c r="F681" t="inlineStr">
        <is>
          <t>12-2025</t>
        </is>
      </c>
      <c r="G681" t="n">
        <v>8</v>
      </c>
      <c r="H681" t="inlineStr">
        <is>
          <t>Efectivo</t>
        </is>
      </c>
      <c r="I681" t="inlineStr">
        <is>
          <t>12-2025</t>
        </is>
      </c>
      <c r="J681" t="inlineStr">
        <is>
          <t>50G958</t>
        </is>
      </c>
      <c r="K681" t="inlineStr">
        <is>
          <t>GAC AION S</t>
        </is>
      </c>
      <c r="L681" t="inlineStr">
        <is>
          <t>UBER</t>
        </is>
      </c>
      <c r="M681" s="3">
        <f>IF(H681="Efectivo",IFERROR((VALUE(RIGHT(I681,4))-VALUE(RIGHT(E681,4)))*12+(VALUE(LEFT(I681,2))-VALUE(LEFT(E681,2))),""),"")</f>
        <v/>
      </c>
    </row>
    <row r="682">
      <c r="A682" t="inlineStr">
        <is>
          <t>MARTINEZ ALMAZAN HECTOR</t>
        </is>
      </c>
      <c r="B682" t="inlineStr">
        <is>
          <t>Hombre</t>
        </is>
      </c>
      <c r="C682" t="inlineStr">
        <is>
          <t>3016AF</t>
        </is>
      </c>
      <c r="D682" t="inlineStr">
        <is>
          <t>CDMX Y AREA METROPOLITANA</t>
        </is>
      </c>
      <c r="E682" t="inlineStr">
        <is>
          <t>02-2024</t>
        </is>
      </c>
      <c r="F682" t="inlineStr">
        <is>
          <t>04-2025</t>
        </is>
      </c>
      <c r="G682" t="n">
        <v>15</v>
      </c>
      <c r="H682" t="inlineStr">
        <is>
          <t>Cancelado</t>
        </is>
      </c>
      <c r="J682" t="inlineStr">
        <is>
          <t>L38BNL</t>
        </is>
      </c>
      <c r="K682" t="inlineStr">
        <is>
          <t>CHEVROLET AVEO</t>
        </is>
      </c>
      <c r="L682" t="inlineStr">
        <is>
          <t>UBER</t>
        </is>
      </c>
      <c r="M682" s="3">
        <f>IF(H682="Efectivo",IFERROR((VALUE(RIGHT(I682,4))-VALUE(RIGHT(E682,4)))*12+(VALUE(LEFT(I682,2))-VALUE(LEFT(E682,2))),""),"")</f>
        <v/>
      </c>
    </row>
    <row r="683">
      <c r="A683" t="inlineStr">
        <is>
          <t>MARTINEZ ALMAZAN HECTOR</t>
        </is>
      </c>
      <c r="B683" t="inlineStr">
        <is>
          <t>Hombre</t>
        </is>
      </c>
      <c r="C683" t="inlineStr">
        <is>
          <t>3016AF</t>
        </is>
      </c>
      <c r="D683" t="inlineStr">
        <is>
          <t>CDMX Y AREA METROPOLITANA</t>
        </is>
      </c>
      <c r="E683" t="inlineStr">
        <is>
          <t>02-2024</t>
        </is>
      </c>
      <c r="F683" t="inlineStr">
        <is>
          <t>02-2026</t>
        </is>
      </c>
      <c r="G683" t="n">
        <v>24</v>
      </c>
      <c r="H683" t="inlineStr">
        <is>
          <t>Efectivo</t>
        </is>
      </c>
      <c r="I683" t="inlineStr">
        <is>
          <t>02-2026</t>
        </is>
      </c>
      <c r="J683" t="inlineStr">
        <is>
          <t>L38BNL</t>
        </is>
      </c>
      <c r="K683" t="inlineStr">
        <is>
          <t>CHEVROLET AVEO</t>
        </is>
      </c>
      <c r="L683" t="inlineStr">
        <is>
          <t>UBER</t>
        </is>
      </c>
      <c r="M683" s="3">
        <f>IF(H683="Efectivo",IFERROR((VALUE(RIGHT(I683,4))-VALUE(RIGHT(E683,4)))*12+(VALUE(LEFT(I683,2))-VALUE(LEFT(E683,2))),""),"")</f>
        <v/>
      </c>
    </row>
    <row r="684">
      <c r="A684" t="inlineStr">
        <is>
          <t>MARTINEZ ANAYA LUIS ARMANDO</t>
        </is>
      </c>
      <c r="B684" t="inlineStr">
        <is>
          <t>Hombre</t>
        </is>
      </c>
      <c r="C684" t="inlineStr">
        <is>
          <t>5609AF</t>
        </is>
      </c>
      <c r="D684" t="inlineStr">
        <is>
          <t>CDMX Y AREA METROPOLITANA</t>
        </is>
      </c>
      <c r="E684" t="inlineStr">
        <is>
          <t>08-2025</t>
        </is>
      </c>
      <c r="F684" t="inlineStr">
        <is>
          <t>10-2025</t>
        </is>
      </c>
      <c r="G684" t="n">
        <v>2</v>
      </c>
      <c r="H684" t="inlineStr">
        <is>
          <t>Efectivo</t>
        </is>
      </c>
      <c r="I684" t="inlineStr">
        <is>
          <t>10-2025</t>
        </is>
      </c>
      <c r="J684" t="inlineStr">
        <is>
          <t>08K015</t>
        </is>
      </c>
      <c r="K684" t="inlineStr">
        <is>
          <t>GAC AION S</t>
        </is>
      </c>
      <c r="L684" t="inlineStr">
        <is>
          <t>UBER</t>
        </is>
      </c>
      <c r="M684" s="3">
        <f>IF(H684="Efectivo",IFERROR((VALUE(RIGHT(I684,4))-VALUE(RIGHT(E684,4)))*12+(VALUE(LEFT(I684,2))-VALUE(LEFT(E684,2))),""),"")</f>
        <v/>
      </c>
    </row>
    <row r="685">
      <c r="A685" t="inlineStr">
        <is>
          <t>MARTINEZ BARRERA NESTOR IVAN</t>
        </is>
      </c>
      <c r="B685" t="inlineStr">
        <is>
          <t>Hombre</t>
        </is>
      </c>
      <c r="C685" t="inlineStr">
        <is>
          <t>5073AF</t>
        </is>
      </c>
      <c r="D685" t="inlineStr">
        <is>
          <t>CDMX Y AREA METROPOLITANA</t>
        </is>
      </c>
      <c r="E685" t="inlineStr">
        <is>
          <t>06-2025</t>
        </is>
      </c>
      <c r="F685" t="inlineStr">
        <is>
          <t>12-2025</t>
        </is>
      </c>
      <c r="G685" t="n">
        <v>6</v>
      </c>
      <c r="H685" t="inlineStr">
        <is>
          <t>Efectivo</t>
        </is>
      </c>
      <c r="I685" t="inlineStr">
        <is>
          <t>03-2026</t>
        </is>
      </c>
      <c r="J685" t="inlineStr">
        <is>
          <t>29G337</t>
        </is>
      </c>
      <c r="K685" t="inlineStr">
        <is>
          <t>GAC AION S</t>
        </is>
      </c>
      <c r="L685" t="inlineStr">
        <is>
          <t>UBER</t>
        </is>
      </c>
      <c r="M685" s="3">
        <f>IF(H685="Efectivo",IFERROR((VALUE(RIGHT(I685,4))-VALUE(RIGHT(E685,4)))*12+(VALUE(LEFT(I685,2))-VALUE(LEFT(E685,2))),""),"")</f>
        <v/>
      </c>
    </row>
    <row r="686">
      <c r="A686" t="inlineStr">
        <is>
          <t>MARTINEZ BERNARDINO JULIO CESAR</t>
        </is>
      </c>
      <c r="B686" t="inlineStr">
        <is>
          <t>Hombre</t>
        </is>
      </c>
      <c r="C686" t="inlineStr">
        <is>
          <t>5105AF</t>
        </is>
      </c>
      <c r="D686" t="inlineStr">
        <is>
          <t>CDMX Y AREA METROPOLITANA</t>
        </is>
      </c>
      <c r="E686" t="inlineStr">
        <is>
          <t>06-2025</t>
        </is>
      </c>
      <c r="F686" t="inlineStr">
        <is>
          <t>02-2026</t>
        </is>
      </c>
      <c r="G686" t="n">
        <v>8</v>
      </c>
      <c r="H686" t="inlineStr">
        <is>
          <t>Efectivo</t>
        </is>
      </c>
      <c r="I686" t="inlineStr">
        <is>
          <t>05-2026</t>
        </is>
      </c>
      <c r="J686" t="inlineStr">
        <is>
          <t>47G911</t>
        </is>
      </c>
      <c r="K686" t="inlineStr">
        <is>
          <t>BYD MINIDOLPHIN</t>
        </is>
      </c>
      <c r="L686" t="inlineStr">
        <is>
          <t>UBER</t>
        </is>
      </c>
      <c r="M686" s="3">
        <f>IF(H686="Efectivo",IFERROR((VALUE(RIGHT(I686,4))-VALUE(RIGHT(E686,4)))*12+(VALUE(LEFT(I686,2))-VALUE(LEFT(E686,2))),""),"")</f>
        <v/>
      </c>
    </row>
    <row r="687">
      <c r="A687" t="inlineStr">
        <is>
          <t>MARTINEZ DIAZ JOSE OLEGARIO</t>
        </is>
      </c>
      <c r="B687" t="inlineStr">
        <is>
          <t>Hombre</t>
        </is>
      </c>
      <c r="C687" t="inlineStr">
        <is>
          <t>4823AF</t>
        </is>
      </c>
      <c r="D687" t="inlineStr">
        <is>
          <t>CDMX Y AREA METROPOLITANA</t>
        </is>
      </c>
      <c r="E687" t="inlineStr">
        <is>
          <t>05-2025</t>
        </is>
      </c>
      <c r="F687" t="inlineStr">
        <is>
          <t>02-2026</t>
        </is>
      </c>
      <c r="G687" t="n">
        <v>9</v>
      </c>
      <c r="H687" t="inlineStr">
        <is>
          <t>Efectivo</t>
        </is>
      </c>
      <c r="I687" t="inlineStr">
        <is>
          <t>04-2026</t>
        </is>
      </c>
      <c r="J687" t="inlineStr">
        <is>
          <t>41G582</t>
        </is>
      </c>
      <c r="K687" t="inlineStr">
        <is>
          <t>BYD MINIDOLPHIN</t>
        </is>
      </c>
      <c r="L687" t="inlineStr">
        <is>
          <t>UBER</t>
        </is>
      </c>
      <c r="M687" s="3">
        <f>IF(H687="Efectivo",IFERROR((VALUE(RIGHT(I687,4))-VALUE(RIGHT(E687,4)))*12+(VALUE(LEFT(I687,2))-VALUE(LEFT(E687,2))),""),"")</f>
        <v/>
      </c>
    </row>
    <row r="688">
      <c r="A688" t="inlineStr">
        <is>
          <t>MARTINEZ ESQUIVEL MIGUEL ANGEL</t>
        </is>
      </c>
      <c r="B688" t="inlineStr">
        <is>
          <t>Hombre</t>
        </is>
      </c>
      <c r="C688" t="inlineStr">
        <is>
          <t>3092AF</t>
        </is>
      </c>
      <c r="D688" t="inlineStr">
        <is>
          <t>CDMX Y AREA METROPOLITANA</t>
        </is>
      </c>
      <c r="E688" t="inlineStr">
        <is>
          <t>03-2024</t>
        </is>
      </c>
      <c r="F688" t="inlineStr">
        <is>
          <t>04-2026</t>
        </is>
      </c>
      <c r="G688" t="n">
        <v>25</v>
      </c>
      <c r="H688" t="inlineStr">
        <is>
          <t>Efectivo</t>
        </is>
      </c>
      <c r="I688" t="inlineStr">
        <is>
          <t>04-2026</t>
        </is>
      </c>
      <c r="J688" t="inlineStr">
        <is>
          <t>81F245</t>
        </is>
      </c>
      <c r="K688" t="inlineStr">
        <is>
          <t>SUZUKI ERTIGA</t>
        </is>
      </c>
      <c r="L688" t="inlineStr">
        <is>
          <t>UBER</t>
        </is>
      </c>
      <c r="M688" s="3">
        <f>IF(H688="Efectivo",IFERROR((VALUE(RIGHT(I688,4))-VALUE(RIGHT(E688,4)))*12+(VALUE(LEFT(I688,2))-VALUE(LEFT(E688,2))),""),"")</f>
        <v/>
      </c>
    </row>
    <row r="689">
      <c r="A689" t="inlineStr">
        <is>
          <t>MARTINEZ ESTRADA NORBERTO</t>
        </is>
      </c>
      <c r="B689" t="inlineStr">
        <is>
          <t>Hombre</t>
        </is>
      </c>
      <c r="C689" t="inlineStr">
        <is>
          <t>5771AF</t>
        </is>
      </c>
      <c r="D689" t="inlineStr">
        <is>
          <t>NUEVO LEON</t>
        </is>
      </c>
      <c r="E689" t="inlineStr">
        <is>
          <t>09-2025</t>
        </is>
      </c>
      <c r="F689" t="inlineStr">
        <is>
          <t>05-2026</t>
        </is>
      </c>
      <c r="G689" t="n">
        <v>8</v>
      </c>
      <c r="H689" t="inlineStr">
        <is>
          <t>Pendiente</t>
        </is>
      </c>
      <c r="J689" t="inlineStr">
        <is>
          <t>RXN890C</t>
        </is>
      </c>
      <c r="K689" t="inlineStr">
        <is>
          <t>CHEVROLET AVEO</t>
        </is>
      </c>
      <c r="L689" t="inlineStr">
        <is>
          <t>DIDI</t>
        </is>
      </c>
      <c r="M689" s="3">
        <f>IF(H689="Efectivo",IFERROR((VALUE(RIGHT(I689,4))-VALUE(RIGHT(E689,4)))*12+(VALUE(LEFT(I689,2))-VALUE(LEFT(E689,2))),""),"")</f>
        <v/>
      </c>
    </row>
    <row r="690">
      <c r="A690" t="inlineStr">
        <is>
          <t>MARTINEZ FRANCO AUGUSTO ARIEL</t>
        </is>
      </c>
      <c r="B690" t="inlineStr">
        <is>
          <t>Hombre</t>
        </is>
      </c>
      <c r="C690" t="inlineStr">
        <is>
          <t>5143AF</t>
        </is>
      </c>
      <c r="D690" t="inlineStr">
        <is>
          <t>CDMX Y AREA METROPOLITANA</t>
        </is>
      </c>
      <c r="E690" t="inlineStr">
        <is>
          <t>06-2025</t>
        </is>
      </c>
      <c r="F690" t="inlineStr">
        <is>
          <t>11-2025</t>
        </is>
      </c>
      <c r="G690" t="n">
        <v>4</v>
      </c>
      <c r="H690" t="inlineStr">
        <is>
          <t>Efectivo</t>
        </is>
      </c>
      <c r="I690" t="inlineStr">
        <is>
          <t>11-2025</t>
        </is>
      </c>
      <c r="J690" t="inlineStr">
        <is>
          <t>31G841</t>
        </is>
      </c>
      <c r="K690" t="inlineStr">
        <is>
          <t>GAC AION S</t>
        </is>
      </c>
      <c r="L690" t="inlineStr">
        <is>
          <t>DIDI</t>
        </is>
      </c>
      <c r="M690" s="3">
        <f>IF(H690="Efectivo",IFERROR((VALUE(RIGHT(I690,4))-VALUE(RIGHT(E690,4)))*12+(VALUE(LEFT(I690,2))-VALUE(LEFT(E690,2))),""),"")</f>
        <v/>
      </c>
    </row>
    <row r="691">
      <c r="A691" t="inlineStr">
        <is>
          <t>MARTINEZ GARCIA JORGE ALBERTO</t>
        </is>
      </c>
      <c r="B691" t="inlineStr">
        <is>
          <t>Hombre</t>
        </is>
      </c>
      <c r="C691" t="inlineStr">
        <is>
          <t>2376AF</t>
        </is>
      </c>
      <c r="D691" t="inlineStr">
        <is>
          <t>CDMX Y AREA METROPOLITANA</t>
        </is>
      </c>
      <c r="E691" t="inlineStr">
        <is>
          <t>12-2022</t>
        </is>
      </c>
      <c r="F691" t="inlineStr">
        <is>
          <t>08-2025</t>
        </is>
      </c>
      <c r="G691" t="n">
        <v>32</v>
      </c>
      <c r="H691" t="inlineStr">
        <is>
          <t>Efectivo</t>
        </is>
      </c>
      <c r="I691" t="inlineStr">
        <is>
          <t>08-2025</t>
        </is>
      </c>
      <c r="J691" t="inlineStr">
        <is>
          <t>H87BKG</t>
        </is>
      </c>
      <c r="K691" t="inlineStr">
        <is>
          <t>CHEVROLET AVEO</t>
        </is>
      </c>
      <c r="L691" t="inlineStr">
        <is>
          <t>UBER</t>
        </is>
      </c>
      <c r="M691" s="3">
        <f>IF(H691="Efectivo",IFERROR((VALUE(RIGHT(I691,4))-VALUE(RIGHT(E691,4)))*12+(VALUE(LEFT(I691,2))-VALUE(LEFT(E691,2))),""),"")</f>
        <v/>
      </c>
    </row>
    <row r="692">
      <c r="A692" t="inlineStr">
        <is>
          <t>MARTINEZ HERNANDEZ MIGUEL ANGEL</t>
        </is>
      </c>
      <c r="B692" t="inlineStr">
        <is>
          <t>Hombre</t>
        </is>
      </c>
      <c r="C692" t="inlineStr">
        <is>
          <t>4632AF</t>
        </is>
      </c>
      <c r="D692" t="inlineStr">
        <is>
          <t>CDMX Y AREA METROPOLITANA</t>
        </is>
      </c>
      <c r="E692" t="inlineStr">
        <is>
          <t>04-2025</t>
        </is>
      </c>
      <c r="F692" t="inlineStr">
        <is>
          <t>09-2025</t>
        </is>
      </c>
      <c r="G692" t="n">
        <v>5</v>
      </c>
      <c r="H692" t="inlineStr">
        <is>
          <t>Efectivo</t>
        </is>
      </c>
      <c r="I692" t="inlineStr">
        <is>
          <t>09-2025</t>
        </is>
      </c>
      <c r="J692" t="inlineStr">
        <is>
          <t>27G661</t>
        </is>
      </c>
      <c r="K692" t="inlineStr">
        <is>
          <t>BYD MINIDOLPHIN</t>
        </is>
      </c>
      <c r="L692" t="inlineStr">
        <is>
          <t>DIDI</t>
        </is>
      </c>
      <c r="M692" s="3">
        <f>IF(H692="Efectivo",IFERROR((VALUE(RIGHT(I692,4))-VALUE(RIGHT(E692,4)))*12+(VALUE(LEFT(I692,2))-VALUE(LEFT(E692,2))),""),"")</f>
        <v/>
      </c>
    </row>
    <row r="693">
      <c r="A693" t="inlineStr">
        <is>
          <t>MARTINEZ HUERTA JOSE LUIS</t>
        </is>
      </c>
      <c r="B693" t="inlineStr">
        <is>
          <t>Hombre</t>
        </is>
      </c>
      <c r="C693" t="inlineStr">
        <is>
          <t>4212AF</t>
        </is>
      </c>
      <c r="D693" t="inlineStr">
        <is>
          <t>CDMX Y AREA METROPOLITANA</t>
        </is>
      </c>
      <c r="E693" t="inlineStr">
        <is>
          <t>01-2025</t>
        </is>
      </c>
      <c r="F693" t="inlineStr">
        <is>
          <t>04-2025</t>
        </is>
      </c>
      <c r="G693" t="n">
        <v>3</v>
      </c>
      <c r="H693" t="inlineStr">
        <is>
          <t>Efectivo</t>
        </is>
      </c>
      <c r="I693" t="inlineStr">
        <is>
          <t>04-2025</t>
        </is>
      </c>
      <c r="J693" t="inlineStr">
        <is>
          <t>23G343</t>
        </is>
      </c>
      <c r="K693" t="inlineStr">
        <is>
          <t>GAC AION S</t>
        </is>
      </c>
      <c r="L693" t="inlineStr">
        <is>
          <t>UBER</t>
        </is>
      </c>
      <c r="M693" s="3">
        <f>IF(H693="Efectivo",IFERROR((VALUE(RIGHT(I693,4))-VALUE(RIGHT(E693,4)))*12+(VALUE(LEFT(I693,2))-VALUE(LEFT(E693,2))),""),"")</f>
        <v/>
      </c>
    </row>
    <row r="694">
      <c r="A694" t="inlineStr">
        <is>
          <t>MARTINEZ LARA LUIS GUSTAVO</t>
        </is>
      </c>
      <c r="B694" t="inlineStr">
        <is>
          <t>Hombre</t>
        </is>
      </c>
      <c r="C694" t="inlineStr">
        <is>
          <t>3523AF</t>
        </is>
      </c>
      <c r="D694" t="inlineStr">
        <is>
          <t>JALISCO</t>
        </is>
      </c>
      <c r="E694" t="inlineStr">
        <is>
          <t>07-2024</t>
        </is>
      </c>
      <c r="F694" t="inlineStr">
        <is>
          <t>11-2025</t>
        </is>
      </c>
      <c r="G694" t="n">
        <v>16</v>
      </c>
      <c r="H694" t="inlineStr">
        <is>
          <t>Pendiente</t>
        </is>
      </c>
      <c r="J694" t="inlineStr">
        <is>
          <t>HWE175A</t>
        </is>
      </c>
      <c r="K694" t="inlineStr">
        <is>
          <t>CHEVROLET AVEO</t>
        </is>
      </c>
      <c r="L694" t="inlineStr">
        <is>
          <t>UBER</t>
        </is>
      </c>
      <c r="M694" s="3">
        <f>IF(H694="Efectivo",IFERROR((VALUE(RIGHT(I694,4))-VALUE(RIGHT(E694,4)))*12+(VALUE(LEFT(I694,2))-VALUE(LEFT(E694,2))),""),"")</f>
        <v/>
      </c>
    </row>
    <row r="695">
      <c r="A695" t="inlineStr">
        <is>
          <t>MARTINEZ MEJIA ABIMAEL</t>
        </is>
      </c>
      <c r="B695" t="inlineStr">
        <is>
          <t>Hombre</t>
        </is>
      </c>
      <c r="C695" t="inlineStr">
        <is>
          <t>5222AF</t>
        </is>
      </c>
      <c r="D695" t="inlineStr">
        <is>
          <t>CDMX Y AREA METROPOLITANA</t>
        </is>
      </c>
      <c r="E695" t="inlineStr">
        <is>
          <t>07-2025</t>
        </is>
      </c>
      <c r="F695" t="inlineStr">
        <is>
          <t>07-2025</t>
        </is>
      </c>
      <c r="G695" t="n">
        <v>0</v>
      </c>
      <c r="H695" t="inlineStr">
        <is>
          <t>Efectivo</t>
        </is>
      </c>
      <c r="I695" t="inlineStr">
        <is>
          <t>07-2025</t>
        </is>
      </c>
      <c r="J695" t="inlineStr">
        <is>
          <t>47G983</t>
        </is>
      </c>
      <c r="K695" t="inlineStr">
        <is>
          <t>BYD MINIDOLPHIN</t>
        </is>
      </c>
      <c r="L695" t="inlineStr">
        <is>
          <t>DIDI</t>
        </is>
      </c>
      <c r="M695" s="3">
        <f>IF(H695="Efectivo",IFERROR((VALUE(RIGHT(I695,4))-VALUE(RIGHT(E695,4)))*12+(VALUE(LEFT(I695,2))-VALUE(LEFT(E695,2))),""),"")</f>
        <v/>
      </c>
    </row>
    <row r="696">
      <c r="A696" t="inlineStr">
        <is>
          <t>MARTINEZ MOLINA RICARDO</t>
        </is>
      </c>
      <c r="B696" t="inlineStr">
        <is>
          <t>Hombre</t>
        </is>
      </c>
      <c r="C696" t="inlineStr">
        <is>
          <t>5685AF</t>
        </is>
      </c>
      <c r="D696" t="inlineStr">
        <is>
          <t>CDMX Y AREA METROPOLITANA</t>
        </is>
      </c>
      <c r="E696" t="inlineStr">
        <is>
          <t>09-2025</t>
        </is>
      </c>
      <c r="F696" t="inlineStr">
        <is>
          <t>12-2025</t>
        </is>
      </c>
      <c r="G696" t="n">
        <v>3</v>
      </c>
      <c r="H696" t="inlineStr">
        <is>
          <t>Efectivo</t>
        </is>
      </c>
      <c r="I696" t="inlineStr">
        <is>
          <t>03-2026</t>
        </is>
      </c>
      <c r="J696" t="inlineStr">
        <is>
          <t>27G716</t>
        </is>
      </c>
      <c r="K696" t="inlineStr">
        <is>
          <t>BYD MINIDOLPHIN</t>
        </is>
      </c>
      <c r="L696" t="inlineStr">
        <is>
          <t>UBER</t>
        </is>
      </c>
      <c r="M696" s="3">
        <f>IF(H696="Efectivo",IFERROR((VALUE(RIGHT(I696,4))-VALUE(RIGHT(E696,4)))*12+(VALUE(LEFT(I696,2))-VALUE(LEFT(E696,2))),""),"")</f>
        <v/>
      </c>
    </row>
    <row r="697">
      <c r="A697" t="inlineStr">
        <is>
          <t>MARTINEZ MONARREZ CRISTIAN OBET</t>
        </is>
      </c>
      <c r="B697" t="inlineStr">
        <is>
          <t>Hombre</t>
        </is>
      </c>
      <c r="C697" t="inlineStr">
        <is>
          <t>5403AF</t>
        </is>
      </c>
      <c r="D697" t="inlineStr">
        <is>
          <t>BAJA CALIFORNIA</t>
        </is>
      </c>
      <c r="E697" t="inlineStr">
        <is>
          <t>07-2025</t>
        </is>
      </c>
      <c r="F697" t="inlineStr">
        <is>
          <t>12-2025</t>
        </is>
      </c>
      <c r="G697" t="n">
        <v>5</v>
      </c>
      <c r="H697" t="inlineStr">
        <is>
          <t>Efectivo</t>
        </is>
      </c>
      <c r="I697" t="inlineStr">
        <is>
          <t>01-2026</t>
        </is>
      </c>
      <c r="J697" t="inlineStr">
        <is>
          <t>BYZ942A</t>
        </is>
      </c>
      <c r="K697" t="inlineStr">
        <is>
          <t>CHEVROLET AVEO</t>
        </is>
      </c>
      <c r="L697" t="inlineStr">
        <is>
          <t>UBER</t>
        </is>
      </c>
      <c r="M697" s="3">
        <f>IF(H697="Efectivo",IFERROR((VALUE(RIGHT(I697,4))-VALUE(RIGHT(E697,4)))*12+(VALUE(LEFT(I697,2))-VALUE(LEFT(E697,2))),""),"")</f>
        <v/>
      </c>
    </row>
    <row r="698">
      <c r="A698" t="inlineStr">
        <is>
          <t>MARTINEZ MOSQUEDA JORGE LUIS</t>
        </is>
      </c>
      <c r="B698" t="inlineStr">
        <is>
          <t>Hombre</t>
        </is>
      </c>
      <c r="C698" t="inlineStr">
        <is>
          <t>4289AF</t>
        </is>
      </c>
      <c r="D698" t="inlineStr">
        <is>
          <t>CDMX Y AREA METROPOLITANA</t>
        </is>
      </c>
      <c r="E698" t="inlineStr">
        <is>
          <t>02-2025</t>
        </is>
      </c>
      <c r="F698" t="inlineStr">
        <is>
          <t>06-2025</t>
        </is>
      </c>
      <c r="G698" t="n">
        <v>4</v>
      </c>
      <c r="H698" t="inlineStr">
        <is>
          <t>Efectivo</t>
        </is>
      </c>
      <c r="I698" t="inlineStr">
        <is>
          <t>06-2025</t>
        </is>
      </c>
      <c r="J698" t="inlineStr">
        <is>
          <t>31G613</t>
        </is>
      </c>
      <c r="K698" t="inlineStr">
        <is>
          <t>GAC AION S</t>
        </is>
      </c>
      <c r="L698" t="inlineStr">
        <is>
          <t>DIDI</t>
        </is>
      </c>
      <c r="M698" s="3">
        <f>IF(H698="Efectivo",IFERROR((VALUE(RIGHT(I698,4))-VALUE(RIGHT(E698,4)))*12+(VALUE(LEFT(I698,2))-VALUE(LEFT(E698,2))),""),"")</f>
        <v/>
      </c>
    </row>
    <row r="699">
      <c r="A699" t="inlineStr">
        <is>
          <t>MARTINEZ ORDAZ MANUEL FEDERICO</t>
        </is>
      </c>
      <c r="B699" t="inlineStr">
        <is>
          <t>Hombre</t>
        </is>
      </c>
      <c r="C699" t="inlineStr">
        <is>
          <t>6643AF</t>
        </is>
      </c>
      <c r="D699" t="inlineStr">
        <is>
          <t>CDMX Y AREA METROPOLITANA</t>
        </is>
      </c>
      <c r="E699" t="inlineStr">
        <is>
          <t>01-2026</t>
        </is>
      </c>
      <c r="F699" t="inlineStr">
        <is>
          <t>04-2026</t>
        </is>
      </c>
      <c r="G699" t="n">
        <v>4</v>
      </c>
      <c r="H699" t="inlineStr">
        <is>
          <t>Efectivo</t>
        </is>
      </c>
      <c r="I699" t="inlineStr">
        <is>
          <t>05-2026</t>
        </is>
      </c>
      <c r="J699" t="inlineStr">
        <is>
          <t>62G246</t>
        </is>
      </c>
      <c r="K699" t="inlineStr">
        <is>
          <t>BYD E5</t>
        </is>
      </c>
      <c r="L699" t="inlineStr">
        <is>
          <t>UBER</t>
        </is>
      </c>
      <c r="M699" s="3">
        <f>IF(H699="Efectivo",IFERROR((VALUE(RIGHT(I699,4))-VALUE(RIGHT(E699,4)))*12+(VALUE(LEFT(I699,2))-VALUE(LEFT(E699,2))),""),"")</f>
        <v/>
      </c>
    </row>
    <row r="700">
      <c r="A700" t="inlineStr">
        <is>
          <t>MARTINEZ PEREZ GABRIEL HUMBERTO</t>
        </is>
      </c>
      <c r="B700" t="inlineStr">
        <is>
          <t>Hombre</t>
        </is>
      </c>
      <c r="C700" t="inlineStr">
        <is>
          <t>3177AF</t>
        </is>
      </c>
      <c r="D700" t="inlineStr">
        <is>
          <t>CDMX Y AREA METROPOLITANA</t>
        </is>
      </c>
      <c r="E700" t="inlineStr">
        <is>
          <t>04-2024</t>
        </is>
      </c>
      <c r="F700" t="inlineStr">
        <is>
          <t>08-2025</t>
        </is>
      </c>
      <c r="G700" t="n">
        <v>16</v>
      </c>
      <c r="H700" t="inlineStr">
        <is>
          <t>Efectivo</t>
        </is>
      </c>
      <c r="I700" t="inlineStr">
        <is>
          <t>11-2025</t>
        </is>
      </c>
      <c r="J700" t="inlineStr">
        <is>
          <t>77F748</t>
        </is>
      </c>
      <c r="K700" t="inlineStr">
        <is>
          <t>BYD D1</t>
        </is>
      </c>
      <c r="L700" t="inlineStr">
        <is>
          <t>UBER</t>
        </is>
      </c>
      <c r="M700" s="3">
        <f>IF(H700="Efectivo",IFERROR((VALUE(RIGHT(I700,4))-VALUE(RIGHT(E700,4)))*12+(VALUE(LEFT(I700,2))-VALUE(LEFT(E700,2))),""),"")</f>
        <v/>
      </c>
    </row>
    <row r="701">
      <c r="A701" t="inlineStr">
        <is>
          <t>MARTINEZ PIÑA LUIS ALFREDO</t>
        </is>
      </c>
      <c r="B701" t="inlineStr">
        <is>
          <t>Hombre</t>
        </is>
      </c>
      <c r="C701" t="inlineStr">
        <is>
          <t>4025AF</t>
        </is>
      </c>
      <c r="D701" t="inlineStr">
        <is>
          <t>CDMX Y AREA METROPOLITANA</t>
        </is>
      </c>
      <c r="E701" t="inlineStr">
        <is>
          <t>11-2024</t>
        </is>
      </c>
      <c r="F701" t="inlineStr">
        <is>
          <t>06-2025</t>
        </is>
      </c>
      <c r="G701" t="n">
        <v>6</v>
      </c>
      <c r="H701" t="inlineStr">
        <is>
          <t>Efectivo</t>
        </is>
      </c>
      <c r="I701" t="inlineStr">
        <is>
          <t>06-2025</t>
        </is>
      </c>
      <c r="J701" t="inlineStr">
        <is>
          <t>13G813</t>
        </is>
      </c>
      <c r="K701" t="inlineStr">
        <is>
          <t>BYD D1</t>
        </is>
      </c>
      <c r="L701" t="inlineStr">
        <is>
          <t>UBER</t>
        </is>
      </c>
      <c r="M701" s="3">
        <f>IF(H701="Efectivo",IFERROR((VALUE(RIGHT(I701,4))-VALUE(RIGHT(E701,4)))*12+(VALUE(LEFT(I701,2))-VALUE(LEFT(E701,2))),""),"")</f>
        <v/>
      </c>
    </row>
    <row r="702">
      <c r="A702" t="inlineStr">
        <is>
          <t>MARTINEZ PUENTE PABLO JESUS</t>
        </is>
      </c>
      <c r="B702" t="inlineStr">
        <is>
          <t>Hombre</t>
        </is>
      </c>
      <c r="C702" t="inlineStr">
        <is>
          <t>5391AF</t>
        </is>
      </c>
      <c r="D702" t="inlineStr">
        <is>
          <t>NUEVO LEON</t>
        </is>
      </c>
      <c r="E702" t="inlineStr">
        <is>
          <t>07-2025</t>
        </is>
      </c>
      <c r="F702" t="inlineStr">
        <is>
          <t>02-2026</t>
        </is>
      </c>
      <c r="G702" t="n">
        <v>7</v>
      </c>
      <c r="H702" t="inlineStr">
        <is>
          <t>Efectivo</t>
        </is>
      </c>
      <c r="I702" t="inlineStr">
        <is>
          <t>03-2026</t>
        </is>
      </c>
      <c r="J702" t="inlineStr">
        <is>
          <t>RWG685C</t>
        </is>
      </c>
      <c r="K702" t="inlineStr">
        <is>
          <t>TOYOTA AVANZA</t>
        </is>
      </c>
      <c r="L702" t="inlineStr">
        <is>
          <t>UBER</t>
        </is>
      </c>
      <c r="M702" s="3">
        <f>IF(H702="Efectivo",IFERROR((VALUE(RIGHT(I702,4))-VALUE(RIGHT(E702,4)))*12+(VALUE(LEFT(I702,2))-VALUE(LEFT(E702,2))),""),"")</f>
        <v/>
      </c>
    </row>
    <row r="703">
      <c r="A703" t="inlineStr">
        <is>
          <t>MARTINEZ QUINTANA IVAN ALEJANDRO</t>
        </is>
      </c>
      <c r="B703" t="inlineStr">
        <is>
          <t>Hombre</t>
        </is>
      </c>
      <c r="C703" t="inlineStr">
        <is>
          <t>5320AF</t>
        </is>
      </c>
      <c r="D703" t="inlineStr">
        <is>
          <t>CDMX Y AREA METROPOLITANA</t>
        </is>
      </c>
      <c r="E703" t="inlineStr">
        <is>
          <t>07-2025</t>
        </is>
      </c>
      <c r="F703" t="inlineStr">
        <is>
          <t>02-2026</t>
        </is>
      </c>
      <c r="G703" t="n">
        <v>7</v>
      </c>
      <c r="H703" t="inlineStr">
        <is>
          <t>Pendiente</t>
        </is>
      </c>
      <c r="J703" t="inlineStr">
        <is>
          <t>27G510</t>
        </is>
      </c>
      <c r="K703" t="inlineStr">
        <is>
          <t>BYD MINIDOLPHIN</t>
        </is>
      </c>
      <c r="L703" t="inlineStr">
        <is>
          <t>UBER</t>
        </is>
      </c>
      <c r="M703" s="3">
        <f>IF(H703="Efectivo",IFERROR((VALUE(RIGHT(I703,4))-VALUE(RIGHT(E703,4)))*12+(VALUE(LEFT(I703,2))-VALUE(LEFT(E703,2))),""),"")</f>
        <v/>
      </c>
    </row>
    <row r="704">
      <c r="A704" t="inlineStr">
        <is>
          <t>MARTINEZ QUINTANAR ARTURO</t>
        </is>
      </c>
      <c r="B704" t="inlineStr">
        <is>
          <t>Hombre</t>
        </is>
      </c>
      <c r="C704" t="inlineStr">
        <is>
          <t>4318AF</t>
        </is>
      </c>
      <c r="D704" t="inlineStr">
        <is>
          <t>CDMX Y AREA METROPOLITANA</t>
        </is>
      </c>
      <c r="E704" t="inlineStr">
        <is>
          <t>02-2025</t>
        </is>
      </c>
      <c r="F704" t="inlineStr">
        <is>
          <t>06-2025</t>
        </is>
      </c>
      <c r="G704" t="n">
        <v>4</v>
      </c>
      <c r="H704" t="inlineStr">
        <is>
          <t>Efectivo</t>
        </is>
      </c>
      <c r="I704" t="inlineStr">
        <is>
          <t>07-2025</t>
        </is>
      </c>
      <c r="J704" t="inlineStr">
        <is>
          <t>B81BNY</t>
        </is>
      </c>
      <c r="K704" t="inlineStr">
        <is>
          <t>CHEVROLET AVEO</t>
        </is>
      </c>
      <c r="L704" t="inlineStr">
        <is>
          <t>UBER</t>
        </is>
      </c>
      <c r="M704" s="3">
        <f>IF(H704="Efectivo",IFERROR((VALUE(RIGHT(I704,4))-VALUE(RIGHT(E704,4)))*12+(VALUE(LEFT(I704,2))-VALUE(LEFT(E704,2))),""),"")</f>
        <v/>
      </c>
    </row>
    <row r="705">
      <c r="A705" t="inlineStr">
        <is>
          <t>MARTINEZ QUINTERO FRANCISCO JAVIER</t>
        </is>
      </c>
      <c r="B705" t="inlineStr">
        <is>
          <t>Hombre</t>
        </is>
      </c>
      <c r="C705" t="inlineStr">
        <is>
          <t>2419AF</t>
        </is>
      </c>
      <c r="D705" t="inlineStr">
        <is>
          <t>CDMX Y AREA METROPOLITANA</t>
        </is>
      </c>
      <c r="E705" t="inlineStr">
        <is>
          <t>01-2023</t>
        </is>
      </c>
      <c r="F705" t="inlineStr">
        <is>
          <t>04-2025</t>
        </is>
      </c>
      <c r="G705" t="n">
        <v>28</v>
      </c>
      <c r="H705" t="inlineStr">
        <is>
          <t>Efectivo</t>
        </is>
      </c>
      <c r="I705" t="inlineStr">
        <is>
          <t>05-2025</t>
        </is>
      </c>
      <c r="J705" t="inlineStr">
        <is>
          <t>J09BKG</t>
        </is>
      </c>
      <c r="K705" t="inlineStr">
        <is>
          <t>CHEVROLET AVEO</t>
        </is>
      </c>
      <c r="L705" t="inlineStr">
        <is>
          <t>UBER</t>
        </is>
      </c>
      <c r="M705" s="3">
        <f>IF(H705="Efectivo",IFERROR((VALUE(RIGHT(I705,4))-VALUE(RIGHT(E705,4)))*12+(VALUE(LEFT(I705,2))-VALUE(LEFT(E705,2))),""),"")</f>
        <v/>
      </c>
    </row>
    <row r="706">
      <c r="A706" t="inlineStr">
        <is>
          <t>MARTINEZ RAMOS JHONATAN RICARDO</t>
        </is>
      </c>
      <c r="B706" t="inlineStr">
        <is>
          <t>Hombre</t>
        </is>
      </c>
      <c r="C706" t="inlineStr">
        <is>
          <t>5441AF</t>
        </is>
      </c>
      <c r="D706" t="inlineStr">
        <is>
          <t>CDMX Y AREA METROPOLITANA</t>
        </is>
      </c>
      <c r="E706" t="inlineStr">
        <is>
          <t>07-2025</t>
        </is>
      </c>
      <c r="F706" t="inlineStr">
        <is>
          <t>02-2026</t>
        </is>
      </c>
      <c r="G706" t="n">
        <v>7</v>
      </c>
      <c r="H706" t="inlineStr">
        <is>
          <t>Efectivo</t>
        </is>
      </c>
      <c r="I706" t="inlineStr">
        <is>
          <t>04-2026</t>
        </is>
      </c>
      <c r="J706" t="inlineStr">
        <is>
          <t>48G083</t>
        </is>
      </c>
      <c r="K706" t="inlineStr">
        <is>
          <t>BYD MINIDOLPHIN</t>
        </is>
      </c>
      <c r="L706" t="inlineStr">
        <is>
          <t>UBER</t>
        </is>
      </c>
      <c r="M706" s="3">
        <f>IF(H706="Efectivo",IFERROR((VALUE(RIGHT(I706,4))-VALUE(RIGHT(E706,4)))*12+(VALUE(LEFT(I706,2))-VALUE(LEFT(E706,2))),""),"")</f>
        <v/>
      </c>
    </row>
    <row r="707">
      <c r="A707" t="inlineStr">
        <is>
          <t>MARTINEZ RAMOS JOSE LUIS</t>
        </is>
      </c>
      <c r="B707" t="inlineStr">
        <is>
          <t>Hombre</t>
        </is>
      </c>
      <c r="C707" t="inlineStr">
        <is>
          <t>3775AF</t>
        </is>
      </c>
      <c r="D707" t="inlineStr">
        <is>
          <t>CDMX Y AREA METROPOLITANA</t>
        </is>
      </c>
      <c r="E707" t="inlineStr">
        <is>
          <t>09-2024</t>
        </is>
      </c>
      <c r="F707" t="inlineStr">
        <is>
          <t>06-2025</t>
        </is>
      </c>
      <c r="G707" t="n">
        <v>9</v>
      </c>
      <c r="H707" t="inlineStr">
        <is>
          <t>Efectivo</t>
        </is>
      </c>
      <c r="I707" t="inlineStr">
        <is>
          <t>07-2025</t>
        </is>
      </c>
      <c r="J707" t="inlineStr">
        <is>
          <t>08G142</t>
        </is>
      </c>
      <c r="K707" t="inlineStr">
        <is>
          <t>BYD D1</t>
        </is>
      </c>
      <c r="L707" t="inlineStr">
        <is>
          <t>UBER</t>
        </is>
      </c>
      <c r="M707" s="3">
        <f>IF(H707="Efectivo",IFERROR((VALUE(RIGHT(I707,4))-VALUE(RIGHT(E707,4)))*12+(VALUE(LEFT(I707,2))-VALUE(LEFT(E707,2))),""),"")</f>
        <v/>
      </c>
    </row>
    <row r="708">
      <c r="A708" t="inlineStr">
        <is>
          <t>MARTINEZ RESENDIZ LORENZO ENRIQUE</t>
        </is>
      </c>
      <c r="B708" t="inlineStr">
        <is>
          <t>Hombre</t>
        </is>
      </c>
      <c r="C708" t="inlineStr">
        <is>
          <t>3825AF</t>
        </is>
      </c>
      <c r="D708" t="inlineStr">
        <is>
          <t>CDMX Y AREA METROPOLITANA</t>
        </is>
      </c>
      <c r="E708" t="inlineStr">
        <is>
          <t>10-2024</t>
        </is>
      </c>
      <c r="F708" t="inlineStr">
        <is>
          <t>06-2025</t>
        </is>
      </c>
      <c r="G708" t="n">
        <v>8</v>
      </c>
      <c r="H708" t="inlineStr">
        <is>
          <t>Efectivo</t>
        </is>
      </c>
      <c r="I708" t="inlineStr">
        <is>
          <t>07-2025</t>
        </is>
      </c>
      <c r="J708" t="inlineStr">
        <is>
          <t>08G117</t>
        </is>
      </c>
      <c r="K708" t="inlineStr">
        <is>
          <t>BYD D1</t>
        </is>
      </c>
      <c r="L708" t="inlineStr">
        <is>
          <t>UBER</t>
        </is>
      </c>
      <c r="M708" s="3">
        <f>IF(H708="Efectivo",IFERROR((VALUE(RIGHT(I708,4))-VALUE(RIGHT(E708,4)))*12+(VALUE(LEFT(I708,2))-VALUE(LEFT(E708,2))),""),"")</f>
        <v/>
      </c>
    </row>
    <row r="709">
      <c r="A709" t="inlineStr">
        <is>
          <t>MARTINEZ RIVERA MIGUEL</t>
        </is>
      </c>
      <c r="B709" t="inlineStr">
        <is>
          <t>Hombre</t>
        </is>
      </c>
      <c r="C709" t="inlineStr">
        <is>
          <t>5585AF</t>
        </is>
      </c>
      <c r="D709" t="inlineStr">
        <is>
          <t>CDMX Y AREA METROPOLITANA</t>
        </is>
      </c>
      <c r="E709" t="inlineStr">
        <is>
          <t>08-2025</t>
        </is>
      </c>
      <c r="F709" t="inlineStr">
        <is>
          <t>02-2026</t>
        </is>
      </c>
      <c r="G709" t="n">
        <v>5</v>
      </c>
      <c r="H709" t="inlineStr">
        <is>
          <t>Efectivo</t>
        </is>
      </c>
      <c r="I709" t="inlineStr">
        <is>
          <t>02-2026</t>
        </is>
      </c>
      <c r="J709" t="inlineStr">
        <is>
          <t>Z85BNL</t>
        </is>
      </c>
      <c r="K709" t="inlineStr">
        <is>
          <t>CHEVROLET AVEO</t>
        </is>
      </c>
      <c r="L709" t="inlineStr">
        <is>
          <t>UBER</t>
        </is>
      </c>
      <c r="M709" s="3">
        <f>IF(H709="Efectivo",IFERROR((VALUE(RIGHT(I709,4))-VALUE(RIGHT(E709,4)))*12+(VALUE(LEFT(I709,2))-VALUE(LEFT(E709,2))),""),"")</f>
        <v/>
      </c>
    </row>
    <row r="710">
      <c r="A710" t="inlineStr">
        <is>
          <t>MARTINEZ RODRIGUEZ MIGUEL ANGEL</t>
        </is>
      </c>
      <c r="B710" t="inlineStr">
        <is>
          <t>Hombre</t>
        </is>
      </c>
      <c r="C710" t="inlineStr">
        <is>
          <t>5813AF</t>
        </is>
      </c>
      <c r="D710" t="inlineStr">
        <is>
          <t>CDMX Y AREA METROPOLITANA</t>
        </is>
      </c>
      <c r="E710" t="inlineStr">
        <is>
          <t>09-2025</t>
        </is>
      </c>
      <c r="F710" t="inlineStr">
        <is>
          <t>02-2026</t>
        </is>
      </c>
      <c r="G710" t="n">
        <v>4</v>
      </c>
      <c r="H710" t="inlineStr">
        <is>
          <t>Efectivo</t>
        </is>
      </c>
      <c r="I710" t="inlineStr">
        <is>
          <t>03-2026</t>
        </is>
      </c>
      <c r="J710" t="inlineStr">
        <is>
          <t>10K821</t>
        </is>
      </c>
      <c r="K710" t="inlineStr">
        <is>
          <t>BYD MINIDOLPHIN</t>
        </is>
      </c>
      <c r="L710" t="inlineStr">
        <is>
          <t>UBER</t>
        </is>
      </c>
      <c r="M710" s="3">
        <f>IF(H710="Efectivo",IFERROR((VALUE(RIGHT(I710,4))-VALUE(RIGHT(E710,4)))*12+(VALUE(LEFT(I710,2))-VALUE(LEFT(E710,2))),""),"")</f>
        <v/>
      </c>
    </row>
    <row r="711">
      <c r="A711" t="inlineStr">
        <is>
          <t>MARTINEZ ROMERO CARLOS ALBERTO</t>
        </is>
      </c>
      <c r="B711" t="inlineStr">
        <is>
          <t>Hombre</t>
        </is>
      </c>
      <c r="C711" t="inlineStr">
        <is>
          <t>4169AF</t>
        </is>
      </c>
      <c r="D711" t="inlineStr">
        <is>
          <t>CDMX Y AREA METROPOLITANA</t>
        </is>
      </c>
      <c r="E711" t="inlineStr">
        <is>
          <t>12-2024</t>
        </is>
      </c>
      <c r="F711" t="inlineStr">
        <is>
          <t>03-2025</t>
        </is>
      </c>
      <c r="G711" t="n">
        <v>2</v>
      </c>
      <c r="H711" t="inlineStr">
        <is>
          <t>Efectivo</t>
        </is>
      </c>
      <c r="I711" t="inlineStr">
        <is>
          <t>03-2025</t>
        </is>
      </c>
      <c r="J711" t="inlineStr">
        <is>
          <t>19G452</t>
        </is>
      </c>
      <c r="K711" t="inlineStr">
        <is>
          <t>BYD D1</t>
        </is>
      </c>
      <c r="L711" t="inlineStr">
        <is>
          <t>UBER</t>
        </is>
      </c>
      <c r="M711" s="3">
        <f>IF(H711="Efectivo",IFERROR((VALUE(RIGHT(I711,4))-VALUE(RIGHT(E711,4)))*12+(VALUE(LEFT(I711,2))-VALUE(LEFT(E711,2))),""),"")</f>
        <v/>
      </c>
    </row>
    <row r="712">
      <c r="A712" t="inlineStr">
        <is>
          <t>MARTINEZ SALINAS ARTURO</t>
        </is>
      </c>
      <c r="B712" t="inlineStr">
        <is>
          <t>Hombre</t>
        </is>
      </c>
      <c r="C712" t="inlineStr">
        <is>
          <t>4688AF</t>
        </is>
      </c>
      <c r="D712" t="inlineStr">
        <is>
          <t>CDMX Y AREA METROPOLITANA</t>
        </is>
      </c>
      <c r="E712" t="inlineStr">
        <is>
          <t>04-2025</t>
        </is>
      </c>
      <c r="F712" t="inlineStr">
        <is>
          <t>08-2025</t>
        </is>
      </c>
      <c r="G712" t="n">
        <v>4</v>
      </c>
      <c r="H712" t="inlineStr">
        <is>
          <t>Cancelado</t>
        </is>
      </c>
      <c r="J712" t="inlineStr">
        <is>
          <t>19G380</t>
        </is>
      </c>
      <c r="K712" t="inlineStr">
        <is>
          <t>BYD D1</t>
        </is>
      </c>
      <c r="L712" t="inlineStr">
        <is>
          <t>UBER</t>
        </is>
      </c>
      <c r="M712" s="3">
        <f>IF(H712="Efectivo",IFERROR((VALUE(RIGHT(I712,4))-VALUE(RIGHT(E712,4)))*12+(VALUE(LEFT(I712,2))-VALUE(LEFT(E712,2))),""),"")</f>
        <v/>
      </c>
    </row>
    <row r="713">
      <c r="A713" t="inlineStr">
        <is>
          <t>MARTINEZ SANCHEZ FIDEL</t>
        </is>
      </c>
      <c r="B713" t="inlineStr">
        <is>
          <t>Hombre</t>
        </is>
      </c>
      <c r="C713" t="inlineStr">
        <is>
          <t>6620AF</t>
        </is>
      </c>
      <c r="D713" t="inlineStr">
        <is>
          <t>BAJA CALIFORNIA</t>
        </is>
      </c>
      <c r="E713" t="inlineStr">
        <is>
          <t>06-2025</t>
        </is>
      </c>
      <c r="F713" t="inlineStr">
        <is>
          <t>05-2026</t>
        </is>
      </c>
      <c r="G713" t="n">
        <v>10</v>
      </c>
      <c r="H713" t="inlineStr">
        <is>
          <t>Pendiente</t>
        </is>
      </c>
      <c r="J713" t="inlineStr">
        <is>
          <t>CBL133A</t>
        </is>
      </c>
      <c r="K713" t="inlineStr">
        <is>
          <t>CHEVROLET AVEO</t>
        </is>
      </c>
      <c r="L713" t="inlineStr">
        <is>
          <t>UBER</t>
        </is>
      </c>
      <c r="M713" s="3">
        <f>IF(H713="Efectivo",IFERROR((VALUE(RIGHT(I713,4))-VALUE(RIGHT(E713,4)))*12+(VALUE(LEFT(I713,2))-VALUE(LEFT(E713,2))),""),"")</f>
        <v/>
      </c>
    </row>
    <row r="714">
      <c r="A714" t="inlineStr">
        <is>
          <t>MARTINEZ SEGURA GUSTAVO</t>
        </is>
      </c>
      <c r="B714" t="inlineStr">
        <is>
          <t>Hombre</t>
        </is>
      </c>
      <c r="C714" t="inlineStr">
        <is>
          <t>4176AF</t>
        </is>
      </c>
      <c r="D714" t="inlineStr">
        <is>
          <t>CDMX Y AREA METROPOLITANA</t>
        </is>
      </c>
      <c r="E714" t="inlineStr">
        <is>
          <t>01-2025</t>
        </is>
      </c>
      <c r="F714" t="inlineStr">
        <is>
          <t>10-2025</t>
        </is>
      </c>
      <c r="G714" t="n">
        <v>9</v>
      </c>
      <c r="H714" t="inlineStr">
        <is>
          <t>Efectivo</t>
        </is>
      </c>
      <c r="I714" t="inlineStr">
        <is>
          <t>10-2025</t>
        </is>
      </c>
      <c r="J714" t="inlineStr">
        <is>
          <t>19G609</t>
        </is>
      </c>
      <c r="K714" t="inlineStr">
        <is>
          <t>BYD D1</t>
        </is>
      </c>
      <c r="L714" t="inlineStr">
        <is>
          <t>UBER</t>
        </is>
      </c>
      <c r="M714" s="3">
        <f>IF(H714="Efectivo",IFERROR((VALUE(RIGHT(I714,4))-VALUE(RIGHT(E714,4)))*12+(VALUE(LEFT(I714,2))-VALUE(LEFT(E714,2))),""),"")</f>
        <v/>
      </c>
    </row>
    <row r="715">
      <c r="A715" t="inlineStr">
        <is>
          <t>MARTINEZ SOLIS SANDRA ERIKA</t>
        </is>
      </c>
      <c r="B715" t="inlineStr">
        <is>
          <t>Mujer</t>
        </is>
      </c>
      <c r="C715" t="inlineStr">
        <is>
          <t>6497AF</t>
        </is>
      </c>
      <c r="D715" t="inlineStr">
        <is>
          <t>CDMX Y AREA METROPOLITANA</t>
        </is>
      </c>
      <c r="E715" t="inlineStr">
        <is>
          <t>12-2025</t>
        </is>
      </c>
      <c r="F715" t="inlineStr">
        <is>
          <t>03-2026</t>
        </is>
      </c>
      <c r="G715" t="n">
        <v>3</v>
      </c>
      <c r="H715" t="inlineStr">
        <is>
          <t>Efectivo</t>
        </is>
      </c>
      <c r="I715" t="inlineStr">
        <is>
          <t>05-2026</t>
        </is>
      </c>
      <c r="J715" t="inlineStr">
        <is>
          <t>13G811</t>
        </is>
      </c>
      <c r="K715" t="inlineStr">
        <is>
          <t>BYD D1</t>
        </is>
      </c>
      <c r="L715" t="inlineStr">
        <is>
          <t>UBER</t>
        </is>
      </c>
      <c r="M715" s="3">
        <f>IF(H715="Efectivo",IFERROR((VALUE(RIGHT(I715,4))-VALUE(RIGHT(E715,4)))*12+(VALUE(LEFT(I715,2))-VALUE(LEFT(E715,2))),""),"")</f>
        <v/>
      </c>
    </row>
    <row r="716">
      <c r="A716" t="inlineStr">
        <is>
          <t>MARTINEZ VIVEROS JUAN CARLOS</t>
        </is>
      </c>
      <c r="B716" t="inlineStr">
        <is>
          <t>Hombre</t>
        </is>
      </c>
      <c r="C716" t="inlineStr">
        <is>
          <t>4620AF</t>
        </is>
      </c>
      <c r="D716" t="inlineStr">
        <is>
          <t>CDMX Y AREA METROPOLITANA</t>
        </is>
      </c>
      <c r="E716" t="inlineStr">
        <is>
          <t>04-2025</t>
        </is>
      </c>
      <c r="F716" t="inlineStr">
        <is>
          <t>11-2025</t>
        </is>
      </c>
      <c r="G716" t="n">
        <v>7</v>
      </c>
      <c r="H716" t="inlineStr">
        <is>
          <t>Pendiente</t>
        </is>
      </c>
      <c r="J716" t="inlineStr">
        <is>
          <t>13G671</t>
        </is>
      </c>
      <c r="K716" t="inlineStr">
        <is>
          <t>BYD MINIDOLPHIN</t>
        </is>
      </c>
      <c r="L716" t="inlineStr">
        <is>
          <t>DIDI</t>
        </is>
      </c>
      <c r="M716" s="3">
        <f>IF(H716="Efectivo",IFERROR((VALUE(RIGHT(I716,4))-VALUE(RIGHT(E716,4)))*12+(VALUE(LEFT(I716,2))-VALUE(LEFT(E716,2))),""),"")</f>
        <v/>
      </c>
    </row>
    <row r="717">
      <c r="A717" t="inlineStr">
        <is>
          <t>MATADAMAS PEÑA LUIS ERNESTO</t>
        </is>
      </c>
      <c r="B717" t="inlineStr">
        <is>
          <t>Hombre</t>
        </is>
      </c>
      <c r="C717" t="inlineStr">
        <is>
          <t>4811AF</t>
        </is>
      </c>
      <c r="D717" t="inlineStr">
        <is>
          <t>CDMX Y AREA METROPOLITANA</t>
        </is>
      </c>
      <c r="E717" t="inlineStr">
        <is>
          <t>05-2025</t>
        </is>
      </c>
      <c r="F717" t="inlineStr">
        <is>
          <t>07-2025</t>
        </is>
      </c>
      <c r="G717" t="n">
        <v>2</v>
      </c>
      <c r="H717" t="inlineStr">
        <is>
          <t>Efectivo</t>
        </is>
      </c>
      <c r="I717" t="inlineStr">
        <is>
          <t>02-2026</t>
        </is>
      </c>
      <c r="J717" t="inlineStr">
        <is>
          <t>50G445</t>
        </is>
      </c>
      <c r="K717" t="inlineStr">
        <is>
          <t>GAC AION S</t>
        </is>
      </c>
      <c r="L717" t="inlineStr">
        <is>
          <t>DIDI</t>
        </is>
      </c>
      <c r="M717" s="3">
        <f>IF(H717="Efectivo",IFERROR((VALUE(RIGHT(I717,4))-VALUE(RIGHT(E717,4)))*12+(VALUE(LEFT(I717,2))-VALUE(LEFT(E717,2))),""),"")</f>
        <v/>
      </c>
    </row>
    <row r="718">
      <c r="A718" t="inlineStr">
        <is>
          <t>MAYO ZEPEDA EDGAR ENRIQUE</t>
        </is>
      </c>
      <c r="B718" t="inlineStr">
        <is>
          <t>Hombre</t>
        </is>
      </c>
      <c r="C718" t="inlineStr">
        <is>
          <t>4738AF</t>
        </is>
      </c>
      <c r="D718" t="inlineStr">
        <is>
          <t>CDMX Y AREA METROPOLITANA</t>
        </is>
      </c>
      <c r="E718" t="inlineStr">
        <is>
          <t>04-2025</t>
        </is>
      </c>
      <c r="F718" t="inlineStr">
        <is>
          <t>08-2025</t>
        </is>
      </c>
      <c r="G718" t="n">
        <v>3</v>
      </c>
      <c r="H718" t="inlineStr">
        <is>
          <t>Pendiente</t>
        </is>
      </c>
      <c r="J718" t="inlineStr">
        <is>
          <t>38G361</t>
        </is>
      </c>
      <c r="K718" t="inlineStr">
        <is>
          <t>GAC AION S</t>
        </is>
      </c>
      <c r="L718" t="inlineStr">
        <is>
          <t>UBER</t>
        </is>
      </c>
      <c r="M718" s="3">
        <f>IF(H718="Efectivo",IFERROR((VALUE(RIGHT(I718,4))-VALUE(RIGHT(E718,4)))*12+(VALUE(LEFT(I718,2))-VALUE(LEFT(E718,2))),""),"")</f>
        <v/>
      </c>
    </row>
    <row r="719">
      <c r="A719" t="inlineStr">
        <is>
          <t>MEDINA BELTRAN JOSE LUIS</t>
        </is>
      </c>
      <c r="B719" t="inlineStr">
        <is>
          <t>Hombre</t>
        </is>
      </c>
      <c r="C719" t="inlineStr">
        <is>
          <t>5458AF</t>
        </is>
      </c>
      <c r="D719" t="inlineStr">
        <is>
          <t>BAJA CALIFORNIA</t>
        </is>
      </c>
      <c r="E719" t="inlineStr">
        <is>
          <t>08-2025</t>
        </is>
      </c>
      <c r="F719" t="inlineStr">
        <is>
          <t>01-2026</t>
        </is>
      </c>
      <c r="G719" t="n">
        <v>5</v>
      </c>
      <c r="H719" t="inlineStr">
        <is>
          <t>Efectivo</t>
        </is>
      </c>
      <c r="I719" t="inlineStr">
        <is>
          <t>01-2026</t>
        </is>
      </c>
      <c r="J719" t="inlineStr">
        <is>
          <t>BZA452A</t>
        </is>
      </c>
      <c r="K719" t="inlineStr">
        <is>
          <t>CHEVROLET AVEO</t>
        </is>
      </c>
      <c r="L719" t="inlineStr">
        <is>
          <t>UBER</t>
        </is>
      </c>
      <c r="M719" s="3">
        <f>IF(H719="Efectivo",IFERROR((VALUE(RIGHT(I719,4))-VALUE(RIGHT(E719,4)))*12+(VALUE(LEFT(I719,2))-VALUE(LEFT(E719,2))),""),"")</f>
        <v/>
      </c>
    </row>
    <row r="720">
      <c r="A720" t="inlineStr">
        <is>
          <t>MEDINA HERNANDEZ JUAN DE DIOS</t>
        </is>
      </c>
      <c r="B720" t="inlineStr">
        <is>
          <t>Hombre</t>
        </is>
      </c>
      <c r="C720" t="inlineStr">
        <is>
          <t>5395AF</t>
        </is>
      </c>
      <c r="D720" t="inlineStr">
        <is>
          <t>NUEVO LEON</t>
        </is>
      </c>
      <c r="E720" t="inlineStr">
        <is>
          <t>07-2025</t>
        </is>
      </c>
      <c r="F720" t="inlineStr">
        <is>
          <t>10-2025</t>
        </is>
      </c>
      <c r="G720" t="n">
        <v>2</v>
      </c>
      <c r="H720" t="inlineStr">
        <is>
          <t>Cancelado</t>
        </is>
      </c>
      <c r="J720" t="inlineStr">
        <is>
          <t>RWG693C</t>
        </is>
      </c>
      <c r="K720" t="inlineStr">
        <is>
          <t>TOYOTA AVANZA</t>
        </is>
      </c>
      <c r="L720" t="inlineStr">
        <is>
          <t>UBER</t>
        </is>
      </c>
      <c r="M720" s="3">
        <f>IF(H720="Efectivo",IFERROR((VALUE(RIGHT(I720,4))-VALUE(RIGHT(E720,4)))*12+(VALUE(LEFT(I720,2))-VALUE(LEFT(E720,2))),""),"")</f>
        <v/>
      </c>
    </row>
    <row r="721">
      <c r="A721" t="inlineStr">
        <is>
          <t>MEDINA HERNANDEZ JUAN DE DIOS</t>
        </is>
      </c>
      <c r="B721" t="inlineStr">
        <is>
          <t>Hombre</t>
        </is>
      </c>
      <c r="C721" t="inlineStr">
        <is>
          <t>5395AF</t>
        </is>
      </c>
      <c r="D721" t="inlineStr">
        <is>
          <t>NUEVO LEON</t>
        </is>
      </c>
      <c r="E721" t="inlineStr">
        <is>
          <t>02-2024</t>
        </is>
      </c>
      <c r="F721" t="inlineStr">
        <is>
          <t>05-2026</t>
        </is>
      </c>
      <c r="G721" t="n">
        <v>27</v>
      </c>
      <c r="H721" t="inlineStr">
        <is>
          <t>Pendiente</t>
        </is>
      </c>
      <c r="J721" t="inlineStr">
        <is>
          <t>RWG693C</t>
        </is>
      </c>
      <c r="K721" t="inlineStr">
        <is>
          <t>TOYOTA AVANZA</t>
        </is>
      </c>
      <c r="L721" t="inlineStr">
        <is>
          <t>UBER</t>
        </is>
      </c>
      <c r="M721" s="3">
        <f>IF(H721="Efectivo",IFERROR((VALUE(RIGHT(I721,4))-VALUE(RIGHT(E721,4)))*12+(VALUE(LEFT(I721,2))-VALUE(LEFT(E721,2))),""),"")</f>
        <v/>
      </c>
    </row>
    <row r="722">
      <c r="A722" t="inlineStr">
        <is>
          <t>MEDINA IBARRA JUAN CARLOS</t>
        </is>
      </c>
      <c r="B722" t="inlineStr">
        <is>
          <t>Hombre</t>
        </is>
      </c>
      <c r="C722" t="inlineStr">
        <is>
          <t>6476AF</t>
        </is>
      </c>
      <c r="D722" t="inlineStr">
        <is>
          <t>CDMX Y AREA METROPOLITANA</t>
        </is>
      </c>
      <c r="E722" t="inlineStr">
        <is>
          <t>12-2025</t>
        </is>
      </c>
      <c r="F722" t="inlineStr">
        <is>
          <t>01-2026</t>
        </is>
      </c>
      <c r="G722" t="n">
        <v>1</v>
      </c>
      <c r="H722" t="inlineStr">
        <is>
          <t>Pendiente</t>
        </is>
      </c>
      <c r="J722" t="inlineStr">
        <is>
          <t>N82BSF</t>
        </is>
      </c>
      <c r="K722" t="inlineStr">
        <is>
          <t>CHEVROLET AVEO</t>
        </is>
      </c>
      <c r="L722" t="inlineStr">
        <is>
          <t>UBER</t>
        </is>
      </c>
      <c r="M722" s="3">
        <f>IF(H722="Efectivo",IFERROR((VALUE(RIGHT(I722,4))-VALUE(RIGHT(E722,4)))*12+(VALUE(LEFT(I722,2))-VALUE(LEFT(E722,2))),""),"")</f>
        <v/>
      </c>
    </row>
    <row r="723">
      <c r="A723" t="inlineStr">
        <is>
          <t>MEDINA NABOR GONZALO</t>
        </is>
      </c>
      <c r="B723" t="inlineStr">
        <is>
          <t>Hombre</t>
        </is>
      </c>
      <c r="C723" t="inlineStr">
        <is>
          <t>4269AF</t>
        </is>
      </c>
      <c r="D723" t="inlineStr">
        <is>
          <t>CDMX Y AREA METROPOLITANA</t>
        </is>
      </c>
      <c r="E723" t="inlineStr">
        <is>
          <t>01-2025</t>
        </is>
      </c>
      <c r="F723" t="inlineStr">
        <is>
          <t>07-2025</t>
        </is>
      </c>
      <c r="G723" t="n">
        <v>6</v>
      </c>
      <c r="H723" t="inlineStr">
        <is>
          <t>Efectivo</t>
        </is>
      </c>
      <c r="I723" t="inlineStr">
        <is>
          <t>08-2025</t>
        </is>
      </c>
      <c r="J723" t="inlineStr">
        <is>
          <t>19G605</t>
        </is>
      </c>
      <c r="K723" t="inlineStr">
        <is>
          <t>BYD D1</t>
        </is>
      </c>
      <c r="L723" t="inlineStr">
        <is>
          <t>UBER</t>
        </is>
      </c>
      <c r="M723" s="3">
        <f>IF(H723="Efectivo",IFERROR((VALUE(RIGHT(I723,4))-VALUE(RIGHT(E723,4)))*12+(VALUE(LEFT(I723,2))-VALUE(LEFT(E723,2))),""),"")</f>
        <v/>
      </c>
    </row>
    <row r="724">
      <c r="A724" t="inlineStr">
        <is>
          <t>MEDINA OCHOA EZEQUIEL</t>
        </is>
      </c>
      <c r="B724" t="inlineStr">
        <is>
          <t>Hombre</t>
        </is>
      </c>
      <c r="C724" t="inlineStr">
        <is>
          <t>3809AF</t>
        </is>
      </c>
      <c r="D724" t="inlineStr">
        <is>
          <t>CDMX Y AREA METROPOLITANA</t>
        </is>
      </c>
      <c r="E724" t="inlineStr">
        <is>
          <t>09-2024</t>
        </is>
      </c>
      <c r="F724" t="inlineStr">
        <is>
          <t>01-2026</t>
        </is>
      </c>
      <c r="G724" t="n">
        <v>16</v>
      </c>
      <c r="H724" t="inlineStr">
        <is>
          <t>Efectivo</t>
        </is>
      </c>
      <c r="I724" t="inlineStr">
        <is>
          <t>02-2026</t>
        </is>
      </c>
      <c r="J724" t="inlineStr">
        <is>
          <t>13G625</t>
        </is>
      </c>
      <c r="K724" t="inlineStr">
        <is>
          <t>BYD MINIDOLPHIN</t>
        </is>
      </c>
      <c r="L724" t="inlineStr">
        <is>
          <t>UBER</t>
        </is>
      </c>
      <c r="M724" s="3">
        <f>IF(H724="Efectivo",IFERROR((VALUE(RIGHT(I724,4))-VALUE(RIGHT(E724,4)))*12+(VALUE(LEFT(I724,2))-VALUE(LEFT(E724,2))),""),"")</f>
        <v/>
      </c>
    </row>
    <row r="725">
      <c r="A725" t="inlineStr">
        <is>
          <t>MEDINA SANCHEZ ANGEL</t>
        </is>
      </c>
      <c r="B725" t="inlineStr">
        <is>
          <t>Hombre</t>
        </is>
      </c>
      <c r="C725" t="inlineStr">
        <is>
          <t>3416AF</t>
        </is>
      </c>
      <c r="D725" t="inlineStr">
        <is>
          <t>CDMX Y AREA METROPOLITANA</t>
        </is>
      </c>
      <c r="E725" t="inlineStr">
        <is>
          <t>06-2024</t>
        </is>
      </c>
      <c r="F725" t="inlineStr">
        <is>
          <t>05-2025</t>
        </is>
      </c>
      <c r="G725" t="n">
        <v>11</v>
      </c>
      <c r="H725" t="inlineStr">
        <is>
          <t>Cancelado</t>
        </is>
      </c>
      <c r="J725" t="inlineStr">
        <is>
          <t>84F292</t>
        </is>
      </c>
      <c r="K725" t="inlineStr">
        <is>
          <t>BYD D1</t>
        </is>
      </c>
      <c r="L725" t="inlineStr">
        <is>
          <t>UBER</t>
        </is>
      </c>
      <c r="M725" s="3">
        <f>IF(H725="Efectivo",IFERROR((VALUE(RIGHT(I725,4))-VALUE(RIGHT(E725,4)))*12+(VALUE(LEFT(I725,2))-VALUE(LEFT(E725,2))),""),"")</f>
        <v/>
      </c>
    </row>
    <row r="726">
      <c r="A726" t="inlineStr">
        <is>
          <t>MEDRANO GUTIERREZ CRISTIAN GIOVANNI</t>
        </is>
      </c>
      <c r="B726" t="inlineStr">
        <is>
          <t>Hombre</t>
        </is>
      </c>
      <c r="C726" t="inlineStr">
        <is>
          <t>4532AF</t>
        </is>
      </c>
      <c r="D726" t="inlineStr">
        <is>
          <t>CDMX Y AREA METROPOLITANA</t>
        </is>
      </c>
      <c r="E726" t="inlineStr">
        <is>
          <t>03-2025</t>
        </is>
      </c>
      <c r="F726" t="inlineStr">
        <is>
          <t>01-2026</t>
        </is>
      </c>
      <c r="G726" t="n">
        <v>10</v>
      </c>
      <c r="H726" t="inlineStr">
        <is>
          <t>Cancelado</t>
        </is>
      </c>
      <c r="J726" t="inlineStr">
        <is>
          <t>39G926</t>
        </is>
      </c>
      <c r="K726" t="inlineStr">
        <is>
          <t>GAC AION S</t>
        </is>
      </c>
      <c r="L726" t="inlineStr">
        <is>
          <t>UBER</t>
        </is>
      </c>
      <c r="M726" s="3">
        <f>IF(H726="Efectivo",IFERROR((VALUE(RIGHT(I726,4))-VALUE(RIGHT(E726,4)))*12+(VALUE(LEFT(I726,2))-VALUE(LEFT(E726,2))),""),"")</f>
        <v/>
      </c>
    </row>
    <row r="727">
      <c r="A727" t="inlineStr">
        <is>
          <t>MEJIA ARRONIZ EDUARDO</t>
        </is>
      </c>
      <c r="B727" t="inlineStr">
        <is>
          <t>Hombre</t>
        </is>
      </c>
      <c r="C727" t="inlineStr">
        <is>
          <t>5672AF</t>
        </is>
      </c>
      <c r="D727" t="inlineStr">
        <is>
          <t>CDMX Y AREA METROPOLITANA</t>
        </is>
      </c>
      <c r="E727" t="inlineStr">
        <is>
          <t>09-2025</t>
        </is>
      </c>
      <c r="F727" t="inlineStr">
        <is>
          <t>11-2025</t>
        </is>
      </c>
      <c r="G727" t="n">
        <v>2</v>
      </c>
      <c r="H727" t="inlineStr">
        <is>
          <t>Pendiente</t>
        </is>
      </c>
      <c r="J727" t="inlineStr">
        <is>
          <t>31G476</t>
        </is>
      </c>
      <c r="K727" t="inlineStr">
        <is>
          <t>GAC AION S</t>
        </is>
      </c>
      <c r="L727" t="inlineStr">
        <is>
          <t>DIDI</t>
        </is>
      </c>
      <c r="M727" s="3">
        <f>IF(H727="Efectivo",IFERROR((VALUE(RIGHT(I727,4))-VALUE(RIGHT(E727,4)))*12+(VALUE(LEFT(I727,2))-VALUE(LEFT(E727,2))),""),"")</f>
        <v/>
      </c>
    </row>
    <row r="728">
      <c r="A728" t="inlineStr">
        <is>
          <t>MEJIA AVILES JUAN DANIEL</t>
        </is>
      </c>
      <c r="B728" t="inlineStr">
        <is>
          <t>Hombre</t>
        </is>
      </c>
      <c r="C728" t="inlineStr">
        <is>
          <t>2795AF</t>
        </is>
      </c>
      <c r="D728" t="inlineStr">
        <is>
          <t>CDMX Y AREA METROPOLITANA</t>
        </is>
      </c>
      <c r="E728" t="inlineStr">
        <is>
          <t>10-2023</t>
        </is>
      </c>
      <c r="F728" t="inlineStr">
        <is>
          <t>01-2025</t>
        </is>
      </c>
      <c r="G728" t="n">
        <v>16</v>
      </c>
      <c r="H728" t="inlineStr">
        <is>
          <t>Efectivo</t>
        </is>
      </c>
      <c r="I728" t="inlineStr">
        <is>
          <t>01-2025</t>
        </is>
      </c>
      <c r="J728" t="inlineStr">
        <is>
          <t>B77BMP</t>
        </is>
      </c>
      <c r="K728" t="inlineStr">
        <is>
          <t>CHEVROLET AVEO</t>
        </is>
      </c>
      <c r="L728" t="inlineStr">
        <is>
          <t>UBER</t>
        </is>
      </c>
      <c r="M728" s="3">
        <f>IF(H728="Efectivo",IFERROR((VALUE(RIGHT(I728,4))-VALUE(RIGHT(E728,4)))*12+(VALUE(LEFT(I728,2))-VALUE(LEFT(E728,2))),""),"")</f>
        <v/>
      </c>
    </row>
    <row r="729">
      <c r="A729" t="inlineStr">
        <is>
          <t>MEJIA JAIMES ARTURO</t>
        </is>
      </c>
      <c r="B729" t="inlineStr">
        <is>
          <t>Hombre</t>
        </is>
      </c>
      <c r="C729" t="inlineStr">
        <is>
          <t>5005AF</t>
        </is>
      </c>
      <c r="D729" t="inlineStr">
        <is>
          <t>CDMX Y AREA METROPOLITANA</t>
        </is>
      </c>
      <c r="E729" t="inlineStr">
        <is>
          <t>06-2025</t>
        </is>
      </c>
      <c r="F729" t="inlineStr">
        <is>
          <t>08-2025</t>
        </is>
      </c>
      <c r="G729" t="n">
        <v>2</v>
      </c>
      <c r="H729" t="inlineStr">
        <is>
          <t>Efectivo</t>
        </is>
      </c>
      <c r="I729" t="inlineStr">
        <is>
          <t>08-2025</t>
        </is>
      </c>
      <c r="J729" t="inlineStr">
        <is>
          <t>41G414</t>
        </is>
      </c>
      <c r="K729" t="inlineStr">
        <is>
          <t>BYD MINIDOLPHIN</t>
        </is>
      </c>
      <c r="L729" t="inlineStr">
        <is>
          <t>DIDI</t>
        </is>
      </c>
      <c r="M729" s="3">
        <f>IF(H729="Efectivo",IFERROR((VALUE(RIGHT(I729,4))-VALUE(RIGHT(E729,4)))*12+(VALUE(LEFT(I729,2))-VALUE(LEFT(E729,2))),""),"")</f>
        <v/>
      </c>
    </row>
    <row r="730">
      <c r="A730" t="inlineStr">
        <is>
          <t>MEJIA SANABRIA MARTIN</t>
        </is>
      </c>
      <c r="B730" t="inlineStr">
        <is>
          <t>Hombre</t>
        </is>
      </c>
      <c r="C730" t="inlineStr">
        <is>
          <t>4833AF</t>
        </is>
      </c>
      <c r="D730" t="inlineStr">
        <is>
          <t>CDMX Y AREA METROPOLITANA</t>
        </is>
      </c>
      <c r="E730" t="inlineStr">
        <is>
          <t>05-2025</t>
        </is>
      </c>
      <c r="F730" t="inlineStr">
        <is>
          <t>12-2025</t>
        </is>
      </c>
      <c r="G730" t="n">
        <v>7</v>
      </c>
      <c r="H730" t="inlineStr">
        <is>
          <t>Efectivo</t>
        </is>
      </c>
      <c r="I730" t="inlineStr">
        <is>
          <t>01-2026</t>
        </is>
      </c>
      <c r="J730" t="inlineStr">
        <is>
          <t>F66BRR</t>
        </is>
      </c>
      <c r="K730" t="inlineStr">
        <is>
          <t>CHEVROLET AVEO</t>
        </is>
      </c>
      <c r="L730" t="inlineStr">
        <is>
          <t>UBER</t>
        </is>
      </c>
      <c r="M730" s="3">
        <f>IF(H730="Efectivo",IFERROR((VALUE(RIGHT(I730,4))-VALUE(RIGHT(E730,4)))*12+(VALUE(LEFT(I730,2))-VALUE(LEFT(E730,2))),""),"")</f>
        <v/>
      </c>
    </row>
    <row r="731">
      <c r="A731" t="inlineStr">
        <is>
          <t>MELENDEZ PEREA FRANCISCO JAVIER</t>
        </is>
      </c>
      <c r="B731" t="inlineStr">
        <is>
          <t>Hombre</t>
        </is>
      </c>
      <c r="C731" t="inlineStr">
        <is>
          <t>3373AF</t>
        </is>
      </c>
      <c r="D731" t="inlineStr">
        <is>
          <t>CDMX Y AREA METROPOLITANA</t>
        </is>
      </c>
      <c r="E731" t="inlineStr">
        <is>
          <t>06-2024</t>
        </is>
      </c>
      <c r="F731" t="inlineStr">
        <is>
          <t>03-2026</t>
        </is>
      </c>
      <c r="G731" t="n">
        <v>21</v>
      </c>
      <c r="H731" t="inlineStr">
        <is>
          <t>Efectivo</t>
        </is>
      </c>
      <c r="I731" t="inlineStr">
        <is>
          <t>03-2026</t>
        </is>
      </c>
      <c r="J731" t="inlineStr">
        <is>
          <t>B52BPD</t>
        </is>
      </c>
      <c r="K731" t="inlineStr">
        <is>
          <t>CHEVROLET AVEO</t>
        </is>
      </c>
      <c r="L731" t="inlineStr">
        <is>
          <t>UBER</t>
        </is>
      </c>
      <c r="M731" s="3">
        <f>IF(H731="Efectivo",IFERROR((VALUE(RIGHT(I731,4))-VALUE(RIGHT(E731,4)))*12+(VALUE(LEFT(I731,2))-VALUE(LEFT(E731,2))),""),"")</f>
        <v/>
      </c>
    </row>
    <row r="732">
      <c r="A732" t="inlineStr">
        <is>
          <t>MELENDEZ TAMAYO JOSE LUIS</t>
        </is>
      </c>
      <c r="B732" t="inlineStr">
        <is>
          <t>Hombre</t>
        </is>
      </c>
      <c r="C732" t="inlineStr">
        <is>
          <t>4040AF</t>
        </is>
      </c>
      <c r="D732" t="inlineStr">
        <is>
          <t>CDMX Y AREA METROPOLITANA</t>
        </is>
      </c>
      <c r="E732" t="inlineStr">
        <is>
          <t>11-2024</t>
        </is>
      </c>
      <c r="F732" t="inlineStr">
        <is>
          <t>08-2025</t>
        </is>
      </c>
      <c r="G732" t="n">
        <v>9</v>
      </c>
      <c r="H732" t="inlineStr">
        <is>
          <t>Pendiente</t>
        </is>
      </c>
      <c r="J732" t="inlineStr">
        <is>
          <t>13G945</t>
        </is>
      </c>
      <c r="K732" t="inlineStr">
        <is>
          <t>BYD D1</t>
        </is>
      </c>
      <c r="L732" t="inlineStr">
        <is>
          <t>UBER</t>
        </is>
      </c>
      <c r="M732" s="3">
        <f>IF(H732="Efectivo",IFERROR((VALUE(RIGHT(I732,4))-VALUE(RIGHT(E732,4)))*12+(VALUE(LEFT(I732,2))-VALUE(LEFT(E732,2))),""),"")</f>
        <v/>
      </c>
    </row>
    <row r="733">
      <c r="A733" t="inlineStr">
        <is>
          <t>MELGOZA ARIAS ALEJANDRO IDAR</t>
        </is>
      </c>
      <c r="B733" t="inlineStr">
        <is>
          <t>Hombre</t>
        </is>
      </c>
      <c r="C733" t="inlineStr">
        <is>
          <t>5572AF</t>
        </is>
      </c>
      <c r="D733" t="inlineStr">
        <is>
          <t>CDMX Y AREA METROPOLITANA</t>
        </is>
      </c>
      <c r="E733" t="inlineStr">
        <is>
          <t>08-2025</t>
        </is>
      </c>
      <c r="F733" t="inlineStr">
        <is>
          <t>03-2026</t>
        </is>
      </c>
      <c r="G733" t="n">
        <v>6</v>
      </c>
      <c r="H733" t="inlineStr">
        <is>
          <t>Efectivo</t>
        </is>
      </c>
      <c r="I733" t="inlineStr">
        <is>
          <t>03-2026</t>
        </is>
      </c>
      <c r="J733" t="inlineStr">
        <is>
          <t>42G711</t>
        </is>
      </c>
      <c r="K733" t="inlineStr">
        <is>
          <t>GAC AION S</t>
        </is>
      </c>
      <c r="L733" t="inlineStr">
        <is>
          <t>UBER</t>
        </is>
      </c>
      <c r="M733" s="3">
        <f>IF(H733="Efectivo",IFERROR((VALUE(RIGHT(I733,4))-VALUE(RIGHT(E733,4)))*12+(VALUE(LEFT(I733,2))-VALUE(LEFT(E733,2))),""),"")</f>
        <v/>
      </c>
    </row>
    <row r="734">
      <c r="A734" t="inlineStr">
        <is>
          <t>MELLADO GUTIERREZ JACIEL</t>
        </is>
      </c>
      <c r="B734" t="inlineStr">
        <is>
          <t>Hombre</t>
        </is>
      </c>
      <c r="C734" t="inlineStr">
        <is>
          <t>4977AF</t>
        </is>
      </c>
      <c r="D734" t="inlineStr">
        <is>
          <t>JALISCO</t>
        </is>
      </c>
      <c r="E734" t="inlineStr">
        <is>
          <t>06-2025</t>
        </is>
      </c>
      <c r="F734" t="inlineStr">
        <is>
          <t>04-2026</t>
        </is>
      </c>
      <c r="G734" t="n">
        <v>11</v>
      </c>
      <c r="H734" t="inlineStr">
        <is>
          <t>Pendiente</t>
        </is>
      </c>
      <c r="J734" t="inlineStr">
        <is>
          <t>JAY029A</t>
        </is>
      </c>
      <c r="K734" t="inlineStr">
        <is>
          <t>TOYOTA AVANZA</t>
        </is>
      </c>
      <c r="L734" t="inlineStr">
        <is>
          <t>DIDI</t>
        </is>
      </c>
      <c r="M734" s="3">
        <f>IF(H734="Efectivo",IFERROR((VALUE(RIGHT(I734,4))-VALUE(RIGHT(E734,4)))*12+(VALUE(LEFT(I734,2))-VALUE(LEFT(E734,2))),""),"")</f>
        <v/>
      </c>
    </row>
    <row r="735">
      <c r="A735" t="inlineStr">
        <is>
          <t>MELO GUTIERREZ MIGUEL ENRIQUE</t>
        </is>
      </c>
      <c r="B735" t="inlineStr">
        <is>
          <t>Hombre</t>
        </is>
      </c>
      <c r="C735" t="inlineStr">
        <is>
          <t>5304AF</t>
        </is>
      </c>
      <c r="D735" t="inlineStr">
        <is>
          <t>CDMX Y AREA METROPOLITANA</t>
        </is>
      </c>
      <c r="E735" t="inlineStr">
        <is>
          <t>07-2025</t>
        </is>
      </c>
      <c r="F735" t="inlineStr">
        <is>
          <t>10-2025</t>
        </is>
      </c>
      <c r="G735" t="n">
        <v>3</v>
      </c>
      <c r="H735" t="inlineStr">
        <is>
          <t>Pendiente</t>
        </is>
      </c>
      <c r="J735" t="inlineStr">
        <is>
          <t>47G747</t>
        </is>
      </c>
      <c r="K735" t="inlineStr">
        <is>
          <t>BYD MINIDOLPHIN</t>
        </is>
      </c>
      <c r="L735" t="inlineStr">
        <is>
          <t>DIDI</t>
        </is>
      </c>
      <c r="M735" s="3">
        <f>IF(H735="Efectivo",IFERROR((VALUE(RIGHT(I735,4))-VALUE(RIGHT(E735,4)))*12+(VALUE(LEFT(I735,2))-VALUE(LEFT(E735,2))),""),"")</f>
        <v/>
      </c>
    </row>
    <row r="736">
      <c r="A736" t="inlineStr">
        <is>
          <t>MENDEZ ALDERETE SERGIO</t>
        </is>
      </c>
      <c r="B736" t="inlineStr">
        <is>
          <t>Hombre</t>
        </is>
      </c>
      <c r="C736" t="inlineStr">
        <is>
          <t>3990AF</t>
        </is>
      </c>
      <c r="D736" t="inlineStr">
        <is>
          <t>CDMX Y AREA METROPOLITANA</t>
        </is>
      </c>
      <c r="E736" t="inlineStr">
        <is>
          <t>11-2024</t>
        </is>
      </c>
      <c r="F736" t="inlineStr">
        <is>
          <t>04-2025</t>
        </is>
      </c>
      <c r="G736" t="n">
        <v>5</v>
      </c>
      <c r="H736" t="inlineStr">
        <is>
          <t>Efectivo</t>
        </is>
      </c>
      <c r="I736" t="inlineStr">
        <is>
          <t>04-2025</t>
        </is>
      </c>
      <c r="J736" t="inlineStr">
        <is>
          <t>13G744</t>
        </is>
      </c>
      <c r="K736" t="inlineStr">
        <is>
          <t>BYD D1</t>
        </is>
      </c>
      <c r="L736" t="inlineStr">
        <is>
          <t>DIDI</t>
        </is>
      </c>
      <c r="M736" s="3">
        <f>IF(H736="Efectivo",IFERROR((VALUE(RIGHT(I736,4))-VALUE(RIGHT(E736,4)))*12+(VALUE(LEFT(I736,2))-VALUE(LEFT(E736,2))),""),"")</f>
        <v/>
      </c>
    </row>
    <row r="737">
      <c r="A737" t="inlineStr">
        <is>
          <t>MENDEZ GONZALEZ GARZA MAURICIO MOISES</t>
        </is>
      </c>
      <c r="B737" t="inlineStr">
        <is>
          <t>Hombre</t>
        </is>
      </c>
      <c r="C737" t="inlineStr">
        <is>
          <t>3499AF</t>
        </is>
      </c>
      <c r="D737" t="inlineStr">
        <is>
          <t>CDMX Y AREA METROPOLITANA</t>
        </is>
      </c>
      <c r="E737" t="inlineStr">
        <is>
          <t>07-2024</t>
        </is>
      </c>
      <c r="F737" t="inlineStr">
        <is>
          <t>01-2025</t>
        </is>
      </c>
      <c r="G737" t="n">
        <v>6</v>
      </c>
      <c r="H737" t="inlineStr">
        <is>
          <t>Efectivo</t>
        </is>
      </c>
      <c r="I737" t="inlineStr">
        <is>
          <t>01-2025</t>
        </is>
      </c>
      <c r="J737" t="inlineStr">
        <is>
          <t>89F734</t>
        </is>
      </c>
      <c r="K737" t="inlineStr">
        <is>
          <t>BYD D1</t>
        </is>
      </c>
      <c r="L737" t="inlineStr">
        <is>
          <t>UBER</t>
        </is>
      </c>
      <c r="M737" s="3">
        <f>IF(H737="Efectivo",IFERROR((VALUE(RIGHT(I737,4))-VALUE(RIGHT(E737,4)))*12+(VALUE(LEFT(I737,2))-VALUE(LEFT(E737,2))),""),"")</f>
        <v/>
      </c>
    </row>
    <row r="738">
      <c r="A738" t="inlineStr">
        <is>
          <t>MENDEZ LOPEZ JESUS</t>
        </is>
      </c>
      <c r="B738" t="inlineStr">
        <is>
          <t>Hombre</t>
        </is>
      </c>
      <c r="C738" t="inlineStr">
        <is>
          <t>6355AF</t>
        </is>
      </c>
      <c r="D738" t="inlineStr">
        <is>
          <t>CDMX Y AREA METROPOLITANA</t>
        </is>
      </c>
      <c r="E738" t="inlineStr">
        <is>
          <t>12-2025</t>
        </is>
      </c>
      <c r="F738" t="inlineStr">
        <is>
          <t>05-2026</t>
        </is>
      </c>
      <c r="G738" t="n">
        <v>5</v>
      </c>
      <c r="H738" t="inlineStr">
        <is>
          <t>Pendiente</t>
        </is>
      </c>
      <c r="J738" t="inlineStr">
        <is>
          <t>51G662</t>
        </is>
      </c>
      <c r="K738" t="inlineStr">
        <is>
          <t>GAC AION S</t>
        </is>
      </c>
      <c r="L738" t="inlineStr">
        <is>
          <t>UBER</t>
        </is>
      </c>
      <c r="M738" s="3">
        <f>IF(H738="Efectivo",IFERROR((VALUE(RIGHT(I738,4))-VALUE(RIGHT(E738,4)))*12+(VALUE(LEFT(I738,2))-VALUE(LEFT(E738,2))),""),"")</f>
        <v/>
      </c>
    </row>
    <row r="739">
      <c r="A739" t="inlineStr">
        <is>
          <t>MENDEZ MERCADO MARIO</t>
        </is>
      </c>
      <c r="B739" t="inlineStr">
        <is>
          <t>Hombre</t>
        </is>
      </c>
      <c r="C739" t="inlineStr">
        <is>
          <t>4634AF</t>
        </is>
      </c>
      <c r="D739" t="inlineStr">
        <is>
          <t>CDMX Y AREA METROPOLITANA</t>
        </is>
      </c>
      <c r="E739" t="inlineStr">
        <is>
          <t>04-2025</t>
        </is>
      </c>
      <c r="F739" t="inlineStr">
        <is>
          <t>10-2025</t>
        </is>
      </c>
      <c r="G739" t="n">
        <v>6</v>
      </c>
      <c r="H739" t="inlineStr">
        <is>
          <t>Efectivo</t>
        </is>
      </c>
      <c r="I739" t="inlineStr">
        <is>
          <t>10-2025</t>
        </is>
      </c>
      <c r="J739" t="inlineStr">
        <is>
          <t>Y69BNL</t>
        </is>
      </c>
      <c r="K739" t="inlineStr">
        <is>
          <t>CHEVROLET AVEO</t>
        </is>
      </c>
      <c r="L739" t="inlineStr">
        <is>
          <t>UBER</t>
        </is>
      </c>
      <c r="M739" s="3">
        <f>IF(H739="Efectivo",IFERROR((VALUE(RIGHT(I739,4))-VALUE(RIGHT(E739,4)))*12+(VALUE(LEFT(I739,2))-VALUE(LEFT(E739,2))),""),"")</f>
        <v/>
      </c>
    </row>
    <row r="740">
      <c r="A740" t="inlineStr">
        <is>
          <t>MENDEZ RAMIREZ ISRAEL</t>
        </is>
      </c>
      <c r="B740" t="inlineStr">
        <is>
          <t>Hombre</t>
        </is>
      </c>
      <c r="C740" t="inlineStr">
        <is>
          <t>4183AF</t>
        </is>
      </c>
      <c r="D740" t="inlineStr">
        <is>
          <t>CDMX Y AREA METROPOLITANA</t>
        </is>
      </c>
      <c r="E740" t="inlineStr">
        <is>
          <t>01-2025</t>
        </is>
      </c>
      <c r="F740" t="inlineStr">
        <is>
          <t>06-2025</t>
        </is>
      </c>
      <c r="G740" t="n">
        <v>5</v>
      </c>
      <c r="H740" t="inlineStr">
        <is>
          <t>Efectivo</t>
        </is>
      </c>
      <c r="I740" t="inlineStr">
        <is>
          <t>07-2025</t>
        </is>
      </c>
      <c r="J740" t="inlineStr">
        <is>
          <t>19G436</t>
        </is>
      </c>
      <c r="K740" t="inlineStr">
        <is>
          <t>BYD D1</t>
        </is>
      </c>
      <c r="L740" t="inlineStr">
        <is>
          <t>DIDI</t>
        </is>
      </c>
      <c r="M740" s="3">
        <f>IF(H740="Efectivo",IFERROR((VALUE(RIGHT(I740,4))-VALUE(RIGHT(E740,4)))*12+(VALUE(LEFT(I740,2))-VALUE(LEFT(E740,2))),""),"")</f>
        <v/>
      </c>
    </row>
    <row r="741">
      <c r="A741" t="inlineStr">
        <is>
          <t>MENDEZ REYES RUBIEL</t>
        </is>
      </c>
      <c r="B741" t="inlineStr">
        <is>
          <t>Hombre</t>
        </is>
      </c>
      <c r="C741" t="inlineStr">
        <is>
          <t>4286AF</t>
        </is>
      </c>
      <c r="D741" t="inlineStr">
        <is>
          <t>JALISCO</t>
        </is>
      </c>
      <c r="E741" t="inlineStr">
        <is>
          <t>02-2025</t>
        </is>
      </c>
      <c r="F741" t="inlineStr">
        <is>
          <t>09-2025</t>
        </is>
      </c>
      <c r="G741" t="n">
        <v>7</v>
      </c>
      <c r="H741" t="inlineStr">
        <is>
          <t>Efectivo</t>
        </is>
      </c>
      <c r="I741" t="inlineStr">
        <is>
          <t>09-2025</t>
        </is>
      </c>
      <c r="J741" t="inlineStr">
        <is>
          <t>HZT608A</t>
        </is>
      </c>
      <c r="K741" t="inlineStr">
        <is>
          <t>CHEVROLET AVEO</t>
        </is>
      </c>
      <c r="L741" t="inlineStr">
        <is>
          <t>UBER</t>
        </is>
      </c>
      <c r="M741" s="3">
        <f>IF(H741="Efectivo",IFERROR((VALUE(RIGHT(I741,4))-VALUE(RIGHT(E741,4)))*12+(VALUE(LEFT(I741,2))-VALUE(LEFT(E741,2))),""),"")</f>
        <v/>
      </c>
    </row>
    <row r="742">
      <c r="A742" t="inlineStr">
        <is>
          <t>MENDEZ RIVERA OSMAR</t>
        </is>
      </c>
      <c r="B742" t="inlineStr">
        <is>
          <t>Hombre</t>
        </is>
      </c>
      <c r="C742" t="inlineStr">
        <is>
          <t>4607AF</t>
        </is>
      </c>
      <c r="D742" t="inlineStr">
        <is>
          <t>CDMX Y AREA METROPOLITANA</t>
        </is>
      </c>
      <c r="E742" t="inlineStr">
        <is>
          <t>04-2025</t>
        </is>
      </c>
      <c r="F742" t="inlineStr">
        <is>
          <t>10-2025</t>
        </is>
      </c>
      <c r="G742" t="n">
        <v>6</v>
      </c>
      <c r="H742" t="inlineStr">
        <is>
          <t>Pendiente</t>
        </is>
      </c>
      <c r="J742" t="inlineStr">
        <is>
          <t>39G864</t>
        </is>
      </c>
      <c r="K742" t="inlineStr">
        <is>
          <t>GAC AION S</t>
        </is>
      </c>
      <c r="L742" t="inlineStr">
        <is>
          <t>UBER</t>
        </is>
      </c>
      <c r="M742" s="3">
        <f>IF(H742="Efectivo",IFERROR((VALUE(RIGHT(I742,4))-VALUE(RIGHT(E742,4)))*12+(VALUE(LEFT(I742,2))-VALUE(LEFT(E742,2))),""),"")</f>
        <v/>
      </c>
    </row>
    <row r="743">
      <c r="A743" t="inlineStr">
        <is>
          <t>MENDIETA PAEZ JOSE ROBERTO</t>
        </is>
      </c>
      <c r="B743" t="inlineStr">
        <is>
          <t>Hombre</t>
        </is>
      </c>
      <c r="C743" t="inlineStr">
        <is>
          <t>5782AF</t>
        </is>
      </c>
      <c r="D743" t="inlineStr">
        <is>
          <t>CDMX Y AREA METROPOLITANA</t>
        </is>
      </c>
      <c r="E743" t="inlineStr">
        <is>
          <t>09-2025</t>
        </is>
      </c>
      <c r="F743" t="inlineStr">
        <is>
          <t>01-2026</t>
        </is>
      </c>
      <c r="G743" t="n">
        <v>3</v>
      </c>
      <c r="H743" t="inlineStr">
        <is>
          <t>Efectivo</t>
        </is>
      </c>
      <c r="I743" t="inlineStr">
        <is>
          <t>01-2026</t>
        </is>
      </c>
      <c r="J743" t="inlineStr">
        <is>
          <t>09K938</t>
        </is>
      </c>
      <c r="K743" t="inlineStr">
        <is>
          <t>GAC AION S</t>
        </is>
      </c>
      <c r="L743" t="inlineStr">
        <is>
          <t>UBER</t>
        </is>
      </c>
      <c r="M743" s="3">
        <f>IF(H743="Efectivo",IFERROR((VALUE(RIGHT(I743,4))-VALUE(RIGHT(E743,4)))*12+(VALUE(LEFT(I743,2))-VALUE(LEFT(E743,2))),""),"")</f>
        <v/>
      </c>
    </row>
    <row r="744">
      <c r="A744" t="inlineStr">
        <is>
          <t>MENDOZA ARENAS JESUS</t>
        </is>
      </c>
      <c r="B744" t="inlineStr">
        <is>
          <t>Hombre</t>
        </is>
      </c>
      <c r="C744" t="inlineStr">
        <is>
          <t>4243AF</t>
        </is>
      </c>
      <c r="D744" t="inlineStr">
        <is>
          <t>CDMX Y AREA METROPOLITANA</t>
        </is>
      </c>
      <c r="E744" t="inlineStr">
        <is>
          <t>01-2025</t>
        </is>
      </c>
      <c r="F744" t="inlineStr">
        <is>
          <t>02-2026</t>
        </is>
      </c>
      <c r="G744" t="n">
        <v>12</v>
      </c>
      <c r="H744" t="inlineStr">
        <is>
          <t>Efectivo</t>
        </is>
      </c>
      <c r="I744" t="inlineStr">
        <is>
          <t>03-2026</t>
        </is>
      </c>
      <c r="J744" t="inlineStr">
        <is>
          <t>27G593</t>
        </is>
      </c>
      <c r="K744" t="inlineStr">
        <is>
          <t>BYD MINIDOLPHIN</t>
        </is>
      </c>
      <c r="L744" t="inlineStr">
        <is>
          <t>UBER</t>
        </is>
      </c>
      <c r="M744" s="3">
        <f>IF(H744="Efectivo",IFERROR((VALUE(RIGHT(I744,4))-VALUE(RIGHT(E744,4)))*12+(VALUE(LEFT(I744,2))-VALUE(LEFT(E744,2))),""),"")</f>
        <v/>
      </c>
    </row>
    <row r="745">
      <c r="A745" t="inlineStr">
        <is>
          <t>MENDOZA COBOS JOSE ENRIQUE</t>
        </is>
      </c>
      <c r="B745" t="inlineStr">
        <is>
          <t>Hombre</t>
        </is>
      </c>
      <c r="C745" t="inlineStr">
        <is>
          <t>6653AF</t>
        </is>
      </c>
      <c r="D745" t="inlineStr">
        <is>
          <t>BAJA CALIFORNIA</t>
        </is>
      </c>
      <c r="E745" t="inlineStr">
        <is>
          <t>08-2025</t>
        </is>
      </c>
      <c r="F745" t="inlineStr">
        <is>
          <t>05-2026</t>
        </is>
      </c>
      <c r="G745" t="n">
        <v>9</v>
      </c>
      <c r="H745" t="inlineStr">
        <is>
          <t>Pendiente</t>
        </is>
      </c>
      <c r="J745" t="inlineStr">
        <is>
          <t>CBL052A</t>
        </is>
      </c>
      <c r="K745" t="inlineStr">
        <is>
          <t>CHEVROLET AVEO</t>
        </is>
      </c>
      <c r="L745" t="inlineStr">
        <is>
          <t>DIDI</t>
        </is>
      </c>
      <c r="M745" s="3">
        <f>IF(H745="Efectivo",IFERROR((VALUE(RIGHT(I745,4))-VALUE(RIGHT(E745,4)))*12+(VALUE(LEFT(I745,2))-VALUE(LEFT(E745,2))),""),"")</f>
        <v/>
      </c>
    </row>
    <row r="746">
      <c r="A746" t="inlineStr">
        <is>
          <t>MENDOZA JUAREZ SAUL</t>
        </is>
      </c>
      <c r="B746" t="inlineStr">
        <is>
          <t>Hombre</t>
        </is>
      </c>
      <c r="C746" t="inlineStr">
        <is>
          <t>2711AF</t>
        </is>
      </c>
      <c r="D746" t="inlineStr">
        <is>
          <t>QUERETARO</t>
        </is>
      </c>
      <c r="E746" t="inlineStr">
        <is>
          <t>08-2023</t>
        </is>
      </c>
      <c r="F746" t="inlineStr">
        <is>
          <t>06-2025</t>
        </is>
      </c>
      <c r="G746" t="n">
        <v>22</v>
      </c>
      <c r="H746" t="inlineStr">
        <is>
          <t>Efectivo</t>
        </is>
      </c>
      <c r="I746" t="inlineStr">
        <is>
          <t>07-2025</t>
        </is>
      </c>
      <c r="J746" t="inlineStr">
        <is>
          <t>ULK414H</t>
        </is>
      </c>
      <c r="K746" t="inlineStr">
        <is>
          <t>CHEVROLET AVEO</t>
        </is>
      </c>
      <c r="L746" t="inlineStr">
        <is>
          <t>UBER</t>
        </is>
      </c>
      <c r="M746" s="3">
        <f>IF(H746="Efectivo",IFERROR((VALUE(RIGHT(I746,4))-VALUE(RIGHT(E746,4)))*12+(VALUE(LEFT(I746,2))-VALUE(LEFT(E746,2))),""),"")</f>
        <v/>
      </c>
    </row>
    <row r="747">
      <c r="A747" t="inlineStr">
        <is>
          <t>MENDOZA MARBAN MARCO ANTONIO</t>
        </is>
      </c>
      <c r="B747" t="inlineStr">
        <is>
          <t>Hombre</t>
        </is>
      </c>
      <c r="C747" t="inlineStr">
        <is>
          <t>6488AF</t>
        </is>
      </c>
      <c r="D747" t="inlineStr">
        <is>
          <t>CDMX Y AREA METROPOLITANA</t>
        </is>
      </c>
      <c r="E747" t="inlineStr">
        <is>
          <t>12-2025</t>
        </is>
      </c>
      <c r="F747" t="inlineStr">
        <is>
          <t>02-2026</t>
        </is>
      </c>
      <c r="G747" t="n">
        <v>2</v>
      </c>
      <c r="H747" t="inlineStr">
        <is>
          <t>Efectivo</t>
        </is>
      </c>
      <c r="I747" t="inlineStr">
        <is>
          <t>02-2026</t>
        </is>
      </c>
      <c r="J747" t="inlineStr">
        <is>
          <t>62G278</t>
        </is>
      </c>
      <c r="K747" t="inlineStr">
        <is>
          <t>BYD E5</t>
        </is>
      </c>
      <c r="L747" t="inlineStr">
        <is>
          <t>UBER</t>
        </is>
      </c>
      <c r="M747" s="3">
        <f>IF(H747="Efectivo",IFERROR((VALUE(RIGHT(I747,4))-VALUE(RIGHT(E747,4)))*12+(VALUE(LEFT(I747,2))-VALUE(LEFT(E747,2))),""),"")</f>
        <v/>
      </c>
    </row>
    <row r="748">
      <c r="A748" t="inlineStr">
        <is>
          <t>MENDOZA NAÑEZ CESAR EVERARDO</t>
        </is>
      </c>
      <c r="B748" t="inlineStr">
        <is>
          <t>Hombre</t>
        </is>
      </c>
      <c r="C748" t="inlineStr">
        <is>
          <t>5387AF</t>
        </is>
      </c>
      <c r="D748" t="inlineStr">
        <is>
          <t>NUEVO LEON</t>
        </is>
      </c>
      <c r="E748" t="inlineStr">
        <is>
          <t>07-2025</t>
        </is>
      </c>
      <c r="F748" t="inlineStr">
        <is>
          <t>09-2025</t>
        </is>
      </c>
      <c r="G748" t="n">
        <v>2</v>
      </c>
      <c r="H748" t="inlineStr">
        <is>
          <t>Pendiente</t>
        </is>
      </c>
      <c r="J748" t="inlineStr">
        <is>
          <t>RVX609C</t>
        </is>
      </c>
      <c r="K748" t="inlineStr">
        <is>
          <t>CHEVROLET AVEO</t>
        </is>
      </c>
      <c r="L748" t="inlineStr">
        <is>
          <t>DIDI</t>
        </is>
      </c>
      <c r="M748" s="3">
        <f>IF(H748="Efectivo",IFERROR((VALUE(RIGHT(I748,4))-VALUE(RIGHT(E748,4)))*12+(VALUE(LEFT(I748,2))-VALUE(LEFT(E748,2))),""),"")</f>
        <v/>
      </c>
    </row>
    <row r="749">
      <c r="A749" t="inlineStr">
        <is>
          <t>MENDOZA RUIZ JESUS EMILIANO</t>
        </is>
      </c>
      <c r="B749" t="inlineStr">
        <is>
          <t>Hombre</t>
        </is>
      </c>
      <c r="C749" t="inlineStr">
        <is>
          <t>6735AF</t>
        </is>
      </c>
      <c r="D749" t="inlineStr">
        <is>
          <t>CDMX Y AREA METROPOLITANA</t>
        </is>
      </c>
      <c r="E749" t="inlineStr">
        <is>
          <t>01-2026</t>
        </is>
      </c>
      <c r="F749" t="inlineStr">
        <is>
          <t>04-2026</t>
        </is>
      </c>
      <c r="G749" t="n">
        <v>3</v>
      </c>
      <c r="H749" t="inlineStr">
        <is>
          <t>Efectivo</t>
        </is>
      </c>
      <c r="I749" t="inlineStr">
        <is>
          <t>04-2026</t>
        </is>
      </c>
      <c r="J749" t="inlineStr">
        <is>
          <t>51G511</t>
        </is>
      </c>
      <c r="K749" t="inlineStr">
        <is>
          <t>GAC AION S</t>
        </is>
      </c>
      <c r="L749" t="inlineStr">
        <is>
          <t>UBER</t>
        </is>
      </c>
      <c r="M749" s="3">
        <f>IF(H749="Efectivo",IFERROR((VALUE(RIGHT(I749,4))-VALUE(RIGHT(E749,4)))*12+(VALUE(LEFT(I749,2))-VALUE(LEFT(E749,2))),""),"")</f>
        <v/>
      </c>
    </row>
    <row r="750">
      <c r="A750" t="inlineStr">
        <is>
          <t>MENDOZA TREJO JUAN ANTONIO</t>
        </is>
      </c>
      <c r="B750" t="inlineStr">
        <is>
          <t>Hombre</t>
        </is>
      </c>
      <c r="C750" t="inlineStr">
        <is>
          <t>4810AF</t>
        </is>
      </c>
      <c r="D750" t="inlineStr">
        <is>
          <t>CDMX Y AREA METROPOLITANA</t>
        </is>
      </c>
      <c r="E750" t="inlineStr">
        <is>
          <t>05-2025</t>
        </is>
      </c>
      <c r="F750" t="inlineStr">
        <is>
          <t>07-2025</t>
        </is>
      </c>
      <c r="G750" t="n">
        <v>2</v>
      </c>
      <c r="H750" t="inlineStr">
        <is>
          <t>Efectivo</t>
        </is>
      </c>
      <c r="I750" t="inlineStr">
        <is>
          <t>07-2025</t>
        </is>
      </c>
      <c r="J750" t="inlineStr">
        <is>
          <t>13G810</t>
        </is>
      </c>
      <c r="K750" t="inlineStr">
        <is>
          <t>BYD D1</t>
        </is>
      </c>
      <c r="L750" t="inlineStr">
        <is>
          <t>DIDI</t>
        </is>
      </c>
      <c r="M750" s="3">
        <f>IF(H750="Efectivo",IFERROR((VALUE(RIGHT(I750,4))-VALUE(RIGHT(E750,4)))*12+(VALUE(LEFT(I750,2))-VALUE(LEFT(E750,2))),""),"")</f>
        <v/>
      </c>
    </row>
    <row r="751">
      <c r="A751" t="inlineStr">
        <is>
          <t>MENESES CORTES ALFREDO GERMAN</t>
        </is>
      </c>
      <c r="B751" t="inlineStr">
        <is>
          <t>Hombre</t>
        </is>
      </c>
      <c r="C751" t="inlineStr">
        <is>
          <t>3372AF</t>
        </is>
      </c>
      <c r="D751" t="inlineStr">
        <is>
          <t>CDMX Y AREA METROPOLITANA</t>
        </is>
      </c>
      <c r="E751" t="inlineStr">
        <is>
          <t>06-2024</t>
        </is>
      </c>
      <c r="F751" t="inlineStr">
        <is>
          <t>05-2025</t>
        </is>
      </c>
      <c r="G751" t="n">
        <v>11</v>
      </c>
      <c r="H751" t="inlineStr">
        <is>
          <t>Efectivo</t>
        </is>
      </c>
      <c r="I751" t="inlineStr">
        <is>
          <t>05-2025</t>
        </is>
      </c>
      <c r="J751" t="inlineStr">
        <is>
          <t>B58BPD</t>
        </is>
      </c>
      <c r="K751" t="inlineStr">
        <is>
          <t>CHEVROLET AVEO</t>
        </is>
      </c>
      <c r="L751" t="inlineStr">
        <is>
          <t>UBER</t>
        </is>
      </c>
      <c r="M751" s="3">
        <f>IF(H751="Efectivo",IFERROR((VALUE(RIGHT(I751,4))-VALUE(RIGHT(E751,4)))*12+(VALUE(LEFT(I751,2))-VALUE(LEFT(E751,2))),""),"")</f>
        <v/>
      </c>
    </row>
    <row r="752">
      <c r="A752" t="inlineStr">
        <is>
          <t>MENESES GRACIA ALFONSO</t>
        </is>
      </c>
      <c r="B752" t="inlineStr">
        <is>
          <t>Hombre</t>
        </is>
      </c>
      <c r="C752" t="inlineStr">
        <is>
          <t>2510AF</t>
        </is>
      </c>
      <c r="D752" t="inlineStr">
        <is>
          <t>QUERETARO</t>
        </is>
      </c>
      <c r="E752" t="inlineStr">
        <is>
          <t>04-2023</t>
        </is>
      </c>
      <c r="F752" t="inlineStr">
        <is>
          <t>07-2025</t>
        </is>
      </c>
      <c r="G752" t="n">
        <v>27</v>
      </c>
      <c r="H752" t="inlineStr">
        <is>
          <t>Efectivo</t>
        </is>
      </c>
      <c r="I752" t="inlineStr">
        <is>
          <t>07-2025</t>
        </is>
      </c>
      <c r="J752" t="inlineStr">
        <is>
          <t>UPT741H</t>
        </is>
      </c>
      <c r="K752" t="inlineStr">
        <is>
          <t>ATTITUDE</t>
        </is>
      </c>
      <c r="L752" t="inlineStr">
        <is>
          <t>UBER</t>
        </is>
      </c>
      <c r="M752" s="3">
        <f>IF(H752="Efectivo",IFERROR((VALUE(RIGHT(I752,4))-VALUE(RIGHT(E752,4)))*12+(VALUE(LEFT(I752,2))-VALUE(LEFT(E752,2))),""),"")</f>
        <v/>
      </c>
    </row>
    <row r="753">
      <c r="A753" t="inlineStr">
        <is>
          <t>MENESES JIMENEZ JUAN CARLOS</t>
        </is>
      </c>
      <c r="B753" t="inlineStr">
        <is>
          <t>Hombre</t>
        </is>
      </c>
      <c r="C753" t="inlineStr">
        <is>
          <t>4739AF</t>
        </is>
      </c>
      <c r="D753" t="inlineStr">
        <is>
          <t>CDMX Y AREA METROPOLITANA</t>
        </is>
      </c>
      <c r="E753" t="inlineStr">
        <is>
          <t>04-2025</t>
        </is>
      </c>
      <c r="F753" t="inlineStr">
        <is>
          <t>05-2026</t>
        </is>
      </c>
      <c r="G753" t="n">
        <v>12</v>
      </c>
      <c r="H753" t="inlineStr">
        <is>
          <t>Efectivo</t>
        </is>
      </c>
      <c r="I753" t="inlineStr">
        <is>
          <t>05-2026</t>
        </is>
      </c>
      <c r="J753" t="inlineStr">
        <is>
          <t>38G340</t>
        </is>
      </c>
      <c r="K753" t="inlineStr">
        <is>
          <t>GAC AION S</t>
        </is>
      </c>
      <c r="L753" t="inlineStr">
        <is>
          <t>UBER</t>
        </is>
      </c>
      <c r="M753" s="3">
        <f>IF(H753="Efectivo",IFERROR((VALUE(RIGHT(I753,4))-VALUE(RIGHT(E753,4)))*12+(VALUE(LEFT(I753,2))-VALUE(LEFT(E753,2))),""),"")</f>
        <v/>
      </c>
    </row>
    <row r="754">
      <c r="A754" t="inlineStr">
        <is>
          <t>MERINO GARCIA JOSE ALFREDO</t>
        </is>
      </c>
      <c r="B754" t="inlineStr">
        <is>
          <t>Hombre</t>
        </is>
      </c>
      <c r="C754" t="inlineStr">
        <is>
          <t>4310AF</t>
        </is>
      </c>
      <c r="D754" t="inlineStr">
        <is>
          <t>CDMX Y AREA METROPOLITANA</t>
        </is>
      </c>
      <c r="E754" t="inlineStr">
        <is>
          <t>02-2025</t>
        </is>
      </c>
      <c r="F754" t="inlineStr">
        <is>
          <t>04-2025</t>
        </is>
      </c>
      <c r="G754" t="n">
        <v>3</v>
      </c>
      <c r="H754" t="inlineStr">
        <is>
          <t>Efectivo</t>
        </is>
      </c>
      <c r="I754" t="inlineStr">
        <is>
          <t>05-2025</t>
        </is>
      </c>
      <c r="J754" t="inlineStr">
        <is>
          <t>F85BRJ</t>
        </is>
      </c>
      <c r="K754" t="inlineStr">
        <is>
          <t>CHEVROLET AVEO</t>
        </is>
      </c>
      <c r="L754" t="inlineStr">
        <is>
          <t>UBER</t>
        </is>
      </c>
      <c r="M754" s="3">
        <f>IF(H754="Efectivo",IFERROR((VALUE(RIGHT(I754,4))-VALUE(RIGHT(E754,4)))*12+(VALUE(LEFT(I754,2))-VALUE(LEFT(E754,2))),""),"")</f>
        <v/>
      </c>
    </row>
    <row r="755">
      <c r="A755" t="inlineStr">
        <is>
          <t>MERINOS PORTILLO ELEUTERIO</t>
        </is>
      </c>
      <c r="B755" t="inlineStr">
        <is>
          <t>Hombre</t>
        </is>
      </c>
      <c r="C755" t="inlineStr">
        <is>
          <t>4672AF</t>
        </is>
      </c>
      <c r="D755" t="inlineStr">
        <is>
          <t>CDMX Y AREA METROPOLITANA</t>
        </is>
      </c>
      <c r="E755" t="inlineStr">
        <is>
          <t>04-2025</t>
        </is>
      </c>
      <c r="F755" t="inlineStr">
        <is>
          <t>08-2025</t>
        </is>
      </c>
      <c r="G755" t="n">
        <v>4</v>
      </c>
      <c r="H755" t="inlineStr">
        <is>
          <t>Efectivo</t>
        </is>
      </c>
      <c r="I755" t="inlineStr">
        <is>
          <t>08-2025</t>
        </is>
      </c>
      <c r="J755" t="inlineStr">
        <is>
          <t>47G479</t>
        </is>
      </c>
      <c r="K755" t="inlineStr">
        <is>
          <t>BYD MINIDOLPHIN</t>
        </is>
      </c>
      <c r="L755" t="inlineStr">
        <is>
          <t>UBER</t>
        </is>
      </c>
      <c r="M755" s="3">
        <f>IF(H755="Efectivo",IFERROR((VALUE(RIGHT(I755,4))-VALUE(RIGHT(E755,4)))*12+(VALUE(LEFT(I755,2))-VALUE(LEFT(E755,2))),""),"")</f>
        <v/>
      </c>
    </row>
    <row r="756">
      <c r="A756" t="inlineStr">
        <is>
          <t>MEZA AVILA CARLOS ANTONIO</t>
        </is>
      </c>
      <c r="B756" t="inlineStr">
        <is>
          <t>Hombre</t>
        </is>
      </c>
      <c r="C756" t="inlineStr">
        <is>
          <t>4574AF</t>
        </is>
      </c>
      <c r="D756" t="inlineStr">
        <is>
          <t>BAJA CALIFORNIA</t>
        </is>
      </c>
      <c r="E756" t="inlineStr">
        <is>
          <t>04-2025</t>
        </is>
      </c>
      <c r="F756" t="inlineStr">
        <is>
          <t>08-2025</t>
        </is>
      </c>
      <c r="G756" t="n">
        <v>5</v>
      </c>
      <c r="H756" t="inlineStr">
        <is>
          <t>Pendiente</t>
        </is>
      </c>
      <c r="J756" t="inlineStr">
        <is>
          <t>BWX670A</t>
        </is>
      </c>
      <c r="K756" t="inlineStr">
        <is>
          <t>CHEVROLET AVEO</t>
        </is>
      </c>
      <c r="L756" t="inlineStr">
        <is>
          <t>UBER</t>
        </is>
      </c>
      <c r="M756" s="3">
        <f>IF(H756="Efectivo",IFERROR((VALUE(RIGHT(I756,4))-VALUE(RIGHT(E756,4)))*12+(VALUE(LEFT(I756,2))-VALUE(LEFT(E756,2))),""),"")</f>
        <v/>
      </c>
    </row>
    <row r="757">
      <c r="A757" t="inlineStr">
        <is>
          <t>MEZA PACHECO JULIAN</t>
        </is>
      </c>
      <c r="B757" t="inlineStr">
        <is>
          <t>Hombre</t>
        </is>
      </c>
      <c r="C757" t="inlineStr">
        <is>
          <t>6849AF</t>
        </is>
      </c>
      <c r="D757" t="inlineStr">
        <is>
          <t>NUEVO LEON</t>
        </is>
      </c>
      <c r="E757" t="inlineStr">
        <is>
          <t>01-2026</t>
        </is>
      </c>
      <c r="F757" t="inlineStr">
        <is>
          <t>03-2026</t>
        </is>
      </c>
      <c r="G757" t="n">
        <v>2</v>
      </c>
      <c r="H757" t="inlineStr">
        <is>
          <t>Efectivo</t>
        </is>
      </c>
      <c r="I757" t="inlineStr">
        <is>
          <t>04-2026</t>
        </is>
      </c>
      <c r="J757" t="inlineStr">
        <is>
          <t>RZB020C</t>
        </is>
      </c>
      <c r="K757" t="inlineStr">
        <is>
          <t>CHEVROLET AVEO</t>
        </is>
      </c>
      <c r="L757" t="inlineStr">
        <is>
          <t>DIDI</t>
        </is>
      </c>
      <c r="M757" s="3">
        <f>IF(H757="Efectivo",IFERROR((VALUE(RIGHT(I757,4))-VALUE(RIGHT(E757,4)))*12+(VALUE(LEFT(I757,2))-VALUE(LEFT(E757,2))),""),"")</f>
        <v/>
      </c>
    </row>
    <row r="758">
      <c r="A758" t="inlineStr">
        <is>
          <t>MILLAN MORALES RICARDO</t>
        </is>
      </c>
      <c r="B758" t="inlineStr">
        <is>
          <t>Hombre</t>
        </is>
      </c>
      <c r="C758" t="inlineStr">
        <is>
          <t>3774AF</t>
        </is>
      </c>
      <c r="D758" t="inlineStr">
        <is>
          <t>CDMX Y AREA METROPOLITANA</t>
        </is>
      </c>
      <c r="E758" t="inlineStr">
        <is>
          <t>09-2024</t>
        </is>
      </c>
      <c r="F758" t="inlineStr">
        <is>
          <t>04-2025</t>
        </is>
      </c>
      <c r="G758" t="n">
        <v>7</v>
      </c>
      <c r="H758" t="inlineStr">
        <is>
          <t>Efectivo</t>
        </is>
      </c>
      <c r="I758" t="inlineStr">
        <is>
          <t>05-2025</t>
        </is>
      </c>
      <c r="J758" t="inlineStr">
        <is>
          <t>08G198</t>
        </is>
      </c>
      <c r="K758" t="inlineStr">
        <is>
          <t>BYD D1</t>
        </is>
      </c>
      <c r="L758" t="inlineStr">
        <is>
          <t>UBER</t>
        </is>
      </c>
      <c r="M758" s="3">
        <f>IF(H758="Efectivo",IFERROR((VALUE(RIGHT(I758,4))-VALUE(RIGHT(E758,4)))*12+(VALUE(LEFT(I758,2))-VALUE(LEFT(E758,2))),""),"")</f>
        <v/>
      </c>
    </row>
    <row r="759">
      <c r="A759" t="inlineStr">
        <is>
          <t>MIRANDA VALENCIA LUIS DANIEL</t>
        </is>
      </c>
      <c r="B759" t="inlineStr">
        <is>
          <t>Hombre</t>
        </is>
      </c>
      <c r="C759" t="inlineStr">
        <is>
          <t>5571AF</t>
        </is>
      </c>
      <c r="D759" t="inlineStr">
        <is>
          <t>CDMX Y AREA METROPOLITANA</t>
        </is>
      </c>
      <c r="E759" t="inlineStr">
        <is>
          <t>08-2025</t>
        </is>
      </c>
      <c r="F759" t="inlineStr">
        <is>
          <t>11-2025</t>
        </is>
      </c>
      <c r="G759" t="n">
        <v>2</v>
      </c>
      <c r="H759" t="inlineStr">
        <is>
          <t>Pendiente</t>
        </is>
      </c>
      <c r="J759" t="inlineStr">
        <is>
          <t>42G788</t>
        </is>
      </c>
      <c r="K759" t="inlineStr">
        <is>
          <t>GAC AION S</t>
        </is>
      </c>
      <c r="L759" t="inlineStr">
        <is>
          <t>UBER</t>
        </is>
      </c>
      <c r="M759" s="3">
        <f>IF(H759="Efectivo",IFERROR((VALUE(RIGHT(I759,4))-VALUE(RIGHT(E759,4)))*12+(VALUE(LEFT(I759,2))-VALUE(LEFT(E759,2))),""),"")</f>
        <v/>
      </c>
    </row>
    <row r="760">
      <c r="A760" t="inlineStr">
        <is>
          <t>MIRELES PATONI ERNESTO</t>
        </is>
      </c>
      <c r="B760" t="inlineStr">
        <is>
          <t>Hombre</t>
        </is>
      </c>
      <c r="C760" t="inlineStr">
        <is>
          <t>2913AF</t>
        </is>
      </c>
      <c r="D760" t="inlineStr">
        <is>
          <t>CDMX Y AREA METROPOLITANA</t>
        </is>
      </c>
      <c r="E760" t="inlineStr">
        <is>
          <t>12-2023</t>
        </is>
      </c>
      <c r="F760" t="inlineStr">
        <is>
          <t>01-2025</t>
        </is>
      </c>
      <c r="G760" t="n">
        <v>13</v>
      </c>
      <c r="H760" t="inlineStr">
        <is>
          <t>Efectivo</t>
        </is>
      </c>
      <c r="I760" t="inlineStr">
        <is>
          <t>01-2025</t>
        </is>
      </c>
      <c r="J760" t="inlineStr">
        <is>
          <t>E10BNH</t>
        </is>
      </c>
      <c r="K760" t="inlineStr">
        <is>
          <t>CHEVROLET AVEO</t>
        </is>
      </c>
      <c r="L760" t="inlineStr">
        <is>
          <t>UBER</t>
        </is>
      </c>
      <c r="M760" s="3">
        <f>IF(H760="Efectivo",IFERROR((VALUE(RIGHT(I760,4))-VALUE(RIGHT(E760,4)))*12+(VALUE(LEFT(I760,2))-VALUE(LEFT(E760,2))),""),"")</f>
        <v/>
      </c>
    </row>
    <row r="761">
      <c r="A761" t="inlineStr">
        <is>
          <t>MOCTEZUMA MARTINEZ DAVID</t>
        </is>
      </c>
      <c r="B761" t="inlineStr">
        <is>
          <t>Hombre</t>
        </is>
      </c>
      <c r="C761" t="inlineStr">
        <is>
          <t>4626AF</t>
        </is>
      </c>
      <c r="D761" t="inlineStr">
        <is>
          <t>CDMX Y AREA METROPOLITANA</t>
        </is>
      </c>
      <c r="E761" t="inlineStr">
        <is>
          <t>04-2025</t>
        </is>
      </c>
      <c r="F761" t="inlineStr">
        <is>
          <t>07-2025</t>
        </is>
      </c>
      <c r="G761" t="n">
        <v>3</v>
      </c>
      <c r="H761" t="inlineStr">
        <is>
          <t>Efectivo</t>
        </is>
      </c>
      <c r="I761" t="inlineStr">
        <is>
          <t>08-2025</t>
        </is>
      </c>
      <c r="J761" t="inlineStr">
        <is>
          <t>38G134</t>
        </is>
      </c>
      <c r="K761" t="inlineStr">
        <is>
          <t>GAC AION S</t>
        </is>
      </c>
      <c r="L761" t="inlineStr">
        <is>
          <t>UBER</t>
        </is>
      </c>
      <c r="M761" s="3">
        <f>IF(H761="Efectivo",IFERROR((VALUE(RIGHT(I761,4))-VALUE(RIGHT(E761,4)))*12+(VALUE(LEFT(I761,2))-VALUE(LEFT(E761,2))),""),"")</f>
        <v/>
      </c>
    </row>
    <row r="762">
      <c r="A762" t="inlineStr">
        <is>
          <t>MOLINA MARTINEZ ANGEL FERNANDO</t>
        </is>
      </c>
      <c r="B762" t="inlineStr">
        <is>
          <t>Hombre</t>
        </is>
      </c>
      <c r="C762" t="inlineStr">
        <is>
          <t>4605AF</t>
        </is>
      </c>
      <c r="D762" t="inlineStr">
        <is>
          <t>CDMX Y AREA METROPOLITANA</t>
        </is>
      </c>
      <c r="E762" t="inlineStr">
        <is>
          <t>04-2025</t>
        </is>
      </c>
      <c r="F762" t="inlineStr">
        <is>
          <t>03-2026</t>
        </is>
      </c>
      <c r="G762" t="n">
        <v>11</v>
      </c>
      <c r="H762" t="inlineStr">
        <is>
          <t>Efectivo</t>
        </is>
      </c>
      <c r="I762" t="inlineStr">
        <is>
          <t>03-2026</t>
        </is>
      </c>
      <c r="J762" t="inlineStr">
        <is>
          <t>39G832</t>
        </is>
      </c>
      <c r="K762" t="inlineStr">
        <is>
          <t>GAC AION S</t>
        </is>
      </c>
      <c r="L762" t="inlineStr">
        <is>
          <t>UBER</t>
        </is>
      </c>
      <c r="M762" s="3">
        <f>IF(H762="Efectivo",IFERROR((VALUE(RIGHT(I762,4))-VALUE(RIGHT(E762,4)))*12+(VALUE(LEFT(I762,2))-VALUE(LEFT(E762,2))),""),"")</f>
        <v/>
      </c>
    </row>
    <row r="763">
      <c r="A763" t="inlineStr">
        <is>
          <t>MONCAYO MAZARIEGO LEONEL HAIL</t>
        </is>
      </c>
      <c r="B763" t="inlineStr">
        <is>
          <t>Hombre</t>
        </is>
      </c>
      <c r="C763" t="inlineStr">
        <is>
          <t>3723AF</t>
        </is>
      </c>
      <c r="D763" t="inlineStr">
        <is>
          <t>CDMX Y AREA METROPOLITANA</t>
        </is>
      </c>
      <c r="E763" t="inlineStr">
        <is>
          <t>09-2024</t>
        </is>
      </c>
      <c r="F763" t="inlineStr">
        <is>
          <t>05-2025</t>
        </is>
      </c>
      <c r="G763" t="n">
        <v>8</v>
      </c>
      <c r="H763" t="inlineStr">
        <is>
          <t>Efectivo</t>
        </is>
      </c>
      <c r="I763" t="inlineStr">
        <is>
          <t>05-2025</t>
        </is>
      </c>
      <c r="J763" t="inlineStr">
        <is>
          <t>S63BPH</t>
        </is>
      </c>
      <c r="K763" t="inlineStr">
        <is>
          <t>CHEVROLET AVEO</t>
        </is>
      </c>
      <c r="L763" t="inlineStr">
        <is>
          <t>UBER</t>
        </is>
      </c>
      <c r="M763" s="3">
        <f>IF(H763="Efectivo",IFERROR((VALUE(RIGHT(I763,4))-VALUE(RIGHT(E763,4)))*12+(VALUE(LEFT(I763,2))-VALUE(LEFT(E763,2))),""),"")</f>
        <v/>
      </c>
    </row>
    <row r="764">
      <c r="A764" t="inlineStr">
        <is>
          <t>MONDRAGON SEVILLA RANDHY KALID</t>
        </is>
      </c>
      <c r="B764" t="inlineStr">
        <is>
          <t>Hombre</t>
        </is>
      </c>
      <c r="C764" t="inlineStr">
        <is>
          <t>4995AF</t>
        </is>
      </c>
      <c r="D764" t="inlineStr">
        <is>
          <t>CDMX Y AREA METROPOLITANA</t>
        </is>
      </c>
      <c r="E764" t="inlineStr">
        <is>
          <t>06-2025</t>
        </is>
      </c>
      <c r="F764" t="inlineStr">
        <is>
          <t>07-2025</t>
        </is>
      </c>
      <c r="G764" t="n">
        <v>1</v>
      </c>
      <c r="H764" t="inlineStr">
        <is>
          <t>Cancelado</t>
        </is>
      </c>
      <c r="J764" t="inlineStr">
        <is>
          <t>47G511</t>
        </is>
      </c>
      <c r="K764" t="inlineStr">
        <is>
          <t>BYD MINIDOLPHIN</t>
        </is>
      </c>
      <c r="L764" t="inlineStr">
        <is>
          <t>DIDI</t>
        </is>
      </c>
      <c r="M764" s="3">
        <f>IF(H764="Efectivo",IFERROR((VALUE(RIGHT(I764,4))-VALUE(RIGHT(E764,4)))*12+(VALUE(LEFT(I764,2))-VALUE(LEFT(E764,2))),""),"")</f>
        <v/>
      </c>
    </row>
    <row r="765">
      <c r="A765" t="inlineStr">
        <is>
          <t>MONDRAGON SEVILLA RANDHY KALID</t>
        </is>
      </c>
      <c r="B765" t="inlineStr">
        <is>
          <t>Hombre</t>
        </is>
      </c>
      <c r="C765" t="inlineStr">
        <is>
          <t>4995AF</t>
        </is>
      </c>
      <c r="D765" t="inlineStr">
        <is>
          <t>CDMX Y AREA METROPOLITANA</t>
        </is>
      </c>
      <c r="E765" t="inlineStr">
        <is>
          <t>06-2025</t>
        </is>
      </c>
      <c r="F765" t="inlineStr">
        <is>
          <t>02-2026</t>
        </is>
      </c>
      <c r="G765" t="n">
        <v>8</v>
      </c>
      <c r="H765" t="inlineStr">
        <is>
          <t>Pendiente</t>
        </is>
      </c>
      <c r="J765" t="inlineStr">
        <is>
          <t>47G511</t>
        </is>
      </c>
      <c r="K765" t="inlineStr">
        <is>
          <t>BYD MINIDOLPHIN</t>
        </is>
      </c>
      <c r="L765" t="inlineStr">
        <is>
          <t>DIDI</t>
        </is>
      </c>
      <c r="M765" s="3">
        <f>IF(H765="Efectivo",IFERROR((VALUE(RIGHT(I765,4))-VALUE(RIGHT(E765,4)))*12+(VALUE(LEFT(I765,2))-VALUE(LEFT(E765,2))),""),"")</f>
        <v/>
      </c>
    </row>
    <row r="766">
      <c r="A766" t="inlineStr">
        <is>
          <t>MONROY FUENTES MARCO ANTONIO</t>
        </is>
      </c>
      <c r="B766" t="inlineStr">
        <is>
          <t>Hombre</t>
        </is>
      </c>
      <c r="C766" t="inlineStr">
        <is>
          <t>3058AF</t>
        </is>
      </c>
      <c r="D766" t="inlineStr">
        <is>
          <t>CDMX Y AREA METROPOLITANA</t>
        </is>
      </c>
      <c r="E766" t="inlineStr">
        <is>
          <t>02-2024</t>
        </is>
      </c>
      <c r="F766" t="inlineStr">
        <is>
          <t>01-2026</t>
        </is>
      </c>
      <c r="G766" t="n">
        <v>23</v>
      </c>
      <c r="H766" t="inlineStr">
        <is>
          <t>Efectivo</t>
        </is>
      </c>
      <c r="I766" t="inlineStr">
        <is>
          <t>01-2026</t>
        </is>
      </c>
      <c r="J766" t="inlineStr">
        <is>
          <t>81F277</t>
        </is>
      </c>
      <c r="K766" t="inlineStr">
        <is>
          <t>SUZUKI ERTIGA</t>
        </is>
      </c>
      <c r="L766" t="inlineStr">
        <is>
          <t>UBER</t>
        </is>
      </c>
      <c r="M766" s="3">
        <f>IF(H766="Efectivo",IFERROR((VALUE(RIGHT(I766,4))-VALUE(RIGHT(E766,4)))*12+(VALUE(LEFT(I766,2))-VALUE(LEFT(E766,2))),""),"")</f>
        <v/>
      </c>
    </row>
    <row r="767">
      <c r="A767" t="inlineStr">
        <is>
          <t>MONROY SANCHEZ RODRIGO ARTURO</t>
        </is>
      </c>
      <c r="B767" t="inlineStr">
        <is>
          <t>Hombre</t>
        </is>
      </c>
      <c r="C767" t="inlineStr">
        <is>
          <t>5038AF</t>
        </is>
      </c>
      <c r="D767" t="inlineStr">
        <is>
          <t>CDMX Y AREA METROPOLITANA</t>
        </is>
      </c>
      <c r="E767" t="inlineStr">
        <is>
          <t>06-2025</t>
        </is>
      </c>
      <c r="F767" t="inlineStr">
        <is>
          <t>11-2025</t>
        </is>
      </c>
      <c r="G767" t="n">
        <v>6</v>
      </c>
      <c r="H767" t="inlineStr">
        <is>
          <t>Efectivo</t>
        </is>
      </c>
      <c r="I767" t="inlineStr">
        <is>
          <t>12-2025</t>
        </is>
      </c>
      <c r="J767" t="inlineStr">
        <is>
          <t>47G583</t>
        </is>
      </c>
      <c r="K767" t="inlineStr">
        <is>
          <t>BYD MINIDOLPHIN</t>
        </is>
      </c>
      <c r="L767" t="inlineStr">
        <is>
          <t>UBER</t>
        </is>
      </c>
      <c r="M767" s="3">
        <f>IF(H767="Efectivo",IFERROR((VALUE(RIGHT(I767,4))-VALUE(RIGHT(E767,4)))*12+(VALUE(LEFT(I767,2))-VALUE(LEFT(E767,2))),""),"")</f>
        <v/>
      </c>
    </row>
    <row r="768">
      <c r="A768" t="inlineStr">
        <is>
          <t>MONSALVO CASTILLO LAZARO ALBERTO</t>
        </is>
      </c>
      <c r="B768" t="inlineStr">
        <is>
          <t>Hombre</t>
        </is>
      </c>
      <c r="C768" t="inlineStr">
        <is>
          <t>5356AF</t>
        </is>
      </c>
      <c r="D768" t="inlineStr">
        <is>
          <t>CDMX Y AREA METROPOLITANA</t>
        </is>
      </c>
      <c r="E768" t="inlineStr">
        <is>
          <t>07-2025</t>
        </is>
      </c>
      <c r="F768" t="inlineStr">
        <is>
          <t>12-2025</t>
        </is>
      </c>
      <c r="G768" t="n">
        <v>5</v>
      </c>
      <c r="H768" t="inlineStr">
        <is>
          <t>Efectivo</t>
        </is>
      </c>
      <c r="I768" t="inlineStr">
        <is>
          <t>01-2026</t>
        </is>
      </c>
      <c r="J768" t="inlineStr">
        <is>
          <t>47G945</t>
        </is>
      </c>
      <c r="K768" t="inlineStr">
        <is>
          <t>BYD MINIDOLPHIN</t>
        </is>
      </c>
      <c r="L768" t="inlineStr">
        <is>
          <t>UBER</t>
        </is>
      </c>
      <c r="M768" s="3">
        <f>IF(H768="Efectivo",IFERROR((VALUE(RIGHT(I768,4))-VALUE(RIGHT(E768,4)))*12+(VALUE(LEFT(I768,2))-VALUE(LEFT(E768,2))),""),"")</f>
        <v/>
      </c>
    </row>
    <row r="769">
      <c r="A769" t="inlineStr">
        <is>
          <t>MONSIVAIS ESCOBAR ROBERTO GERARDO</t>
        </is>
      </c>
      <c r="B769" t="inlineStr">
        <is>
          <t>Hombre</t>
        </is>
      </c>
      <c r="C769" t="inlineStr">
        <is>
          <t>4850AF</t>
        </is>
      </c>
      <c r="D769" t="inlineStr">
        <is>
          <t>NUEVO LEON</t>
        </is>
      </c>
      <c r="E769" t="inlineStr">
        <is>
          <t>05-2025</t>
        </is>
      </c>
      <c r="F769" t="inlineStr">
        <is>
          <t>08-2025</t>
        </is>
      </c>
      <c r="G769" t="n">
        <v>3</v>
      </c>
      <c r="H769" t="inlineStr">
        <is>
          <t>Efectivo</t>
        </is>
      </c>
      <c r="I769" t="inlineStr">
        <is>
          <t>12-2025</t>
        </is>
      </c>
      <c r="J769" t="inlineStr">
        <is>
          <t>RUB737C</t>
        </is>
      </c>
      <c r="K769" t="inlineStr">
        <is>
          <t>TOYOTA AVANZA</t>
        </is>
      </c>
      <c r="L769" t="inlineStr">
        <is>
          <t>UBER</t>
        </is>
      </c>
      <c r="M769" s="3">
        <f>IF(H769="Efectivo",IFERROR((VALUE(RIGHT(I769,4))-VALUE(RIGHT(E769,4)))*12+(VALUE(LEFT(I769,2))-VALUE(LEFT(E769,2))),""),"")</f>
        <v/>
      </c>
    </row>
    <row r="770">
      <c r="A770" t="inlineStr">
        <is>
          <t>MONTEFORT MARTINEZ SERGIO GERARDO</t>
        </is>
      </c>
      <c r="B770" t="inlineStr">
        <is>
          <t>Hombre</t>
        </is>
      </c>
      <c r="C770" t="inlineStr">
        <is>
          <t>3332AF</t>
        </is>
      </c>
      <c r="D770" t="inlineStr">
        <is>
          <t>CDMX Y AREA METROPOLITANA</t>
        </is>
      </c>
      <c r="E770" t="inlineStr">
        <is>
          <t>06-2024</t>
        </is>
      </c>
      <c r="F770" t="inlineStr">
        <is>
          <t>06-2025</t>
        </is>
      </c>
      <c r="G770" t="n">
        <v>13</v>
      </c>
      <c r="H770" t="inlineStr">
        <is>
          <t>Efectivo</t>
        </is>
      </c>
      <c r="I770" t="inlineStr">
        <is>
          <t>07-2025</t>
        </is>
      </c>
      <c r="J770" t="inlineStr">
        <is>
          <t>A13BNM</t>
        </is>
      </c>
      <c r="K770" t="inlineStr">
        <is>
          <t>CHEVROLET AVEO</t>
        </is>
      </c>
      <c r="L770" t="inlineStr">
        <is>
          <t>UBER</t>
        </is>
      </c>
      <c r="M770" s="3">
        <f>IF(H770="Efectivo",IFERROR((VALUE(RIGHT(I770,4))-VALUE(RIGHT(E770,4)))*12+(VALUE(LEFT(I770,2))-VALUE(LEFT(E770,2))),""),"")</f>
        <v/>
      </c>
    </row>
    <row r="771">
      <c r="A771" t="inlineStr">
        <is>
          <t>MONTERO DOMINGUEZ FRANCISCO JAVIER</t>
        </is>
      </c>
      <c r="B771" t="inlineStr">
        <is>
          <t>Hombre</t>
        </is>
      </c>
      <c r="C771" t="inlineStr">
        <is>
          <t>4334AF</t>
        </is>
      </c>
      <c r="D771" t="inlineStr">
        <is>
          <t>CDMX Y AREA METROPOLITANA</t>
        </is>
      </c>
      <c r="E771" t="inlineStr">
        <is>
          <t>02-2025</t>
        </is>
      </c>
      <c r="F771" t="inlineStr">
        <is>
          <t>07-2025</t>
        </is>
      </c>
      <c r="G771" t="n">
        <v>5</v>
      </c>
      <c r="H771" t="inlineStr">
        <is>
          <t>Efectivo</t>
        </is>
      </c>
      <c r="I771" t="inlineStr">
        <is>
          <t>08-2025</t>
        </is>
      </c>
      <c r="J771" t="inlineStr">
        <is>
          <t>31G936</t>
        </is>
      </c>
      <c r="K771" t="inlineStr">
        <is>
          <t>GAC AION S</t>
        </is>
      </c>
      <c r="L771" t="inlineStr">
        <is>
          <t>UBER</t>
        </is>
      </c>
      <c r="M771" s="3">
        <f>IF(H771="Efectivo",IFERROR((VALUE(RIGHT(I771,4))-VALUE(RIGHT(E771,4)))*12+(VALUE(LEFT(I771,2))-VALUE(LEFT(E771,2))),""),"")</f>
        <v/>
      </c>
    </row>
    <row r="772">
      <c r="A772" t="inlineStr">
        <is>
          <t>MONTERO FLORES SAMUEL</t>
        </is>
      </c>
      <c r="B772" t="inlineStr">
        <is>
          <t>Hombre</t>
        </is>
      </c>
      <c r="C772" t="inlineStr">
        <is>
          <t>2817AF</t>
        </is>
      </c>
      <c r="D772" t="inlineStr">
        <is>
          <t>JALISCO</t>
        </is>
      </c>
      <c r="E772" t="inlineStr">
        <is>
          <t>10-2023</t>
        </is>
      </c>
      <c r="F772" t="inlineStr">
        <is>
          <t>06-2025</t>
        </is>
      </c>
      <c r="G772" t="n">
        <v>20</v>
      </c>
      <c r="H772" t="inlineStr">
        <is>
          <t>Efectivo</t>
        </is>
      </c>
      <c r="I772" t="inlineStr">
        <is>
          <t>07-2025</t>
        </is>
      </c>
      <c r="J772" t="inlineStr">
        <is>
          <t>JTU1495</t>
        </is>
      </c>
      <c r="K772" t="inlineStr">
        <is>
          <t>CHEVROLET AVEO</t>
        </is>
      </c>
      <c r="L772" t="inlineStr">
        <is>
          <t>UBER</t>
        </is>
      </c>
      <c r="M772" s="3">
        <f>IF(H772="Efectivo",IFERROR((VALUE(RIGHT(I772,4))-VALUE(RIGHT(E772,4)))*12+(VALUE(LEFT(I772,2))-VALUE(LEFT(E772,2))),""),"")</f>
        <v/>
      </c>
    </row>
    <row r="773">
      <c r="A773" t="inlineStr">
        <is>
          <t>MONTES AGUILAR OSCAR ZOAR</t>
        </is>
      </c>
      <c r="B773" t="inlineStr">
        <is>
          <t>Hombre</t>
        </is>
      </c>
      <c r="C773" t="inlineStr">
        <is>
          <t>6852AF</t>
        </is>
      </c>
      <c r="D773" t="inlineStr">
        <is>
          <t>CDMX Y AREA METROPOLITANA</t>
        </is>
      </c>
      <c r="E773" t="inlineStr">
        <is>
          <t>01-2026</t>
        </is>
      </c>
      <c r="F773" t="inlineStr">
        <is>
          <t>05-2026</t>
        </is>
      </c>
      <c r="G773" t="n">
        <v>3</v>
      </c>
      <c r="H773" t="inlineStr">
        <is>
          <t>Pendiente</t>
        </is>
      </c>
      <c r="J773" t="inlineStr">
        <is>
          <t>19K653</t>
        </is>
      </c>
      <c r="K773" t="inlineStr">
        <is>
          <t>GAC AION S</t>
        </is>
      </c>
      <c r="L773" t="inlineStr">
        <is>
          <t>DIDI</t>
        </is>
      </c>
      <c r="M773" s="3">
        <f>IF(H773="Efectivo",IFERROR((VALUE(RIGHT(I773,4))-VALUE(RIGHT(E773,4)))*12+(VALUE(LEFT(I773,2))-VALUE(LEFT(E773,2))),""),"")</f>
        <v/>
      </c>
    </row>
    <row r="774">
      <c r="A774" t="inlineStr">
        <is>
          <t>MONTES ARTEAGA GUILLERMO</t>
        </is>
      </c>
      <c r="B774" t="inlineStr">
        <is>
          <t>Hombre</t>
        </is>
      </c>
      <c r="C774" t="inlineStr">
        <is>
          <t>3225AF</t>
        </is>
      </c>
      <c r="D774" t="inlineStr">
        <is>
          <t>JALISCO</t>
        </is>
      </c>
      <c r="E774" t="inlineStr">
        <is>
          <t>04-2024</t>
        </is>
      </c>
      <c r="F774" t="inlineStr">
        <is>
          <t>04-2025</t>
        </is>
      </c>
      <c r="G774" t="n">
        <v>12</v>
      </c>
      <c r="H774" t="inlineStr">
        <is>
          <t>Efectivo</t>
        </is>
      </c>
      <c r="I774" t="inlineStr">
        <is>
          <t>05-2025</t>
        </is>
      </c>
      <c r="J774" t="inlineStr">
        <is>
          <t>HUL787A</t>
        </is>
      </c>
      <c r="K774" t="inlineStr">
        <is>
          <t>CHEVROLET AVEO</t>
        </is>
      </c>
      <c r="L774" t="inlineStr">
        <is>
          <t>UBER</t>
        </is>
      </c>
      <c r="M774" s="3">
        <f>IF(H774="Efectivo",IFERROR((VALUE(RIGHT(I774,4))-VALUE(RIGHT(E774,4)))*12+(VALUE(LEFT(I774,2))-VALUE(LEFT(E774,2))),""),"")</f>
        <v/>
      </c>
    </row>
    <row r="775">
      <c r="A775" t="inlineStr">
        <is>
          <t>MONTES GOMEZ JAVIER</t>
        </is>
      </c>
      <c r="B775" t="inlineStr">
        <is>
          <t>Hombre</t>
        </is>
      </c>
      <c r="C775" t="inlineStr">
        <is>
          <t>6845AF</t>
        </is>
      </c>
      <c r="D775" t="inlineStr">
        <is>
          <t>CDMX Y AREA METROPOLITANA</t>
        </is>
      </c>
      <c r="E775" t="inlineStr">
        <is>
          <t>01-2026</t>
        </is>
      </c>
      <c r="F775" t="inlineStr">
        <is>
          <t>03-2026</t>
        </is>
      </c>
      <c r="G775" t="n">
        <v>1</v>
      </c>
      <c r="H775" t="inlineStr">
        <is>
          <t>Efectivo</t>
        </is>
      </c>
      <c r="I775" t="inlineStr">
        <is>
          <t>03-2026</t>
        </is>
      </c>
      <c r="J775" t="inlineStr">
        <is>
          <t>89F856</t>
        </is>
      </c>
      <c r="K775" t="inlineStr">
        <is>
          <t>BYD D1</t>
        </is>
      </c>
      <c r="L775" t="inlineStr">
        <is>
          <t>UBER</t>
        </is>
      </c>
      <c r="M775" s="3">
        <f>IF(H775="Efectivo",IFERROR((VALUE(RIGHT(I775,4))-VALUE(RIGHT(E775,4)))*12+(VALUE(LEFT(I775,2))-VALUE(LEFT(E775,2))),""),"")</f>
        <v/>
      </c>
    </row>
    <row r="776">
      <c r="A776" t="inlineStr">
        <is>
          <t>MONTES SOLIS ALFONSO ALBERTO</t>
        </is>
      </c>
      <c r="B776" t="inlineStr">
        <is>
          <t>Hombre</t>
        </is>
      </c>
      <c r="C776" t="inlineStr">
        <is>
          <t>4143AF</t>
        </is>
      </c>
      <c r="D776" t="inlineStr">
        <is>
          <t>CDMX Y AREA METROPOLITANA</t>
        </is>
      </c>
      <c r="E776" t="inlineStr">
        <is>
          <t>12-2024</t>
        </is>
      </c>
      <c r="F776" t="inlineStr">
        <is>
          <t>08-2025</t>
        </is>
      </c>
      <c r="G776" t="n">
        <v>8</v>
      </c>
      <c r="H776" t="inlineStr">
        <is>
          <t>Efectivo</t>
        </is>
      </c>
      <c r="I776" t="inlineStr">
        <is>
          <t>09-2025</t>
        </is>
      </c>
      <c r="J776" t="inlineStr">
        <is>
          <t>14G365</t>
        </is>
      </c>
      <c r="K776" t="inlineStr">
        <is>
          <t>BYD D1</t>
        </is>
      </c>
      <c r="L776" t="inlineStr">
        <is>
          <t>UBER</t>
        </is>
      </c>
      <c r="M776" s="3">
        <f>IF(H776="Efectivo",IFERROR((VALUE(RIGHT(I776,4))-VALUE(RIGHT(E776,4)))*12+(VALUE(LEFT(I776,2))-VALUE(LEFT(E776,2))),""),"")</f>
        <v/>
      </c>
    </row>
    <row r="777">
      <c r="A777" t="inlineStr">
        <is>
          <t>MONTIEL CUEVAS CARLOS IVAN</t>
        </is>
      </c>
      <c r="B777" t="inlineStr">
        <is>
          <t>Hombre</t>
        </is>
      </c>
      <c r="C777" t="inlineStr">
        <is>
          <t>4828AF</t>
        </is>
      </c>
      <c r="D777" t="inlineStr">
        <is>
          <t>CDMX Y AREA METROPOLITANA</t>
        </is>
      </c>
      <c r="E777" t="inlineStr">
        <is>
          <t>05-2025</t>
        </is>
      </c>
      <c r="F777" t="inlineStr">
        <is>
          <t>08-2025</t>
        </is>
      </c>
      <c r="G777" t="n">
        <v>3</v>
      </c>
      <c r="H777" t="inlineStr">
        <is>
          <t>Efectivo</t>
        </is>
      </c>
      <c r="I777" t="inlineStr">
        <is>
          <t>08-2025</t>
        </is>
      </c>
      <c r="J777" t="inlineStr">
        <is>
          <t>19G593</t>
        </is>
      </c>
      <c r="K777" t="inlineStr">
        <is>
          <t>BYD D1</t>
        </is>
      </c>
      <c r="L777" t="inlineStr">
        <is>
          <t>DIDI</t>
        </is>
      </c>
      <c r="M777" s="3">
        <f>IF(H777="Efectivo",IFERROR((VALUE(RIGHT(I777,4))-VALUE(RIGHT(E777,4)))*12+(VALUE(LEFT(I777,2))-VALUE(LEFT(E777,2))),""),"")</f>
        <v/>
      </c>
    </row>
    <row r="778">
      <c r="A778" t="inlineStr">
        <is>
          <t>MONTIEL ORTIZ LEOPOLDO</t>
        </is>
      </c>
      <c r="B778" t="inlineStr">
        <is>
          <t>Hombre</t>
        </is>
      </c>
      <c r="C778" t="inlineStr">
        <is>
          <t>3184AF</t>
        </is>
      </c>
      <c r="D778" t="inlineStr">
        <is>
          <t>CDMX Y AREA METROPOLITANA</t>
        </is>
      </c>
      <c r="E778" t="inlineStr">
        <is>
          <t>04-2024</t>
        </is>
      </c>
      <c r="F778" t="inlineStr">
        <is>
          <t>09-2025</t>
        </is>
      </c>
      <c r="G778" t="n">
        <v>17</v>
      </c>
      <c r="H778" t="inlineStr">
        <is>
          <t>Efectivo</t>
        </is>
      </c>
      <c r="I778" t="inlineStr">
        <is>
          <t>03-2026</t>
        </is>
      </c>
      <c r="J778" t="inlineStr">
        <is>
          <t>B49BNM</t>
        </is>
      </c>
      <c r="K778" t="inlineStr">
        <is>
          <t>CHEVROLET AVEO</t>
        </is>
      </c>
      <c r="L778" t="inlineStr">
        <is>
          <t>UBER</t>
        </is>
      </c>
      <c r="M778" s="3">
        <f>IF(H778="Efectivo",IFERROR((VALUE(RIGHT(I778,4))-VALUE(RIGHT(E778,4)))*12+(VALUE(LEFT(I778,2))-VALUE(LEFT(E778,2))),""),"")</f>
        <v/>
      </c>
    </row>
    <row r="779">
      <c r="A779" t="inlineStr">
        <is>
          <t>MONTOYA RIOS DANIEL FERNANDO</t>
        </is>
      </c>
      <c r="B779" t="inlineStr">
        <is>
          <t>Hombre</t>
        </is>
      </c>
      <c r="C779" t="inlineStr">
        <is>
          <t>3657AF</t>
        </is>
      </c>
      <c r="D779" t="inlineStr">
        <is>
          <t>BAJA CALIFORNIA</t>
        </is>
      </c>
      <c r="E779" t="inlineStr">
        <is>
          <t>08-2024</t>
        </is>
      </c>
      <c r="F779" t="inlineStr">
        <is>
          <t>09-2025</t>
        </is>
      </c>
      <c r="G779" t="n">
        <v>13</v>
      </c>
      <c r="H779" t="inlineStr">
        <is>
          <t>Efectivo</t>
        </is>
      </c>
      <c r="I779" t="inlineStr">
        <is>
          <t>10-2025</t>
        </is>
      </c>
      <c r="J779" t="inlineStr">
        <is>
          <t>BRH518A</t>
        </is>
      </c>
      <c r="K779" t="inlineStr">
        <is>
          <t>CHEVROLET AVEO</t>
        </is>
      </c>
      <c r="L779" t="inlineStr">
        <is>
          <t>UBER</t>
        </is>
      </c>
      <c r="M779" s="3">
        <f>IF(H779="Efectivo",IFERROR((VALUE(RIGHT(I779,4))-VALUE(RIGHT(E779,4)))*12+(VALUE(LEFT(I779,2))-VALUE(LEFT(E779,2))),""),"")</f>
        <v/>
      </c>
    </row>
    <row r="780">
      <c r="A780" t="inlineStr">
        <is>
          <t>MORA MACEDO ALDO CECILIO</t>
        </is>
      </c>
      <c r="B780" t="inlineStr">
        <is>
          <t>Hombre</t>
        </is>
      </c>
      <c r="C780" t="inlineStr">
        <is>
          <t>4108AF</t>
        </is>
      </c>
      <c r="D780" t="inlineStr">
        <is>
          <t>CDMX Y AREA METROPOLITANA</t>
        </is>
      </c>
      <c r="E780" t="inlineStr">
        <is>
          <t>12-2024</t>
        </is>
      </c>
      <c r="F780" t="inlineStr">
        <is>
          <t>12-2025</t>
        </is>
      </c>
      <c r="G780" t="n">
        <v>12</v>
      </c>
      <c r="H780" t="inlineStr">
        <is>
          <t>Efectivo</t>
        </is>
      </c>
      <c r="I780" t="inlineStr">
        <is>
          <t>01-2026</t>
        </is>
      </c>
      <c r="J780" t="inlineStr">
        <is>
          <t>14G411</t>
        </is>
      </c>
      <c r="K780" t="inlineStr">
        <is>
          <t>BYD D1</t>
        </is>
      </c>
      <c r="L780" t="inlineStr">
        <is>
          <t>UBER</t>
        </is>
      </c>
      <c r="M780" s="3">
        <f>IF(H780="Efectivo",IFERROR((VALUE(RIGHT(I780,4))-VALUE(RIGHT(E780,4)))*12+(VALUE(LEFT(I780,2))-VALUE(LEFT(E780,2))),""),"")</f>
        <v/>
      </c>
    </row>
    <row r="781">
      <c r="A781" t="inlineStr">
        <is>
          <t>MORA SANCHEZ ALEJANDRO</t>
        </is>
      </c>
      <c r="B781" t="inlineStr">
        <is>
          <t>Hombre</t>
        </is>
      </c>
      <c r="C781" t="inlineStr">
        <is>
          <t>2979AF</t>
        </is>
      </c>
      <c r="D781" t="inlineStr">
        <is>
          <t>CDMX Y AREA METROPOLITANA</t>
        </is>
      </c>
      <c r="E781" t="inlineStr">
        <is>
          <t>01-2024</t>
        </is>
      </c>
      <c r="F781" t="inlineStr">
        <is>
          <t>01-2025</t>
        </is>
      </c>
      <c r="G781" t="n">
        <v>12</v>
      </c>
      <c r="H781" t="inlineStr">
        <is>
          <t>Cancelado</t>
        </is>
      </c>
      <c r="J781" t="inlineStr">
        <is>
          <t>72F069</t>
        </is>
      </c>
      <c r="K781" t="inlineStr">
        <is>
          <t>BYD D1</t>
        </is>
      </c>
      <c r="L781" t="inlineStr">
        <is>
          <t>UBER</t>
        </is>
      </c>
      <c r="M781" s="3">
        <f>IF(H781="Efectivo",IFERROR((VALUE(RIGHT(I781,4))-VALUE(RIGHT(E781,4)))*12+(VALUE(LEFT(I781,2))-VALUE(LEFT(E781,2))),""),"")</f>
        <v/>
      </c>
    </row>
    <row r="782">
      <c r="A782" t="inlineStr">
        <is>
          <t>MORALES BARRERA CLAUDIO LIZANDRO</t>
        </is>
      </c>
      <c r="B782" t="inlineStr">
        <is>
          <t>Hombre</t>
        </is>
      </c>
      <c r="C782" t="inlineStr">
        <is>
          <t>3975AF</t>
        </is>
      </c>
      <c r="D782" t="inlineStr">
        <is>
          <t>CDMX Y AREA METROPOLITANA</t>
        </is>
      </c>
      <c r="E782" t="inlineStr">
        <is>
          <t>11-2024</t>
        </is>
      </c>
      <c r="F782" t="inlineStr">
        <is>
          <t>06-2025</t>
        </is>
      </c>
      <c r="G782" t="n">
        <v>7</v>
      </c>
      <c r="H782" t="inlineStr">
        <is>
          <t>Efectivo</t>
        </is>
      </c>
      <c r="I782" t="inlineStr">
        <is>
          <t>06-2025</t>
        </is>
      </c>
      <c r="J782" t="inlineStr">
        <is>
          <t>D14BPN</t>
        </is>
      </c>
      <c r="K782" t="inlineStr">
        <is>
          <t>CHEVROLET AVEO</t>
        </is>
      </c>
      <c r="L782" t="inlineStr">
        <is>
          <t>UBER</t>
        </is>
      </c>
      <c r="M782" s="3">
        <f>IF(H782="Efectivo",IFERROR((VALUE(RIGHT(I782,4))-VALUE(RIGHT(E782,4)))*12+(VALUE(LEFT(I782,2))-VALUE(LEFT(E782,2))),""),"")</f>
        <v/>
      </c>
    </row>
    <row r="783">
      <c r="A783" t="inlineStr">
        <is>
          <t>MORALES CALLES LUIS DANIEL</t>
        </is>
      </c>
      <c r="B783" t="inlineStr">
        <is>
          <t>Hombre</t>
        </is>
      </c>
      <c r="C783" t="inlineStr">
        <is>
          <t>5646AF</t>
        </is>
      </c>
      <c r="D783" t="inlineStr">
        <is>
          <t>CDMX Y AREA METROPOLITANA</t>
        </is>
      </c>
      <c r="E783" t="inlineStr">
        <is>
          <t>08-2025</t>
        </is>
      </c>
      <c r="F783" t="inlineStr">
        <is>
          <t>04-2026</t>
        </is>
      </c>
      <c r="G783" t="n">
        <v>7</v>
      </c>
      <c r="H783" t="inlineStr">
        <is>
          <t>Efectivo</t>
        </is>
      </c>
      <c r="I783" t="inlineStr">
        <is>
          <t>04-2026</t>
        </is>
      </c>
      <c r="J783" t="inlineStr">
        <is>
          <t>B81BNY</t>
        </is>
      </c>
      <c r="K783" t="inlineStr">
        <is>
          <t>CHEVROLET AVEO</t>
        </is>
      </c>
      <c r="L783" t="inlineStr">
        <is>
          <t>DIDI</t>
        </is>
      </c>
      <c r="M783" s="3">
        <f>IF(H783="Efectivo",IFERROR((VALUE(RIGHT(I783,4))-VALUE(RIGHT(E783,4)))*12+(VALUE(LEFT(I783,2))-VALUE(LEFT(E783,2))),""),"")</f>
        <v/>
      </c>
    </row>
    <row r="784">
      <c r="A784" t="inlineStr">
        <is>
          <t>MORALES HERNANDEZ BRANDO JESUS</t>
        </is>
      </c>
      <c r="B784" t="inlineStr">
        <is>
          <t>Hombre</t>
        </is>
      </c>
      <c r="C784" t="inlineStr">
        <is>
          <t>5012AF</t>
        </is>
      </c>
      <c r="D784" t="inlineStr">
        <is>
          <t>CDMX Y AREA METROPOLITANA</t>
        </is>
      </c>
      <c r="E784" t="inlineStr">
        <is>
          <t>06-2025</t>
        </is>
      </c>
      <c r="F784" t="inlineStr">
        <is>
          <t>03-2026</t>
        </is>
      </c>
      <c r="G784" t="n">
        <v>9</v>
      </c>
      <c r="H784" t="inlineStr">
        <is>
          <t>Pendiente</t>
        </is>
      </c>
      <c r="J784" t="inlineStr">
        <is>
          <t>50G974</t>
        </is>
      </c>
      <c r="K784" t="inlineStr">
        <is>
          <t>GAC AION S</t>
        </is>
      </c>
      <c r="L784" t="inlineStr">
        <is>
          <t>UBER</t>
        </is>
      </c>
      <c r="M784" s="3">
        <f>IF(H784="Efectivo",IFERROR((VALUE(RIGHT(I784,4))-VALUE(RIGHT(E784,4)))*12+(VALUE(LEFT(I784,2))-VALUE(LEFT(E784,2))),""),"")</f>
        <v/>
      </c>
    </row>
    <row r="785">
      <c r="A785" t="inlineStr">
        <is>
          <t>MORALES ORTEGA DAVID ALFREDO</t>
        </is>
      </c>
      <c r="B785" t="inlineStr">
        <is>
          <t>Hombre</t>
        </is>
      </c>
      <c r="C785" t="inlineStr">
        <is>
          <t>4761AF</t>
        </is>
      </c>
      <c r="D785" t="inlineStr">
        <is>
          <t>CDMX Y AREA METROPOLITANA</t>
        </is>
      </c>
      <c r="E785" t="inlineStr">
        <is>
          <t>04-2025</t>
        </is>
      </c>
      <c r="F785" t="inlineStr">
        <is>
          <t>08-2025</t>
        </is>
      </c>
      <c r="G785" t="n">
        <v>4</v>
      </c>
      <c r="H785" t="inlineStr">
        <is>
          <t>Efectivo</t>
        </is>
      </c>
      <c r="I785" t="inlineStr">
        <is>
          <t>08-2025</t>
        </is>
      </c>
      <c r="J785" t="inlineStr">
        <is>
          <t>50G694</t>
        </is>
      </c>
      <c r="K785" t="inlineStr">
        <is>
          <t>GAC AION S</t>
        </is>
      </c>
      <c r="L785" t="inlineStr">
        <is>
          <t>UBER</t>
        </is>
      </c>
      <c r="M785" s="3">
        <f>IF(H785="Efectivo",IFERROR((VALUE(RIGHT(I785,4))-VALUE(RIGHT(E785,4)))*12+(VALUE(LEFT(I785,2))-VALUE(LEFT(E785,2))),""),"")</f>
        <v/>
      </c>
    </row>
    <row r="786">
      <c r="A786" t="inlineStr">
        <is>
          <t>MORALES PEREZ EVER MARIN</t>
        </is>
      </c>
      <c r="B786" t="inlineStr">
        <is>
          <t>Hombre</t>
        </is>
      </c>
      <c r="C786" t="inlineStr">
        <is>
          <t>5869AF</t>
        </is>
      </c>
      <c r="D786" t="inlineStr">
        <is>
          <t>BAJA CALIFORNIA</t>
        </is>
      </c>
      <c r="E786" t="inlineStr">
        <is>
          <t>10-2025</t>
        </is>
      </c>
      <c r="F786" t="inlineStr">
        <is>
          <t>01-2026</t>
        </is>
      </c>
      <c r="G786" t="n">
        <v>4</v>
      </c>
      <c r="H786" t="inlineStr">
        <is>
          <t>Efectivo</t>
        </is>
      </c>
      <c r="I786" t="inlineStr">
        <is>
          <t>01-2026</t>
        </is>
      </c>
      <c r="J786" t="inlineStr">
        <is>
          <t>CAJ008A</t>
        </is>
      </c>
      <c r="K786" t="inlineStr">
        <is>
          <t>CHEVROLET AVEO</t>
        </is>
      </c>
      <c r="L786" t="inlineStr">
        <is>
          <t>DIDI</t>
        </is>
      </c>
      <c r="M786" s="3">
        <f>IF(H786="Efectivo",IFERROR((VALUE(RIGHT(I786,4))-VALUE(RIGHT(E786,4)))*12+(VALUE(LEFT(I786,2))-VALUE(LEFT(E786,2))),""),"")</f>
        <v/>
      </c>
    </row>
    <row r="787">
      <c r="A787" t="inlineStr">
        <is>
          <t>MORALES VAZQUEZ ANDONI ALONSO</t>
        </is>
      </c>
      <c r="B787" t="inlineStr">
        <is>
          <t>Hombre</t>
        </is>
      </c>
      <c r="C787" t="inlineStr">
        <is>
          <t>3089AF</t>
        </is>
      </c>
      <c r="D787" t="inlineStr">
        <is>
          <t>BAJA CALIFORNIA</t>
        </is>
      </c>
      <c r="E787" t="inlineStr">
        <is>
          <t>03-2024</t>
        </is>
      </c>
      <c r="F787" t="inlineStr">
        <is>
          <t>09-2025</t>
        </is>
      </c>
      <c r="G787" t="n">
        <v>18</v>
      </c>
      <c r="H787" t="inlineStr">
        <is>
          <t>Efectivo</t>
        </is>
      </c>
      <c r="I787" t="inlineStr">
        <is>
          <t>03-2026</t>
        </is>
      </c>
      <c r="J787" t="inlineStr">
        <is>
          <t>BLX740A</t>
        </is>
      </c>
      <c r="K787" t="inlineStr">
        <is>
          <t>CHEVROLET AVEO</t>
        </is>
      </c>
      <c r="L787" t="inlineStr">
        <is>
          <t>UBER</t>
        </is>
      </c>
      <c r="M787" s="3">
        <f>IF(H787="Efectivo",IFERROR((VALUE(RIGHT(I787,4))-VALUE(RIGHT(E787,4)))*12+(VALUE(LEFT(I787,2))-VALUE(LEFT(E787,2))),""),"")</f>
        <v/>
      </c>
    </row>
    <row r="788">
      <c r="A788" t="inlineStr">
        <is>
          <t>MORALES VEGA MARCO ANTONIO</t>
        </is>
      </c>
      <c r="B788" t="inlineStr">
        <is>
          <t>Hombre</t>
        </is>
      </c>
      <c r="C788" t="inlineStr">
        <is>
          <t>5051AF</t>
        </is>
      </c>
      <c r="D788" t="inlineStr">
        <is>
          <t>CDMX Y AREA METROPOLITANA</t>
        </is>
      </c>
      <c r="E788" t="inlineStr">
        <is>
          <t>06-2025</t>
        </is>
      </c>
      <c r="F788" t="inlineStr">
        <is>
          <t>01-2026</t>
        </is>
      </c>
      <c r="G788" t="n">
        <v>7</v>
      </c>
      <c r="H788" t="inlineStr">
        <is>
          <t>Efectivo</t>
        </is>
      </c>
      <c r="I788" t="inlineStr">
        <is>
          <t>01-2026</t>
        </is>
      </c>
      <c r="J788" t="inlineStr">
        <is>
          <t>47G548</t>
        </is>
      </c>
      <c r="K788" t="inlineStr">
        <is>
          <t>BYD MINIDOLPHIN</t>
        </is>
      </c>
      <c r="L788" t="inlineStr">
        <is>
          <t>UBER</t>
        </is>
      </c>
      <c r="M788" s="3">
        <f>IF(H788="Efectivo",IFERROR((VALUE(RIGHT(I788,4))-VALUE(RIGHT(E788,4)))*12+(VALUE(LEFT(I788,2))-VALUE(LEFT(E788,2))),""),"")</f>
        <v/>
      </c>
    </row>
    <row r="789">
      <c r="A789" t="inlineStr">
        <is>
          <t>MORALES VELARDE JESUS ABRAHAM</t>
        </is>
      </c>
      <c r="B789" t="inlineStr">
        <is>
          <t>Hombre</t>
        </is>
      </c>
      <c r="C789" t="inlineStr">
        <is>
          <t>4567AF</t>
        </is>
      </c>
      <c r="D789" t="inlineStr">
        <is>
          <t>BAJA CALIFORNIA</t>
        </is>
      </c>
      <c r="E789" t="inlineStr">
        <is>
          <t>03-2025</t>
        </is>
      </c>
      <c r="F789" t="inlineStr">
        <is>
          <t>07-2025</t>
        </is>
      </c>
      <c r="G789" t="n">
        <v>4</v>
      </c>
      <c r="H789" t="inlineStr">
        <is>
          <t>Efectivo</t>
        </is>
      </c>
      <c r="I789" t="inlineStr">
        <is>
          <t>07-2025</t>
        </is>
      </c>
      <c r="J789" t="inlineStr">
        <is>
          <t>BWX664A</t>
        </is>
      </c>
      <c r="K789" t="inlineStr">
        <is>
          <t>CHEVROLET AVEO</t>
        </is>
      </c>
      <c r="L789" t="inlineStr">
        <is>
          <t>UBER</t>
        </is>
      </c>
      <c r="M789" s="3">
        <f>IF(H789="Efectivo",IFERROR((VALUE(RIGHT(I789,4))-VALUE(RIGHT(E789,4)))*12+(VALUE(LEFT(I789,2))-VALUE(LEFT(E789,2))),""),"")</f>
        <v/>
      </c>
    </row>
    <row r="790">
      <c r="A790" t="inlineStr">
        <is>
          <t>MORELOS PASALAGUA JORGE ALBERTO</t>
        </is>
      </c>
      <c r="B790" t="inlineStr">
        <is>
          <t>Hombre</t>
        </is>
      </c>
      <c r="C790" t="inlineStr">
        <is>
          <t>4016AF</t>
        </is>
      </c>
      <c r="D790" t="inlineStr">
        <is>
          <t>CDMX Y AREA METROPOLITANA</t>
        </is>
      </c>
      <c r="E790" t="inlineStr">
        <is>
          <t>11-2024</t>
        </is>
      </c>
      <c r="F790" t="inlineStr">
        <is>
          <t>11-2025</t>
        </is>
      </c>
      <c r="G790" t="n">
        <v>11</v>
      </c>
      <c r="H790" t="inlineStr">
        <is>
          <t>Cancelado</t>
        </is>
      </c>
      <c r="J790" t="inlineStr">
        <is>
          <t>13G758</t>
        </is>
      </c>
      <c r="K790" t="inlineStr">
        <is>
          <t>BYD D1</t>
        </is>
      </c>
      <c r="L790" t="inlineStr">
        <is>
          <t>DIDI</t>
        </is>
      </c>
      <c r="M790" s="3">
        <f>IF(H790="Efectivo",IFERROR((VALUE(RIGHT(I790,4))-VALUE(RIGHT(E790,4)))*12+(VALUE(LEFT(I790,2))-VALUE(LEFT(E790,2))),""),"")</f>
        <v/>
      </c>
    </row>
    <row r="791">
      <c r="A791" t="inlineStr">
        <is>
          <t>MORELOS PASALAGUA JORGE ALBERTO</t>
        </is>
      </c>
      <c r="B791" t="inlineStr">
        <is>
          <t>Hombre</t>
        </is>
      </c>
      <c r="C791" t="inlineStr">
        <is>
          <t>4016AF</t>
        </is>
      </c>
      <c r="D791" t="inlineStr">
        <is>
          <t>CDMX Y AREA METROPOLITANA</t>
        </is>
      </c>
      <c r="E791" t="inlineStr">
        <is>
          <t>11-2024</t>
        </is>
      </c>
      <c r="F791" t="inlineStr">
        <is>
          <t>04-2026</t>
        </is>
      </c>
      <c r="G791" t="n">
        <v>17</v>
      </c>
      <c r="H791" t="inlineStr">
        <is>
          <t>Efectivo</t>
        </is>
      </c>
      <c r="I791" t="inlineStr">
        <is>
          <t>04-2026</t>
        </is>
      </c>
      <c r="J791" t="inlineStr">
        <is>
          <t>13G758</t>
        </is>
      </c>
      <c r="K791" t="inlineStr">
        <is>
          <t>BYD D1</t>
        </is>
      </c>
      <c r="L791" t="inlineStr">
        <is>
          <t>DIDI</t>
        </is>
      </c>
      <c r="M791" s="3">
        <f>IF(H791="Efectivo",IFERROR((VALUE(RIGHT(I791,4))-VALUE(RIGHT(E791,4)))*12+(VALUE(LEFT(I791,2))-VALUE(LEFT(E791,2))),""),"")</f>
        <v/>
      </c>
    </row>
    <row r="792">
      <c r="A792" t="inlineStr">
        <is>
          <t>MORENO CARRADA HILDEBERTO</t>
        </is>
      </c>
      <c r="B792" t="inlineStr">
        <is>
          <t>Hombre</t>
        </is>
      </c>
      <c r="C792" t="inlineStr">
        <is>
          <t>6118AF</t>
        </is>
      </c>
      <c r="D792" t="inlineStr">
        <is>
          <t>BAJA CALIFORNIA</t>
        </is>
      </c>
      <c r="E792" t="inlineStr">
        <is>
          <t>10-2025</t>
        </is>
      </c>
      <c r="F792" t="inlineStr">
        <is>
          <t>03-2026</t>
        </is>
      </c>
      <c r="G792" t="n">
        <v>5</v>
      </c>
      <c r="H792" t="inlineStr">
        <is>
          <t>Efectivo</t>
        </is>
      </c>
      <c r="I792" t="inlineStr">
        <is>
          <t>03-2026</t>
        </is>
      </c>
      <c r="J792" t="inlineStr">
        <is>
          <t>CAS955A</t>
        </is>
      </c>
      <c r="K792" t="inlineStr">
        <is>
          <t>CHEVROLET AVEO</t>
        </is>
      </c>
      <c r="L792" t="inlineStr">
        <is>
          <t>UBER</t>
        </is>
      </c>
      <c r="M792" s="3">
        <f>IF(H792="Efectivo",IFERROR((VALUE(RIGHT(I792,4))-VALUE(RIGHT(E792,4)))*12+(VALUE(LEFT(I792,2))-VALUE(LEFT(E792,2))),""),"")</f>
        <v/>
      </c>
    </row>
    <row r="793">
      <c r="A793" t="inlineStr">
        <is>
          <t>MORENO EGUIA EMILIO EMANUEL</t>
        </is>
      </c>
      <c r="B793" t="inlineStr">
        <is>
          <t>Hombre</t>
        </is>
      </c>
      <c r="C793" t="inlineStr">
        <is>
          <t>4846AF</t>
        </is>
      </c>
      <c r="D793" t="inlineStr">
        <is>
          <t>NUEVO LEON</t>
        </is>
      </c>
      <c r="E793" t="inlineStr">
        <is>
          <t>05-2025</t>
        </is>
      </c>
      <c r="F793" t="inlineStr">
        <is>
          <t>09-2025</t>
        </is>
      </c>
      <c r="G793" t="n">
        <v>4</v>
      </c>
      <c r="H793" t="inlineStr">
        <is>
          <t>Efectivo</t>
        </is>
      </c>
      <c r="I793" t="inlineStr">
        <is>
          <t>10-2025</t>
        </is>
      </c>
      <c r="J793" t="inlineStr">
        <is>
          <t>RLW864C</t>
        </is>
      </c>
      <c r="K793" t="inlineStr">
        <is>
          <t>CHEVROLET AVEO</t>
        </is>
      </c>
      <c r="L793" t="inlineStr">
        <is>
          <t>DIDI</t>
        </is>
      </c>
      <c r="M793" s="3">
        <f>IF(H793="Efectivo",IFERROR((VALUE(RIGHT(I793,4))-VALUE(RIGHT(E793,4)))*12+(VALUE(LEFT(I793,2))-VALUE(LEFT(E793,2))),""),"")</f>
        <v/>
      </c>
    </row>
    <row r="794">
      <c r="A794" t="inlineStr">
        <is>
          <t>MORENO GONZALES VICTOR AGEO</t>
        </is>
      </c>
      <c r="B794" t="inlineStr">
        <is>
          <t>Hombre</t>
        </is>
      </c>
      <c r="C794" t="inlineStr">
        <is>
          <t>2890AF</t>
        </is>
      </c>
      <c r="D794" t="inlineStr">
        <is>
          <t>BAJA CALIFORNIA</t>
        </is>
      </c>
      <c r="E794" t="inlineStr">
        <is>
          <t>11-2023</t>
        </is>
      </c>
      <c r="F794" t="inlineStr">
        <is>
          <t>02-2025</t>
        </is>
      </c>
      <c r="G794" t="n">
        <v>15</v>
      </c>
      <c r="H794" t="inlineStr">
        <is>
          <t>Cancelado</t>
        </is>
      </c>
      <c r="J794" t="inlineStr">
        <is>
          <t>BKM797A</t>
        </is>
      </c>
      <c r="K794" t="inlineStr">
        <is>
          <t>CHEVROLET AVEO</t>
        </is>
      </c>
      <c r="L794" t="inlineStr">
        <is>
          <t>UBER</t>
        </is>
      </c>
      <c r="M794" s="3">
        <f>IF(H794="Efectivo",IFERROR((VALUE(RIGHT(I794,4))-VALUE(RIGHT(E794,4)))*12+(VALUE(LEFT(I794,2))-VALUE(LEFT(E794,2))),""),"")</f>
        <v/>
      </c>
    </row>
    <row r="795">
      <c r="A795" t="inlineStr">
        <is>
          <t>MORENO GONZALES VICTOR AGEO</t>
        </is>
      </c>
      <c r="B795" t="inlineStr">
        <is>
          <t>Hombre</t>
        </is>
      </c>
      <c r="C795" t="inlineStr">
        <is>
          <t>2890AF</t>
        </is>
      </c>
      <c r="D795" t="inlineStr">
        <is>
          <t>BAJA CALIFORNIA</t>
        </is>
      </c>
      <c r="E795" t="inlineStr">
        <is>
          <t>11-2023</t>
        </is>
      </c>
      <c r="F795" t="inlineStr">
        <is>
          <t>04-2026</t>
        </is>
      </c>
      <c r="G795" t="n">
        <v>29</v>
      </c>
      <c r="H795" t="inlineStr">
        <is>
          <t>Pendiente</t>
        </is>
      </c>
      <c r="J795" t="inlineStr">
        <is>
          <t>BKM797A</t>
        </is>
      </c>
      <c r="K795" t="inlineStr">
        <is>
          <t>CHEVROLET AVEO</t>
        </is>
      </c>
      <c r="L795" t="inlineStr">
        <is>
          <t>UBER</t>
        </is>
      </c>
      <c r="M795" s="3">
        <f>IF(H795="Efectivo",IFERROR((VALUE(RIGHT(I795,4))-VALUE(RIGHT(E795,4)))*12+(VALUE(LEFT(I795,2))-VALUE(LEFT(E795,2))),""),"")</f>
        <v/>
      </c>
    </row>
    <row r="796">
      <c r="A796" t="inlineStr">
        <is>
          <t>MORENO SANDOVAL JOEL ENRIQUE</t>
        </is>
      </c>
      <c r="B796" t="inlineStr">
        <is>
          <t>Hombre</t>
        </is>
      </c>
      <c r="C796" t="inlineStr">
        <is>
          <t>5196AF</t>
        </is>
      </c>
      <c r="D796" t="inlineStr">
        <is>
          <t>BAJA CALIFORNIA</t>
        </is>
      </c>
      <c r="E796" t="inlineStr">
        <is>
          <t>06-2025</t>
        </is>
      </c>
      <c r="F796" t="inlineStr">
        <is>
          <t>03-2026</t>
        </is>
      </c>
      <c r="G796" t="n">
        <v>9</v>
      </c>
      <c r="H796" t="inlineStr">
        <is>
          <t>Efectivo</t>
        </is>
      </c>
      <c r="I796" t="inlineStr">
        <is>
          <t>03-2026</t>
        </is>
      </c>
      <c r="J796" t="inlineStr">
        <is>
          <t>BZB780A</t>
        </is>
      </c>
      <c r="K796" t="inlineStr">
        <is>
          <t>CHEVROLET AVEO</t>
        </is>
      </c>
      <c r="L796" t="inlineStr">
        <is>
          <t>UBER</t>
        </is>
      </c>
      <c r="M796" s="3">
        <f>IF(H796="Efectivo",IFERROR((VALUE(RIGHT(I796,4))-VALUE(RIGHT(E796,4)))*12+(VALUE(LEFT(I796,2))-VALUE(LEFT(E796,2))),""),"")</f>
        <v/>
      </c>
    </row>
    <row r="797">
      <c r="A797" t="inlineStr">
        <is>
          <t>MORENO VAZQUEZ JOSE ANTONIO</t>
        </is>
      </c>
      <c r="B797" t="inlineStr">
        <is>
          <t>Hombre</t>
        </is>
      </c>
      <c r="C797" t="inlineStr">
        <is>
          <t>5490AF</t>
        </is>
      </c>
      <c r="D797" t="inlineStr">
        <is>
          <t>BAJA CALIFORNIA</t>
        </is>
      </c>
      <c r="E797" t="inlineStr">
        <is>
          <t>08-2025</t>
        </is>
      </c>
      <c r="F797" t="inlineStr">
        <is>
          <t>01-2026</t>
        </is>
      </c>
      <c r="G797" t="n">
        <v>5</v>
      </c>
      <c r="H797" t="inlineStr">
        <is>
          <t>Pendiente</t>
        </is>
      </c>
      <c r="J797" t="inlineStr">
        <is>
          <t>BZA436A</t>
        </is>
      </c>
      <c r="K797" t="inlineStr">
        <is>
          <t>CHEVROLET AVEO</t>
        </is>
      </c>
      <c r="L797" t="inlineStr">
        <is>
          <t>DIDI</t>
        </is>
      </c>
      <c r="M797" s="3">
        <f>IF(H797="Efectivo",IFERROR((VALUE(RIGHT(I797,4))-VALUE(RIGHT(E797,4)))*12+(VALUE(LEFT(I797,2))-VALUE(LEFT(E797,2))),""),"")</f>
        <v/>
      </c>
    </row>
    <row r="798">
      <c r="A798" t="inlineStr">
        <is>
          <t>MORGAS PEREZ OSIRIS ANAY</t>
        </is>
      </c>
      <c r="B798" t="inlineStr">
        <is>
          <t>Mujer</t>
        </is>
      </c>
      <c r="C798" t="inlineStr">
        <is>
          <t>6387AF</t>
        </is>
      </c>
      <c r="D798" t="inlineStr">
        <is>
          <t>NUEVO LEON</t>
        </is>
      </c>
      <c r="E798" t="inlineStr">
        <is>
          <t>12-2025</t>
        </is>
      </c>
      <c r="F798" t="inlineStr">
        <is>
          <t>03-2026</t>
        </is>
      </c>
      <c r="G798" t="n">
        <v>4</v>
      </c>
      <c r="H798" t="inlineStr">
        <is>
          <t>Efectivo</t>
        </is>
      </c>
      <c r="I798" t="inlineStr">
        <is>
          <t>04-2026</t>
        </is>
      </c>
      <c r="J798" t="inlineStr">
        <is>
          <t>53S658</t>
        </is>
      </c>
      <c r="K798" t="inlineStr">
        <is>
          <t>BYD MINIDOLPHIN</t>
        </is>
      </c>
      <c r="L798" t="inlineStr">
        <is>
          <t>UBER</t>
        </is>
      </c>
      <c r="M798" s="3">
        <f>IF(H798="Efectivo",IFERROR((VALUE(RIGHT(I798,4))-VALUE(RIGHT(E798,4)))*12+(VALUE(LEFT(I798,2))-VALUE(LEFT(E798,2))),""),"")</f>
        <v/>
      </c>
    </row>
    <row r="799">
      <c r="A799" t="inlineStr">
        <is>
          <t>MUÑOZ HERNANDEZ GIOVANNI IVAN</t>
        </is>
      </c>
      <c r="B799" t="inlineStr">
        <is>
          <t>Hombre</t>
        </is>
      </c>
      <c r="C799" t="inlineStr">
        <is>
          <t>3223AF</t>
        </is>
      </c>
      <c r="D799" t="inlineStr">
        <is>
          <t>CDMX Y AREA METROPOLITANA</t>
        </is>
      </c>
      <c r="E799" t="inlineStr">
        <is>
          <t>04-2024</t>
        </is>
      </c>
      <c r="F799" t="inlineStr">
        <is>
          <t>06-2025</t>
        </is>
      </c>
      <c r="G799" t="n">
        <v>14</v>
      </c>
      <c r="H799" t="inlineStr">
        <is>
          <t>Efectivo</t>
        </is>
      </c>
      <c r="I799" t="inlineStr">
        <is>
          <t>07-2025</t>
        </is>
      </c>
      <c r="J799" t="inlineStr">
        <is>
          <t>84F301</t>
        </is>
      </c>
      <c r="K799" t="inlineStr">
        <is>
          <t>SUZUKI ERTIGA</t>
        </is>
      </c>
      <c r="L799" t="inlineStr">
        <is>
          <t>UBER</t>
        </is>
      </c>
      <c r="M799" s="3">
        <f>IF(H799="Efectivo",IFERROR((VALUE(RIGHT(I799,4))-VALUE(RIGHT(E799,4)))*12+(VALUE(LEFT(I799,2))-VALUE(LEFT(E799,2))),""),"")</f>
        <v/>
      </c>
    </row>
    <row r="800">
      <c r="A800" t="inlineStr">
        <is>
          <t>MUÑOZ HERNANDEZ OMAR EDUARDO</t>
        </is>
      </c>
      <c r="B800" t="inlineStr">
        <is>
          <t>Hombre</t>
        </is>
      </c>
      <c r="C800" t="inlineStr">
        <is>
          <t>3064AF</t>
        </is>
      </c>
      <c r="D800" t="inlineStr">
        <is>
          <t>CDMX Y AREA METROPOLITANA</t>
        </is>
      </c>
      <c r="E800" t="inlineStr">
        <is>
          <t>02-2024</t>
        </is>
      </c>
      <c r="F800" t="inlineStr">
        <is>
          <t>01-2026</t>
        </is>
      </c>
      <c r="G800" t="n">
        <v>23</v>
      </c>
      <c r="H800" t="inlineStr">
        <is>
          <t>Efectivo</t>
        </is>
      </c>
      <c r="I800" t="inlineStr">
        <is>
          <t>02-2026</t>
        </is>
      </c>
      <c r="J800" t="inlineStr">
        <is>
          <t>81F259</t>
        </is>
      </c>
      <c r="K800" t="inlineStr">
        <is>
          <t>SUZUKI ERTIGA</t>
        </is>
      </c>
      <c r="L800" t="inlineStr">
        <is>
          <t>UBER</t>
        </is>
      </c>
      <c r="M800" s="3">
        <f>IF(H800="Efectivo",IFERROR((VALUE(RIGHT(I800,4))-VALUE(RIGHT(E800,4)))*12+(VALUE(LEFT(I800,2))-VALUE(LEFT(E800,2))),""),"")</f>
        <v/>
      </c>
    </row>
    <row r="801">
      <c r="A801" t="inlineStr">
        <is>
          <t>MUÑOZ MIRANDA URIEL ISAY</t>
        </is>
      </c>
      <c r="B801" t="inlineStr">
        <is>
          <t>Hombre</t>
        </is>
      </c>
      <c r="C801" t="inlineStr">
        <is>
          <t>5926AF</t>
        </is>
      </c>
      <c r="D801" t="inlineStr">
        <is>
          <t>CDMX Y AREA METROPOLITANA</t>
        </is>
      </c>
      <c r="E801" t="inlineStr">
        <is>
          <t>10-2025</t>
        </is>
      </c>
      <c r="F801" t="inlineStr">
        <is>
          <t>03-2026</t>
        </is>
      </c>
      <c r="G801" t="n">
        <v>5</v>
      </c>
      <c r="H801" t="inlineStr">
        <is>
          <t>Efectivo</t>
        </is>
      </c>
      <c r="I801" t="inlineStr">
        <is>
          <t>04-2026</t>
        </is>
      </c>
      <c r="J801" t="inlineStr">
        <is>
          <t>11K124</t>
        </is>
      </c>
      <c r="K801" t="inlineStr">
        <is>
          <t>BYD MINIDOLPHIN</t>
        </is>
      </c>
      <c r="L801" t="inlineStr">
        <is>
          <t>UBER</t>
        </is>
      </c>
      <c r="M801" s="3">
        <f>IF(H801="Efectivo",IFERROR((VALUE(RIGHT(I801,4))-VALUE(RIGHT(E801,4)))*12+(VALUE(LEFT(I801,2))-VALUE(LEFT(E801,2))),""),"")</f>
        <v/>
      </c>
    </row>
    <row r="802">
      <c r="A802" t="inlineStr">
        <is>
          <t>NAJERA PILGRAN LUIS ALEJANDRO</t>
        </is>
      </c>
      <c r="B802" t="inlineStr">
        <is>
          <t>Hombre</t>
        </is>
      </c>
      <c r="C802" t="inlineStr">
        <is>
          <t>4859AF</t>
        </is>
      </c>
      <c r="D802" t="inlineStr">
        <is>
          <t>CDMX Y AREA METROPOLITANA</t>
        </is>
      </c>
      <c r="E802" t="inlineStr">
        <is>
          <t>05-2025</t>
        </is>
      </c>
      <c r="F802" t="inlineStr">
        <is>
          <t>11-2025</t>
        </is>
      </c>
      <c r="G802" t="n">
        <v>6</v>
      </c>
      <c r="H802" t="inlineStr">
        <is>
          <t>Efectivo</t>
        </is>
      </c>
      <c r="I802" t="inlineStr">
        <is>
          <t>12-2025</t>
        </is>
      </c>
      <c r="J802" t="inlineStr">
        <is>
          <t>50G748</t>
        </is>
      </c>
      <c r="K802" t="inlineStr">
        <is>
          <t>GAC AION S</t>
        </is>
      </c>
      <c r="L802" t="inlineStr">
        <is>
          <t>DIDI</t>
        </is>
      </c>
      <c r="M802" s="3">
        <f>IF(H802="Efectivo",IFERROR((VALUE(RIGHT(I802,4))-VALUE(RIGHT(E802,4)))*12+(VALUE(LEFT(I802,2))-VALUE(LEFT(E802,2))),""),"")</f>
        <v/>
      </c>
    </row>
    <row r="803">
      <c r="A803" t="inlineStr">
        <is>
          <t>NAÑEZ REYES LUIS ALBERTO</t>
        </is>
      </c>
      <c r="B803" t="inlineStr">
        <is>
          <t>Hombre</t>
        </is>
      </c>
      <c r="C803" t="inlineStr">
        <is>
          <t>6279AF</t>
        </is>
      </c>
      <c r="D803" t="inlineStr">
        <is>
          <t>BAJA CALIFORNIA</t>
        </is>
      </c>
      <c r="E803" t="inlineStr">
        <is>
          <t>11-2025</t>
        </is>
      </c>
      <c r="F803" t="inlineStr">
        <is>
          <t>05-2026</t>
        </is>
      </c>
      <c r="G803" t="n">
        <v>6</v>
      </c>
      <c r="H803" t="inlineStr">
        <is>
          <t>Pendiente</t>
        </is>
      </c>
      <c r="J803" t="inlineStr">
        <is>
          <t>CAT829A</t>
        </is>
      </c>
      <c r="K803" t="inlineStr">
        <is>
          <t>CHEVROLET AVEO</t>
        </is>
      </c>
      <c r="L803" t="inlineStr">
        <is>
          <t>UBER</t>
        </is>
      </c>
      <c r="M803" s="3">
        <f>IF(H803="Efectivo",IFERROR((VALUE(RIGHT(I803,4))-VALUE(RIGHT(E803,4)))*12+(VALUE(LEFT(I803,2))-VALUE(LEFT(E803,2))),""),"")</f>
        <v/>
      </c>
    </row>
    <row r="804">
      <c r="A804" t="inlineStr">
        <is>
          <t>NAVA MORENO OSVALDO</t>
        </is>
      </c>
      <c r="B804" t="inlineStr">
        <is>
          <t>Hombre</t>
        </is>
      </c>
      <c r="C804" t="inlineStr">
        <is>
          <t>3374AF</t>
        </is>
      </c>
      <c r="D804" t="inlineStr">
        <is>
          <t>CDMX Y AREA METROPOLITANA</t>
        </is>
      </c>
      <c r="E804" t="inlineStr">
        <is>
          <t>06-2024</t>
        </is>
      </c>
      <c r="F804" t="inlineStr">
        <is>
          <t>07-2025</t>
        </is>
      </c>
      <c r="G804" t="n">
        <v>13</v>
      </c>
      <c r="H804" t="inlineStr">
        <is>
          <t>Efectivo</t>
        </is>
      </c>
      <c r="I804" t="inlineStr">
        <is>
          <t>08-2025</t>
        </is>
      </c>
      <c r="J804" t="inlineStr">
        <is>
          <t>B91BNY</t>
        </is>
      </c>
      <c r="K804" t="inlineStr">
        <is>
          <t>CHEVROLET AVEO</t>
        </is>
      </c>
      <c r="L804" t="inlineStr">
        <is>
          <t>UBER</t>
        </is>
      </c>
      <c r="M804" s="3">
        <f>IF(H804="Efectivo",IFERROR((VALUE(RIGHT(I804,4))-VALUE(RIGHT(E804,4)))*12+(VALUE(LEFT(I804,2))-VALUE(LEFT(E804,2))),""),"")</f>
        <v/>
      </c>
    </row>
    <row r="805">
      <c r="A805" t="inlineStr">
        <is>
          <t>NAVA OLIVOS MANUEL ALFONSO</t>
        </is>
      </c>
      <c r="B805" t="inlineStr">
        <is>
          <t>Hombre</t>
        </is>
      </c>
      <c r="C805" t="inlineStr">
        <is>
          <t>4696AF</t>
        </is>
      </c>
      <c r="D805" t="inlineStr">
        <is>
          <t>CDMX Y AREA METROPOLITANA</t>
        </is>
      </c>
      <c r="E805" t="inlineStr">
        <is>
          <t>04-2025</t>
        </is>
      </c>
      <c r="F805" t="inlineStr">
        <is>
          <t>02-2026</t>
        </is>
      </c>
      <c r="G805" t="n">
        <v>9</v>
      </c>
      <c r="H805" t="inlineStr">
        <is>
          <t>Efectivo</t>
        </is>
      </c>
      <c r="I805" t="inlineStr">
        <is>
          <t>04-2026</t>
        </is>
      </c>
      <c r="J805" t="inlineStr">
        <is>
          <t>41G452</t>
        </is>
      </c>
      <c r="K805" t="inlineStr">
        <is>
          <t>BYD MINIDOLPHIN</t>
        </is>
      </c>
      <c r="L805" t="inlineStr">
        <is>
          <t>DIDI</t>
        </is>
      </c>
      <c r="M805" s="3">
        <f>IF(H805="Efectivo",IFERROR((VALUE(RIGHT(I805,4))-VALUE(RIGHT(E805,4)))*12+(VALUE(LEFT(I805,2))-VALUE(LEFT(E805,2))),""),"")</f>
        <v/>
      </c>
    </row>
    <row r="806">
      <c r="A806" t="inlineStr">
        <is>
          <t>NAVA RODRIGUEZ JOSE GILBERTO</t>
        </is>
      </c>
      <c r="B806" t="inlineStr">
        <is>
          <t>Hombre</t>
        </is>
      </c>
      <c r="C806" t="inlineStr">
        <is>
          <t>2895AF</t>
        </is>
      </c>
      <c r="D806" t="inlineStr">
        <is>
          <t>CDMX Y AREA METROPOLITANA</t>
        </is>
      </c>
      <c r="E806" t="inlineStr">
        <is>
          <t>11-2023</t>
        </is>
      </c>
      <c r="F806" t="inlineStr">
        <is>
          <t>04-2025</t>
        </is>
      </c>
      <c r="G806" t="n">
        <v>17</v>
      </c>
      <c r="H806" t="inlineStr">
        <is>
          <t>Pendiente</t>
        </is>
      </c>
      <c r="J806" t="inlineStr">
        <is>
          <t>37F545</t>
        </is>
      </c>
      <c r="K806" t="inlineStr">
        <is>
          <t>EJ7</t>
        </is>
      </c>
      <c r="L806" t="inlineStr">
        <is>
          <t>UBER</t>
        </is>
      </c>
      <c r="M806" s="3">
        <f>IF(H806="Efectivo",IFERROR((VALUE(RIGHT(I806,4))-VALUE(RIGHT(E806,4)))*12+(VALUE(LEFT(I806,2))-VALUE(LEFT(E806,2))),""),"")</f>
        <v/>
      </c>
    </row>
    <row r="807">
      <c r="A807" t="inlineStr">
        <is>
          <t>NAVARRO ROJAS ALAN OMAR</t>
        </is>
      </c>
      <c r="B807" t="inlineStr">
        <is>
          <t>Hombre</t>
        </is>
      </c>
      <c r="C807" t="inlineStr">
        <is>
          <t>3371AF</t>
        </is>
      </c>
      <c r="D807" t="inlineStr">
        <is>
          <t>CDMX Y AREA METROPOLITANA</t>
        </is>
      </c>
      <c r="E807" t="inlineStr">
        <is>
          <t>06-2024</t>
        </is>
      </c>
      <c r="F807" t="inlineStr">
        <is>
          <t>04-2026</t>
        </is>
      </c>
      <c r="G807" t="n">
        <v>22</v>
      </c>
      <c r="H807" t="inlineStr">
        <is>
          <t>Efectivo</t>
        </is>
      </c>
      <c r="I807" t="inlineStr">
        <is>
          <t>04-2026</t>
        </is>
      </c>
      <c r="J807" t="inlineStr">
        <is>
          <t>B35BNY</t>
        </is>
      </c>
      <c r="K807" t="inlineStr">
        <is>
          <t>CHEVROLET AVEO</t>
        </is>
      </c>
      <c r="L807" t="inlineStr">
        <is>
          <t>UBER</t>
        </is>
      </c>
      <c r="M807" s="3">
        <f>IF(H807="Efectivo",IFERROR((VALUE(RIGHT(I807,4))-VALUE(RIGHT(E807,4)))*12+(VALUE(LEFT(I807,2))-VALUE(LEFT(E807,2))),""),"")</f>
        <v/>
      </c>
    </row>
    <row r="808">
      <c r="A808" t="inlineStr">
        <is>
          <t>NAVARRO ROJAS ALAN OMAR</t>
        </is>
      </c>
      <c r="B808" t="inlineStr">
        <is>
          <t>Hombre</t>
        </is>
      </c>
      <c r="C808" t="inlineStr">
        <is>
          <t>6722AF</t>
        </is>
      </c>
      <c r="D808" t="inlineStr">
        <is>
          <t>CDMX Y AREA METROPOLITANA</t>
        </is>
      </c>
      <c r="E808" t="inlineStr">
        <is>
          <t>01-2026</t>
        </is>
      </c>
      <c r="F808" t="inlineStr">
        <is>
          <t>04-2026</t>
        </is>
      </c>
      <c r="G808" t="n">
        <v>3</v>
      </c>
      <c r="H808" t="inlineStr">
        <is>
          <t>Efectivo</t>
        </is>
      </c>
      <c r="I808" t="inlineStr">
        <is>
          <t>04-2026</t>
        </is>
      </c>
      <c r="J808" t="inlineStr">
        <is>
          <t>S39BNL</t>
        </is>
      </c>
      <c r="K808" t="inlineStr">
        <is>
          <t>CHEVROLET AVEO</t>
        </is>
      </c>
      <c r="L808" t="inlineStr">
        <is>
          <t>DIDI</t>
        </is>
      </c>
      <c r="M808" s="3">
        <f>IF(H808="Efectivo",IFERROR((VALUE(RIGHT(I808,4))-VALUE(RIGHT(E808,4)))*12+(VALUE(LEFT(I808,2))-VALUE(LEFT(E808,2))),""),"")</f>
        <v/>
      </c>
    </row>
    <row r="809">
      <c r="A809" t="inlineStr">
        <is>
          <t>NAZARIO BELTRAN ADRIAN</t>
        </is>
      </c>
      <c r="B809" t="inlineStr">
        <is>
          <t>Hombre</t>
        </is>
      </c>
      <c r="C809" t="inlineStr">
        <is>
          <t>4238AF</t>
        </is>
      </c>
      <c r="D809" t="inlineStr">
        <is>
          <t>CDMX Y AREA METROPOLITANA</t>
        </is>
      </c>
      <c r="E809" t="inlineStr">
        <is>
          <t>01-2025</t>
        </is>
      </c>
      <c r="F809" t="inlineStr">
        <is>
          <t>06-2025</t>
        </is>
      </c>
      <c r="G809" t="n">
        <v>4</v>
      </c>
      <c r="H809" t="inlineStr">
        <is>
          <t>Efectivo</t>
        </is>
      </c>
      <c r="I809" t="inlineStr">
        <is>
          <t>06-2025</t>
        </is>
      </c>
      <c r="J809" t="inlineStr">
        <is>
          <t>62F554</t>
        </is>
      </c>
      <c r="K809" t="inlineStr">
        <is>
          <t>GAC AION S</t>
        </is>
      </c>
      <c r="L809" t="inlineStr">
        <is>
          <t>UBER</t>
        </is>
      </c>
      <c r="M809" s="3">
        <f>IF(H809="Efectivo",IFERROR((VALUE(RIGHT(I809,4))-VALUE(RIGHT(E809,4)))*12+(VALUE(LEFT(I809,2))-VALUE(LEFT(E809,2))),""),"")</f>
        <v/>
      </c>
    </row>
    <row r="810">
      <c r="A810" t="inlineStr">
        <is>
          <t>NAZARIO RODRIGUEZ VALENTIN</t>
        </is>
      </c>
      <c r="B810" t="inlineStr">
        <is>
          <t>Hombre</t>
        </is>
      </c>
      <c r="C810" t="inlineStr">
        <is>
          <t>2356AF</t>
        </is>
      </c>
      <c r="D810" t="inlineStr">
        <is>
          <t>CDMX Y AREA METROPOLITANA</t>
        </is>
      </c>
      <c r="E810" t="inlineStr">
        <is>
          <t>11-2022</t>
        </is>
      </c>
      <c r="F810" t="inlineStr">
        <is>
          <t>04-2025</t>
        </is>
      </c>
      <c r="G810" t="n">
        <v>29</v>
      </c>
      <c r="H810" t="inlineStr">
        <is>
          <t>Efectivo</t>
        </is>
      </c>
      <c r="I810" t="inlineStr">
        <is>
          <t>05-2025</t>
        </is>
      </c>
      <c r="J810" t="inlineStr">
        <is>
          <t>K25BKG</t>
        </is>
      </c>
      <c r="K810" t="inlineStr">
        <is>
          <t>IGNIS</t>
        </is>
      </c>
      <c r="L810" t="inlineStr">
        <is>
          <t>UBER</t>
        </is>
      </c>
      <c r="M810" s="3">
        <f>IF(H810="Efectivo",IFERROR((VALUE(RIGHT(I810,4))-VALUE(RIGHT(E810,4)))*12+(VALUE(LEFT(I810,2))-VALUE(LEFT(E810,2))),""),"")</f>
        <v/>
      </c>
    </row>
    <row r="811">
      <c r="A811" t="inlineStr">
        <is>
          <t>NERI MUÑOZ ENRIQUE</t>
        </is>
      </c>
      <c r="B811" t="inlineStr">
        <is>
          <t>Hombre</t>
        </is>
      </c>
      <c r="C811" t="inlineStr">
        <is>
          <t>3307AF</t>
        </is>
      </c>
      <c r="D811" t="inlineStr">
        <is>
          <t>CDMX Y AREA METROPOLITANA</t>
        </is>
      </c>
      <c r="E811" t="inlineStr">
        <is>
          <t>05-2024</t>
        </is>
      </c>
      <c r="F811" t="inlineStr">
        <is>
          <t>04-2025</t>
        </is>
      </c>
      <c r="G811" t="n">
        <v>10</v>
      </c>
      <c r="H811" t="inlineStr">
        <is>
          <t>Efectivo</t>
        </is>
      </c>
      <c r="I811" t="inlineStr">
        <is>
          <t>04-2025</t>
        </is>
      </c>
      <c r="J811" t="inlineStr">
        <is>
          <t>B87BPD</t>
        </is>
      </c>
      <c r="K811" t="inlineStr">
        <is>
          <t>CHEVROLET AVEO</t>
        </is>
      </c>
      <c r="L811" t="inlineStr">
        <is>
          <t>UBER</t>
        </is>
      </c>
      <c r="M811" s="3">
        <f>IF(H811="Efectivo",IFERROR((VALUE(RIGHT(I811,4))-VALUE(RIGHT(E811,4)))*12+(VALUE(LEFT(I811,2))-VALUE(LEFT(E811,2))),""),"")</f>
        <v/>
      </c>
    </row>
    <row r="812">
      <c r="A812" t="inlineStr">
        <is>
          <t>NERI ROMO ABRAHAM LAJUD</t>
        </is>
      </c>
      <c r="B812" t="inlineStr">
        <is>
          <t>Hombre</t>
        </is>
      </c>
      <c r="C812" t="inlineStr">
        <is>
          <t>4309AF</t>
        </is>
      </c>
      <c r="D812" t="inlineStr">
        <is>
          <t>CDMX Y AREA METROPOLITANA</t>
        </is>
      </c>
      <c r="E812" t="inlineStr">
        <is>
          <t>02-2025</t>
        </is>
      </c>
      <c r="F812" t="inlineStr">
        <is>
          <t>09-2025</t>
        </is>
      </c>
      <c r="G812" t="n">
        <v>7</v>
      </c>
      <c r="H812" t="inlineStr">
        <is>
          <t>Cancelado</t>
        </is>
      </c>
      <c r="J812" t="inlineStr">
        <is>
          <t>E94BRJ</t>
        </is>
      </c>
      <c r="K812" t="inlineStr">
        <is>
          <t>CHEVROLET AVEO</t>
        </is>
      </c>
      <c r="L812" t="inlineStr">
        <is>
          <t>UBER</t>
        </is>
      </c>
      <c r="M812" s="3">
        <f>IF(H812="Efectivo",IFERROR((VALUE(RIGHT(I812,4))-VALUE(RIGHT(E812,4)))*12+(VALUE(LEFT(I812,2))-VALUE(LEFT(E812,2))),""),"")</f>
        <v/>
      </c>
    </row>
    <row r="813">
      <c r="A813" t="inlineStr">
        <is>
          <t>NERI ROMO ABRAHAM LAJUD</t>
        </is>
      </c>
      <c r="B813" t="inlineStr">
        <is>
          <t>Hombre</t>
        </is>
      </c>
      <c r="C813" t="inlineStr">
        <is>
          <t>4309AF</t>
        </is>
      </c>
      <c r="D813" t="inlineStr">
        <is>
          <t>CDMX Y AREA METROPOLITANA</t>
        </is>
      </c>
      <c r="E813" t="inlineStr">
        <is>
          <t>02-2025</t>
        </is>
      </c>
      <c r="F813" t="inlineStr">
        <is>
          <t>12-2025</t>
        </is>
      </c>
      <c r="G813" t="n">
        <v>10</v>
      </c>
      <c r="H813" t="inlineStr">
        <is>
          <t>Efectivo</t>
        </is>
      </c>
      <c r="I813" t="inlineStr">
        <is>
          <t>01-2026</t>
        </is>
      </c>
      <c r="J813" t="inlineStr">
        <is>
          <t>E94BRJ</t>
        </is>
      </c>
      <c r="K813" t="inlineStr">
        <is>
          <t>CHEVROLET AVEO</t>
        </is>
      </c>
      <c r="L813" t="inlineStr">
        <is>
          <t>UBER</t>
        </is>
      </c>
      <c r="M813" s="3">
        <f>IF(H813="Efectivo",IFERROR((VALUE(RIGHT(I813,4))-VALUE(RIGHT(E813,4)))*12+(VALUE(LEFT(I813,2))-VALUE(LEFT(E813,2))),""),"")</f>
        <v/>
      </c>
    </row>
    <row r="814">
      <c r="A814" t="inlineStr">
        <is>
          <t>NI O SOLIS JUAN ANDRES OSVALDO</t>
        </is>
      </c>
      <c r="B814" t="inlineStr">
        <is>
          <t>Hombre</t>
        </is>
      </c>
      <c r="C814" t="inlineStr">
        <is>
          <t>6687AF</t>
        </is>
      </c>
      <c r="D814" t="inlineStr">
        <is>
          <t>NUEVO LEON</t>
        </is>
      </c>
      <c r="E814" t="inlineStr">
        <is>
          <t>01-2026</t>
        </is>
      </c>
      <c r="F814" t="inlineStr">
        <is>
          <t>05-2026</t>
        </is>
      </c>
      <c r="G814" t="n">
        <v>4</v>
      </c>
      <c r="H814" t="inlineStr">
        <is>
          <t>Pendiente</t>
        </is>
      </c>
      <c r="J814" t="inlineStr">
        <is>
          <t>56S311</t>
        </is>
      </c>
      <c r="K814" t="inlineStr">
        <is>
          <t>BYD MINIDOLPHIN</t>
        </is>
      </c>
      <c r="L814" t="inlineStr">
        <is>
          <t>UBER</t>
        </is>
      </c>
      <c r="M814" s="3">
        <f>IF(H814="Efectivo",IFERROR((VALUE(RIGHT(I814,4))-VALUE(RIGHT(E814,4)))*12+(VALUE(LEFT(I814,2))-VALUE(LEFT(E814,2))),""),"")</f>
        <v/>
      </c>
    </row>
    <row r="815">
      <c r="A815" t="inlineStr">
        <is>
          <t>NICACIO RAMIREZ PEDRO</t>
        </is>
      </c>
      <c r="B815" t="inlineStr">
        <is>
          <t>Hombre</t>
        </is>
      </c>
      <c r="C815" t="inlineStr">
        <is>
          <t>3211AF</t>
        </is>
      </c>
      <c r="D815" t="inlineStr">
        <is>
          <t>CDMX Y AREA METROPOLITANA</t>
        </is>
      </c>
      <c r="E815" t="inlineStr">
        <is>
          <t>04-2024</t>
        </is>
      </c>
      <c r="F815" t="inlineStr">
        <is>
          <t>09-2025</t>
        </is>
      </c>
      <c r="G815" t="n">
        <v>17</v>
      </c>
      <c r="H815" t="inlineStr">
        <is>
          <t>Pendiente</t>
        </is>
      </c>
      <c r="J815" t="inlineStr">
        <is>
          <t>84F101</t>
        </is>
      </c>
      <c r="K815" t="inlineStr">
        <is>
          <t>BYD D1</t>
        </is>
      </c>
      <c r="L815" t="inlineStr">
        <is>
          <t>UBER</t>
        </is>
      </c>
      <c r="M815" s="3">
        <f>IF(H815="Efectivo",IFERROR((VALUE(RIGHT(I815,4))-VALUE(RIGHT(E815,4)))*12+(VALUE(LEFT(I815,2))-VALUE(LEFT(E815,2))),""),"")</f>
        <v/>
      </c>
    </row>
    <row r="816">
      <c r="A816" t="inlineStr">
        <is>
          <t>NIEVA LORENZO OSVALDO DE JESUS</t>
        </is>
      </c>
      <c r="B816" t="inlineStr">
        <is>
          <t>Hombre</t>
        </is>
      </c>
      <c r="C816" t="inlineStr">
        <is>
          <t>3578AF</t>
        </is>
      </c>
      <c r="D816" t="inlineStr">
        <is>
          <t>CDMX Y AREA METROPOLITANA</t>
        </is>
      </c>
      <c r="E816" t="inlineStr">
        <is>
          <t>08-2024</t>
        </is>
      </c>
      <c r="F816" t="inlineStr">
        <is>
          <t>04-2025</t>
        </is>
      </c>
      <c r="G816" t="n">
        <v>8</v>
      </c>
      <c r="H816" t="inlineStr">
        <is>
          <t>Cancelado</t>
        </is>
      </c>
      <c r="J816" t="inlineStr">
        <is>
          <t>E78BPF</t>
        </is>
      </c>
      <c r="K816" t="inlineStr">
        <is>
          <t>CHEVROLET AVEO</t>
        </is>
      </c>
      <c r="L816" t="inlineStr">
        <is>
          <t>UBER</t>
        </is>
      </c>
      <c r="M816" s="3">
        <f>IF(H816="Efectivo",IFERROR((VALUE(RIGHT(I816,4))-VALUE(RIGHT(E816,4)))*12+(VALUE(LEFT(I816,2))-VALUE(LEFT(E816,2))),""),"")</f>
        <v/>
      </c>
    </row>
    <row r="817">
      <c r="A817" t="inlineStr">
        <is>
          <t>NIEVA LORENZO OSVALDO DE JESUS</t>
        </is>
      </c>
      <c r="B817" t="inlineStr">
        <is>
          <t>Hombre</t>
        </is>
      </c>
      <c r="C817" t="inlineStr">
        <is>
          <t>3578AF</t>
        </is>
      </c>
      <c r="D817" t="inlineStr">
        <is>
          <t>CDMX Y AREA METROPOLITANA</t>
        </is>
      </c>
      <c r="E817" t="inlineStr">
        <is>
          <t>08-2024</t>
        </is>
      </c>
      <c r="F817" t="inlineStr">
        <is>
          <t>11-2025</t>
        </is>
      </c>
      <c r="G817" t="n">
        <v>16</v>
      </c>
      <c r="H817" t="inlineStr">
        <is>
          <t>Efectivo</t>
        </is>
      </c>
      <c r="I817" t="inlineStr">
        <is>
          <t>12-2025</t>
        </is>
      </c>
      <c r="J817" t="inlineStr">
        <is>
          <t>E78BPF</t>
        </is>
      </c>
      <c r="K817" t="inlineStr">
        <is>
          <t>CHEVROLET AVEO</t>
        </is>
      </c>
      <c r="L817" t="inlineStr">
        <is>
          <t>UBER</t>
        </is>
      </c>
      <c r="M817" s="3">
        <f>IF(H817="Efectivo",IFERROR((VALUE(RIGHT(I817,4))-VALUE(RIGHT(E817,4)))*12+(VALUE(LEFT(I817,2))-VALUE(LEFT(E817,2))),""),"")</f>
        <v/>
      </c>
    </row>
    <row r="818">
      <c r="A818" t="inlineStr">
        <is>
          <t>NIEVES GUTIERREZ MARTIN</t>
        </is>
      </c>
      <c r="B818" t="inlineStr">
        <is>
          <t>Hombre</t>
        </is>
      </c>
      <c r="C818" t="inlineStr">
        <is>
          <t>5106AF</t>
        </is>
      </c>
      <c r="D818" t="inlineStr">
        <is>
          <t>CDMX Y AREA METROPOLITANA</t>
        </is>
      </c>
      <c r="E818" t="inlineStr">
        <is>
          <t>06-2025</t>
        </is>
      </c>
      <c r="F818" t="inlineStr">
        <is>
          <t>04-2026</t>
        </is>
      </c>
      <c r="G818" t="n">
        <v>10</v>
      </c>
      <c r="H818" t="inlineStr">
        <is>
          <t>Efectivo</t>
        </is>
      </c>
      <c r="I818" t="inlineStr">
        <is>
          <t>04-2026</t>
        </is>
      </c>
      <c r="J818" t="inlineStr">
        <is>
          <t>47G896</t>
        </is>
      </c>
      <c r="K818" t="inlineStr">
        <is>
          <t>BYD MINIDOLPHIN</t>
        </is>
      </c>
      <c r="L818" t="inlineStr">
        <is>
          <t>UBER</t>
        </is>
      </c>
      <c r="M818" s="3">
        <f>IF(H818="Efectivo",IFERROR((VALUE(RIGHT(I818,4))-VALUE(RIGHT(E818,4)))*12+(VALUE(LEFT(I818,2))-VALUE(LEFT(E818,2))),""),"")</f>
        <v/>
      </c>
    </row>
    <row r="819">
      <c r="A819" t="inlineStr">
        <is>
          <t>NIÑO ASTELLO ARNULFO</t>
        </is>
      </c>
      <c r="B819" t="inlineStr">
        <is>
          <t>Hombre</t>
        </is>
      </c>
      <c r="C819" t="inlineStr">
        <is>
          <t>3069AF</t>
        </is>
      </c>
      <c r="D819" t="inlineStr">
        <is>
          <t>NUEVO LEON</t>
        </is>
      </c>
      <c r="E819" t="inlineStr">
        <is>
          <t>02-2024</t>
        </is>
      </c>
      <c r="F819" t="inlineStr">
        <is>
          <t>05-2026</t>
        </is>
      </c>
      <c r="G819" t="n">
        <v>27</v>
      </c>
      <c r="H819" t="inlineStr">
        <is>
          <t>Pendiente</t>
        </is>
      </c>
      <c r="J819" t="inlineStr">
        <is>
          <t>SVZ838B</t>
        </is>
      </c>
      <c r="K819" t="inlineStr">
        <is>
          <t>CHEVROLET AVEO</t>
        </is>
      </c>
      <c r="L819" t="inlineStr">
        <is>
          <t>UBER</t>
        </is>
      </c>
      <c r="M819" s="3">
        <f>IF(H819="Efectivo",IFERROR((VALUE(RIGHT(I819,4))-VALUE(RIGHT(E819,4)))*12+(VALUE(LEFT(I819,2))-VALUE(LEFT(E819,2))),""),"")</f>
        <v/>
      </c>
    </row>
    <row r="820">
      <c r="A820" t="inlineStr">
        <is>
          <t>NOLASCO VALDES CONSTANTINO</t>
        </is>
      </c>
      <c r="B820" t="inlineStr">
        <is>
          <t>Hombre</t>
        </is>
      </c>
      <c r="C820" t="inlineStr">
        <is>
          <t>4208AF</t>
        </is>
      </c>
      <c r="D820" t="inlineStr">
        <is>
          <t>CDMX Y AREA METROPOLITANA</t>
        </is>
      </c>
      <c r="E820" t="inlineStr">
        <is>
          <t>01-2025</t>
        </is>
      </c>
      <c r="F820" t="inlineStr">
        <is>
          <t>09-2025</t>
        </is>
      </c>
      <c r="G820" t="n">
        <v>8</v>
      </c>
      <c r="H820" t="inlineStr">
        <is>
          <t>Efectivo</t>
        </is>
      </c>
      <c r="I820" t="inlineStr">
        <is>
          <t>09-2025</t>
        </is>
      </c>
      <c r="J820" t="inlineStr">
        <is>
          <t>R85BRD</t>
        </is>
      </c>
      <c r="K820" t="inlineStr">
        <is>
          <t>CHEVROLET AVEO</t>
        </is>
      </c>
      <c r="L820" t="inlineStr">
        <is>
          <t>UBER</t>
        </is>
      </c>
      <c r="M820" s="3">
        <f>IF(H820="Efectivo",IFERROR((VALUE(RIGHT(I820,4))-VALUE(RIGHT(E820,4)))*12+(VALUE(LEFT(I820,2))-VALUE(LEFT(E820,2))),""),"")</f>
        <v/>
      </c>
    </row>
    <row r="821">
      <c r="A821" t="inlineStr">
        <is>
          <t>NORIEGA TORRES CLIFF EDUARDO</t>
        </is>
      </c>
      <c r="B821" t="inlineStr">
        <is>
          <t>Hombre</t>
        </is>
      </c>
      <c r="C821" t="inlineStr">
        <is>
          <t>2532AF</t>
        </is>
      </c>
      <c r="D821" t="inlineStr">
        <is>
          <t>BAJA CALIFORNIA</t>
        </is>
      </c>
      <c r="E821" t="inlineStr">
        <is>
          <t>04-2023</t>
        </is>
      </c>
      <c r="F821" t="inlineStr">
        <is>
          <t>06-2025</t>
        </is>
      </c>
      <c r="G821" t="n">
        <v>26</v>
      </c>
      <c r="H821" t="inlineStr">
        <is>
          <t>Pendiente</t>
        </is>
      </c>
      <c r="J821" t="inlineStr">
        <is>
          <t>BGH357A</t>
        </is>
      </c>
      <c r="K821" t="inlineStr">
        <is>
          <t>CHEVROLET AVEO</t>
        </is>
      </c>
      <c r="L821" t="inlineStr">
        <is>
          <t>UBER</t>
        </is>
      </c>
      <c r="M821" s="3">
        <f>IF(H821="Efectivo",IFERROR((VALUE(RIGHT(I821,4))-VALUE(RIGHT(E821,4)))*12+(VALUE(LEFT(I821,2))-VALUE(LEFT(E821,2))),""),"")</f>
        <v/>
      </c>
    </row>
    <row r="822">
      <c r="A822" t="inlineStr">
        <is>
          <t>NUÑEZ JURADO JUAN CARLOS</t>
        </is>
      </c>
      <c r="B822" t="inlineStr">
        <is>
          <t>Hombre</t>
        </is>
      </c>
      <c r="C822" t="inlineStr">
        <is>
          <t>4305AF</t>
        </is>
      </c>
      <c r="D822" t="inlineStr">
        <is>
          <t>CDMX Y AREA METROPOLITANA</t>
        </is>
      </c>
      <c r="E822" t="inlineStr">
        <is>
          <t>02-2025</t>
        </is>
      </c>
      <c r="F822" t="inlineStr">
        <is>
          <t>09-2025</t>
        </is>
      </c>
      <c r="G822" t="n">
        <v>7</v>
      </c>
      <c r="H822" t="inlineStr">
        <is>
          <t>Cancelado</t>
        </is>
      </c>
      <c r="J822" t="inlineStr">
        <is>
          <t>27G520</t>
        </is>
      </c>
      <c r="K822" t="inlineStr">
        <is>
          <t>BYD MINIDOLPHIN</t>
        </is>
      </c>
      <c r="L822" t="inlineStr">
        <is>
          <t>UBER</t>
        </is>
      </c>
      <c r="M822" s="3">
        <f>IF(H822="Efectivo",IFERROR((VALUE(RIGHT(I822,4))-VALUE(RIGHT(E822,4)))*12+(VALUE(LEFT(I822,2))-VALUE(LEFT(E822,2))),""),"")</f>
        <v/>
      </c>
    </row>
    <row r="823">
      <c r="A823" t="inlineStr">
        <is>
          <t>NUÑEZ PUENTE ABRAHAM FABRIZIO</t>
        </is>
      </c>
      <c r="B823" t="inlineStr">
        <is>
          <t>Hombre</t>
        </is>
      </c>
      <c r="C823" t="inlineStr">
        <is>
          <t>2653AF</t>
        </is>
      </c>
      <c r="D823" t="inlineStr">
        <is>
          <t>CDMX Y AREA METROPOLITANA</t>
        </is>
      </c>
      <c r="E823" t="inlineStr">
        <is>
          <t>07-2023</t>
        </is>
      </c>
      <c r="F823" t="inlineStr">
        <is>
          <t>07-2025</t>
        </is>
      </c>
      <c r="G823" t="n">
        <v>24</v>
      </c>
      <c r="H823" t="inlineStr">
        <is>
          <t>Pendiente</t>
        </is>
      </c>
      <c r="J823" t="inlineStr">
        <is>
          <t>H51BMC</t>
        </is>
      </c>
      <c r="K823" t="inlineStr">
        <is>
          <t>ATTITUDE</t>
        </is>
      </c>
      <c r="L823" t="inlineStr">
        <is>
          <t>UBER</t>
        </is>
      </c>
      <c r="M823" s="3">
        <f>IF(H823="Efectivo",IFERROR((VALUE(RIGHT(I823,4))-VALUE(RIGHT(E823,4)))*12+(VALUE(LEFT(I823,2))-VALUE(LEFT(E823,2))),""),"")</f>
        <v/>
      </c>
    </row>
    <row r="824">
      <c r="A824" t="inlineStr">
        <is>
          <t>NUÑO MEDINA JUAN RAMON</t>
        </is>
      </c>
      <c r="B824" t="inlineStr">
        <is>
          <t>Hombre</t>
        </is>
      </c>
      <c r="C824" t="inlineStr">
        <is>
          <t>3877AF</t>
        </is>
      </c>
      <c r="D824" t="inlineStr">
        <is>
          <t>JALISCO</t>
        </is>
      </c>
      <c r="E824" t="inlineStr">
        <is>
          <t>10-2024</t>
        </is>
      </c>
      <c r="F824" t="inlineStr">
        <is>
          <t>06-2025</t>
        </is>
      </c>
      <c r="G824" t="n">
        <v>8</v>
      </c>
      <c r="H824" t="inlineStr">
        <is>
          <t>Cancelado</t>
        </is>
      </c>
      <c r="J824" t="inlineStr">
        <is>
          <t>HWR660A</t>
        </is>
      </c>
      <c r="K824" t="inlineStr">
        <is>
          <t>TOYOTA AVANZA</t>
        </is>
      </c>
      <c r="L824" t="inlineStr">
        <is>
          <t>UBER</t>
        </is>
      </c>
      <c r="M824" s="3">
        <f>IF(H824="Efectivo",IFERROR((VALUE(RIGHT(I824,4))-VALUE(RIGHT(E824,4)))*12+(VALUE(LEFT(I824,2))-VALUE(LEFT(E824,2))),""),"")</f>
        <v/>
      </c>
    </row>
    <row r="825">
      <c r="A825" t="inlineStr">
        <is>
          <t>NUÑO VARGAS SALVADOR GABRIEL</t>
        </is>
      </c>
      <c r="B825" t="inlineStr">
        <is>
          <t>Hombre</t>
        </is>
      </c>
      <c r="C825" t="inlineStr">
        <is>
          <t>5182AF</t>
        </is>
      </c>
      <c r="D825" t="inlineStr">
        <is>
          <t>CDMX Y AREA METROPOLITANA</t>
        </is>
      </c>
      <c r="E825" t="inlineStr">
        <is>
          <t>06-2025</t>
        </is>
      </c>
      <c r="F825" t="inlineStr">
        <is>
          <t>11-2025</t>
        </is>
      </c>
      <c r="G825" t="n">
        <v>4</v>
      </c>
      <c r="H825" t="inlineStr">
        <is>
          <t>Pendiente</t>
        </is>
      </c>
      <c r="J825" t="inlineStr">
        <is>
          <t>47G819</t>
        </is>
      </c>
      <c r="K825" t="inlineStr">
        <is>
          <t>BYD MINIDOLPHIN</t>
        </is>
      </c>
      <c r="L825" t="inlineStr">
        <is>
          <t>UBER</t>
        </is>
      </c>
      <c r="M825" s="3">
        <f>IF(H825="Efectivo",IFERROR((VALUE(RIGHT(I825,4))-VALUE(RIGHT(E825,4)))*12+(VALUE(LEFT(I825,2))-VALUE(LEFT(E825,2))),""),"")</f>
        <v/>
      </c>
    </row>
    <row r="826">
      <c r="A826" t="inlineStr">
        <is>
          <t>OCAMPO MONROY LUIS ALBERTO</t>
        </is>
      </c>
      <c r="B826" t="inlineStr">
        <is>
          <t>Hombre</t>
        </is>
      </c>
      <c r="C826" t="inlineStr">
        <is>
          <t>4077AF</t>
        </is>
      </c>
      <c r="D826" t="inlineStr">
        <is>
          <t>CDMX Y AREA METROPOLITANA</t>
        </is>
      </c>
      <c r="E826" t="inlineStr">
        <is>
          <t>12-2024</t>
        </is>
      </c>
      <c r="F826" t="inlineStr">
        <is>
          <t>08-2025</t>
        </is>
      </c>
      <c r="G826" t="n">
        <v>8</v>
      </c>
      <c r="H826" t="inlineStr">
        <is>
          <t>Efectivo</t>
        </is>
      </c>
      <c r="I826" t="inlineStr">
        <is>
          <t>08-2025</t>
        </is>
      </c>
      <c r="J826" t="inlineStr">
        <is>
          <t>19G372</t>
        </is>
      </c>
      <c r="K826" t="inlineStr">
        <is>
          <t>BYD D1</t>
        </is>
      </c>
      <c r="L826" t="inlineStr">
        <is>
          <t>UBER</t>
        </is>
      </c>
      <c r="M826" s="3">
        <f>IF(H826="Efectivo",IFERROR((VALUE(RIGHT(I826,4))-VALUE(RIGHT(E826,4)))*12+(VALUE(LEFT(I826,2))-VALUE(LEFT(E826,2))),""),"")</f>
        <v/>
      </c>
    </row>
    <row r="827">
      <c r="A827" t="inlineStr">
        <is>
          <t>OCHOA PALACIOS DIEGO DE JESUS</t>
        </is>
      </c>
      <c r="B827" t="inlineStr">
        <is>
          <t>Hombre</t>
        </is>
      </c>
      <c r="C827" t="inlineStr">
        <is>
          <t>4765AF</t>
        </is>
      </c>
      <c r="D827" t="inlineStr">
        <is>
          <t>CDMX Y AREA METROPOLITANA</t>
        </is>
      </c>
      <c r="E827" t="inlineStr">
        <is>
          <t>05-2025</t>
        </is>
      </c>
      <c r="F827" t="inlineStr">
        <is>
          <t>10-2025</t>
        </is>
      </c>
      <c r="G827" t="n">
        <v>5</v>
      </c>
      <c r="H827" t="inlineStr">
        <is>
          <t>Efectivo</t>
        </is>
      </c>
      <c r="I827" t="inlineStr">
        <is>
          <t>05-2026</t>
        </is>
      </c>
      <c r="J827" t="inlineStr">
        <is>
          <t>41G410</t>
        </is>
      </c>
      <c r="K827" t="inlineStr">
        <is>
          <t>BYD MINIDOLPHIN</t>
        </is>
      </c>
      <c r="L827" t="inlineStr">
        <is>
          <t>UBER</t>
        </is>
      </c>
      <c r="M827" s="3">
        <f>IF(H827="Efectivo",IFERROR((VALUE(RIGHT(I827,4))-VALUE(RIGHT(E827,4)))*12+(VALUE(LEFT(I827,2))-VALUE(LEFT(E827,2))),""),"")</f>
        <v/>
      </c>
    </row>
    <row r="828">
      <c r="A828" t="inlineStr">
        <is>
          <t>OCHOA RODRIGUEZ PATRICIO ELIFALETH</t>
        </is>
      </c>
      <c r="B828" t="inlineStr">
        <is>
          <t>Hombre</t>
        </is>
      </c>
      <c r="C828" t="inlineStr">
        <is>
          <t>4326AF</t>
        </is>
      </c>
      <c r="D828" t="inlineStr">
        <is>
          <t>NUEVO LEON</t>
        </is>
      </c>
      <c r="E828" t="inlineStr">
        <is>
          <t>02-2025</t>
        </is>
      </c>
      <c r="F828" t="inlineStr">
        <is>
          <t>04-2025</t>
        </is>
      </c>
      <c r="G828" t="n">
        <v>2</v>
      </c>
      <c r="H828" t="inlineStr">
        <is>
          <t>Pendiente</t>
        </is>
      </c>
      <c r="J828" t="inlineStr">
        <is>
          <t>TDF928B</t>
        </is>
      </c>
      <c r="K828" t="inlineStr">
        <is>
          <t>ONIX</t>
        </is>
      </c>
      <c r="L828" t="inlineStr">
        <is>
          <t>UBER</t>
        </is>
      </c>
      <c r="M828" s="3">
        <f>IF(H828="Efectivo",IFERROR((VALUE(RIGHT(I828,4))-VALUE(RIGHT(E828,4)))*12+(VALUE(LEFT(I828,2))-VALUE(LEFT(E828,2))),""),"")</f>
        <v/>
      </c>
    </row>
    <row r="829">
      <c r="A829" t="inlineStr">
        <is>
          <t>OJEDA BARRANCO VICTOR</t>
        </is>
      </c>
      <c r="B829" t="inlineStr">
        <is>
          <t>Hombre</t>
        </is>
      </c>
      <c r="C829" t="inlineStr">
        <is>
          <t>2361AF</t>
        </is>
      </c>
      <c r="D829" t="inlineStr">
        <is>
          <t>CDMX Y AREA METROPOLITANA</t>
        </is>
      </c>
      <c r="E829" t="inlineStr">
        <is>
          <t>12-2022</t>
        </is>
      </c>
      <c r="F829" t="inlineStr">
        <is>
          <t>07-2025</t>
        </is>
      </c>
      <c r="G829" t="n">
        <v>32</v>
      </c>
      <c r="H829" t="inlineStr">
        <is>
          <t>Efectivo</t>
        </is>
      </c>
      <c r="I829" t="inlineStr">
        <is>
          <t>08-2025</t>
        </is>
      </c>
      <c r="J829" t="inlineStr">
        <is>
          <t>G41BKG</t>
        </is>
      </c>
      <c r="K829" t="inlineStr">
        <is>
          <t>IGNIS</t>
        </is>
      </c>
      <c r="L829" t="inlineStr">
        <is>
          <t>UBER</t>
        </is>
      </c>
      <c r="M829" s="3">
        <f>IF(H829="Efectivo",IFERROR((VALUE(RIGHT(I829,4))-VALUE(RIGHT(E829,4)))*12+(VALUE(LEFT(I829,2))-VALUE(LEFT(E829,2))),""),"")</f>
        <v/>
      </c>
    </row>
    <row r="830">
      <c r="A830" t="inlineStr">
        <is>
          <t>OJENDIS RAMIREZ JOSE ALBERTO</t>
        </is>
      </c>
      <c r="B830" t="inlineStr">
        <is>
          <t>Hombre</t>
        </is>
      </c>
      <c r="C830" t="inlineStr">
        <is>
          <t>6001AF</t>
        </is>
      </c>
      <c r="D830" t="inlineStr">
        <is>
          <t>CDMX Y AREA METROPOLITANA</t>
        </is>
      </c>
      <c r="E830" t="inlineStr">
        <is>
          <t>10-2025</t>
        </is>
      </c>
      <c r="F830" t="inlineStr">
        <is>
          <t>04-2026</t>
        </is>
      </c>
      <c r="G830" t="n">
        <v>6</v>
      </c>
      <c r="H830" t="inlineStr">
        <is>
          <t>Efectivo</t>
        </is>
      </c>
      <c r="I830" t="inlineStr">
        <is>
          <t>05-2026</t>
        </is>
      </c>
      <c r="J830" t="inlineStr">
        <is>
          <t>51G527</t>
        </is>
      </c>
      <c r="K830" t="inlineStr">
        <is>
          <t>GAC AION S</t>
        </is>
      </c>
      <c r="L830" t="inlineStr">
        <is>
          <t>UBER</t>
        </is>
      </c>
      <c r="M830" s="3">
        <f>IF(H830="Efectivo",IFERROR((VALUE(RIGHT(I830,4))-VALUE(RIGHT(E830,4)))*12+(VALUE(LEFT(I830,2))-VALUE(LEFT(E830,2))),""),"")</f>
        <v/>
      </c>
    </row>
    <row r="831">
      <c r="A831" t="inlineStr">
        <is>
          <t>OLEA HERNANDEZ MISAEL SAHID</t>
        </is>
      </c>
      <c r="B831" t="inlineStr">
        <is>
          <t>Hombre</t>
        </is>
      </c>
      <c r="C831" t="inlineStr">
        <is>
          <t>5217AF</t>
        </is>
      </c>
      <c r="D831" t="inlineStr">
        <is>
          <t>CDMX Y AREA METROPOLITANA</t>
        </is>
      </c>
      <c r="E831" t="inlineStr">
        <is>
          <t>07-2025</t>
        </is>
      </c>
      <c r="F831" t="inlineStr">
        <is>
          <t>01-2026</t>
        </is>
      </c>
      <c r="G831" t="n">
        <v>6</v>
      </c>
      <c r="H831" t="inlineStr">
        <is>
          <t>Efectivo</t>
        </is>
      </c>
      <c r="I831" t="inlineStr">
        <is>
          <t>01-2026</t>
        </is>
      </c>
      <c r="J831" t="inlineStr">
        <is>
          <t>43G863</t>
        </is>
      </c>
      <c r="K831" t="inlineStr">
        <is>
          <t>GAC AION S</t>
        </is>
      </c>
      <c r="L831" t="inlineStr">
        <is>
          <t>UBER</t>
        </is>
      </c>
      <c r="M831" s="3">
        <f>IF(H831="Efectivo",IFERROR((VALUE(RIGHT(I831,4))-VALUE(RIGHT(E831,4)))*12+(VALUE(LEFT(I831,2))-VALUE(LEFT(E831,2))),""),"")</f>
        <v/>
      </c>
    </row>
    <row r="832">
      <c r="A832" t="inlineStr">
        <is>
          <t>OLIVARES BALTIERRA HANSEL SANTIAGO</t>
        </is>
      </c>
      <c r="B832" t="inlineStr">
        <is>
          <t>Hombre</t>
        </is>
      </c>
      <c r="C832" t="inlineStr">
        <is>
          <t>5557AF</t>
        </is>
      </c>
      <c r="D832" t="inlineStr">
        <is>
          <t>CDMX Y AREA METROPOLITANA</t>
        </is>
      </c>
      <c r="E832" t="inlineStr">
        <is>
          <t>08-2025</t>
        </is>
      </c>
      <c r="F832" t="inlineStr">
        <is>
          <t>04-2026</t>
        </is>
      </c>
      <c r="G832" t="n">
        <v>8</v>
      </c>
      <c r="H832" t="inlineStr">
        <is>
          <t>Efectivo</t>
        </is>
      </c>
      <c r="I832" t="inlineStr">
        <is>
          <t>04-2026</t>
        </is>
      </c>
      <c r="J832" t="inlineStr">
        <is>
          <t>48G056</t>
        </is>
      </c>
      <c r="K832" t="inlineStr">
        <is>
          <t>BYD MINIDOLPHIN</t>
        </is>
      </c>
      <c r="L832" t="inlineStr">
        <is>
          <t>UBER</t>
        </is>
      </c>
      <c r="M832" s="3">
        <f>IF(H832="Efectivo",IFERROR((VALUE(RIGHT(I832,4))-VALUE(RIGHT(E832,4)))*12+(VALUE(LEFT(I832,2))-VALUE(LEFT(E832,2))),""),"")</f>
        <v/>
      </c>
    </row>
    <row r="833">
      <c r="A833" t="inlineStr">
        <is>
          <t>OLIVARES GALLEGOS FABIAN</t>
        </is>
      </c>
      <c r="B833" t="inlineStr">
        <is>
          <t>Hombre</t>
        </is>
      </c>
      <c r="C833" t="inlineStr">
        <is>
          <t>4534AF</t>
        </is>
      </c>
      <c r="D833" t="inlineStr">
        <is>
          <t>CDMX Y AREA METROPOLITANA</t>
        </is>
      </c>
      <c r="E833" t="inlineStr">
        <is>
          <t>03-2025</t>
        </is>
      </c>
      <c r="F833" t="inlineStr">
        <is>
          <t>06-2025</t>
        </is>
      </c>
      <c r="G833" t="n">
        <v>3</v>
      </c>
      <c r="H833" t="inlineStr">
        <is>
          <t>Pendiente</t>
        </is>
      </c>
      <c r="J833" t="inlineStr">
        <is>
          <t>40G099</t>
        </is>
      </c>
      <c r="K833" t="inlineStr">
        <is>
          <t>GAC AION S</t>
        </is>
      </c>
      <c r="L833" t="inlineStr">
        <is>
          <t>UBER</t>
        </is>
      </c>
      <c r="M833" s="3">
        <f>IF(H833="Efectivo",IFERROR((VALUE(RIGHT(I833,4))-VALUE(RIGHT(E833,4)))*12+(VALUE(LEFT(I833,2))-VALUE(LEFT(E833,2))),""),"")</f>
        <v/>
      </c>
    </row>
    <row r="834">
      <c r="A834" t="inlineStr">
        <is>
          <t>OLIVARES RAMOS EZEQUIEL</t>
        </is>
      </c>
      <c r="B834" t="inlineStr">
        <is>
          <t>Hombre</t>
        </is>
      </c>
      <c r="C834" t="inlineStr">
        <is>
          <t>3197AF</t>
        </is>
      </c>
      <c r="D834" t="inlineStr">
        <is>
          <t>JALISCO</t>
        </is>
      </c>
      <c r="E834" t="inlineStr">
        <is>
          <t>07-2025</t>
        </is>
      </c>
      <c r="F834" t="inlineStr">
        <is>
          <t>05-2026</t>
        </is>
      </c>
      <c r="G834" t="n">
        <v>10</v>
      </c>
      <c r="H834" t="inlineStr">
        <is>
          <t>Pendiente</t>
        </is>
      </c>
      <c r="J834" t="inlineStr">
        <is>
          <t>HUL791A</t>
        </is>
      </c>
      <c r="K834" t="inlineStr">
        <is>
          <t>CHEVROLET AVEO</t>
        </is>
      </c>
      <c r="L834" t="inlineStr">
        <is>
          <t>UBER</t>
        </is>
      </c>
      <c r="M834" s="3">
        <f>IF(H834="Efectivo",IFERROR((VALUE(RIGHT(I834,4))-VALUE(RIGHT(E834,4)))*12+(VALUE(LEFT(I834,2))-VALUE(LEFT(E834,2))),""),"")</f>
        <v/>
      </c>
    </row>
    <row r="835">
      <c r="A835" t="inlineStr">
        <is>
          <t>OLIVARES VILLICAÑA EMANUEL ERIC</t>
        </is>
      </c>
      <c r="B835" t="inlineStr">
        <is>
          <t>Hombre</t>
        </is>
      </c>
      <c r="C835" t="inlineStr">
        <is>
          <t>5553AF</t>
        </is>
      </c>
      <c r="D835" t="inlineStr">
        <is>
          <t>CDMX Y AREA METROPOLITANA</t>
        </is>
      </c>
      <c r="E835" t="inlineStr">
        <is>
          <t>08-2025</t>
        </is>
      </c>
      <c r="F835" t="inlineStr">
        <is>
          <t>02-2026</t>
        </is>
      </c>
      <c r="G835" t="n">
        <v>6</v>
      </c>
      <c r="H835" t="inlineStr">
        <is>
          <t>Efectivo</t>
        </is>
      </c>
      <c r="I835" t="inlineStr">
        <is>
          <t>04-2026</t>
        </is>
      </c>
      <c r="J835" t="inlineStr">
        <is>
          <t>42G755</t>
        </is>
      </c>
      <c r="K835" t="inlineStr">
        <is>
          <t>GAC AION S</t>
        </is>
      </c>
      <c r="L835" t="inlineStr">
        <is>
          <t>UBER</t>
        </is>
      </c>
      <c r="M835" s="3">
        <f>IF(H835="Efectivo",IFERROR((VALUE(RIGHT(I835,4))-VALUE(RIGHT(E835,4)))*12+(VALUE(LEFT(I835,2))-VALUE(LEFT(E835,2))),""),"")</f>
        <v/>
      </c>
    </row>
    <row r="836">
      <c r="A836" t="inlineStr">
        <is>
          <t>OLIVAREZ HERNANDEZ JULIO CESAR</t>
        </is>
      </c>
      <c r="B836" t="inlineStr">
        <is>
          <t>Hombre</t>
        </is>
      </c>
      <c r="C836" t="inlineStr">
        <is>
          <t>5510AF</t>
        </is>
      </c>
      <c r="D836" t="inlineStr">
        <is>
          <t>BAJA CALIFORNIA</t>
        </is>
      </c>
      <c r="E836" t="inlineStr">
        <is>
          <t>08-2025</t>
        </is>
      </c>
      <c r="F836" t="inlineStr">
        <is>
          <t>12-2025</t>
        </is>
      </c>
      <c r="G836" t="n">
        <v>4</v>
      </c>
      <c r="H836" t="inlineStr">
        <is>
          <t>Efectivo</t>
        </is>
      </c>
      <c r="I836" t="inlineStr">
        <is>
          <t>02-2026</t>
        </is>
      </c>
      <c r="J836" t="inlineStr">
        <is>
          <t>BZA446A</t>
        </is>
      </c>
      <c r="K836" t="inlineStr">
        <is>
          <t>CHEVROLET AVEO</t>
        </is>
      </c>
      <c r="L836" t="inlineStr">
        <is>
          <t>UBER</t>
        </is>
      </c>
      <c r="M836" s="3">
        <f>IF(H836="Efectivo",IFERROR((VALUE(RIGHT(I836,4))-VALUE(RIGHT(E836,4)))*12+(VALUE(LEFT(I836,2))-VALUE(LEFT(E836,2))),""),"")</f>
        <v/>
      </c>
    </row>
    <row r="837">
      <c r="A837" t="inlineStr">
        <is>
          <t>OLVERA CAMACHO ERICK</t>
        </is>
      </c>
      <c r="B837" t="inlineStr">
        <is>
          <t>Hombre</t>
        </is>
      </c>
      <c r="C837" t="inlineStr">
        <is>
          <t>6540AF</t>
        </is>
      </c>
      <c r="D837" t="inlineStr">
        <is>
          <t>NUEVO LEON</t>
        </is>
      </c>
      <c r="E837" t="inlineStr">
        <is>
          <t>12-2025</t>
        </is>
      </c>
      <c r="F837" t="inlineStr">
        <is>
          <t>04-2026</t>
        </is>
      </c>
      <c r="G837" t="n">
        <v>3</v>
      </c>
      <c r="H837" t="inlineStr">
        <is>
          <t>Pendiente</t>
        </is>
      </c>
      <c r="J837" t="inlineStr">
        <is>
          <t>RYU482C</t>
        </is>
      </c>
      <c r="K837" t="inlineStr">
        <is>
          <t>CHEVROLET AVEO</t>
        </is>
      </c>
      <c r="L837" t="inlineStr">
        <is>
          <t>UBER</t>
        </is>
      </c>
      <c r="M837" s="3">
        <f>IF(H837="Efectivo",IFERROR((VALUE(RIGHT(I837,4))-VALUE(RIGHT(E837,4)))*12+(VALUE(LEFT(I837,2))-VALUE(LEFT(E837,2))),""),"")</f>
        <v/>
      </c>
    </row>
    <row r="838">
      <c r="A838" t="inlineStr">
        <is>
          <t>OLVERA CONTRERAS JESUS EMANUEL</t>
        </is>
      </c>
      <c r="B838" t="inlineStr">
        <is>
          <t>Hombre</t>
        </is>
      </c>
      <c r="C838" t="inlineStr">
        <is>
          <t>2822AF</t>
        </is>
      </c>
      <c r="D838" t="inlineStr">
        <is>
          <t>BAJA CALIFORNIA</t>
        </is>
      </c>
      <c r="E838" t="inlineStr">
        <is>
          <t>10-2023</t>
        </is>
      </c>
      <c r="F838" t="inlineStr">
        <is>
          <t>08-2025</t>
        </is>
      </c>
      <c r="G838" t="n">
        <v>22</v>
      </c>
      <c r="H838" t="inlineStr">
        <is>
          <t>Efectivo</t>
        </is>
      </c>
      <c r="I838" t="inlineStr">
        <is>
          <t>08-2025</t>
        </is>
      </c>
      <c r="J838" t="inlineStr">
        <is>
          <t>BKB318A</t>
        </is>
      </c>
      <c r="K838" t="inlineStr">
        <is>
          <t>CHEVROLET AVEO</t>
        </is>
      </c>
      <c r="L838" t="inlineStr">
        <is>
          <t>UBER</t>
        </is>
      </c>
      <c r="M838" s="3">
        <f>IF(H838="Efectivo",IFERROR((VALUE(RIGHT(I838,4))-VALUE(RIGHT(E838,4)))*12+(VALUE(LEFT(I838,2))-VALUE(LEFT(E838,2))),""),"")</f>
        <v/>
      </c>
    </row>
    <row r="839">
      <c r="A839" t="inlineStr">
        <is>
          <t>OLVERA SILVA CESAR ANTONIO</t>
        </is>
      </c>
      <c r="B839" t="inlineStr">
        <is>
          <t>Hombre</t>
        </is>
      </c>
      <c r="C839" t="inlineStr">
        <is>
          <t>3515AF</t>
        </is>
      </c>
      <c r="D839" t="inlineStr">
        <is>
          <t>CDMX Y AREA METROPOLITANA</t>
        </is>
      </c>
      <c r="E839" t="inlineStr">
        <is>
          <t>07-2024</t>
        </is>
      </c>
      <c r="F839" t="inlineStr">
        <is>
          <t>03-2025</t>
        </is>
      </c>
      <c r="G839" t="n">
        <v>7</v>
      </c>
      <c r="H839" t="inlineStr">
        <is>
          <t>Cancelado</t>
        </is>
      </c>
      <c r="J839" t="inlineStr">
        <is>
          <t>H22BPF</t>
        </is>
      </c>
      <c r="K839" t="inlineStr">
        <is>
          <t>TOYOTA AVANZA</t>
        </is>
      </c>
      <c r="L839" t="inlineStr">
        <is>
          <t>UBER</t>
        </is>
      </c>
      <c r="M839" s="3">
        <f>IF(H839="Efectivo",IFERROR((VALUE(RIGHT(I839,4))-VALUE(RIGHT(E839,4)))*12+(VALUE(LEFT(I839,2))-VALUE(LEFT(E839,2))),""),"")</f>
        <v/>
      </c>
    </row>
    <row r="840">
      <c r="A840" t="inlineStr">
        <is>
          <t>ONOFRE TAFOYA EDUARDO</t>
        </is>
      </c>
      <c r="B840" t="inlineStr">
        <is>
          <t>Hombre</t>
        </is>
      </c>
      <c r="C840" t="inlineStr">
        <is>
          <t>4105AF</t>
        </is>
      </c>
      <c r="D840" t="inlineStr">
        <is>
          <t>CDMX Y AREA METROPOLITANA</t>
        </is>
      </c>
      <c r="E840" t="inlineStr">
        <is>
          <t>12-2024</t>
        </is>
      </c>
      <c r="F840" t="inlineStr">
        <is>
          <t>07-2025</t>
        </is>
      </c>
      <c r="G840" t="n">
        <v>7</v>
      </c>
      <c r="H840" t="inlineStr">
        <is>
          <t>Efectivo</t>
        </is>
      </c>
      <c r="I840" t="inlineStr">
        <is>
          <t>07-2025</t>
        </is>
      </c>
      <c r="J840" t="inlineStr">
        <is>
          <t>14G484</t>
        </is>
      </c>
      <c r="K840" t="inlineStr">
        <is>
          <t>BYD D1</t>
        </is>
      </c>
      <c r="L840" t="inlineStr">
        <is>
          <t>UBER</t>
        </is>
      </c>
      <c r="M840" s="3">
        <f>IF(H840="Efectivo",IFERROR((VALUE(RIGHT(I840,4))-VALUE(RIGHT(E840,4)))*12+(VALUE(LEFT(I840,2))-VALUE(LEFT(E840,2))),""),"")</f>
        <v/>
      </c>
    </row>
    <row r="841">
      <c r="A841" t="inlineStr">
        <is>
          <t>ORANTES HERNANDEZ CARLOS ALBERTO</t>
        </is>
      </c>
      <c r="B841" t="inlineStr">
        <is>
          <t>Hombre</t>
        </is>
      </c>
      <c r="C841" t="inlineStr">
        <is>
          <t>3634AF</t>
        </is>
      </c>
      <c r="D841" t="inlineStr">
        <is>
          <t>BAJA CALIFORNIA</t>
        </is>
      </c>
      <c r="E841" t="inlineStr">
        <is>
          <t>08-2024</t>
        </is>
      </c>
      <c r="F841" t="inlineStr">
        <is>
          <t>11-2025</t>
        </is>
      </c>
      <c r="G841" t="n">
        <v>15</v>
      </c>
      <c r="H841" t="inlineStr">
        <is>
          <t>Pendiente</t>
        </is>
      </c>
      <c r="J841" t="inlineStr">
        <is>
          <t>BRH520A</t>
        </is>
      </c>
      <c r="K841" t="inlineStr">
        <is>
          <t>CHEVROLET AVEO</t>
        </is>
      </c>
      <c r="L841" t="inlineStr">
        <is>
          <t>UBER</t>
        </is>
      </c>
      <c r="M841" s="3">
        <f>IF(H841="Efectivo",IFERROR((VALUE(RIGHT(I841,4))-VALUE(RIGHT(E841,4)))*12+(VALUE(LEFT(I841,2))-VALUE(LEFT(E841,2))),""),"")</f>
        <v/>
      </c>
    </row>
    <row r="842">
      <c r="A842" t="inlineStr">
        <is>
          <t>ORDAZ HERNANDEZ CRESENCIO</t>
        </is>
      </c>
      <c r="B842" t="inlineStr">
        <is>
          <t>Hombre</t>
        </is>
      </c>
      <c r="C842" t="inlineStr">
        <is>
          <t>2747AF</t>
        </is>
      </c>
      <c r="D842" t="inlineStr">
        <is>
          <t>BAJA CALIFORNIA</t>
        </is>
      </c>
      <c r="E842" t="inlineStr">
        <is>
          <t>09-2023</t>
        </is>
      </c>
      <c r="F842" t="inlineStr">
        <is>
          <t>11-2025</t>
        </is>
      </c>
      <c r="G842" t="n">
        <v>27</v>
      </c>
      <c r="H842" t="inlineStr">
        <is>
          <t>Efectivo</t>
        </is>
      </c>
      <c r="I842" t="inlineStr">
        <is>
          <t>12-2025</t>
        </is>
      </c>
      <c r="J842" t="inlineStr">
        <is>
          <t>BJX367A</t>
        </is>
      </c>
      <c r="K842" t="inlineStr">
        <is>
          <t>CHEVROLET AVEO</t>
        </is>
      </c>
      <c r="L842" t="inlineStr">
        <is>
          <t>UBER</t>
        </is>
      </c>
      <c r="M842" s="3">
        <f>IF(H842="Efectivo",IFERROR((VALUE(RIGHT(I842,4))-VALUE(RIGHT(E842,4)))*12+(VALUE(LEFT(I842,2))-VALUE(LEFT(E842,2))),""),"")</f>
        <v/>
      </c>
    </row>
    <row r="843">
      <c r="A843" t="inlineStr">
        <is>
          <t>ORDAZ SANCHEZ YESSER ESLEITTER ROBERTO</t>
        </is>
      </c>
      <c r="B843" t="inlineStr">
        <is>
          <t>Hombre</t>
        </is>
      </c>
      <c r="C843" t="inlineStr">
        <is>
          <t>6356AF</t>
        </is>
      </c>
      <c r="D843" t="inlineStr">
        <is>
          <t>NUEVO LEON</t>
        </is>
      </c>
      <c r="E843" t="inlineStr">
        <is>
          <t>11-2025</t>
        </is>
      </c>
      <c r="F843" t="inlineStr">
        <is>
          <t>04-2026</t>
        </is>
      </c>
      <c r="G843" t="n">
        <v>4</v>
      </c>
      <c r="H843" t="inlineStr">
        <is>
          <t>Efectivo</t>
        </is>
      </c>
      <c r="I843" t="inlineStr">
        <is>
          <t>04-2026</t>
        </is>
      </c>
      <c r="J843" t="inlineStr">
        <is>
          <t>53S665</t>
        </is>
      </c>
      <c r="K843" t="inlineStr">
        <is>
          <t>BYD MINIDOLPHIN</t>
        </is>
      </c>
      <c r="L843" t="inlineStr">
        <is>
          <t>DIDI</t>
        </is>
      </c>
      <c r="M843" s="3">
        <f>IF(H843="Efectivo",IFERROR((VALUE(RIGHT(I843,4))-VALUE(RIGHT(E843,4)))*12+(VALUE(LEFT(I843,2))-VALUE(LEFT(E843,2))),""),"")</f>
        <v/>
      </c>
    </row>
    <row r="844">
      <c r="A844" t="inlineStr">
        <is>
          <t>ORDOÑEZ CRUZ JOSE JUAN</t>
        </is>
      </c>
      <c r="B844" t="inlineStr">
        <is>
          <t>Hombre</t>
        </is>
      </c>
      <c r="C844" t="inlineStr">
        <is>
          <t>4586AF</t>
        </is>
      </c>
      <c r="D844" t="inlineStr">
        <is>
          <t>CDMX Y AREA METROPOLITANA</t>
        </is>
      </c>
      <c r="E844" t="inlineStr">
        <is>
          <t>04-2025</t>
        </is>
      </c>
      <c r="F844" t="inlineStr">
        <is>
          <t>07-2025</t>
        </is>
      </c>
      <c r="G844" t="n">
        <v>3</v>
      </c>
      <c r="H844" t="inlineStr">
        <is>
          <t>Efectivo</t>
        </is>
      </c>
      <c r="I844" t="inlineStr">
        <is>
          <t>07-2025</t>
        </is>
      </c>
      <c r="J844" t="inlineStr">
        <is>
          <t>27G716</t>
        </is>
      </c>
      <c r="K844" t="inlineStr">
        <is>
          <t>BYD MINIDOLPHIN</t>
        </is>
      </c>
      <c r="L844" t="inlineStr">
        <is>
          <t>UBER</t>
        </is>
      </c>
      <c r="M844" s="3">
        <f>IF(H844="Efectivo",IFERROR((VALUE(RIGHT(I844,4))-VALUE(RIGHT(E844,4)))*12+(VALUE(LEFT(I844,2))-VALUE(LEFT(E844,2))),""),"")</f>
        <v/>
      </c>
    </row>
    <row r="845">
      <c r="A845" t="inlineStr">
        <is>
          <t>OROZCO ANDA ALEJANDRO</t>
        </is>
      </c>
      <c r="B845" t="inlineStr">
        <is>
          <t>Hombre</t>
        </is>
      </c>
      <c r="C845" t="inlineStr">
        <is>
          <t>4160AF</t>
        </is>
      </c>
      <c r="D845" t="inlineStr">
        <is>
          <t>CDMX Y AREA METROPOLITANA</t>
        </is>
      </c>
      <c r="E845" t="inlineStr">
        <is>
          <t>12-2024</t>
        </is>
      </c>
      <c r="F845" t="inlineStr">
        <is>
          <t>06-2025</t>
        </is>
      </c>
      <c r="G845" t="n">
        <v>6</v>
      </c>
      <c r="H845" t="inlineStr">
        <is>
          <t>Efectivo</t>
        </is>
      </c>
      <c r="I845" t="inlineStr">
        <is>
          <t>06-2025</t>
        </is>
      </c>
      <c r="J845" t="inlineStr">
        <is>
          <t>19G401</t>
        </is>
      </c>
      <c r="K845" t="inlineStr">
        <is>
          <t>BYD D1</t>
        </is>
      </c>
      <c r="L845" t="inlineStr">
        <is>
          <t>UBER</t>
        </is>
      </c>
      <c r="M845" s="3">
        <f>IF(H845="Efectivo",IFERROR((VALUE(RIGHT(I845,4))-VALUE(RIGHT(E845,4)))*12+(VALUE(LEFT(I845,2))-VALUE(LEFT(E845,2))),""),"")</f>
        <v/>
      </c>
    </row>
    <row r="846">
      <c r="A846" t="inlineStr">
        <is>
          <t>OROZCO ROCHA MIGUEL ANGEL</t>
        </is>
      </c>
      <c r="B846" t="inlineStr">
        <is>
          <t>Hombre</t>
        </is>
      </c>
      <c r="C846" t="inlineStr">
        <is>
          <t>4427AF</t>
        </is>
      </c>
      <c r="D846" t="inlineStr">
        <is>
          <t>CDMX Y AREA METROPOLITANA</t>
        </is>
      </c>
      <c r="E846" t="inlineStr">
        <is>
          <t>03-2025</t>
        </is>
      </c>
      <c r="F846" t="inlineStr">
        <is>
          <t>09-2025</t>
        </is>
      </c>
      <c r="G846" t="n">
        <v>6</v>
      </c>
      <c r="H846" t="inlineStr">
        <is>
          <t>Efectivo</t>
        </is>
      </c>
      <c r="I846" t="inlineStr">
        <is>
          <t>09-2025</t>
        </is>
      </c>
      <c r="J846" t="inlineStr">
        <is>
          <t>19G581</t>
        </is>
      </c>
      <c r="K846" t="inlineStr">
        <is>
          <t>BYD D1</t>
        </is>
      </c>
      <c r="L846" t="inlineStr">
        <is>
          <t>DIDI</t>
        </is>
      </c>
      <c r="M846" s="3">
        <f>IF(H846="Efectivo",IFERROR((VALUE(RIGHT(I846,4))-VALUE(RIGHT(E846,4)))*12+(VALUE(LEFT(I846,2))-VALUE(LEFT(E846,2))),""),"")</f>
        <v/>
      </c>
    </row>
    <row r="847">
      <c r="A847" t="inlineStr">
        <is>
          <t>ORTEGA ANGELES JOSE CARLOS</t>
        </is>
      </c>
      <c r="B847" t="inlineStr">
        <is>
          <t>Hombre</t>
        </is>
      </c>
      <c r="C847" t="inlineStr">
        <is>
          <t>5053AF</t>
        </is>
      </c>
      <c r="D847" t="inlineStr">
        <is>
          <t>CDMX Y AREA METROPOLITANA</t>
        </is>
      </c>
      <c r="E847" t="inlineStr">
        <is>
          <t>06-2025</t>
        </is>
      </c>
      <c r="F847" t="inlineStr">
        <is>
          <t>12-2025</t>
        </is>
      </c>
      <c r="G847" t="n">
        <v>6</v>
      </c>
      <c r="H847" t="inlineStr">
        <is>
          <t>Efectivo</t>
        </is>
      </c>
      <c r="I847" t="inlineStr">
        <is>
          <t>12-2025</t>
        </is>
      </c>
      <c r="J847" t="inlineStr">
        <is>
          <t>41G666</t>
        </is>
      </c>
      <c r="K847" t="inlineStr">
        <is>
          <t>BYD MINIDOLPHIN</t>
        </is>
      </c>
      <c r="L847" t="inlineStr">
        <is>
          <t>UBER</t>
        </is>
      </c>
      <c r="M847" s="3">
        <f>IF(H847="Efectivo",IFERROR((VALUE(RIGHT(I847,4))-VALUE(RIGHT(E847,4)))*12+(VALUE(LEFT(I847,2))-VALUE(LEFT(E847,2))),""),"")</f>
        <v/>
      </c>
    </row>
    <row r="848">
      <c r="A848" t="inlineStr">
        <is>
          <t>ORTEGA CRUZ HECTOR</t>
        </is>
      </c>
      <c r="B848" t="inlineStr">
        <is>
          <t>Hombre</t>
        </is>
      </c>
      <c r="C848" t="inlineStr">
        <is>
          <t>6496AF</t>
        </is>
      </c>
      <c r="D848" t="inlineStr">
        <is>
          <t>CDMX Y AREA METROPOLITANA</t>
        </is>
      </c>
      <c r="E848" t="inlineStr">
        <is>
          <t>12-2025</t>
        </is>
      </c>
      <c r="F848" t="inlineStr">
        <is>
          <t>02-2026</t>
        </is>
      </c>
      <c r="G848" t="n">
        <v>2</v>
      </c>
      <c r="H848" t="inlineStr">
        <is>
          <t>Efectivo</t>
        </is>
      </c>
      <c r="I848" t="inlineStr">
        <is>
          <t>04-2026</t>
        </is>
      </c>
      <c r="J848" t="inlineStr">
        <is>
          <t>51G572</t>
        </is>
      </c>
      <c r="K848" t="inlineStr">
        <is>
          <t>GAC AION S</t>
        </is>
      </c>
      <c r="L848" t="inlineStr">
        <is>
          <t>UBER</t>
        </is>
      </c>
      <c r="M848" s="3">
        <f>IF(H848="Efectivo",IFERROR((VALUE(RIGHT(I848,4))-VALUE(RIGHT(E848,4)))*12+(VALUE(LEFT(I848,2))-VALUE(LEFT(E848,2))),""),"")</f>
        <v/>
      </c>
    </row>
    <row r="849">
      <c r="A849" t="inlineStr">
        <is>
          <t>ORTEGA GOMEZ JOSE LUIS</t>
        </is>
      </c>
      <c r="B849" t="inlineStr">
        <is>
          <t>Hombre</t>
        </is>
      </c>
      <c r="C849" t="inlineStr">
        <is>
          <t>3842AF</t>
        </is>
      </c>
      <c r="D849" t="inlineStr">
        <is>
          <t>CDMX Y AREA METROPOLITANA</t>
        </is>
      </c>
      <c r="E849" t="inlineStr">
        <is>
          <t>10-2024</t>
        </is>
      </c>
      <c r="F849" t="inlineStr">
        <is>
          <t>03-2026</t>
        </is>
      </c>
      <c r="G849" t="n">
        <v>17</v>
      </c>
      <c r="H849" t="inlineStr">
        <is>
          <t>Efectivo</t>
        </is>
      </c>
      <c r="I849" t="inlineStr">
        <is>
          <t>04-2026</t>
        </is>
      </c>
      <c r="J849" t="inlineStr">
        <is>
          <t>13G555</t>
        </is>
      </c>
      <c r="K849" t="inlineStr">
        <is>
          <t>BYD MINIDOLPHIN</t>
        </is>
      </c>
      <c r="L849" t="inlineStr">
        <is>
          <t>UBER</t>
        </is>
      </c>
      <c r="M849" s="3">
        <f>IF(H849="Efectivo",IFERROR((VALUE(RIGHT(I849,4))-VALUE(RIGHT(E849,4)))*12+(VALUE(LEFT(I849,2))-VALUE(LEFT(E849,2))),""),"")</f>
        <v/>
      </c>
    </row>
    <row r="850">
      <c r="A850" t="inlineStr">
        <is>
          <t>ORTEGA ISLAS JUAN CARLOS</t>
        </is>
      </c>
      <c r="B850" t="inlineStr">
        <is>
          <t>Hombre</t>
        </is>
      </c>
      <c r="C850" t="inlineStr">
        <is>
          <t>4181AF</t>
        </is>
      </c>
      <c r="D850" t="inlineStr">
        <is>
          <t>CDMX Y AREA METROPOLITANA</t>
        </is>
      </c>
      <c r="E850" t="inlineStr">
        <is>
          <t>01-2025</t>
        </is>
      </c>
      <c r="F850" t="inlineStr">
        <is>
          <t>04-2025</t>
        </is>
      </c>
      <c r="G850" t="n">
        <v>4</v>
      </c>
      <c r="H850" t="inlineStr">
        <is>
          <t>Efectivo</t>
        </is>
      </c>
      <c r="I850" t="inlineStr">
        <is>
          <t>05-2025</t>
        </is>
      </c>
      <c r="J850" t="inlineStr">
        <is>
          <t>19G671</t>
        </is>
      </c>
      <c r="K850" t="inlineStr">
        <is>
          <t>BYD D1</t>
        </is>
      </c>
      <c r="L850" t="inlineStr">
        <is>
          <t>DIDI</t>
        </is>
      </c>
      <c r="M850" s="3">
        <f>IF(H850="Efectivo",IFERROR((VALUE(RIGHT(I850,4))-VALUE(RIGHT(E850,4)))*12+(VALUE(LEFT(I850,2))-VALUE(LEFT(E850,2))),""),"")</f>
        <v/>
      </c>
    </row>
    <row r="851">
      <c r="A851" t="inlineStr">
        <is>
          <t>ORTIZ CASTAÑEDA CHRISTIAN MANUEL</t>
        </is>
      </c>
      <c r="B851" t="inlineStr">
        <is>
          <t>Hombre</t>
        </is>
      </c>
      <c r="C851" t="inlineStr">
        <is>
          <t>4935AF</t>
        </is>
      </c>
      <c r="D851" t="inlineStr">
        <is>
          <t>CDMX Y AREA METROPOLITANA</t>
        </is>
      </c>
      <c r="E851" t="inlineStr">
        <is>
          <t>05-2025</t>
        </is>
      </c>
      <c r="F851" t="inlineStr">
        <is>
          <t>11-2025</t>
        </is>
      </c>
      <c r="G851" t="n">
        <v>5</v>
      </c>
      <c r="H851" t="inlineStr">
        <is>
          <t>Pendiente</t>
        </is>
      </c>
      <c r="J851" t="inlineStr">
        <is>
          <t>50G903</t>
        </is>
      </c>
      <c r="K851" t="inlineStr">
        <is>
          <t>GAC AION S</t>
        </is>
      </c>
      <c r="L851" t="inlineStr">
        <is>
          <t>UBER</t>
        </is>
      </c>
      <c r="M851" s="3">
        <f>IF(H851="Efectivo",IFERROR((VALUE(RIGHT(I851,4))-VALUE(RIGHT(E851,4)))*12+(VALUE(LEFT(I851,2))-VALUE(LEFT(E851,2))),""),"")</f>
        <v/>
      </c>
    </row>
    <row r="852">
      <c r="A852" t="inlineStr">
        <is>
          <t>ORTIZ CASTELLANOS CHRISTIAN ADRIAN</t>
        </is>
      </c>
      <c r="B852" t="inlineStr">
        <is>
          <t>Hombre</t>
        </is>
      </c>
      <c r="C852" t="inlineStr">
        <is>
          <t>5110AF</t>
        </is>
      </c>
      <c r="D852" t="inlineStr">
        <is>
          <t>CDMX Y AREA METROPOLITANA</t>
        </is>
      </c>
      <c r="E852" t="inlineStr">
        <is>
          <t>06-2025</t>
        </is>
      </c>
      <c r="F852" t="inlineStr">
        <is>
          <t>01-2026</t>
        </is>
      </c>
      <c r="G852" t="n">
        <v>7</v>
      </c>
      <c r="H852" t="inlineStr">
        <is>
          <t>Cancelado</t>
        </is>
      </c>
      <c r="J852" t="inlineStr">
        <is>
          <t>47G715</t>
        </is>
      </c>
      <c r="K852" t="inlineStr">
        <is>
          <t>BYD MINIDOLPHIN</t>
        </is>
      </c>
      <c r="L852" t="inlineStr">
        <is>
          <t>UBER</t>
        </is>
      </c>
      <c r="M852" s="3">
        <f>IF(H852="Efectivo",IFERROR((VALUE(RIGHT(I852,4))-VALUE(RIGHT(E852,4)))*12+(VALUE(LEFT(I852,2))-VALUE(LEFT(E852,2))),""),"")</f>
        <v/>
      </c>
    </row>
    <row r="853">
      <c r="A853" t="inlineStr">
        <is>
          <t>ORTIZ FLORES MIGUEL EDUARDO</t>
        </is>
      </c>
      <c r="B853" t="inlineStr">
        <is>
          <t>Hombre</t>
        </is>
      </c>
      <c r="C853" t="inlineStr">
        <is>
          <t>4283AF</t>
        </is>
      </c>
      <c r="D853" t="inlineStr">
        <is>
          <t>CDMX Y AREA METROPOLITANA</t>
        </is>
      </c>
      <c r="E853" t="inlineStr">
        <is>
          <t>02-2025</t>
        </is>
      </c>
      <c r="F853" t="inlineStr">
        <is>
          <t>10-2025</t>
        </is>
      </c>
      <c r="G853" t="n">
        <v>8</v>
      </c>
      <c r="H853" t="inlineStr">
        <is>
          <t>Pendiente</t>
        </is>
      </c>
      <c r="J853" t="inlineStr">
        <is>
          <t>P42BRD</t>
        </is>
      </c>
      <c r="K853" t="inlineStr">
        <is>
          <t>CHEVROLET AVEO</t>
        </is>
      </c>
      <c r="L853" t="inlineStr">
        <is>
          <t>UBER</t>
        </is>
      </c>
      <c r="M853" s="3">
        <f>IF(H853="Efectivo",IFERROR((VALUE(RIGHT(I853,4))-VALUE(RIGHT(E853,4)))*12+(VALUE(LEFT(I853,2))-VALUE(LEFT(E853,2))),""),"")</f>
        <v/>
      </c>
    </row>
    <row r="854">
      <c r="A854" t="inlineStr">
        <is>
          <t>ORTIZ GUTIERREZ RAYMUNDO GABRIEL</t>
        </is>
      </c>
      <c r="B854" t="inlineStr">
        <is>
          <t>Hombre</t>
        </is>
      </c>
      <c r="C854" t="inlineStr">
        <is>
          <t>4005AF</t>
        </is>
      </c>
      <c r="D854" t="inlineStr">
        <is>
          <t>CDMX Y AREA METROPOLITANA</t>
        </is>
      </c>
      <c r="E854" t="inlineStr">
        <is>
          <t>11-2024</t>
        </is>
      </c>
      <c r="F854" t="inlineStr">
        <is>
          <t>01-2026</t>
        </is>
      </c>
      <c r="G854" t="n">
        <v>14</v>
      </c>
      <c r="H854" t="inlineStr">
        <is>
          <t>Efectivo</t>
        </is>
      </c>
      <c r="I854" t="inlineStr">
        <is>
          <t>01-2026</t>
        </is>
      </c>
      <c r="J854" t="inlineStr">
        <is>
          <t>R60BPH</t>
        </is>
      </c>
      <c r="K854" t="inlineStr">
        <is>
          <t>CHEVROLET AVEO</t>
        </is>
      </c>
      <c r="L854" t="inlineStr">
        <is>
          <t>UBER</t>
        </is>
      </c>
      <c r="M854" s="3">
        <f>IF(H854="Efectivo",IFERROR((VALUE(RIGHT(I854,4))-VALUE(RIGHT(E854,4)))*12+(VALUE(LEFT(I854,2))-VALUE(LEFT(E854,2))),""),"")</f>
        <v/>
      </c>
    </row>
    <row r="855">
      <c r="A855" t="inlineStr">
        <is>
          <t>ORTIZ JACOBO FRANCISCO JAVIER</t>
        </is>
      </c>
      <c r="B855" t="inlineStr">
        <is>
          <t>Hombre</t>
        </is>
      </c>
      <c r="C855" t="inlineStr">
        <is>
          <t>5612AF</t>
        </is>
      </c>
      <c r="D855" t="inlineStr">
        <is>
          <t>CDMX Y AREA METROPOLITANA</t>
        </is>
      </c>
      <c r="E855" t="inlineStr">
        <is>
          <t>08-2025</t>
        </is>
      </c>
      <c r="F855" t="inlineStr">
        <is>
          <t>12-2025</t>
        </is>
      </c>
      <c r="G855" t="n">
        <v>4</v>
      </c>
      <c r="H855" t="inlineStr">
        <is>
          <t>Efectivo</t>
        </is>
      </c>
      <c r="I855" t="inlineStr">
        <is>
          <t>01-2026</t>
        </is>
      </c>
      <c r="J855" t="inlineStr">
        <is>
          <t>09k002</t>
        </is>
      </c>
      <c r="K855" t="inlineStr">
        <is>
          <t>GAC AION S</t>
        </is>
      </c>
      <c r="L855" t="inlineStr">
        <is>
          <t>UBER</t>
        </is>
      </c>
      <c r="M855" s="3">
        <f>IF(H855="Efectivo",IFERROR((VALUE(RIGHT(I855,4))-VALUE(RIGHT(E855,4)))*12+(VALUE(LEFT(I855,2))-VALUE(LEFT(E855,2))),""),"")</f>
        <v/>
      </c>
    </row>
    <row r="856">
      <c r="A856" t="inlineStr">
        <is>
          <t>ORTIZ MENDOZA JORGE ALBERTO</t>
        </is>
      </c>
      <c r="B856" t="inlineStr">
        <is>
          <t>Hombre</t>
        </is>
      </c>
      <c r="C856" t="inlineStr">
        <is>
          <t>3407AF</t>
        </is>
      </c>
      <c r="D856" t="inlineStr">
        <is>
          <t>JALISCO</t>
        </is>
      </c>
      <c r="E856" t="inlineStr">
        <is>
          <t>06-2024</t>
        </is>
      </c>
      <c r="F856" t="inlineStr">
        <is>
          <t>07-2025</t>
        </is>
      </c>
      <c r="G856" t="n">
        <v>13</v>
      </c>
      <c r="H856" t="inlineStr">
        <is>
          <t>Efectivo</t>
        </is>
      </c>
      <c r="I856" t="inlineStr">
        <is>
          <t>08-2025</t>
        </is>
      </c>
      <c r="J856" t="inlineStr">
        <is>
          <t>HWE166A</t>
        </is>
      </c>
      <c r="K856" t="inlineStr">
        <is>
          <t>CHEVROLET AVEO</t>
        </is>
      </c>
      <c r="L856" t="inlineStr">
        <is>
          <t>UBER</t>
        </is>
      </c>
      <c r="M856" s="3">
        <f>IF(H856="Efectivo",IFERROR((VALUE(RIGHT(I856,4))-VALUE(RIGHT(E856,4)))*12+(VALUE(LEFT(I856,2))-VALUE(LEFT(E856,2))),""),"")</f>
        <v/>
      </c>
    </row>
    <row r="857">
      <c r="A857" t="inlineStr">
        <is>
          <t>ORTIZ RODRIGUEZ CESAR AMOREL</t>
        </is>
      </c>
      <c r="B857" t="inlineStr">
        <is>
          <t>Hombre</t>
        </is>
      </c>
      <c r="C857" t="inlineStr">
        <is>
          <t>5826AF</t>
        </is>
      </c>
      <c r="D857" t="inlineStr">
        <is>
          <t>NUEVO LEON</t>
        </is>
      </c>
      <c r="E857" t="inlineStr">
        <is>
          <t>09-2025</t>
        </is>
      </c>
      <c r="F857" t="inlineStr">
        <is>
          <t>03-2026</t>
        </is>
      </c>
      <c r="G857" t="n">
        <v>6</v>
      </c>
      <c r="H857" t="inlineStr">
        <is>
          <t>Efectivo</t>
        </is>
      </c>
      <c r="I857" t="inlineStr">
        <is>
          <t>03-2026</t>
        </is>
      </c>
      <c r="J857" t="inlineStr">
        <is>
          <t>RXW244C</t>
        </is>
      </c>
      <c r="K857" t="inlineStr">
        <is>
          <t>CHEVROLET AVEO</t>
        </is>
      </c>
      <c r="L857" t="inlineStr">
        <is>
          <t>DIDI</t>
        </is>
      </c>
      <c r="M857" s="3">
        <f>IF(H857="Efectivo",IFERROR((VALUE(RIGHT(I857,4))-VALUE(RIGHT(E857,4)))*12+(VALUE(LEFT(I857,2))-VALUE(LEFT(E857,2))),""),"")</f>
        <v/>
      </c>
    </row>
    <row r="858">
      <c r="A858" t="inlineStr">
        <is>
          <t>ORTIZ TOVAR JUAN ANDRES</t>
        </is>
      </c>
      <c r="B858" t="inlineStr">
        <is>
          <t>Hombre</t>
        </is>
      </c>
      <c r="C858" t="inlineStr">
        <is>
          <t>5950AF</t>
        </is>
      </c>
      <c r="D858" t="inlineStr">
        <is>
          <t>NUEVO LEON</t>
        </is>
      </c>
      <c r="E858" t="inlineStr">
        <is>
          <t>10-2025</t>
        </is>
      </c>
      <c r="F858" t="inlineStr">
        <is>
          <t>04-2026</t>
        </is>
      </c>
      <c r="G858" t="n">
        <v>6</v>
      </c>
      <c r="H858" t="inlineStr">
        <is>
          <t>Pendiente</t>
        </is>
      </c>
      <c r="J858" t="inlineStr">
        <is>
          <t>RXW062C</t>
        </is>
      </c>
      <c r="K858" t="inlineStr">
        <is>
          <t>CHEVROLET AVEO</t>
        </is>
      </c>
      <c r="L858" t="inlineStr">
        <is>
          <t>UBER</t>
        </is>
      </c>
      <c r="M858" s="3">
        <f>IF(H858="Efectivo",IFERROR((VALUE(RIGHT(I858,4))-VALUE(RIGHT(E858,4)))*12+(VALUE(LEFT(I858,2))-VALUE(LEFT(E858,2))),""),"")</f>
        <v/>
      </c>
    </row>
    <row r="859">
      <c r="A859" t="inlineStr">
        <is>
          <t>ORTIZ URIBE MARIO ADAN</t>
        </is>
      </c>
      <c r="B859" t="inlineStr">
        <is>
          <t>Hombre</t>
        </is>
      </c>
      <c r="C859" t="inlineStr">
        <is>
          <t>5938AF</t>
        </is>
      </c>
      <c r="D859" t="inlineStr">
        <is>
          <t>CDMX Y AREA METROPOLITANA</t>
        </is>
      </c>
      <c r="E859" t="inlineStr">
        <is>
          <t>10-2025</t>
        </is>
      </c>
      <c r="F859" t="inlineStr">
        <is>
          <t>03-2026</t>
        </is>
      </c>
      <c r="G859" t="n">
        <v>6</v>
      </c>
      <c r="H859" t="inlineStr">
        <is>
          <t>Efectivo</t>
        </is>
      </c>
      <c r="I859" t="inlineStr">
        <is>
          <t>05-2026</t>
        </is>
      </c>
      <c r="J859" t="inlineStr">
        <is>
          <t>31G769</t>
        </is>
      </c>
      <c r="K859" t="inlineStr">
        <is>
          <t>GAC AION S</t>
        </is>
      </c>
      <c r="L859" t="inlineStr">
        <is>
          <t>UBER</t>
        </is>
      </c>
      <c r="M859" s="3">
        <f>IF(H859="Efectivo",IFERROR((VALUE(RIGHT(I859,4))-VALUE(RIGHT(E859,4)))*12+(VALUE(LEFT(I859,2))-VALUE(LEFT(E859,2))),""),"")</f>
        <v/>
      </c>
    </row>
    <row r="860">
      <c r="A860" t="inlineStr">
        <is>
          <t>ORTIZ VAZQUEZ JUAN CARLOS</t>
        </is>
      </c>
      <c r="B860" t="inlineStr">
        <is>
          <t>Hombre</t>
        </is>
      </c>
      <c r="C860" t="inlineStr">
        <is>
          <t>2408AF</t>
        </is>
      </c>
      <c r="D860" t="inlineStr">
        <is>
          <t>BAJA CALIFORNIA</t>
        </is>
      </c>
      <c r="E860" t="inlineStr">
        <is>
          <t>01-2023</t>
        </is>
      </c>
      <c r="F860" t="inlineStr">
        <is>
          <t>07-2025</t>
        </is>
      </c>
      <c r="G860" t="n">
        <v>31</v>
      </c>
      <c r="H860" t="inlineStr">
        <is>
          <t>Efectivo</t>
        </is>
      </c>
      <c r="I860" t="inlineStr">
        <is>
          <t>08-2025</t>
        </is>
      </c>
      <c r="J860" t="inlineStr">
        <is>
          <t>BEH488A</t>
        </is>
      </c>
      <c r="K860" t="inlineStr">
        <is>
          <t>ONIX</t>
        </is>
      </c>
      <c r="L860" t="inlineStr">
        <is>
          <t>UBER</t>
        </is>
      </c>
      <c r="M860" s="3">
        <f>IF(H860="Efectivo",IFERROR((VALUE(RIGHT(I860,4))-VALUE(RIGHT(E860,4)))*12+(VALUE(LEFT(I860,2))-VALUE(LEFT(E860,2))),""),"")</f>
        <v/>
      </c>
    </row>
    <row r="861">
      <c r="A861" t="inlineStr">
        <is>
          <t>OSORIO MARTINEZ JULIO CESAR</t>
        </is>
      </c>
      <c r="B861" t="inlineStr">
        <is>
          <t>Hombre</t>
        </is>
      </c>
      <c r="C861" t="inlineStr">
        <is>
          <t>3432AF</t>
        </is>
      </c>
      <c r="D861" t="inlineStr">
        <is>
          <t>CDMX Y AREA METROPOLITANA</t>
        </is>
      </c>
      <c r="E861" t="inlineStr">
        <is>
          <t>06-2024</t>
        </is>
      </c>
      <c r="F861" t="inlineStr">
        <is>
          <t>03-2026</t>
        </is>
      </c>
      <c r="G861" t="n">
        <v>21</v>
      </c>
      <c r="H861" t="inlineStr">
        <is>
          <t>Efectivo</t>
        </is>
      </c>
      <c r="I861" t="inlineStr">
        <is>
          <t>05-2026</t>
        </is>
      </c>
      <c r="J861" t="inlineStr">
        <is>
          <t>77F016</t>
        </is>
      </c>
      <c r="K861" t="inlineStr">
        <is>
          <t>BYD D1</t>
        </is>
      </c>
      <c r="L861" t="inlineStr">
        <is>
          <t>UBER</t>
        </is>
      </c>
      <c r="M861" s="3">
        <f>IF(H861="Efectivo",IFERROR((VALUE(RIGHT(I861,4))-VALUE(RIGHT(E861,4)))*12+(VALUE(LEFT(I861,2))-VALUE(LEFT(E861,2))),""),"")</f>
        <v/>
      </c>
    </row>
    <row r="862">
      <c r="A862" t="inlineStr">
        <is>
          <t>OTERO DELGADO FABIAN</t>
        </is>
      </c>
      <c r="B862" t="inlineStr">
        <is>
          <t>Hombre</t>
        </is>
      </c>
      <c r="C862" t="inlineStr">
        <is>
          <t>5268AF</t>
        </is>
      </c>
      <c r="D862" t="inlineStr">
        <is>
          <t>CDMX Y AREA METROPOLITANA</t>
        </is>
      </c>
      <c r="E862" t="inlineStr">
        <is>
          <t>07-2025</t>
        </is>
      </c>
      <c r="F862" t="inlineStr">
        <is>
          <t>10-2025</t>
        </is>
      </c>
      <c r="G862" t="n">
        <v>3</v>
      </c>
      <c r="H862" t="inlineStr">
        <is>
          <t>Efectivo</t>
        </is>
      </c>
      <c r="I862" t="inlineStr">
        <is>
          <t>10-2025</t>
        </is>
      </c>
      <c r="J862" t="inlineStr">
        <is>
          <t>43G910</t>
        </is>
      </c>
      <c r="K862" t="inlineStr">
        <is>
          <t>GAC AION S</t>
        </is>
      </c>
      <c r="L862" t="inlineStr">
        <is>
          <t>UBER</t>
        </is>
      </c>
      <c r="M862" s="3">
        <f>IF(H862="Efectivo",IFERROR((VALUE(RIGHT(I862,4))-VALUE(RIGHT(E862,4)))*12+(VALUE(LEFT(I862,2))-VALUE(LEFT(E862,2))),""),"")</f>
        <v/>
      </c>
    </row>
    <row r="863">
      <c r="A863" t="inlineStr">
        <is>
          <t>PABLO LOPEZ DANIEL</t>
        </is>
      </c>
      <c r="B863" t="inlineStr">
        <is>
          <t>Hombre</t>
        </is>
      </c>
      <c r="C863" t="inlineStr">
        <is>
          <t>3663AF</t>
        </is>
      </c>
      <c r="D863" t="inlineStr">
        <is>
          <t>CDMX Y AREA METROPOLITANA</t>
        </is>
      </c>
      <c r="E863" t="inlineStr">
        <is>
          <t>08-2024</t>
        </is>
      </c>
      <c r="F863" t="inlineStr">
        <is>
          <t>04-2025</t>
        </is>
      </c>
      <c r="G863" t="n">
        <v>8</v>
      </c>
      <c r="H863" t="inlineStr">
        <is>
          <t>Efectivo</t>
        </is>
      </c>
      <c r="I863" t="inlineStr">
        <is>
          <t>04-2025</t>
        </is>
      </c>
      <c r="J863" t="inlineStr">
        <is>
          <t>89F896</t>
        </is>
      </c>
      <c r="K863" t="inlineStr">
        <is>
          <t>BYD D1</t>
        </is>
      </c>
      <c r="L863" t="inlineStr">
        <is>
          <t>DIDI</t>
        </is>
      </c>
      <c r="M863" s="3">
        <f>IF(H863="Efectivo",IFERROR((VALUE(RIGHT(I863,4))-VALUE(RIGHT(E863,4)))*12+(VALUE(LEFT(I863,2))-VALUE(LEFT(E863,2))),""),"")</f>
        <v/>
      </c>
    </row>
    <row r="864">
      <c r="A864" t="inlineStr">
        <is>
          <t>PACHECO ESTRADA MIGUEL ANGEL</t>
        </is>
      </c>
      <c r="B864" t="inlineStr">
        <is>
          <t>Hombre</t>
        </is>
      </c>
      <c r="C864" t="inlineStr">
        <is>
          <t>2492AF</t>
        </is>
      </c>
      <c r="D864" t="inlineStr">
        <is>
          <t>QUERETARO</t>
        </is>
      </c>
      <c r="E864" t="inlineStr">
        <is>
          <t>03-2023</t>
        </is>
      </c>
      <c r="F864" t="inlineStr">
        <is>
          <t>12-2025</t>
        </is>
      </c>
      <c r="G864" t="n">
        <v>33</v>
      </c>
      <c r="H864" t="inlineStr">
        <is>
          <t>Efectivo</t>
        </is>
      </c>
      <c r="I864" t="inlineStr">
        <is>
          <t>02-2026</t>
        </is>
      </c>
      <c r="J864" t="inlineStr">
        <is>
          <t>UPT743H</t>
        </is>
      </c>
      <c r="K864" t="inlineStr">
        <is>
          <t>ATTITUDE</t>
        </is>
      </c>
      <c r="L864" t="inlineStr">
        <is>
          <t>UBER</t>
        </is>
      </c>
      <c r="M864" s="3">
        <f>IF(H864="Efectivo",IFERROR((VALUE(RIGHT(I864,4))-VALUE(RIGHT(E864,4)))*12+(VALUE(LEFT(I864,2))-VALUE(LEFT(E864,2))),""),"")</f>
        <v/>
      </c>
    </row>
    <row r="865">
      <c r="A865" t="inlineStr">
        <is>
          <t>PACHECO ZUÑIGA FAUSTO DANIEL</t>
        </is>
      </c>
      <c r="B865" t="inlineStr">
        <is>
          <t>Hombre</t>
        </is>
      </c>
      <c r="C865" t="inlineStr">
        <is>
          <t>5504AF</t>
        </is>
      </c>
      <c r="D865" t="inlineStr">
        <is>
          <t>CDMX Y AREA METROPOLITANA</t>
        </is>
      </c>
      <c r="E865" t="inlineStr">
        <is>
          <t>08-2025</t>
        </is>
      </c>
      <c r="F865" t="inlineStr">
        <is>
          <t>02-2026</t>
        </is>
      </c>
      <c r="G865" t="n">
        <v>6</v>
      </c>
      <c r="H865" t="inlineStr">
        <is>
          <t>Efectivo</t>
        </is>
      </c>
      <c r="I865" t="inlineStr">
        <is>
          <t>03-2026</t>
        </is>
      </c>
      <c r="J865" t="inlineStr">
        <is>
          <t>48G171</t>
        </is>
      </c>
      <c r="K865" t="inlineStr">
        <is>
          <t>BYD MINIDOLPHIN</t>
        </is>
      </c>
      <c r="L865" t="inlineStr">
        <is>
          <t>UBER</t>
        </is>
      </c>
      <c r="M865" s="3">
        <f>IF(H865="Efectivo",IFERROR((VALUE(RIGHT(I865,4))-VALUE(RIGHT(E865,4)))*12+(VALUE(LEFT(I865,2))-VALUE(LEFT(E865,2))),""),"")</f>
        <v/>
      </c>
    </row>
    <row r="866">
      <c r="A866" t="inlineStr">
        <is>
          <t>PADILLA ADORNO EDUARDO</t>
        </is>
      </c>
      <c r="B866" t="inlineStr">
        <is>
          <t>Hombre</t>
        </is>
      </c>
      <c r="C866" t="inlineStr">
        <is>
          <t>5641AF</t>
        </is>
      </c>
      <c r="D866" t="inlineStr">
        <is>
          <t>CDMX Y AREA METROPOLITANA</t>
        </is>
      </c>
      <c r="E866" t="inlineStr">
        <is>
          <t>08-2025</t>
        </is>
      </c>
      <c r="F866" t="inlineStr">
        <is>
          <t>11-2025</t>
        </is>
      </c>
      <c r="G866" t="n">
        <v>3</v>
      </c>
      <c r="H866" t="inlineStr">
        <is>
          <t>Pendiente</t>
        </is>
      </c>
      <c r="J866" t="inlineStr">
        <is>
          <t>08K017</t>
        </is>
      </c>
      <c r="K866" t="inlineStr">
        <is>
          <t>GAC AION S</t>
        </is>
      </c>
      <c r="L866" t="inlineStr">
        <is>
          <t>UBER</t>
        </is>
      </c>
      <c r="M866" s="3">
        <f>IF(H866="Efectivo",IFERROR((VALUE(RIGHT(I866,4))-VALUE(RIGHT(E866,4)))*12+(VALUE(LEFT(I866,2))-VALUE(LEFT(E866,2))),""),"")</f>
        <v/>
      </c>
    </row>
    <row r="867">
      <c r="A867" t="inlineStr">
        <is>
          <t>PADILLA HERNANDEZ JESUS EDUARDO</t>
        </is>
      </c>
      <c r="B867" t="inlineStr">
        <is>
          <t>Hombre</t>
        </is>
      </c>
      <c r="C867" t="inlineStr">
        <is>
          <t>4685AF</t>
        </is>
      </c>
      <c r="D867" t="inlineStr">
        <is>
          <t>NUEVO LEON</t>
        </is>
      </c>
      <c r="E867" t="inlineStr">
        <is>
          <t>04-2025</t>
        </is>
      </c>
      <c r="F867" t="inlineStr">
        <is>
          <t>12-2025</t>
        </is>
      </c>
      <c r="G867" t="n">
        <v>7</v>
      </c>
      <c r="H867" t="inlineStr">
        <is>
          <t>Efectivo</t>
        </is>
      </c>
      <c r="I867" t="inlineStr">
        <is>
          <t>01-2026</t>
        </is>
      </c>
      <c r="J867" t="inlineStr">
        <is>
          <t>RLW865C</t>
        </is>
      </c>
      <c r="K867" t="inlineStr">
        <is>
          <t>CHEVROLET AVEO</t>
        </is>
      </c>
      <c r="L867" t="inlineStr">
        <is>
          <t>UBER</t>
        </is>
      </c>
      <c r="M867" s="3">
        <f>IF(H867="Efectivo",IFERROR((VALUE(RIGHT(I867,4))-VALUE(RIGHT(E867,4)))*12+(VALUE(LEFT(I867,2))-VALUE(LEFT(E867,2))),""),"")</f>
        <v/>
      </c>
    </row>
    <row r="868">
      <c r="A868" t="inlineStr">
        <is>
          <t>PADILLA MARTINEZ YAIR</t>
        </is>
      </c>
      <c r="B868" t="inlineStr">
        <is>
          <t>Hombre</t>
        </is>
      </c>
      <c r="C868" t="inlineStr">
        <is>
          <t>5311AF</t>
        </is>
      </c>
      <c r="D868" t="inlineStr">
        <is>
          <t>CDMX Y AREA METROPOLITANA</t>
        </is>
      </c>
      <c r="E868" t="inlineStr">
        <is>
          <t>07-2025</t>
        </is>
      </c>
      <c r="F868" t="inlineStr">
        <is>
          <t>03-2026</t>
        </is>
      </c>
      <c r="G868" t="n">
        <v>8</v>
      </c>
      <c r="H868" t="inlineStr">
        <is>
          <t>Efectivo</t>
        </is>
      </c>
      <c r="I868" t="inlineStr">
        <is>
          <t>03-2026</t>
        </is>
      </c>
      <c r="J868" t="inlineStr">
        <is>
          <t>47G922</t>
        </is>
      </c>
      <c r="K868" t="inlineStr">
        <is>
          <t>BYD MINIDOLPHIN</t>
        </is>
      </c>
      <c r="L868" t="inlineStr">
        <is>
          <t>UBER</t>
        </is>
      </c>
      <c r="M868" s="3">
        <f>IF(H868="Efectivo",IFERROR((VALUE(RIGHT(I868,4))-VALUE(RIGHT(E868,4)))*12+(VALUE(LEFT(I868,2))-VALUE(LEFT(E868,2))),""),"")</f>
        <v/>
      </c>
    </row>
    <row r="869">
      <c r="A869" t="inlineStr">
        <is>
          <t>PADILLA SALON EDWIN</t>
        </is>
      </c>
      <c r="B869" t="inlineStr">
        <is>
          <t>Hombre</t>
        </is>
      </c>
      <c r="C869" t="inlineStr">
        <is>
          <t>3485AF</t>
        </is>
      </c>
      <c r="D869" t="inlineStr">
        <is>
          <t>CDMX Y AREA METROPOLITANA</t>
        </is>
      </c>
      <c r="E869" t="inlineStr">
        <is>
          <t>07-2024</t>
        </is>
      </c>
      <c r="F869" t="inlineStr">
        <is>
          <t>01-2026</t>
        </is>
      </c>
      <c r="G869" t="n">
        <v>18</v>
      </c>
      <c r="H869" t="inlineStr">
        <is>
          <t>Efectivo</t>
        </is>
      </c>
      <c r="I869" t="inlineStr">
        <is>
          <t>02-2026</t>
        </is>
      </c>
      <c r="J869" t="inlineStr">
        <is>
          <t>D86BPF</t>
        </is>
      </c>
      <c r="K869" t="inlineStr">
        <is>
          <t>CHEVROLET AVEO</t>
        </is>
      </c>
      <c r="L869" t="inlineStr">
        <is>
          <t>UBER</t>
        </is>
      </c>
      <c r="M869" s="3">
        <f>IF(H869="Efectivo",IFERROR((VALUE(RIGHT(I869,4))-VALUE(RIGHT(E869,4)))*12+(VALUE(LEFT(I869,2))-VALUE(LEFT(E869,2))),""),"")</f>
        <v/>
      </c>
    </row>
    <row r="870">
      <c r="A870" t="inlineStr">
        <is>
          <t>PALACIOS PEREZ ELIAS FELIPE DE JESUS</t>
        </is>
      </c>
      <c r="B870" t="inlineStr">
        <is>
          <t>Hombre</t>
        </is>
      </c>
      <c r="C870" t="inlineStr">
        <is>
          <t>4241AF</t>
        </is>
      </c>
      <c r="D870" t="inlineStr">
        <is>
          <t>CDMX Y AREA METROPOLITANA</t>
        </is>
      </c>
      <c r="E870" t="inlineStr">
        <is>
          <t>01-2025</t>
        </is>
      </c>
      <c r="F870" t="inlineStr">
        <is>
          <t>06-2025</t>
        </is>
      </c>
      <c r="G870" t="n">
        <v>4</v>
      </c>
      <c r="H870" t="inlineStr">
        <is>
          <t>Efectivo</t>
        </is>
      </c>
      <c r="I870" t="inlineStr">
        <is>
          <t>06-2025</t>
        </is>
      </c>
      <c r="J870" t="inlineStr">
        <is>
          <t>19G646</t>
        </is>
      </c>
      <c r="K870" t="inlineStr">
        <is>
          <t>BYD D1</t>
        </is>
      </c>
      <c r="L870" t="inlineStr">
        <is>
          <t>UBER</t>
        </is>
      </c>
      <c r="M870" s="3">
        <f>IF(H870="Efectivo",IFERROR((VALUE(RIGHT(I870,4))-VALUE(RIGHT(E870,4)))*12+(VALUE(LEFT(I870,2))-VALUE(LEFT(E870,2))),""),"")</f>
        <v/>
      </c>
    </row>
    <row r="871">
      <c r="A871" t="inlineStr">
        <is>
          <t>PALAFOX LOPEZ MARCO ADDIEL</t>
        </is>
      </c>
      <c r="B871" t="inlineStr">
        <is>
          <t>Hombre</t>
        </is>
      </c>
      <c r="C871" t="inlineStr">
        <is>
          <t>5283AF</t>
        </is>
      </c>
      <c r="D871" t="inlineStr">
        <is>
          <t>BAJA CALIFORNIA</t>
        </is>
      </c>
      <c r="E871" t="inlineStr">
        <is>
          <t>07-2025</t>
        </is>
      </c>
      <c r="F871" t="inlineStr">
        <is>
          <t>10-2025</t>
        </is>
      </c>
      <c r="G871" t="n">
        <v>3</v>
      </c>
      <c r="H871" t="inlineStr">
        <is>
          <t>Cancelado</t>
        </is>
      </c>
      <c r="J871" t="inlineStr">
        <is>
          <t>BYZ583A</t>
        </is>
      </c>
      <c r="K871" t="inlineStr">
        <is>
          <t>CHEVROLET AVEO</t>
        </is>
      </c>
      <c r="L871" t="inlineStr">
        <is>
          <t>UBER</t>
        </is>
      </c>
      <c r="M871" s="3">
        <f>IF(H871="Efectivo",IFERROR((VALUE(RIGHT(I871,4))-VALUE(RIGHT(E871,4)))*12+(VALUE(LEFT(I871,2))-VALUE(LEFT(E871,2))),""),"")</f>
        <v/>
      </c>
    </row>
    <row r="872">
      <c r="A872" t="inlineStr">
        <is>
          <t>PALMA VILLEGAS JUAN MANUEL</t>
        </is>
      </c>
      <c r="B872" t="inlineStr">
        <is>
          <t>Hombre</t>
        </is>
      </c>
      <c r="C872" t="inlineStr">
        <is>
          <t>3836AF</t>
        </is>
      </c>
      <c r="D872" t="inlineStr">
        <is>
          <t>CDMX Y AREA METROPOLITANA</t>
        </is>
      </c>
      <c r="E872" t="inlineStr">
        <is>
          <t>10-2024</t>
        </is>
      </c>
      <c r="F872" t="inlineStr">
        <is>
          <t>05-2025</t>
        </is>
      </c>
      <c r="G872" t="n">
        <v>7</v>
      </c>
      <c r="H872" t="inlineStr">
        <is>
          <t>Cancelado</t>
        </is>
      </c>
      <c r="J872" t="inlineStr">
        <is>
          <t>08G115</t>
        </is>
      </c>
      <c r="K872" t="inlineStr">
        <is>
          <t>BYD D1</t>
        </is>
      </c>
      <c r="L872" t="inlineStr">
        <is>
          <t>DIDI</t>
        </is>
      </c>
      <c r="M872" s="3">
        <f>IF(H872="Efectivo",IFERROR((VALUE(RIGHT(I872,4))-VALUE(RIGHT(E872,4)))*12+(VALUE(LEFT(I872,2))-VALUE(LEFT(E872,2))),""),"")</f>
        <v/>
      </c>
    </row>
    <row r="873">
      <c r="A873" t="inlineStr">
        <is>
          <t>PALOMARES MONTANTE MIGUEL ANGEL</t>
        </is>
      </c>
      <c r="B873" t="inlineStr">
        <is>
          <t>Hombre</t>
        </is>
      </c>
      <c r="C873" t="inlineStr">
        <is>
          <t>2595AF</t>
        </is>
      </c>
      <c r="D873" t="inlineStr">
        <is>
          <t>CDMX Y AREA METROPOLITANA</t>
        </is>
      </c>
      <c r="E873" t="inlineStr">
        <is>
          <t>06-2023</t>
        </is>
      </c>
      <c r="F873" t="inlineStr">
        <is>
          <t>11-2025</t>
        </is>
      </c>
      <c r="G873" t="n">
        <v>30</v>
      </c>
      <c r="H873" t="inlineStr">
        <is>
          <t>Efectivo</t>
        </is>
      </c>
      <c r="I873" t="inlineStr">
        <is>
          <t>12-2025</t>
        </is>
      </c>
      <c r="J873" t="inlineStr">
        <is>
          <t>E20BLZ</t>
        </is>
      </c>
      <c r="K873" t="inlineStr">
        <is>
          <t>TOYOTA AVANZA</t>
        </is>
      </c>
      <c r="L873" t="inlineStr">
        <is>
          <t>UBER</t>
        </is>
      </c>
      <c r="M873" s="3">
        <f>IF(H873="Efectivo",IFERROR((VALUE(RIGHT(I873,4))-VALUE(RIGHT(E873,4)))*12+(VALUE(LEFT(I873,2))-VALUE(LEFT(E873,2))),""),"")</f>
        <v/>
      </c>
    </row>
    <row r="874">
      <c r="A874" t="inlineStr">
        <is>
          <t>PALOMO MARTINEZ ESTEBAN GERARDO</t>
        </is>
      </c>
      <c r="B874" t="inlineStr">
        <is>
          <t>Hombre</t>
        </is>
      </c>
      <c r="C874" t="inlineStr">
        <is>
          <t>4617AF</t>
        </is>
      </c>
      <c r="D874" t="inlineStr">
        <is>
          <t>NUEVO LEON</t>
        </is>
      </c>
      <c r="E874" t="inlineStr">
        <is>
          <t>04-2025</t>
        </is>
      </c>
      <c r="F874" t="inlineStr">
        <is>
          <t>10-2025</t>
        </is>
      </c>
      <c r="G874" t="n">
        <v>6</v>
      </c>
      <c r="H874" t="inlineStr">
        <is>
          <t>Pendiente</t>
        </is>
      </c>
      <c r="J874" t="inlineStr">
        <is>
          <t>SZM483A</t>
        </is>
      </c>
      <c r="K874" t="inlineStr">
        <is>
          <t>CHEVROLET AVEO</t>
        </is>
      </c>
      <c r="L874" t="inlineStr">
        <is>
          <t>UBER</t>
        </is>
      </c>
      <c r="M874" s="3">
        <f>IF(H874="Efectivo",IFERROR((VALUE(RIGHT(I874,4))-VALUE(RIGHT(E874,4)))*12+(VALUE(LEFT(I874,2))-VALUE(LEFT(E874,2))),""),"")</f>
        <v/>
      </c>
    </row>
    <row r="875">
      <c r="A875" t="inlineStr">
        <is>
          <t>PANIAGUA OSORIO GUSTAVO ANTONIO</t>
        </is>
      </c>
      <c r="B875" t="inlineStr">
        <is>
          <t>Hombre</t>
        </is>
      </c>
      <c r="C875" t="inlineStr">
        <is>
          <t>4222AF</t>
        </is>
      </c>
      <c r="D875" t="inlineStr">
        <is>
          <t>CDMX Y AREA METROPOLITANA</t>
        </is>
      </c>
      <c r="E875" t="inlineStr">
        <is>
          <t>01-2025</t>
        </is>
      </c>
      <c r="F875" t="inlineStr">
        <is>
          <t>06-2025</t>
        </is>
      </c>
      <c r="G875" t="n">
        <v>5</v>
      </c>
      <c r="H875" t="inlineStr">
        <is>
          <t>Efectivo</t>
        </is>
      </c>
      <c r="I875" t="inlineStr">
        <is>
          <t>07-2025</t>
        </is>
      </c>
      <c r="J875" t="inlineStr">
        <is>
          <t>27G568</t>
        </is>
      </c>
      <c r="K875" t="inlineStr">
        <is>
          <t>BYD MINIDOLPHIN</t>
        </is>
      </c>
      <c r="L875" t="inlineStr">
        <is>
          <t>DIDI</t>
        </is>
      </c>
      <c r="M875" s="3">
        <f>IF(H875="Efectivo",IFERROR((VALUE(RIGHT(I875,4))-VALUE(RIGHT(E875,4)))*12+(VALUE(LEFT(I875,2))-VALUE(LEFT(E875,2))),""),"")</f>
        <v/>
      </c>
    </row>
    <row r="876">
      <c r="A876" t="inlineStr">
        <is>
          <t>PANIAGUA SANCHEZ VICTOR HUGO</t>
        </is>
      </c>
      <c r="B876" t="inlineStr">
        <is>
          <t>Hombre</t>
        </is>
      </c>
      <c r="C876" t="inlineStr">
        <is>
          <t>4819AF</t>
        </is>
      </c>
      <c r="D876" t="inlineStr">
        <is>
          <t>CDMX Y AREA METROPOLITANA</t>
        </is>
      </c>
      <c r="E876" t="inlineStr">
        <is>
          <t>05-2025</t>
        </is>
      </c>
      <c r="F876" t="inlineStr">
        <is>
          <t>09-2025</t>
        </is>
      </c>
      <c r="G876" t="n">
        <v>4</v>
      </c>
      <c r="H876" t="inlineStr">
        <is>
          <t>Efectivo</t>
        </is>
      </c>
      <c r="I876" t="inlineStr">
        <is>
          <t>10-2025</t>
        </is>
      </c>
      <c r="J876" t="inlineStr">
        <is>
          <t>41G665</t>
        </is>
      </c>
      <c r="K876" t="inlineStr">
        <is>
          <t>BYD MINIDOLPHIN</t>
        </is>
      </c>
      <c r="L876" t="inlineStr">
        <is>
          <t>DIDI</t>
        </is>
      </c>
      <c r="M876" s="3">
        <f>IF(H876="Efectivo",IFERROR((VALUE(RIGHT(I876,4))-VALUE(RIGHT(E876,4)))*12+(VALUE(LEFT(I876,2))-VALUE(LEFT(E876,2))),""),"")</f>
        <v/>
      </c>
    </row>
    <row r="877">
      <c r="A877" t="inlineStr">
        <is>
          <t>PARAMO RIOS RICARDO MIGUEL</t>
        </is>
      </c>
      <c r="B877" t="inlineStr">
        <is>
          <t>Hombre</t>
        </is>
      </c>
      <c r="C877" t="inlineStr">
        <is>
          <t>6296AF</t>
        </is>
      </c>
      <c r="D877" t="inlineStr">
        <is>
          <t>CDMX Y AREA METROPOLITANA</t>
        </is>
      </c>
      <c r="E877" t="inlineStr">
        <is>
          <t>11-2025</t>
        </is>
      </c>
      <c r="F877" t="inlineStr">
        <is>
          <t>02-2026</t>
        </is>
      </c>
      <c r="G877" t="n">
        <v>2</v>
      </c>
      <c r="H877" t="inlineStr">
        <is>
          <t>Efectivo</t>
        </is>
      </c>
      <c r="I877" t="inlineStr">
        <is>
          <t>04-2026</t>
        </is>
      </c>
      <c r="J877" t="inlineStr">
        <is>
          <t>L77BSF</t>
        </is>
      </c>
      <c r="K877" t="inlineStr">
        <is>
          <t>CHEVROLET AVEO</t>
        </is>
      </c>
      <c r="L877" t="inlineStr">
        <is>
          <t>UBER</t>
        </is>
      </c>
      <c r="M877" s="3">
        <f>IF(H877="Efectivo",IFERROR((VALUE(RIGHT(I877,4))-VALUE(RIGHT(E877,4)))*12+(VALUE(LEFT(I877,2))-VALUE(LEFT(E877,2))),""),"")</f>
        <v/>
      </c>
    </row>
    <row r="878">
      <c r="A878" t="inlineStr">
        <is>
          <t>PAREDES GARZA ALAN JOSUE</t>
        </is>
      </c>
      <c r="B878" t="inlineStr">
        <is>
          <t>Hombre</t>
        </is>
      </c>
      <c r="C878" t="inlineStr">
        <is>
          <t>3068AF</t>
        </is>
      </c>
      <c r="D878" t="inlineStr">
        <is>
          <t>NUEVO LEON</t>
        </is>
      </c>
      <c r="E878" t="inlineStr">
        <is>
          <t>02-2024</t>
        </is>
      </c>
      <c r="F878" t="inlineStr">
        <is>
          <t>04-2026</t>
        </is>
      </c>
      <c r="G878" t="n">
        <v>26</v>
      </c>
      <c r="H878" t="inlineStr">
        <is>
          <t>Pendiente</t>
        </is>
      </c>
      <c r="J878" t="inlineStr">
        <is>
          <t>SVZ837B</t>
        </is>
      </c>
      <c r="K878" t="inlineStr">
        <is>
          <t>CHEVROLET AVEO</t>
        </is>
      </c>
      <c r="L878" t="inlineStr">
        <is>
          <t>UBER</t>
        </is>
      </c>
      <c r="M878" s="3">
        <f>IF(H878="Efectivo",IFERROR((VALUE(RIGHT(I878,4))-VALUE(RIGHT(E878,4)))*12+(VALUE(LEFT(I878,2))-VALUE(LEFT(E878,2))),""),"")</f>
        <v/>
      </c>
    </row>
    <row r="879">
      <c r="A879" t="inlineStr">
        <is>
          <t>PAREDES JIMENEZ JAVIER HORACIO</t>
        </is>
      </c>
      <c r="B879" t="inlineStr">
        <is>
          <t>Hombre</t>
        </is>
      </c>
      <c r="C879" t="inlineStr">
        <is>
          <t>5099AF</t>
        </is>
      </c>
      <c r="D879" t="inlineStr">
        <is>
          <t>CDMX Y AREA METROPOLITANA</t>
        </is>
      </c>
      <c r="E879" t="inlineStr">
        <is>
          <t>06-2025</t>
        </is>
      </c>
      <c r="F879" t="inlineStr">
        <is>
          <t>01-2026</t>
        </is>
      </c>
      <c r="G879" t="n">
        <v>7</v>
      </c>
      <c r="H879" t="inlineStr">
        <is>
          <t>Efectivo</t>
        </is>
      </c>
      <c r="I879" t="inlineStr">
        <is>
          <t>02-2026</t>
        </is>
      </c>
      <c r="J879" t="inlineStr">
        <is>
          <t>50G954</t>
        </is>
      </c>
      <c r="K879" t="inlineStr">
        <is>
          <t>GAC AION S</t>
        </is>
      </c>
      <c r="L879" t="inlineStr">
        <is>
          <t>UBER</t>
        </is>
      </c>
      <c r="M879" s="3">
        <f>IF(H879="Efectivo",IFERROR((VALUE(RIGHT(I879,4))-VALUE(RIGHT(E879,4)))*12+(VALUE(LEFT(I879,2))-VALUE(LEFT(E879,2))),""),"")</f>
        <v/>
      </c>
    </row>
    <row r="880">
      <c r="A880" t="inlineStr">
        <is>
          <t>PARRA BARBOZA OSCAR ISAAC</t>
        </is>
      </c>
      <c r="B880" t="inlineStr">
        <is>
          <t>Hombre</t>
        </is>
      </c>
      <c r="C880" t="inlineStr">
        <is>
          <t>5792AF</t>
        </is>
      </c>
      <c r="D880" t="inlineStr">
        <is>
          <t>JALISCO</t>
        </is>
      </c>
      <c r="E880" t="inlineStr">
        <is>
          <t>09-2025</t>
        </is>
      </c>
      <c r="F880" t="inlineStr">
        <is>
          <t>03-2026</t>
        </is>
      </c>
      <c r="G880" t="n">
        <v>6</v>
      </c>
      <c r="H880" t="inlineStr">
        <is>
          <t>Pendiente</t>
        </is>
      </c>
      <c r="J880" t="inlineStr">
        <is>
          <t>JZK269A</t>
        </is>
      </c>
      <c r="K880" t="inlineStr">
        <is>
          <t>TOYOTA AVANZA</t>
        </is>
      </c>
      <c r="L880" t="inlineStr">
        <is>
          <t>UBER</t>
        </is>
      </c>
      <c r="M880" s="3">
        <f>IF(H880="Efectivo",IFERROR((VALUE(RIGHT(I880,4))-VALUE(RIGHT(E880,4)))*12+(VALUE(LEFT(I880,2))-VALUE(LEFT(E880,2))),""),"")</f>
        <v/>
      </c>
    </row>
    <row r="881">
      <c r="A881" t="inlineStr">
        <is>
          <t>PASTOR SIERRA URBANO</t>
        </is>
      </c>
      <c r="B881" t="inlineStr">
        <is>
          <t>Hombre</t>
        </is>
      </c>
      <c r="C881" t="inlineStr">
        <is>
          <t>4120AF</t>
        </is>
      </c>
      <c r="D881" t="inlineStr">
        <is>
          <t>CDMX Y AREA METROPOLITANA</t>
        </is>
      </c>
      <c r="E881" t="inlineStr">
        <is>
          <t>12-2024</t>
        </is>
      </c>
      <c r="F881" t="inlineStr">
        <is>
          <t>06-2025</t>
        </is>
      </c>
      <c r="G881" t="n">
        <v>6</v>
      </c>
      <c r="H881" t="inlineStr">
        <is>
          <t>Efectivo</t>
        </is>
      </c>
      <c r="I881" t="inlineStr">
        <is>
          <t>05-2025</t>
        </is>
      </c>
      <c r="J881" t="inlineStr">
        <is>
          <t>19G391</t>
        </is>
      </c>
      <c r="K881" t="inlineStr">
        <is>
          <t>BYD D1</t>
        </is>
      </c>
      <c r="L881" t="inlineStr">
        <is>
          <t>DIDI</t>
        </is>
      </c>
      <c r="M881" s="3">
        <f>IF(H881="Efectivo",IFERROR((VALUE(RIGHT(I881,4))-VALUE(RIGHT(E881,4)))*12+(VALUE(LEFT(I881,2))-VALUE(LEFT(E881,2))),""),"")</f>
        <v/>
      </c>
    </row>
    <row r="882">
      <c r="A882" t="inlineStr">
        <is>
          <t>PATIÑO PAZ ANTONINO</t>
        </is>
      </c>
      <c r="B882" t="inlineStr">
        <is>
          <t>Hombre</t>
        </is>
      </c>
      <c r="C882" t="inlineStr">
        <is>
          <t>4132AF</t>
        </is>
      </c>
      <c r="D882" t="inlineStr">
        <is>
          <t>CDMX Y AREA METROPOLITANA</t>
        </is>
      </c>
      <c r="E882" t="inlineStr">
        <is>
          <t>12-2024</t>
        </is>
      </c>
      <c r="F882" t="inlineStr">
        <is>
          <t>06-2025</t>
        </is>
      </c>
      <c r="G882" t="n">
        <v>5</v>
      </c>
      <c r="H882" t="inlineStr">
        <is>
          <t>Efectivo</t>
        </is>
      </c>
      <c r="I882" t="inlineStr">
        <is>
          <t>06-2025</t>
        </is>
      </c>
      <c r="J882" t="inlineStr">
        <is>
          <t>19G554</t>
        </is>
      </c>
      <c r="K882" t="inlineStr">
        <is>
          <t>BYD D1</t>
        </is>
      </c>
      <c r="L882" t="inlineStr">
        <is>
          <t>UBER</t>
        </is>
      </c>
      <c r="M882" s="3">
        <f>IF(H882="Efectivo",IFERROR((VALUE(RIGHT(I882,4))-VALUE(RIGHT(E882,4)))*12+(VALUE(LEFT(I882,2))-VALUE(LEFT(E882,2))),""),"")</f>
        <v/>
      </c>
    </row>
    <row r="883">
      <c r="A883" t="inlineStr">
        <is>
          <t>PEDRAZA GARCIA ARMANDO</t>
        </is>
      </c>
      <c r="B883" t="inlineStr">
        <is>
          <t>Hombre</t>
        </is>
      </c>
      <c r="C883" t="inlineStr">
        <is>
          <t>3980AF</t>
        </is>
      </c>
      <c r="D883" t="inlineStr">
        <is>
          <t>NUEVO LEON</t>
        </is>
      </c>
      <c r="E883" t="inlineStr">
        <is>
          <t>11-2024</t>
        </is>
      </c>
      <c r="F883" t="inlineStr">
        <is>
          <t>03-2026</t>
        </is>
      </c>
      <c r="G883" t="n">
        <v>16</v>
      </c>
      <c r="H883" t="inlineStr">
        <is>
          <t>Efectivo</t>
        </is>
      </c>
      <c r="I883" t="inlineStr">
        <is>
          <t>03-2026</t>
        </is>
      </c>
      <c r="J883" t="inlineStr">
        <is>
          <t>TGU462B</t>
        </is>
      </c>
      <c r="K883" t="inlineStr">
        <is>
          <t>TOYOTA AVANZA</t>
        </is>
      </c>
      <c r="L883" t="inlineStr">
        <is>
          <t>UBER</t>
        </is>
      </c>
      <c r="M883" s="3">
        <f>IF(H883="Efectivo",IFERROR((VALUE(RIGHT(I883,4))-VALUE(RIGHT(E883,4)))*12+(VALUE(LEFT(I883,2))-VALUE(LEFT(E883,2))),""),"")</f>
        <v/>
      </c>
    </row>
    <row r="884">
      <c r="A884" t="inlineStr">
        <is>
          <t>PEDRAZA GUZMAN JOSE GUADALUPE</t>
        </is>
      </c>
      <c r="B884" t="inlineStr">
        <is>
          <t>Hombre</t>
        </is>
      </c>
      <c r="C884" t="inlineStr">
        <is>
          <t>6125AF</t>
        </is>
      </c>
      <c r="D884" t="inlineStr">
        <is>
          <t>JALISCO</t>
        </is>
      </c>
      <c r="E884" t="inlineStr">
        <is>
          <t>07-2025</t>
        </is>
      </c>
      <c r="F884" t="inlineStr">
        <is>
          <t>05-2026</t>
        </is>
      </c>
      <c r="G884" t="n">
        <v>9</v>
      </c>
      <c r="H884" t="inlineStr">
        <is>
          <t>Pendiente</t>
        </is>
      </c>
      <c r="J884" t="inlineStr">
        <is>
          <t>JNU135A</t>
        </is>
      </c>
      <c r="K884" t="inlineStr">
        <is>
          <t>CHEVROLET AVEO</t>
        </is>
      </c>
      <c r="L884" t="inlineStr">
        <is>
          <t>UBER</t>
        </is>
      </c>
      <c r="M884" s="3">
        <f>IF(H884="Efectivo",IFERROR((VALUE(RIGHT(I884,4))-VALUE(RIGHT(E884,4)))*12+(VALUE(LEFT(I884,2))-VALUE(LEFT(E884,2))),""),"")</f>
        <v/>
      </c>
    </row>
    <row r="885">
      <c r="A885" t="inlineStr">
        <is>
          <t>PEDROZA LOPEZ CARLOS ANDRES</t>
        </is>
      </c>
      <c r="B885" t="inlineStr">
        <is>
          <t>Hombre</t>
        </is>
      </c>
      <c r="C885" t="inlineStr">
        <is>
          <t>5852AF</t>
        </is>
      </c>
      <c r="D885" t="inlineStr">
        <is>
          <t>CDMX Y AREA METROPOLITANA</t>
        </is>
      </c>
      <c r="E885" t="inlineStr">
        <is>
          <t>09-2025</t>
        </is>
      </c>
      <c r="F885" t="inlineStr">
        <is>
          <t>05-2026</t>
        </is>
      </c>
      <c r="G885" t="n">
        <v>7</v>
      </c>
      <c r="H885" t="inlineStr">
        <is>
          <t>Efectivo</t>
        </is>
      </c>
      <c r="I885" t="inlineStr">
        <is>
          <t>05-2026</t>
        </is>
      </c>
      <c r="J885" t="inlineStr">
        <is>
          <t>11K166</t>
        </is>
      </c>
      <c r="K885" t="inlineStr">
        <is>
          <t>BYD MINIDOLPHIN</t>
        </is>
      </c>
      <c r="L885" t="inlineStr">
        <is>
          <t>UBER</t>
        </is>
      </c>
      <c r="M885" s="3">
        <f>IF(H885="Efectivo",IFERROR((VALUE(RIGHT(I885,4))-VALUE(RIGHT(E885,4)))*12+(VALUE(LEFT(I885,2))-VALUE(LEFT(E885,2))),""),"")</f>
        <v/>
      </c>
    </row>
    <row r="886">
      <c r="A886" t="inlineStr">
        <is>
          <t>PEINADO JIMENEZ JOEL ARMANDO</t>
        </is>
      </c>
      <c r="B886" t="inlineStr">
        <is>
          <t>Hombre</t>
        </is>
      </c>
      <c r="C886" t="inlineStr">
        <is>
          <t>6059AF</t>
        </is>
      </c>
      <c r="D886" t="inlineStr">
        <is>
          <t>BAJA CALIFORNIA</t>
        </is>
      </c>
      <c r="E886" t="inlineStr">
        <is>
          <t>10-2025</t>
        </is>
      </c>
      <c r="F886" t="inlineStr">
        <is>
          <t>03-2026</t>
        </is>
      </c>
      <c r="G886" t="n">
        <v>5</v>
      </c>
      <c r="H886" t="inlineStr">
        <is>
          <t>Efectivo</t>
        </is>
      </c>
      <c r="I886" t="inlineStr">
        <is>
          <t>03-2026</t>
        </is>
      </c>
      <c r="J886" t="inlineStr">
        <is>
          <t>CAS978A</t>
        </is>
      </c>
      <c r="K886" t="inlineStr">
        <is>
          <t>CHEVROLET AVEO</t>
        </is>
      </c>
      <c r="L886" t="inlineStr">
        <is>
          <t>DIDI</t>
        </is>
      </c>
      <c r="M886" s="3">
        <f>IF(H886="Efectivo",IFERROR((VALUE(RIGHT(I886,4))-VALUE(RIGHT(E886,4)))*12+(VALUE(LEFT(I886,2))-VALUE(LEFT(E886,2))),""),"")</f>
        <v/>
      </c>
    </row>
    <row r="887">
      <c r="A887" t="inlineStr">
        <is>
          <t>PELAYO PEREZ JOSE DE JESUS</t>
        </is>
      </c>
      <c r="B887" t="inlineStr">
        <is>
          <t>Hombre</t>
        </is>
      </c>
      <c r="C887" t="inlineStr">
        <is>
          <t>3051AF</t>
        </is>
      </c>
      <c r="D887" t="inlineStr">
        <is>
          <t>CDMX Y AREA METROPOLITANA</t>
        </is>
      </c>
      <c r="E887" t="inlineStr">
        <is>
          <t>02-2024</t>
        </is>
      </c>
      <c r="F887" t="inlineStr">
        <is>
          <t>03-2025</t>
        </is>
      </c>
      <c r="G887" t="n">
        <v>13</v>
      </c>
      <c r="H887" t="inlineStr">
        <is>
          <t>Efectivo</t>
        </is>
      </c>
      <c r="I887" t="inlineStr">
        <is>
          <t>03-2025</t>
        </is>
      </c>
      <c r="J887" t="inlineStr">
        <is>
          <t>T20BNL</t>
        </is>
      </c>
      <c r="K887" t="inlineStr">
        <is>
          <t>CHEVROLET AVEO</t>
        </is>
      </c>
      <c r="L887" t="inlineStr">
        <is>
          <t>UBER</t>
        </is>
      </c>
      <c r="M887" s="3">
        <f>IF(H887="Efectivo",IFERROR((VALUE(RIGHT(I887,4))-VALUE(RIGHT(E887,4)))*12+(VALUE(LEFT(I887,2))-VALUE(LEFT(E887,2))),""),"")</f>
        <v/>
      </c>
    </row>
    <row r="888">
      <c r="A888" t="inlineStr">
        <is>
          <t>PEÑA CABELLO LUIS EMILIANO</t>
        </is>
      </c>
      <c r="B888" t="inlineStr">
        <is>
          <t>Hombre</t>
        </is>
      </c>
      <c r="C888" t="inlineStr">
        <is>
          <t>6664AF</t>
        </is>
      </c>
      <c r="D888" t="inlineStr">
        <is>
          <t>CDMX Y AREA METROPOLITANA</t>
        </is>
      </c>
      <c r="E888" t="inlineStr">
        <is>
          <t>01-2026</t>
        </is>
      </c>
      <c r="F888" t="inlineStr">
        <is>
          <t>04-2026</t>
        </is>
      </c>
      <c r="G888" t="n">
        <v>4</v>
      </c>
      <c r="H888" t="inlineStr">
        <is>
          <t>Efectivo</t>
        </is>
      </c>
      <c r="I888" t="inlineStr">
        <is>
          <t>04-2026</t>
        </is>
      </c>
      <c r="J888" t="inlineStr">
        <is>
          <t>62G373</t>
        </is>
      </c>
      <c r="K888" t="inlineStr">
        <is>
          <t>BYD E5</t>
        </is>
      </c>
      <c r="L888" t="inlineStr">
        <is>
          <t>UBER</t>
        </is>
      </c>
      <c r="M888" s="3">
        <f>IF(H888="Efectivo",IFERROR((VALUE(RIGHT(I888,4))-VALUE(RIGHT(E888,4)))*12+(VALUE(LEFT(I888,2))-VALUE(LEFT(E888,2))),""),"")</f>
        <v/>
      </c>
    </row>
    <row r="889">
      <c r="A889" t="inlineStr">
        <is>
          <t>PEÑA GUZMAN JOSE JUAN</t>
        </is>
      </c>
      <c r="B889" t="inlineStr">
        <is>
          <t>Hombre</t>
        </is>
      </c>
      <c r="C889" t="inlineStr">
        <is>
          <t>4119AF</t>
        </is>
      </c>
      <c r="D889" t="inlineStr">
        <is>
          <t>CDMX Y AREA METROPOLITANA</t>
        </is>
      </c>
      <c r="E889" t="inlineStr">
        <is>
          <t>12-2024</t>
        </is>
      </c>
      <c r="F889" t="inlineStr">
        <is>
          <t>08-2025</t>
        </is>
      </c>
      <c r="G889" t="n">
        <v>8</v>
      </c>
      <c r="H889" t="inlineStr">
        <is>
          <t>Efectivo</t>
        </is>
      </c>
      <c r="I889" t="inlineStr">
        <is>
          <t>09-2025</t>
        </is>
      </c>
      <c r="J889" t="inlineStr">
        <is>
          <t>19G314</t>
        </is>
      </c>
      <c r="K889" t="inlineStr">
        <is>
          <t>BYD D1</t>
        </is>
      </c>
      <c r="L889" t="inlineStr">
        <is>
          <t>DIDI</t>
        </is>
      </c>
      <c r="M889" s="3">
        <f>IF(H889="Efectivo",IFERROR((VALUE(RIGHT(I889,4))-VALUE(RIGHT(E889,4)))*12+(VALUE(LEFT(I889,2))-VALUE(LEFT(E889,2))),""),"")</f>
        <v/>
      </c>
    </row>
    <row r="890">
      <c r="A890" t="inlineStr">
        <is>
          <t>PEÑALOZA AVILA NADIA GABRIELA</t>
        </is>
      </c>
      <c r="B890" t="inlineStr">
        <is>
          <t>Mujer</t>
        </is>
      </c>
      <c r="C890" t="inlineStr">
        <is>
          <t>4572AF</t>
        </is>
      </c>
      <c r="D890" t="inlineStr">
        <is>
          <t>BAJA CALIFORNIA</t>
        </is>
      </c>
      <c r="E890" t="inlineStr">
        <is>
          <t>04-2025</t>
        </is>
      </c>
      <c r="F890" t="inlineStr">
        <is>
          <t>08-2025</t>
        </is>
      </c>
      <c r="G890" t="n">
        <v>5</v>
      </c>
      <c r="H890" t="inlineStr">
        <is>
          <t>Efectivo</t>
        </is>
      </c>
      <c r="I890" t="inlineStr">
        <is>
          <t>10-2025</t>
        </is>
      </c>
      <c r="J890" t="inlineStr">
        <is>
          <t>BWX658A</t>
        </is>
      </c>
      <c r="K890" t="inlineStr">
        <is>
          <t>CHEVROLET AVEO</t>
        </is>
      </c>
      <c r="L890" t="inlineStr">
        <is>
          <t>UBER</t>
        </is>
      </c>
      <c r="M890" s="3">
        <f>IF(H890="Efectivo",IFERROR((VALUE(RIGHT(I890,4))-VALUE(RIGHT(E890,4)))*12+(VALUE(LEFT(I890,2))-VALUE(LEFT(E890,2))),""),"")</f>
        <v/>
      </c>
    </row>
    <row r="891">
      <c r="A891" t="inlineStr">
        <is>
          <t>PEÑALOZA REYES MARCELINO</t>
        </is>
      </c>
      <c r="B891" t="inlineStr">
        <is>
          <t>Hombre</t>
        </is>
      </c>
      <c r="C891" t="inlineStr">
        <is>
          <t>6057AF</t>
        </is>
      </c>
      <c r="D891" t="inlineStr">
        <is>
          <t>BAJA CALIFORNIA</t>
        </is>
      </c>
      <c r="E891" t="inlineStr">
        <is>
          <t>10-2025</t>
        </is>
      </c>
      <c r="F891" t="inlineStr">
        <is>
          <t>04-2026</t>
        </is>
      </c>
      <c r="G891" t="n">
        <v>5</v>
      </c>
      <c r="H891" t="inlineStr">
        <is>
          <t>Efectivo</t>
        </is>
      </c>
      <c r="I891" t="inlineStr">
        <is>
          <t>04-2026</t>
        </is>
      </c>
      <c r="J891" t="inlineStr">
        <is>
          <t>CAS977A</t>
        </is>
      </c>
      <c r="K891" t="inlineStr">
        <is>
          <t>CHEVROLET AVEO</t>
        </is>
      </c>
      <c r="L891" t="inlineStr">
        <is>
          <t>UBER</t>
        </is>
      </c>
      <c r="M891" s="3">
        <f>IF(H891="Efectivo",IFERROR((VALUE(RIGHT(I891,4))-VALUE(RIGHT(E891,4)))*12+(VALUE(LEFT(I891,2))-VALUE(LEFT(E891,2))),""),"")</f>
        <v/>
      </c>
    </row>
    <row r="892">
      <c r="A892" t="inlineStr">
        <is>
          <t>PEREZ ALMENDRA DANIEL</t>
        </is>
      </c>
      <c r="B892" t="inlineStr">
        <is>
          <t>Hombre</t>
        </is>
      </c>
      <c r="C892" t="inlineStr">
        <is>
          <t>4233AF</t>
        </is>
      </c>
      <c r="D892" t="inlineStr">
        <is>
          <t>BAJA CALIFORNIA</t>
        </is>
      </c>
      <c r="E892" t="inlineStr">
        <is>
          <t>01-2025</t>
        </is>
      </c>
      <c r="F892" t="inlineStr">
        <is>
          <t>02-2026</t>
        </is>
      </c>
      <c r="G892" t="n">
        <v>13</v>
      </c>
      <c r="H892" t="inlineStr">
        <is>
          <t>Efectivo</t>
        </is>
      </c>
      <c r="I892" t="inlineStr">
        <is>
          <t>02-2026</t>
        </is>
      </c>
      <c r="J892" t="inlineStr">
        <is>
          <t>BUR877A</t>
        </is>
      </c>
      <c r="K892" t="inlineStr">
        <is>
          <t>CHEVROLET AVEO</t>
        </is>
      </c>
      <c r="L892" t="inlineStr">
        <is>
          <t>UBER</t>
        </is>
      </c>
      <c r="M892" s="3">
        <f>IF(H892="Efectivo",IFERROR((VALUE(RIGHT(I892,4))-VALUE(RIGHT(E892,4)))*12+(VALUE(LEFT(I892,2))-VALUE(LEFT(E892,2))),""),"")</f>
        <v/>
      </c>
    </row>
    <row r="893">
      <c r="A893" t="inlineStr">
        <is>
          <t>PEREZ ALVAREZ MOISES</t>
        </is>
      </c>
      <c r="B893" t="inlineStr">
        <is>
          <t>Hombre</t>
        </is>
      </c>
      <c r="C893" t="inlineStr">
        <is>
          <t>3086AF</t>
        </is>
      </c>
      <c r="D893" t="inlineStr">
        <is>
          <t>CDMX Y AREA METROPOLITANA</t>
        </is>
      </c>
      <c r="E893" t="inlineStr">
        <is>
          <t>11-2025</t>
        </is>
      </c>
      <c r="F893" t="inlineStr">
        <is>
          <t>05-2026</t>
        </is>
      </c>
      <c r="G893" t="n">
        <v>5</v>
      </c>
      <c r="H893" t="inlineStr">
        <is>
          <t>Pendiente</t>
        </is>
      </c>
      <c r="J893" t="inlineStr">
        <is>
          <t>84F035</t>
        </is>
      </c>
      <c r="K893" t="inlineStr">
        <is>
          <t>BYD D1</t>
        </is>
      </c>
      <c r="L893" t="inlineStr">
        <is>
          <t>UBER</t>
        </is>
      </c>
      <c r="M893" s="3">
        <f>IF(H893="Efectivo",IFERROR((VALUE(RIGHT(I893,4))-VALUE(RIGHT(E893,4)))*12+(VALUE(LEFT(I893,2))-VALUE(LEFT(E893,2))),""),"")</f>
        <v/>
      </c>
    </row>
    <row r="894">
      <c r="A894" t="inlineStr">
        <is>
          <t>PEREZ CANALES CESAR ARMANDO</t>
        </is>
      </c>
      <c r="B894" t="inlineStr">
        <is>
          <t>Hombre</t>
        </is>
      </c>
      <c r="C894" t="inlineStr">
        <is>
          <t>4740AF</t>
        </is>
      </c>
      <c r="D894" t="inlineStr">
        <is>
          <t>CDMX Y AREA METROPOLITANA</t>
        </is>
      </c>
      <c r="E894" t="inlineStr">
        <is>
          <t>04-2025</t>
        </is>
      </c>
      <c r="F894" t="inlineStr">
        <is>
          <t>11-2025</t>
        </is>
      </c>
      <c r="G894" t="n">
        <v>7</v>
      </c>
      <c r="H894" t="inlineStr">
        <is>
          <t>Efectivo</t>
        </is>
      </c>
      <c r="I894" t="inlineStr">
        <is>
          <t>12-2025</t>
        </is>
      </c>
      <c r="J894" t="inlineStr">
        <is>
          <t>38G275</t>
        </is>
      </c>
      <c r="K894" t="inlineStr">
        <is>
          <t>GAC AION S</t>
        </is>
      </c>
      <c r="L894" t="inlineStr">
        <is>
          <t>UBER</t>
        </is>
      </c>
      <c r="M894" s="3">
        <f>IF(H894="Efectivo",IFERROR((VALUE(RIGHT(I894,4))-VALUE(RIGHT(E894,4)))*12+(VALUE(LEFT(I894,2))-VALUE(LEFT(E894,2))),""),"")</f>
        <v/>
      </c>
    </row>
    <row r="895">
      <c r="A895" t="inlineStr">
        <is>
          <t>PEREZ ESTRADA ERNESTO</t>
        </is>
      </c>
      <c r="B895" t="inlineStr">
        <is>
          <t>Hombre</t>
        </is>
      </c>
      <c r="C895" t="inlineStr">
        <is>
          <t>4905AF</t>
        </is>
      </c>
      <c r="D895" t="inlineStr">
        <is>
          <t>NUEVO LEON</t>
        </is>
      </c>
      <c r="E895" t="inlineStr">
        <is>
          <t>05-2025</t>
        </is>
      </c>
      <c r="F895" t="inlineStr">
        <is>
          <t>09-2025</t>
        </is>
      </c>
      <c r="G895" t="n">
        <v>3</v>
      </c>
      <c r="H895" t="inlineStr">
        <is>
          <t>Efectivo</t>
        </is>
      </c>
      <c r="I895" t="inlineStr">
        <is>
          <t>10-2025</t>
        </is>
      </c>
      <c r="J895" t="inlineStr">
        <is>
          <t>RUB736C</t>
        </is>
      </c>
      <c r="K895" t="inlineStr">
        <is>
          <t>TOYOTA AVANZA</t>
        </is>
      </c>
      <c r="L895" t="inlineStr">
        <is>
          <t>DIDI</t>
        </is>
      </c>
      <c r="M895" s="3">
        <f>IF(H895="Efectivo",IFERROR((VALUE(RIGHT(I895,4))-VALUE(RIGHT(E895,4)))*12+(VALUE(LEFT(I895,2))-VALUE(LEFT(E895,2))),""),"")</f>
        <v/>
      </c>
    </row>
    <row r="896">
      <c r="A896" t="inlineStr">
        <is>
          <t>PEREZ GOMEZ NATANAEL JOAQUIN</t>
        </is>
      </c>
      <c r="B896" t="inlineStr">
        <is>
          <t>Hombre</t>
        </is>
      </c>
      <c r="C896" t="inlineStr">
        <is>
          <t>6238AF</t>
        </is>
      </c>
      <c r="D896" t="inlineStr">
        <is>
          <t>CDMX Y AREA METROPOLITANA</t>
        </is>
      </c>
      <c r="E896" t="inlineStr">
        <is>
          <t>11-2025</t>
        </is>
      </c>
      <c r="F896" t="inlineStr">
        <is>
          <t>04-2026</t>
        </is>
      </c>
      <c r="G896" t="n">
        <v>4</v>
      </c>
      <c r="H896" t="inlineStr">
        <is>
          <t>Pendiente</t>
        </is>
      </c>
      <c r="J896" t="inlineStr">
        <is>
          <t>51G507</t>
        </is>
      </c>
      <c r="K896" t="inlineStr">
        <is>
          <t>GAC AION S</t>
        </is>
      </c>
      <c r="L896" t="inlineStr">
        <is>
          <t>UBER</t>
        </is>
      </c>
      <c r="M896" s="3">
        <f>IF(H896="Efectivo",IFERROR((VALUE(RIGHT(I896,4))-VALUE(RIGHT(E896,4)))*12+(VALUE(LEFT(I896,2))-VALUE(LEFT(E896,2))),""),"")</f>
        <v/>
      </c>
    </row>
    <row r="897">
      <c r="A897" t="inlineStr">
        <is>
          <t>PEREZ GOMEZ RUBEN OMAR</t>
        </is>
      </c>
      <c r="B897" t="inlineStr">
        <is>
          <t>Hombre</t>
        </is>
      </c>
      <c r="C897" t="inlineStr">
        <is>
          <t>5201AF</t>
        </is>
      </c>
      <c r="D897" t="inlineStr">
        <is>
          <t>CDMX Y AREA METROPOLITANA</t>
        </is>
      </c>
      <c r="E897" t="inlineStr">
        <is>
          <t>06-2025</t>
        </is>
      </c>
      <c r="F897" t="inlineStr">
        <is>
          <t>07-2025</t>
        </is>
      </c>
      <c r="G897" t="n">
        <v>1</v>
      </c>
      <c r="H897" t="inlineStr">
        <is>
          <t>Efectivo</t>
        </is>
      </c>
      <c r="I897" t="inlineStr">
        <is>
          <t>07-2025</t>
        </is>
      </c>
      <c r="J897" t="inlineStr">
        <is>
          <t>43G887</t>
        </is>
      </c>
      <c r="K897" t="inlineStr">
        <is>
          <t>GAC AION S</t>
        </is>
      </c>
      <c r="L897" t="inlineStr">
        <is>
          <t>UBER</t>
        </is>
      </c>
      <c r="M897" s="3">
        <f>IF(H897="Efectivo",IFERROR((VALUE(RIGHT(I897,4))-VALUE(RIGHT(E897,4)))*12+(VALUE(LEFT(I897,2))-VALUE(LEFT(E897,2))),""),"")</f>
        <v/>
      </c>
    </row>
    <row r="898">
      <c r="A898" t="inlineStr">
        <is>
          <t>PEREZ HERNANDEZ JERONIMO</t>
        </is>
      </c>
      <c r="B898" t="inlineStr">
        <is>
          <t>Hombre</t>
        </is>
      </c>
      <c r="C898" t="inlineStr">
        <is>
          <t>3664AF</t>
        </is>
      </c>
      <c r="D898" t="inlineStr">
        <is>
          <t>CDMX Y AREA METROPOLITANA</t>
        </is>
      </c>
      <c r="E898" t="inlineStr">
        <is>
          <t>08-2024</t>
        </is>
      </c>
      <c r="F898" t="inlineStr">
        <is>
          <t>03-2025</t>
        </is>
      </c>
      <c r="G898" t="n">
        <v>6</v>
      </c>
      <c r="H898" t="inlineStr">
        <is>
          <t>Efectivo</t>
        </is>
      </c>
      <c r="I898" t="inlineStr">
        <is>
          <t>03-2025</t>
        </is>
      </c>
      <c r="J898" t="inlineStr">
        <is>
          <t>89F898</t>
        </is>
      </c>
      <c r="K898" t="inlineStr">
        <is>
          <t>BYD D1</t>
        </is>
      </c>
      <c r="L898" t="inlineStr">
        <is>
          <t>DIDI</t>
        </is>
      </c>
      <c r="M898" s="3">
        <f>IF(H898="Efectivo",IFERROR((VALUE(RIGHT(I898,4))-VALUE(RIGHT(E898,4)))*12+(VALUE(LEFT(I898,2))-VALUE(LEFT(E898,2))),""),"")</f>
        <v/>
      </c>
    </row>
    <row r="899">
      <c r="A899" t="inlineStr">
        <is>
          <t>PEREZ HERNANDEZ JOSE MISAEL</t>
        </is>
      </c>
      <c r="B899" t="inlineStr">
        <is>
          <t>Hombre</t>
        </is>
      </c>
      <c r="C899" t="inlineStr">
        <is>
          <t>4986AF</t>
        </is>
      </c>
      <c r="D899" t="inlineStr">
        <is>
          <t>BAJA CALIFORNIA</t>
        </is>
      </c>
      <c r="E899" t="inlineStr">
        <is>
          <t>06-2025</t>
        </is>
      </c>
      <c r="F899" t="inlineStr">
        <is>
          <t>01-2026</t>
        </is>
      </c>
      <c r="G899" t="n">
        <v>7</v>
      </c>
      <c r="H899" t="inlineStr">
        <is>
          <t>Efectivo</t>
        </is>
      </c>
      <c r="I899" t="inlineStr">
        <is>
          <t>01-2026</t>
        </is>
      </c>
      <c r="J899" t="inlineStr">
        <is>
          <t>BYG583A</t>
        </is>
      </c>
      <c r="K899" t="inlineStr">
        <is>
          <t>CHEVROLET AVEO</t>
        </is>
      </c>
      <c r="L899" t="inlineStr">
        <is>
          <t>DIDI</t>
        </is>
      </c>
      <c r="M899" s="3">
        <f>IF(H899="Efectivo",IFERROR((VALUE(RIGHT(I899,4))-VALUE(RIGHT(E899,4)))*12+(VALUE(LEFT(I899,2))-VALUE(LEFT(E899,2))),""),"")</f>
        <v/>
      </c>
    </row>
    <row r="900">
      <c r="A900" t="inlineStr">
        <is>
          <t>PEREZ MARIN MARCO ANTONIO</t>
        </is>
      </c>
      <c r="B900" t="inlineStr">
        <is>
          <t>Hombre</t>
        </is>
      </c>
      <c r="C900" t="inlineStr">
        <is>
          <t>5013AF</t>
        </is>
      </c>
      <c r="D900" t="inlineStr">
        <is>
          <t>CDMX Y AREA METROPOLITANA</t>
        </is>
      </c>
      <c r="E900" t="inlineStr">
        <is>
          <t>06-2025</t>
        </is>
      </c>
      <c r="F900" t="inlineStr">
        <is>
          <t>01-2026</t>
        </is>
      </c>
      <c r="G900" t="n">
        <v>7</v>
      </c>
      <c r="H900" t="inlineStr">
        <is>
          <t>Efectivo</t>
        </is>
      </c>
      <c r="I900" t="inlineStr">
        <is>
          <t>03-2026</t>
        </is>
      </c>
      <c r="J900" t="inlineStr">
        <is>
          <t>50G933</t>
        </is>
      </c>
      <c r="K900" t="inlineStr">
        <is>
          <t>GAC AION S</t>
        </is>
      </c>
      <c r="L900" t="inlineStr">
        <is>
          <t>UBER</t>
        </is>
      </c>
      <c r="M900" s="3">
        <f>IF(H900="Efectivo",IFERROR((VALUE(RIGHT(I900,4))-VALUE(RIGHT(E900,4)))*12+(VALUE(LEFT(I900,2))-VALUE(LEFT(E900,2))),""),"")</f>
        <v/>
      </c>
    </row>
    <row r="901">
      <c r="A901" t="inlineStr">
        <is>
          <t>PEREZ MONTES JOSE GUADALUPE</t>
        </is>
      </c>
      <c r="B901" t="inlineStr">
        <is>
          <t>Hombre</t>
        </is>
      </c>
      <c r="C901" t="inlineStr">
        <is>
          <t>3168AF</t>
        </is>
      </c>
      <c r="D901" t="inlineStr">
        <is>
          <t>CDMX Y AREA METROPOLITANA</t>
        </is>
      </c>
      <c r="E901" t="inlineStr">
        <is>
          <t>04-2024</t>
        </is>
      </c>
      <c r="F901" t="inlineStr">
        <is>
          <t>01-2025</t>
        </is>
      </c>
      <c r="G901" t="n">
        <v>9</v>
      </c>
      <c r="H901" t="inlineStr">
        <is>
          <t>Efectivo</t>
        </is>
      </c>
      <c r="I901" t="inlineStr">
        <is>
          <t>01-2025</t>
        </is>
      </c>
      <c r="J901" t="inlineStr">
        <is>
          <t>84F062</t>
        </is>
      </c>
      <c r="K901" t="inlineStr">
        <is>
          <t>BYD D1</t>
        </is>
      </c>
      <c r="L901" t="inlineStr">
        <is>
          <t>UBER</t>
        </is>
      </c>
      <c r="M901" s="3">
        <f>IF(H901="Efectivo",IFERROR((VALUE(RIGHT(I901,4))-VALUE(RIGHT(E901,4)))*12+(VALUE(LEFT(I901,2))-VALUE(LEFT(E901,2))),""),"")</f>
        <v/>
      </c>
    </row>
    <row r="902">
      <c r="A902" t="inlineStr">
        <is>
          <t>PEREZ MORENO SERGIO EDUARDO</t>
        </is>
      </c>
      <c r="B902" t="inlineStr">
        <is>
          <t>Hombre</t>
        </is>
      </c>
      <c r="C902" t="inlineStr">
        <is>
          <t>4254AF</t>
        </is>
      </c>
      <c r="D902" t="inlineStr">
        <is>
          <t>BAJA CALIFORNIA</t>
        </is>
      </c>
      <c r="E902" t="inlineStr">
        <is>
          <t>01-2025</t>
        </is>
      </c>
      <c r="F902" t="inlineStr">
        <is>
          <t>06-2025</t>
        </is>
      </c>
      <c r="G902" t="n">
        <v>4</v>
      </c>
      <c r="H902" t="inlineStr">
        <is>
          <t>Efectivo</t>
        </is>
      </c>
      <c r="I902" t="inlineStr">
        <is>
          <t>06-2025</t>
        </is>
      </c>
      <c r="J902" t="inlineStr">
        <is>
          <t>BVG822A</t>
        </is>
      </c>
      <c r="K902" t="inlineStr">
        <is>
          <t>CHEVROLET AVEO</t>
        </is>
      </c>
      <c r="L902" t="inlineStr">
        <is>
          <t>UBER</t>
        </is>
      </c>
      <c r="M902" s="3">
        <f>IF(H902="Efectivo",IFERROR((VALUE(RIGHT(I902,4))-VALUE(RIGHT(E902,4)))*12+(VALUE(LEFT(I902,2))-VALUE(LEFT(E902,2))),""),"")</f>
        <v/>
      </c>
    </row>
    <row r="903">
      <c r="A903" t="inlineStr">
        <is>
          <t>PEREZ RODRIGUEZ MARCOS PABLO</t>
        </is>
      </c>
      <c r="B903" t="inlineStr">
        <is>
          <t>Hombre</t>
        </is>
      </c>
      <c r="C903" t="inlineStr">
        <is>
          <t>5789AF</t>
        </is>
      </c>
      <c r="D903" t="inlineStr">
        <is>
          <t>CDMX Y AREA METROPOLITANA</t>
        </is>
      </c>
      <c r="E903" t="inlineStr">
        <is>
          <t>09-2025</t>
        </is>
      </c>
      <c r="F903" t="inlineStr">
        <is>
          <t>04-2026</t>
        </is>
      </c>
      <c r="G903" t="n">
        <v>6</v>
      </c>
      <c r="H903" t="inlineStr">
        <is>
          <t>Efectivo</t>
        </is>
      </c>
      <c r="I903" t="inlineStr">
        <is>
          <t>04-2026</t>
        </is>
      </c>
      <c r="J903" t="inlineStr">
        <is>
          <t>10K417</t>
        </is>
      </c>
      <c r="K903" t="inlineStr">
        <is>
          <t>BYD MINIDOLPHIN</t>
        </is>
      </c>
      <c r="L903" t="inlineStr">
        <is>
          <t>DIDI</t>
        </is>
      </c>
      <c r="M903" s="3">
        <f>IF(H903="Efectivo",IFERROR((VALUE(RIGHT(I903,4))-VALUE(RIGHT(E903,4)))*12+(VALUE(LEFT(I903,2))-VALUE(LEFT(E903,2))),""),"")</f>
        <v/>
      </c>
    </row>
    <row r="904">
      <c r="A904" t="inlineStr">
        <is>
          <t>PEREZ RODRIGUEZ OSCAR ALBERTO</t>
        </is>
      </c>
      <c r="B904" t="inlineStr">
        <is>
          <t>Hombre</t>
        </is>
      </c>
      <c r="C904" t="inlineStr">
        <is>
          <t>4161AF</t>
        </is>
      </c>
      <c r="D904" t="inlineStr">
        <is>
          <t>CDMX Y AREA METROPOLITANA</t>
        </is>
      </c>
      <c r="E904" t="inlineStr">
        <is>
          <t>12-2024</t>
        </is>
      </c>
      <c r="F904" t="inlineStr">
        <is>
          <t>08-2025</t>
        </is>
      </c>
      <c r="G904" t="n">
        <v>7</v>
      </c>
      <c r="H904" t="inlineStr">
        <is>
          <t>Efectivo</t>
        </is>
      </c>
      <c r="I904" t="inlineStr">
        <is>
          <t>09-2025</t>
        </is>
      </c>
      <c r="J904" t="inlineStr">
        <is>
          <t>19G464</t>
        </is>
      </c>
      <c r="K904" t="inlineStr">
        <is>
          <t>BYD D1</t>
        </is>
      </c>
      <c r="L904" t="inlineStr">
        <is>
          <t>UBER</t>
        </is>
      </c>
      <c r="M904" s="3">
        <f>IF(H904="Efectivo",IFERROR((VALUE(RIGHT(I904,4))-VALUE(RIGHT(E904,4)))*12+(VALUE(LEFT(I904,2))-VALUE(LEFT(E904,2))),""),"")</f>
        <v/>
      </c>
    </row>
    <row r="905">
      <c r="A905" t="inlineStr">
        <is>
          <t>PEREZ SAN LUIS GABRIEL</t>
        </is>
      </c>
      <c r="B905" t="inlineStr">
        <is>
          <t>Hombre</t>
        </is>
      </c>
      <c r="C905" t="inlineStr">
        <is>
          <t>4886AF</t>
        </is>
      </c>
      <c r="D905" t="inlineStr">
        <is>
          <t>CDMX Y AREA METROPOLITANA</t>
        </is>
      </c>
      <c r="E905" t="inlineStr">
        <is>
          <t>05-2025</t>
        </is>
      </c>
      <c r="F905" t="inlineStr">
        <is>
          <t>09-2025</t>
        </is>
      </c>
      <c r="G905" t="n">
        <v>4</v>
      </c>
      <c r="H905" t="inlineStr">
        <is>
          <t>Efectivo</t>
        </is>
      </c>
      <c r="I905" t="inlineStr">
        <is>
          <t>09-2025</t>
        </is>
      </c>
      <c r="J905" t="inlineStr">
        <is>
          <t>89F763</t>
        </is>
      </c>
      <c r="K905" t="inlineStr">
        <is>
          <t>BYD D1</t>
        </is>
      </c>
      <c r="L905" t="inlineStr">
        <is>
          <t>UBER</t>
        </is>
      </c>
      <c r="M905" s="3">
        <f>IF(H905="Efectivo",IFERROR((VALUE(RIGHT(I905,4))-VALUE(RIGHT(E905,4)))*12+(VALUE(LEFT(I905,2))-VALUE(LEFT(E905,2))),""),"")</f>
        <v/>
      </c>
    </row>
    <row r="906">
      <c r="A906" t="inlineStr">
        <is>
          <t>PEREZ SANTIAGO ABRAHAM AUDBERTO</t>
        </is>
      </c>
      <c r="B906" t="inlineStr">
        <is>
          <t>Hombre</t>
        </is>
      </c>
      <c r="C906" t="inlineStr">
        <is>
          <t>2907AF</t>
        </is>
      </c>
      <c r="D906" t="inlineStr">
        <is>
          <t>CDMX Y AREA METROPOLITANA</t>
        </is>
      </c>
      <c r="E906" t="inlineStr">
        <is>
          <t>12-2023</t>
        </is>
      </c>
      <c r="F906" t="inlineStr">
        <is>
          <t>03-2025</t>
        </is>
      </c>
      <c r="G906" t="n">
        <v>15</v>
      </c>
      <c r="H906" t="inlineStr">
        <is>
          <t>Efectivo</t>
        </is>
      </c>
      <c r="I906" t="inlineStr">
        <is>
          <t>03-2025</t>
        </is>
      </c>
      <c r="J906" t="inlineStr">
        <is>
          <t>E71BNH</t>
        </is>
      </c>
      <c r="K906" t="inlineStr">
        <is>
          <t>CHEVROLET AVEO</t>
        </is>
      </c>
      <c r="L906" t="inlineStr">
        <is>
          <t>UBER</t>
        </is>
      </c>
      <c r="M906" s="3">
        <f>IF(H906="Efectivo",IFERROR((VALUE(RIGHT(I906,4))-VALUE(RIGHT(E906,4)))*12+(VALUE(LEFT(I906,2))-VALUE(LEFT(E906,2))),""),"")</f>
        <v/>
      </c>
    </row>
    <row r="907">
      <c r="A907" t="inlineStr">
        <is>
          <t>PEREZ SANTIZO RENE ALDAIR</t>
        </is>
      </c>
      <c r="B907" t="inlineStr">
        <is>
          <t>Hombre</t>
        </is>
      </c>
      <c r="C907" t="inlineStr">
        <is>
          <t>3002AF</t>
        </is>
      </c>
      <c r="D907" t="inlineStr">
        <is>
          <t>BAJA CALIFORNIA</t>
        </is>
      </c>
      <c r="E907" t="inlineStr">
        <is>
          <t>01-2024</t>
        </is>
      </c>
      <c r="F907" t="inlineStr">
        <is>
          <t>02-2026</t>
        </is>
      </c>
      <c r="G907" t="n">
        <v>25</v>
      </c>
      <c r="H907" t="inlineStr">
        <is>
          <t>Efectivo</t>
        </is>
      </c>
      <c r="I907" t="inlineStr">
        <is>
          <t>03-2026</t>
        </is>
      </c>
      <c r="J907" t="inlineStr">
        <is>
          <t>BKM884A</t>
        </is>
      </c>
      <c r="K907" t="inlineStr">
        <is>
          <t>CHEVROLET AVEO</t>
        </is>
      </c>
      <c r="L907" t="inlineStr">
        <is>
          <t>UBER</t>
        </is>
      </c>
      <c r="M907" s="3">
        <f>IF(H907="Efectivo",IFERROR((VALUE(RIGHT(I907,4))-VALUE(RIGHT(E907,4)))*12+(VALUE(LEFT(I907,2))-VALUE(LEFT(E907,2))),""),"")</f>
        <v/>
      </c>
    </row>
    <row r="908">
      <c r="A908" t="inlineStr">
        <is>
          <t>PEREZ SOLIS MIGUEL ANGEL</t>
        </is>
      </c>
      <c r="B908" t="inlineStr">
        <is>
          <t>Hombre</t>
        </is>
      </c>
      <c r="C908" t="inlineStr">
        <is>
          <t>5375AF</t>
        </is>
      </c>
      <c r="D908" t="inlineStr">
        <is>
          <t>CDMX Y AREA METROPOLITANA</t>
        </is>
      </c>
      <c r="E908" t="inlineStr">
        <is>
          <t>07-2025</t>
        </is>
      </c>
      <c r="F908" t="inlineStr">
        <is>
          <t>05-2026</t>
        </is>
      </c>
      <c r="G908" t="n">
        <v>10</v>
      </c>
      <c r="H908" t="inlineStr">
        <is>
          <t>Efectivo</t>
        </is>
      </c>
      <c r="I908" t="inlineStr">
        <is>
          <t>05-2026</t>
        </is>
      </c>
      <c r="J908" t="inlineStr">
        <is>
          <t>47G901</t>
        </is>
      </c>
      <c r="K908" t="inlineStr">
        <is>
          <t>BYD MINIDOLPHIN</t>
        </is>
      </c>
      <c r="L908" t="inlineStr">
        <is>
          <t>UBER</t>
        </is>
      </c>
      <c r="M908" s="3">
        <f>IF(H908="Efectivo",IFERROR((VALUE(RIGHT(I908,4))-VALUE(RIGHT(E908,4)))*12+(VALUE(LEFT(I908,2))-VALUE(LEFT(E908,2))),""),"")</f>
        <v/>
      </c>
    </row>
    <row r="909">
      <c r="A909" t="inlineStr">
        <is>
          <t>PEREZ TAFOLLA ANGEL DE JESUS</t>
        </is>
      </c>
      <c r="B909" t="inlineStr">
        <is>
          <t>Hombre</t>
        </is>
      </c>
      <c r="C909" t="inlineStr">
        <is>
          <t>2757AF</t>
        </is>
      </c>
      <c r="D909" t="inlineStr">
        <is>
          <t>CDMX Y AREA METROPOLITANA</t>
        </is>
      </c>
      <c r="E909" t="inlineStr">
        <is>
          <t>09-2023</t>
        </is>
      </c>
      <c r="F909" t="inlineStr">
        <is>
          <t>04-2025</t>
        </is>
      </c>
      <c r="G909" t="n">
        <v>18</v>
      </c>
      <c r="H909" t="inlineStr">
        <is>
          <t>Efectivo</t>
        </is>
      </c>
      <c r="I909" t="inlineStr">
        <is>
          <t>04-2025</t>
        </is>
      </c>
      <c r="J909" t="inlineStr">
        <is>
          <t>T15BMD</t>
        </is>
      </c>
      <c r="K909" t="inlineStr">
        <is>
          <t>CHEVROLET AVEO</t>
        </is>
      </c>
      <c r="L909" t="inlineStr">
        <is>
          <t>UBER</t>
        </is>
      </c>
      <c r="M909" s="3">
        <f>IF(H909="Efectivo",IFERROR((VALUE(RIGHT(I909,4))-VALUE(RIGHT(E909,4)))*12+(VALUE(LEFT(I909,2))-VALUE(LEFT(E909,2))),""),"")</f>
        <v/>
      </c>
    </row>
    <row r="910">
      <c r="A910" t="inlineStr">
        <is>
          <t>PEREZ VALENCIA ISAEL</t>
        </is>
      </c>
      <c r="B910" t="inlineStr">
        <is>
          <t>Hombre</t>
        </is>
      </c>
      <c r="C910" t="inlineStr">
        <is>
          <t>5951AF</t>
        </is>
      </c>
      <c r="D910" t="inlineStr">
        <is>
          <t>NUEVO LEON</t>
        </is>
      </c>
      <c r="E910" t="inlineStr">
        <is>
          <t>10-2025</t>
        </is>
      </c>
      <c r="F910" t="inlineStr">
        <is>
          <t>12-2025</t>
        </is>
      </c>
      <c r="G910" t="n">
        <v>2</v>
      </c>
      <c r="H910" t="inlineStr">
        <is>
          <t>Efectivo</t>
        </is>
      </c>
      <c r="I910" t="inlineStr">
        <is>
          <t>03-2026</t>
        </is>
      </c>
      <c r="J910" t="inlineStr">
        <is>
          <t>RXC616C</t>
        </is>
      </c>
      <c r="K910" t="inlineStr">
        <is>
          <t>TOYOTA AVANZA</t>
        </is>
      </c>
      <c r="L910" t="inlineStr">
        <is>
          <t>UBER</t>
        </is>
      </c>
      <c r="M910" s="3">
        <f>IF(H910="Efectivo",IFERROR((VALUE(RIGHT(I910,4))-VALUE(RIGHT(E910,4)))*12+(VALUE(LEFT(I910,2))-VALUE(LEFT(E910,2))),""),"")</f>
        <v/>
      </c>
    </row>
    <row r="911">
      <c r="A911" t="inlineStr">
        <is>
          <t>PEREZ ZUÑIGA MIGUEL ANGEL</t>
        </is>
      </c>
      <c r="B911" t="inlineStr">
        <is>
          <t>Hombre</t>
        </is>
      </c>
      <c r="C911" t="inlineStr">
        <is>
          <t>5905AF</t>
        </is>
      </c>
      <c r="D911" t="inlineStr">
        <is>
          <t>NUEVO LEON</t>
        </is>
      </c>
      <c r="E911" t="inlineStr">
        <is>
          <t>10-2025</t>
        </is>
      </c>
      <c r="F911" t="inlineStr">
        <is>
          <t>03-2026</t>
        </is>
      </c>
      <c r="G911" t="n">
        <v>5</v>
      </c>
      <c r="H911" t="inlineStr">
        <is>
          <t>Cancelado</t>
        </is>
      </c>
      <c r="J911" t="inlineStr">
        <is>
          <t>RXW063C</t>
        </is>
      </c>
      <c r="K911" t="inlineStr">
        <is>
          <t>CHEVROLET AVEO</t>
        </is>
      </c>
      <c r="L911" t="inlineStr">
        <is>
          <t>DIDI</t>
        </is>
      </c>
      <c r="M911" s="3">
        <f>IF(H911="Efectivo",IFERROR((VALUE(RIGHT(I911,4))-VALUE(RIGHT(E911,4)))*12+(VALUE(LEFT(I911,2))-VALUE(LEFT(E911,2))),""),"")</f>
        <v/>
      </c>
    </row>
    <row r="912">
      <c r="A912" t="inlineStr">
        <is>
          <t>PIETRA SANTA RIVERA RICARDO GONZALO</t>
        </is>
      </c>
      <c r="B912" t="inlineStr">
        <is>
          <t>Hombre</t>
        </is>
      </c>
      <c r="C912" t="inlineStr">
        <is>
          <t>6214AF</t>
        </is>
      </c>
      <c r="D912" t="inlineStr">
        <is>
          <t>CDMX Y AREA METROPOLITANA</t>
        </is>
      </c>
      <c r="E912" t="inlineStr">
        <is>
          <t>11-2025</t>
        </is>
      </c>
      <c r="F912" t="inlineStr">
        <is>
          <t>02-2026</t>
        </is>
      </c>
      <c r="G912" t="n">
        <v>3</v>
      </c>
      <c r="H912" t="inlineStr">
        <is>
          <t>Efectivo</t>
        </is>
      </c>
      <c r="I912" t="inlineStr">
        <is>
          <t>04-2026</t>
        </is>
      </c>
      <c r="J912" t="inlineStr">
        <is>
          <t>62G311</t>
        </is>
      </c>
      <c r="K912" t="inlineStr">
        <is>
          <t>BYD E5</t>
        </is>
      </c>
      <c r="L912" t="inlineStr">
        <is>
          <t>UBER</t>
        </is>
      </c>
      <c r="M912" s="3">
        <f>IF(H912="Efectivo",IFERROR((VALUE(RIGHT(I912,4))-VALUE(RIGHT(E912,4)))*12+(VALUE(LEFT(I912,2))-VALUE(LEFT(E912,2))),""),"")</f>
        <v/>
      </c>
    </row>
    <row r="913">
      <c r="A913" t="inlineStr">
        <is>
          <t>PILIADO SANCHEZ JUAN CARLOS</t>
        </is>
      </c>
      <c r="B913" t="inlineStr">
        <is>
          <t>Hombre</t>
        </is>
      </c>
      <c r="C913" t="inlineStr">
        <is>
          <t>4473AF</t>
        </is>
      </c>
      <c r="D913" t="inlineStr">
        <is>
          <t>CDMX Y AREA METROPOLITANA</t>
        </is>
      </c>
      <c r="E913" t="inlineStr">
        <is>
          <t>03-2025</t>
        </is>
      </c>
      <c r="F913" t="inlineStr">
        <is>
          <t>03-2026</t>
        </is>
      </c>
      <c r="G913" t="n">
        <v>12</v>
      </c>
      <c r="H913" t="inlineStr">
        <is>
          <t>Efectivo</t>
        </is>
      </c>
      <c r="I913" t="inlineStr">
        <is>
          <t>03-2026</t>
        </is>
      </c>
      <c r="J913" t="inlineStr">
        <is>
          <t>31G840</t>
        </is>
      </c>
      <c r="K913" t="inlineStr">
        <is>
          <t>GAC AION S</t>
        </is>
      </c>
      <c r="L913" t="inlineStr">
        <is>
          <t>UBER</t>
        </is>
      </c>
      <c r="M913" s="3">
        <f>IF(H913="Efectivo",IFERROR((VALUE(RIGHT(I913,4))-VALUE(RIGHT(E913,4)))*12+(VALUE(LEFT(I913,2))-VALUE(LEFT(E913,2))),""),"")</f>
        <v/>
      </c>
    </row>
    <row r="914">
      <c r="A914" t="inlineStr">
        <is>
          <t>PIÑA TOSCANO JORGE</t>
        </is>
      </c>
      <c r="B914" t="inlineStr">
        <is>
          <t>Hombre</t>
        </is>
      </c>
      <c r="C914" t="inlineStr">
        <is>
          <t>3891AF</t>
        </is>
      </c>
      <c r="D914" t="inlineStr">
        <is>
          <t>CDMX Y AREA METROPOLITANA</t>
        </is>
      </c>
      <c r="E914" t="inlineStr">
        <is>
          <t>10-2024</t>
        </is>
      </c>
      <c r="F914" t="inlineStr">
        <is>
          <t>06-2025</t>
        </is>
      </c>
      <c r="G914" t="n">
        <v>7</v>
      </c>
      <c r="H914" t="inlineStr">
        <is>
          <t>Efectivo</t>
        </is>
      </c>
      <c r="I914" t="inlineStr">
        <is>
          <t>06-2025</t>
        </is>
      </c>
      <c r="J914" t="inlineStr">
        <is>
          <t>C57BPN</t>
        </is>
      </c>
      <c r="K914" t="inlineStr">
        <is>
          <t>CHEVROLET AVEO</t>
        </is>
      </c>
      <c r="L914" t="inlineStr">
        <is>
          <t>UBER</t>
        </is>
      </c>
      <c r="M914" s="3">
        <f>IF(H914="Efectivo",IFERROR((VALUE(RIGHT(I914,4))-VALUE(RIGHT(E914,4)))*12+(VALUE(LEFT(I914,2))-VALUE(LEFT(E914,2))),""),"")</f>
        <v/>
      </c>
    </row>
    <row r="915">
      <c r="A915" t="inlineStr">
        <is>
          <t>PINEDA GATICA GERARDO ISAIAS</t>
        </is>
      </c>
      <c r="B915" t="inlineStr">
        <is>
          <t>Hombre</t>
        </is>
      </c>
      <c r="C915" t="inlineStr">
        <is>
          <t>2584AF</t>
        </is>
      </c>
      <c r="D915" t="inlineStr">
        <is>
          <t>CDMX Y AREA METROPOLITANA</t>
        </is>
      </c>
      <c r="E915" t="inlineStr">
        <is>
          <t>06-2023</t>
        </is>
      </c>
      <c r="F915" t="inlineStr">
        <is>
          <t>06-2025</t>
        </is>
      </c>
      <c r="G915" t="n">
        <v>24</v>
      </c>
      <c r="H915" t="inlineStr">
        <is>
          <t>Efectivo</t>
        </is>
      </c>
      <c r="I915" t="inlineStr">
        <is>
          <t>06-2025</t>
        </is>
      </c>
      <c r="J915" t="inlineStr">
        <is>
          <t>G13BLM</t>
        </is>
      </c>
      <c r="K915" t="inlineStr">
        <is>
          <t>ATTITUDE</t>
        </is>
      </c>
      <c r="L915" t="inlineStr">
        <is>
          <t>UBER</t>
        </is>
      </c>
      <c r="M915" s="3">
        <f>IF(H915="Efectivo",IFERROR((VALUE(RIGHT(I915,4))-VALUE(RIGHT(E915,4)))*12+(VALUE(LEFT(I915,2))-VALUE(LEFT(E915,2))),""),"")</f>
        <v/>
      </c>
    </row>
    <row r="916">
      <c r="A916" t="inlineStr">
        <is>
          <t>PIZANO RAMIREZ JORGE DONACIANO</t>
        </is>
      </c>
      <c r="B916" t="inlineStr">
        <is>
          <t>Hombre</t>
        </is>
      </c>
      <c r="C916" t="inlineStr">
        <is>
          <t>3976AF</t>
        </is>
      </c>
      <c r="D916" t="inlineStr">
        <is>
          <t>JALISCO</t>
        </is>
      </c>
      <c r="E916" t="inlineStr">
        <is>
          <t>11-2024</t>
        </is>
      </c>
      <c r="F916" t="inlineStr">
        <is>
          <t>07-2025</t>
        </is>
      </c>
      <c r="G916" t="n">
        <v>8</v>
      </c>
      <c r="H916" t="inlineStr">
        <is>
          <t>Efectivo</t>
        </is>
      </c>
      <c r="I916" t="inlineStr">
        <is>
          <t>08-2025</t>
        </is>
      </c>
      <c r="J916" t="inlineStr">
        <is>
          <t>HWR665A</t>
        </is>
      </c>
      <c r="K916" t="inlineStr">
        <is>
          <t>TOYOTA AVANZA</t>
        </is>
      </c>
      <c r="L916" t="inlineStr">
        <is>
          <t>UBER</t>
        </is>
      </c>
      <c r="M916" s="3">
        <f>IF(H916="Efectivo",IFERROR((VALUE(RIGHT(I916,4))-VALUE(RIGHT(E916,4)))*12+(VALUE(LEFT(I916,2))-VALUE(LEFT(E916,2))),""),"")</f>
        <v/>
      </c>
    </row>
    <row r="917">
      <c r="A917" t="inlineStr">
        <is>
          <t>PLIEGO PERALTA EDWIN MAURICIO</t>
        </is>
      </c>
      <c r="B917" t="inlineStr">
        <is>
          <t>Hombre</t>
        </is>
      </c>
      <c r="C917" t="inlineStr">
        <is>
          <t>5432AF</t>
        </is>
      </c>
      <c r="D917" t="inlineStr">
        <is>
          <t>CDMX Y AREA METROPOLITANA</t>
        </is>
      </c>
      <c r="E917" t="inlineStr">
        <is>
          <t>07-2025</t>
        </is>
      </c>
      <c r="F917" t="inlineStr">
        <is>
          <t>02-2026</t>
        </is>
      </c>
      <c r="G917" t="n">
        <v>6</v>
      </c>
      <c r="H917" t="inlineStr">
        <is>
          <t>Pendiente</t>
        </is>
      </c>
      <c r="J917" t="inlineStr">
        <is>
          <t>47G828</t>
        </is>
      </c>
      <c r="K917" t="inlineStr">
        <is>
          <t>BYD MINIDOLPHIN</t>
        </is>
      </c>
      <c r="L917" t="inlineStr">
        <is>
          <t>DIDI</t>
        </is>
      </c>
      <c r="M917" s="3">
        <f>IF(H917="Efectivo",IFERROR((VALUE(RIGHT(I917,4))-VALUE(RIGHT(E917,4)))*12+(VALUE(LEFT(I917,2))-VALUE(LEFT(E917,2))),""),"")</f>
        <v/>
      </c>
    </row>
    <row r="918">
      <c r="A918" t="inlineStr">
        <is>
          <t>PLUMEDA ARANGURE YILWEEN ALBERTO</t>
        </is>
      </c>
      <c r="B918" t="inlineStr">
        <is>
          <t>Hombre</t>
        </is>
      </c>
      <c r="C918" t="inlineStr">
        <is>
          <t>5404AF</t>
        </is>
      </c>
      <c r="D918" t="inlineStr">
        <is>
          <t>BAJA CALIFORNIA</t>
        </is>
      </c>
      <c r="E918" t="inlineStr">
        <is>
          <t>07-2025</t>
        </is>
      </c>
      <c r="F918" t="inlineStr">
        <is>
          <t>11-2025</t>
        </is>
      </c>
      <c r="G918" t="n">
        <v>3</v>
      </c>
      <c r="H918" t="inlineStr">
        <is>
          <t>Efectivo</t>
        </is>
      </c>
      <c r="I918" t="inlineStr">
        <is>
          <t>10-2025</t>
        </is>
      </c>
      <c r="J918" t="inlineStr">
        <is>
          <t>BZA454A</t>
        </is>
      </c>
      <c r="K918" t="inlineStr">
        <is>
          <t>CHEVROLET AVEO</t>
        </is>
      </c>
      <c r="L918" t="inlineStr">
        <is>
          <t>UBER</t>
        </is>
      </c>
      <c r="M918" s="3">
        <f>IF(H918="Efectivo",IFERROR((VALUE(RIGHT(I918,4))-VALUE(RIGHT(E918,4)))*12+(VALUE(LEFT(I918,2))-VALUE(LEFT(E918,2))),""),"")</f>
        <v/>
      </c>
    </row>
    <row r="919">
      <c r="A919" t="inlineStr">
        <is>
          <t>POMPA MEZA KEVIN</t>
        </is>
      </c>
      <c r="B919" t="inlineStr">
        <is>
          <t>Hombre</t>
        </is>
      </c>
      <c r="C919" t="inlineStr">
        <is>
          <t>4615AF</t>
        </is>
      </c>
      <c r="D919" t="inlineStr">
        <is>
          <t>CDMX Y AREA METROPOLITANA</t>
        </is>
      </c>
      <c r="E919" t="inlineStr">
        <is>
          <t>04-2025</t>
        </is>
      </c>
      <c r="F919" t="inlineStr">
        <is>
          <t>12-2025</t>
        </is>
      </c>
      <c r="G919" t="n">
        <v>8</v>
      </c>
      <c r="H919" t="inlineStr">
        <is>
          <t>Efectivo</t>
        </is>
      </c>
      <c r="I919" t="inlineStr">
        <is>
          <t>01-2026</t>
        </is>
      </c>
      <c r="J919" t="inlineStr">
        <is>
          <t>L05BNL</t>
        </is>
      </c>
      <c r="K919" t="inlineStr">
        <is>
          <t>CHEVROLET AVEO</t>
        </is>
      </c>
      <c r="L919" t="inlineStr">
        <is>
          <t>UBER</t>
        </is>
      </c>
      <c r="M919" s="3">
        <f>IF(H919="Efectivo",IFERROR((VALUE(RIGHT(I919,4))-VALUE(RIGHT(E919,4)))*12+(VALUE(LEFT(I919,2))-VALUE(LEFT(E919,2))),""),"")</f>
        <v/>
      </c>
    </row>
    <row r="920">
      <c r="A920" t="inlineStr">
        <is>
          <t>PONCE CERVANTES FERMIN JOSE MARIA</t>
        </is>
      </c>
      <c r="B920" t="inlineStr">
        <is>
          <t>Hombre</t>
        </is>
      </c>
      <c r="C920" t="inlineStr">
        <is>
          <t>5717AF</t>
        </is>
      </c>
      <c r="D920" t="inlineStr">
        <is>
          <t>JALISCO</t>
        </is>
      </c>
      <c r="E920" t="inlineStr">
        <is>
          <t>09-2025</t>
        </is>
      </c>
      <c r="F920" t="inlineStr">
        <is>
          <t>04-2026</t>
        </is>
      </c>
      <c r="G920" t="n">
        <v>7</v>
      </c>
      <c r="H920" t="inlineStr">
        <is>
          <t>Pendiente</t>
        </is>
      </c>
      <c r="J920" t="inlineStr">
        <is>
          <t>JNU143A</t>
        </is>
      </c>
      <c r="K920" t="inlineStr">
        <is>
          <t>TOYOTA AVANZA</t>
        </is>
      </c>
      <c r="L920" t="inlineStr">
        <is>
          <t>UBER</t>
        </is>
      </c>
      <c r="M920" s="3">
        <f>IF(H920="Efectivo",IFERROR((VALUE(RIGHT(I920,4))-VALUE(RIGHT(E920,4)))*12+(VALUE(LEFT(I920,2))-VALUE(LEFT(E920,2))),""),"")</f>
        <v/>
      </c>
    </row>
    <row r="921">
      <c r="A921" t="inlineStr">
        <is>
          <t>PORTES REYES IVAN</t>
        </is>
      </c>
      <c r="B921" t="inlineStr">
        <is>
          <t>Hombre</t>
        </is>
      </c>
      <c r="C921" t="inlineStr">
        <is>
          <t>5228AF</t>
        </is>
      </c>
      <c r="D921" t="inlineStr">
        <is>
          <t>CDMX Y AREA METROPOLITANA</t>
        </is>
      </c>
      <c r="E921" t="inlineStr">
        <is>
          <t>07-2025</t>
        </is>
      </c>
      <c r="F921" t="inlineStr">
        <is>
          <t>03-2026</t>
        </is>
      </c>
      <c r="G921" t="n">
        <v>8</v>
      </c>
      <c r="H921" t="inlineStr">
        <is>
          <t>Efectivo</t>
        </is>
      </c>
      <c r="I921" t="inlineStr">
        <is>
          <t>03-2026</t>
        </is>
      </c>
      <c r="J921" t="inlineStr">
        <is>
          <t>47G804</t>
        </is>
      </c>
      <c r="K921" t="inlineStr">
        <is>
          <t>BYD MINIDOLPHIN</t>
        </is>
      </c>
      <c r="L921" t="inlineStr">
        <is>
          <t>UBER</t>
        </is>
      </c>
      <c r="M921" s="3">
        <f>IF(H921="Efectivo",IFERROR((VALUE(RIGHT(I921,4))-VALUE(RIGHT(E921,4)))*12+(VALUE(LEFT(I921,2))-VALUE(LEFT(E921,2))),""),"")</f>
        <v/>
      </c>
    </row>
    <row r="922">
      <c r="A922" t="inlineStr">
        <is>
          <t>PORTILLO LANDEROS DAVID ISRAEL</t>
        </is>
      </c>
      <c r="B922" t="inlineStr">
        <is>
          <t>Hombre</t>
        </is>
      </c>
      <c r="C922" t="inlineStr">
        <is>
          <t>3639AF</t>
        </is>
      </c>
      <c r="D922" t="inlineStr">
        <is>
          <t>CDMX Y AREA METROPOLITANA</t>
        </is>
      </c>
      <c r="E922" t="inlineStr">
        <is>
          <t>08-2024</t>
        </is>
      </c>
      <c r="F922" t="inlineStr">
        <is>
          <t>02-2026</t>
        </is>
      </c>
      <c r="G922" t="n">
        <v>18</v>
      </c>
      <c r="H922" t="inlineStr">
        <is>
          <t>Efectivo</t>
        </is>
      </c>
      <c r="I922" t="inlineStr">
        <is>
          <t>02-2026</t>
        </is>
      </c>
      <c r="J922" t="inlineStr">
        <is>
          <t>89F860</t>
        </is>
      </c>
      <c r="K922" t="inlineStr">
        <is>
          <t>BYD D1</t>
        </is>
      </c>
      <c r="L922" t="inlineStr">
        <is>
          <t>UBER</t>
        </is>
      </c>
      <c r="M922" s="3">
        <f>IF(H922="Efectivo",IFERROR((VALUE(RIGHT(I922,4))-VALUE(RIGHT(E922,4)))*12+(VALUE(LEFT(I922,2))-VALUE(LEFT(E922,2))),""),"")</f>
        <v/>
      </c>
    </row>
    <row r="923">
      <c r="A923" t="inlineStr">
        <is>
          <t>POZOS VALLE ALEJANDRO</t>
        </is>
      </c>
      <c r="B923" t="inlineStr">
        <is>
          <t>Hombre</t>
        </is>
      </c>
      <c r="C923" t="inlineStr">
        <is>
          <t>3903AF</t>
        </is>
      </c>
      <c r="D923" t="inlineStr">
        <is>
          <t>CDMX Y AREA METROPOLITANA</t>
        </is>
      </c>
      <c r="E923" t="inlineStr">
        <is>
          <t>10-2024</t>
        </is>
      </c>
      <c r="F923" t="inlineStr">
        <is>
          <t>03-2025</t>
        </is>
      </c>
      <c r="G923" t="n">
        <v>4</v>
      </c>
      <c r="H923" t="inlineStr">
        <is>
          <t>Efectivo</t>
        </is>
      </c>
      <c r="I923" t="inlineStr">
        <is>
          <t>03-2025</t>
        </is>
      </c>
      <c r="J923" t="inlineStr">
        <is>
          <t>08G105</t>
        </is>
      </c>
      <c r="K923" t="inlineStr">
        <is>
          <t>BYD D1</t>
        </is>
      </c>
      <c r="L923" t="inlineStr">
        <is>
          <t>UBER</t>
        </is>
      </c>
      <c r="M923" s="3">
        <f>IF(H923="Efectivo",IFERROR((VALUE(RIGHT(I923,4))-VALUE(RIGHT(E923,4)))*12+(VALUE(LEFT(I923,2))-VALUE(LEFT(E923,2))),""),"")</f>
        <v/>
      </c>
    </row>
    <row r="924">
      <c r="A924" t="inlineStr">
        <is>
          <t>PRADO MARTINEZ CARLOS ALONSO</t>
        </is>
      </c>
      <c r="B924" t="inlineStr">
        <is>
          <t>Hombre</t>
        </is>
      </c>
      <c r="C924" t="inlineStr">
        <is>
          <t>3674AF</t>
        </is>
      </c>
      <c r="D924" t="inlineStr">
        <is>
          <t>CDMX Y AREA METROPOLITANA</t>
        </is>
      </c>
      <c r="E924" t="inlineStr">
        <is>
          <t>08-2024</t>
        </is>
      </c>
      <c r="F924" t="inlineStr">
        <is>
          <t>06-2025</t>
        </is>
      </c>
      <c r="G924" t="n">
        <v>9</v>
      </c>
      <c r="H924" t="inlineStr">
        <is>
          <t>Efectivo</t>
        </is>
      </c>
      <c r="I924" t="inlineStr">
        <is>
          <t>06-2025</t>
        </is>
      </c>
      <c r="J924" t="inlineStr">
        <is>
          <t>89F985</t>
        </is>
      </c>
      <c r="K924" t="inlineStr">
        <is>
          <t>BYD D1</t>
        </is>
      </c>
      <c r="L924" t="inlineStr">
        <is>
          <t>DIDI</t>
        </is>
      </c>
      <c r="M924" s="3">
        <f>IF(H924="Efectivo",IFERROR((VALUE(RIGHT(I924,4))-VALUE(RIGHT(E924,4)))*12+(VALUE(LEFT(I924,2))-VALUE(LEFT(E924,2))),""),"")</f>
        <v/>
      </c>
    </row>
    <row r="925">
      <c r="A925" t="inlineStr">
        <is>
          <t>QUIROZ CRUZ EDGAR JUAN ANTONIO</t>
        </is>
      </c>
      <c r="B925" t="inlineStr">
        <is>
          <t>Hombre</t>
        </is>
      </c>
      <c r="C925" t="inlineStr">
        <is>
          <t>3498AF</t>
        </is>
      </c>
      <c r="D925" t="inlineStr">
        <is>
          <t>CDMX Y AREA METROPOLITANA</t>
        </is>
      </c>
      <c r="E925" t="inlineStr">
        <is>
          <t>07-2024</t>
        </is>
      </c>
      <c r="F925" t="inlineStr">
        <is>
          <t>07-2025</t>
        </is>
      </c>
      <c r="G925" t="n">
        <v>12</v>
      </c>
      <c r="H925" t="inlineStr">
        <is>
          <t>Cancelado</t>
        </is>
      </c>
      <c r="J925" t="inlineStr">
        <is>
          <t>89F742</t>
        </is>
      </c>
      <c r="K925" t="inlineStr">
        <is>
          <t>BYD D1</t>
        </is>
      </c>
      <c r="L925" t="inlineStr">
        <is>
          <t>UBER</t>
        </is>
      </c>
      <c r="M925" s="3">
        <f>IF(H925="Efectivo",IFERROR((VALUE(RIGHT(I925,4))-VALUE(RIGHT(E925,4)))*12+(VALUE(LEFT(I925,2))-VALUE(LEFT(E925,2))),""),"")</f>
        <v/>
      </c>
    </row>
    <row r="926">
      <c r="A926" t="inlineStr">
        <is>
          <t>QUIROZ CRUZ EDGAR JUAN ANTONIO</t>
        </is>
      </c>
      <c r="B926" t="inlineStr">
        <is>
          <t>Hombre</t>
        </is>
      </c>
      <c r="C926" t="inlineStr">
        <is>
          <t>3498AF</t>
        </is>
      </c>
      <c r="D926" t="inlineStr">
        <is>
          <t>CDMX Y AREA METROPOLITANA</t>
        </is>
      </c>
      <c r="E926" t="inlineStr">
        <is>
          <t>07-2024</t>
        </is>
      </c>
      <c r="F926" t="inlineStr">
        <is>
          <t>12-2025</t>
        </is>
      </c>
      <c r="G926" t="n">
        <v>17</v>
      </c>
      <c r="H926" t="inlineStr">
        <is>
          <t>Efectivo</t>
        </is>
      </c>
      <c r="I926" t="inlineStr">
        <is>
          <t>01-2026</t>
        </is>
      </c>
      <c r="J926" t="inlineStr">
        <is>
          <t>89F742</t>
        </is>
      </c>
      <c r="K926" t="inlineStr">
        <is>
          <t>BYD D1</t>
        </is>
      </c>
      <c r="L926" t="inlineStr">
        <is>
          <t>UBER</t>
        </is>
      </c>
      <c r="M926" s="3">
        <f>IF(H926="Efectivo",IFERROR((VALUE(RIGHT(I926,4))-VALUE(RIGHT(E926,4)))*12+(VALUE(LEFT(I926,2))-VALUE(LEFT(E926,2))),""),"")</f>
        <v/>
      </c>
    </row>
    <row r="927">
      <c r="A927" t="inlineStr">
        <is>
          <t>QUIROZ HERNANDEZ JOSE JUAN</t>
        </is>
      </c>
      <c r="B927" t="inlineStr">
        <is>
          <t>Hombre</t>
        </is>
      </c>
      <c r="C927" t="inlineStr">
        <is>
          <t>4271AF</t>
        </is>
      </c>
      <c r="D927" t="inlineStr">
        <is>
          <t>CDMX Y AREA METROPOLITANA</t>
        </is>
      </c>
      <c r="E927" t="inlineStr">
        <is>
          <t>01-2025</t>
        </is>
      </c>
      <c r="F927" t="inlineStr">
        <is>
          <t>04-2025</t>
        </is>
      </c>
      <c r="G927" t="n">
        <v>3</v>
      </c>
      <c r="H927" t="inlineStr">
        <is>
          <t>Efectivo</t>
        </is>
      </c>
      <c r="I927" t="inlineStr">
        <is>
          <t>05-2025</t>
        </is>
      </c>
      <c r="J927" t="inlineStr">
        <is>
          <t>31G794</t>
        </is>
      </c>
      <c r="K927" t="inlineStr">
        <is>
          <t>GAC AION S</t>
        </is>
      </c>
      <c r="L927" t="inlineStr">
        <is>
          <t>DIDI</t>
        </is>
      </c>
      <c r="M927" s="3">
        <f>IF(H927="Efectivo",IFERROR((VALUE(RIGHT(I927,4))-VALUE(RIGHT(E927,4)))*12+(VALUE(LEFT(I927,2))-VALUE(LEFT(E927,2))),""),"")</f>
        <v/>
      </c>
    </row>
    <row r="928">
      <c r="A928" t="inlineStr">
        <is>
          <t>QUIROZ HERNANDEZ ROBERTO</t>
        </is>
      </c>
      <c r="B928" t="inlineStr">
        <is>
          <t>Hombre</t>
        </is>
      </c>
      <c r="C928" t="inlineStr">
        <is>
          <t>5442AF</t>
        </is>
      </c>
      <c r="D928" t="inlineStr">
        <is>
          <t>CDMX Y AREA METROPOLITANA</t>
        </is>
      </c>
      <c r="E928" t="inlineStr">
        <is>
          <t>07-2025</t>
        </is>
      </c>
      <c r="F928" t="inlineStr">
        <is>
          <t>03-2026</t>
        </is>
      </c>
      <c r="G928" t="n">
        <v>7</v>
      </c>
      <c r="H928" t="inlineStr">
        <is>
          <t>Efectivo</t>
        </is>
      </c>
      <c r="I928" t="inlineStr">
        <is>
          <t>03-2026</t>
        </is>
      </c>
      <c r="J928" t="inlineStr">
        <is>
          <t>28G917</t>
        </is>
      </c>
      <c r="K928" t="inlineStr">
        <is>
          <t>GAC AION S</t>
        </is>
      </c>
      <c r="L928" t="inlineStr">
        <is>
          <t>DIDI</t>
        </is>
      </c>
      <c r="M928" s="3">
        <f>IF(H928="Efectivo",IFERROR((VALUE(RIGHT(I928,4))-VALUE(RIGHT(E928,4)))*12+(VALUE(LEFT(I928,2))-VALUE(LEFT(E928,2))),""),"")</f>
        <v/>
      </c>
    </row>
    <row r="929">
      <c r="A929" t="inlineStr">
        <is>
          <t>RAMIREZ ALARCON DAVID MOISES</t>
        </is>
      </c>
      <c r="B929" t="inlineStr">
        <is>
          <t>Hombre</t>
        </is>
      </c>
      <c r="C929" t="inlineStr">
        <is>
          <t>5562AF</t>
        </is>
      </c>
      <c r="D929" t="inlineStr">
        <is>
          <t>CDMX Y AREA METROPOLITANA</t>
        </is>
      </c>
      <c r="E929" t="inlineStr">
        <is>
          <t>08-2025</t>
        </is>
      </c>
      <c r="F929" t="inlineStr">
        <is>
          <t>03-2026</t>
        </is>
      </c>
      <c r="G929" t="n">
        <v>7</v>
      </c>
      <c r="H929" t="inlineStr">
        <is>
          <t>Efectivo</t>
        </is>
      </c>
      <c r="I929" t="inlineStr">
        <is>
          <t>03-2026</t>
        </is>
      </c>
      <c r="J929" t="inlineStr">
        <is>
          <t>48G053</t>
        </is>
      </c>
      <c r="K929" t="inlineStr">
        <is>
          <t>BYD MINIDOLPHIN</t>
        </is>
      </c>
      <c r="L929" t="inlineStr">
        <is>
          <t>DIDI</t>
        </is>
      </c>
      <c r="M929" s="3">
        <f>IF(H929="Efectivo",IFERROR((VALUE(RIGHT(I929,4))-VALUE(RIGHT(E929,4)))*12+(VALUE(LEFT(I929,2))-VALUE(LEFT(E929,2))),""),"")</f>
        <v/>
      </c>
    </row>
    <row r="930">
      <c r="A930" t="inlineStr">
        <is>
          <t>RAMIREZ ANGELES ISMAEL</t>
        </is>
      </c>
      <c r="B930" t="inlineStr">
        <is>
          <t>Hombre</t>
        </is>
      </c>
      <c r="C930" t="inlineStr">
        <is>
          <t>3823AF</t>
        </is>
      </c>
      <c r="D930" t="inlineStr">
        <is>
          <t>CDMX Y AREA METROPOLITANA</t>
        </is>
      </c>
      <c r="E930" t="inlineStr">
        <is>
          <t>10-2024</t>
        </is>
      </c>
      <c r="F930" t="inlineStr">
        <is>
          <t>04-2025</t>
        </is>
      </c>
      <c r="G930" t="n">
        <v>7</v>
      </c>
      <c r="H930" t="inlineStr">
        <is>
          <t>Efectivo</t>
        </is>
      </c>
      <c r="I930" t="inlineStr">
        <is>
          <t>05-2025</t>
        </is>
      </c>
      <c r="J930" t="inlineStr">
        <is>
          <t>08G193</t>
        </is>
      </c>
      <c r="K930" t="inlineStr">
        <is>
          <t>BYD D1</t>
        </is>
      </c>
      <c r="L930" t="inlineStr">
        <is>
          <t>DIDI</t>
        </is>
      </c>
      <c r="M930" s="3">
        <f>IF(H930="Efectivo",IFERROR((VALUE(RIGHT(I930,4))-VALUE(RIGHT(E930,4)))*12+(VALUE(LEFT(I930,2))-VALUE(LEFT(E930,2))),""),"")</f>
        <v/>
      </c>
    </row>
    <row r="931">
      <c r="A931" t="inlineStr">
        <is>
          <t>RAMIREZ ARMENTA ISRAEL</t>
        </is>
      </c>
      <c r="B931" t="inlineStr">
        <is>
          <t>Hombre</t>
        </is>
      </c>
      <c r="C931" t="inlineStr">
        <is>
          <t>4596AF</t>
        </is>
      </c>
      <c r="D931" t="inlineStr">
        <is>
          <t>CDMX Y AREA METROPOLITANA</t>
        </is>
      </c>
      <c r="E931" t="inlineStr">
        <is>
          <t>04-2025</t>
        </is>
      </c>
      <c r="F931" t="inlineStr">
        <is>
          <t>03-2026</t>
        </is>
      </c>
      <c r="G931" t="n">
        <v>12</v>
      </c>
      <c r="H931" t="inlineStr">
        <is>
          <t>Efectivo</t>
        </is>
      </c>
      <c r="I931" t="inlineStr">
        <is>
          <t>04-2026</t>
        </is>
      </c>
      <c r="J931" t="inlineStr">
        <is>
          <t>27G736</t>
        </is>
      </c>
      <c r="K931" t="inlineStr">
        <is>
          <t>BYD MINIDOLPHIN</t>
        </is>
      </c>
      <c r="L931" t="inlineStr">
        <is>
          <t>UBER</t>
        </is>
      </c>
      <c r="M931" s="3">
        <f>IF(H931="Efectivo",IFERROR((VALUE(RIGHT(I931,4))-VALUE(RIGHT(E931,4)))*12+(VALUE(LEFT(I931,2))-VALUE(LEFT(E931,2))),""),"")</f>
        <v/>
      </c>
    </row>
    <row r="932">
      <c r="A932" t="inlineStr">
        <is>
          <t>RAMIREZ AYALA CLAUDIA JENNIFER</t>
        </is>
      </c>
      <c r="B932" t="inlineStr">
        <is>
          <t>Mujer</t>
        </is>
      </c>
      <c r="C932" t="inlineStr">
        <is>
          <t>4888AF</t>
        </is>
      </c>
      <c r="D932" t="inlineStr">
        <is>
          <t>CDMX Y AREA METROPOLITANA</t>
        </is>
      </c>
      <c r="E932" t="inlineStr">
        <is>
          <t>05-2025</t>
        </is>
      </c>
      <c r="F932" t="inlineStr">
        <is>
          <t>10-2025</t>
        </is>
      </c>
      <c r="G932" t="n">
        <v>5</v>
      </c>
      <c r="H932" t="inlineStr">
        <is>
          <t>Efectivo</t>
        </is>
      </c>
      <c r="I932" t="inlineStr">
        <is>
          <t>10-2025</t>
        </is>
      </c>
      <c r="J932" t="inlineStr">
        <is>
          <t>89F547</t>
        </is>
      </c>
      <c r="K932" t="inlineStr">
        <is>
          <t>BYD D1</t>
        </is>
      </c>
      <c r="L932" t="inlineStr">
        <is>
          <t>UBER</t>
        </is>
      </c>
      <c r="M932" s="3">
        <f>IF(H932="Efectivo",IFERROR((VALUE(RIGHT(I932,4))-VALUE(RIGHT(E932,4)))*12+(VALUE(LEFT(I932,2))-VALUE(LEFT(E932,2))),""),"")</f>
        <v/>
      </c>
    </row>
    <row r="933">
      <c r="A933" t="inlineStr">
        <is>
          <t>RAMIREZ BACA JESUS ADRIAN</t>
        </is>
      </c>
      <c r="B933" t="inlineStr">
        <is>
          <t>Hombre</t>
        </is>
      </c>
      <c r="C933" t="inlineStr">
        <is>
          <t>3217AF</t>
        </is>
      </c>
      <c r="D933" t="inlineStr">
        <is>
          <t>CDMX Y AREA METROPOLITANA</t>
        </is>
      </c>
      <c r="E933" t="inlineStr">
        <is>
          <t>04-2024</t>
        </is>
      </c>
      <c r="F933" t="inlineStr">
        <is>
          <t>11-2025</t>
        </is>
      </c>
      <c r="G933" t="n">
        <v>19</v>
      </c>
      <c r="H933" t="inlineStr">
        <is>
          <t>Pendiente</t>
        </is>
      </c>
      <c r="J933" t="inlineStr">
        <is>
          <t>84F014</t>
        </is>
      </c>
      <c r="K933" t="inlineStr">
        <is>
          <t>BYD D1</t>
        </is>
      </c>
      <c r="L933" t="inlineStr">
        <is>
          <t>UBER</t>
        </is>
      </c>
      <c r="M933" s="3">
        <f>IF(H933="Efectivo",IFERROR((VALUE(RIGHT(I933,4))-VALUE(RIGHT(E933,4)))*12+(VALUE(LEFT(I933,2))-VALUE(LEFT(E933,2))),""),"")</f>
        <v/>
      </c>
    </row>
    <row r="934">
      <c r="A934" t="inlineStr">
        <is>
          <t>RAMIREZ BASTIDA MARTIN ALEJANDRO</t>
        </is>
      </c>
      <c r="B934" t="inlineStr">
        <is>
          <t>Hombre</t>
        </is>
      </c>
      <c r="C934" t="inlineStr">
        <is>
          <t>2810AF</t>
        </is>
      </c>
      <c r="D934" t="inlineStr">
        <is>
          <t>CDMX Y AREA METROPOLITANA</t>
        </is>
      </c>
      <c r="E934" t="inlineStr">
        <is>
          <t>10-2023</t>
        </is>
      </c>
      <c r="F934" t="inlineStr">
        <is>
          <t>04-2025</t>
        </is>
      </c>
      <c r="G934" t="n">
        <v>18</v>
      </c>
      <c r="H934" t="inlineStr">
        <is>
          <t>Efectivo</t>
        </is>
      </c>
      <c r="I934" t="inlineStr">
        <is>
          <t>04-2025</t>
        </is>
      </c>
      <c r="J934" t="inlineStr">
        <is>
          <t>51F975</t>
        </is>
      </c>
      <c r="K934" t="inlineStr">
        <is>
          <t>SUZUKI ERTIGA</t>
        </is>
      </c>
      <c r="L934" t="inlineStr">
        <is>
          <t>UBER</t>
        </is>
      </c>
      <c r="M934" s="3">
        <f>IF(H934="Efectivo",IFERROR((VALUE(RIGHT(I934,4))-VALUE(RIGHT(E934,4)))*12+(VALUE(LEFT(I934,2))-VALUE(LEFT(E934,2))),""),"")</f>
        <v/>
      </c>
    </row>
    <row r="935">
      <c r="A935" t="inlineStr">
        <is>
          <t>RAMIREZ CASILLAS JOSE ARMANDO</t>
        </is>
      </c>
      <c r="B935" t="inlineStr">
        <is>
          <t>Hombre</t>
        </is>
      </c>
      <c r="C935" t="inlineStr">
        <is>
          <t>5939AF</t>
        </is>
      </c>
      <c r="D935" t="inlineStr">
        <is>
          <t>JALISCO</t>
        </is>
      </c>
      <c r="E935" t="inlineStr">
        <is>
          <t>10-2025</t>
        </is>
      </c>
      <c r="F935" t="inlineStr">
        <is>
          <t>02-2026</t>
        </is>
      </c>
      <c r="G935" t="n">
        <v>4</v>
      </c>
      <c r="H935" t="inlineStr">
        <is>
          <t>Efectivo</t>
        </is>
      </c>
      <c r="I935" t="inlineStr">
        <is>
          <t>03-2026</t>
        </is>
      </c>
      <c r="J935" t="inlineStr">
        <is>
          <t>JNU133A</t>
        </is>
      </c>
      <c r="K935" t="inlineStr">
        <is>
          <t>CHEVROLET AVEO</t>
        </is>
      </c>
      <c r="L935" t="inlineStr">
        <is>
          <t>DIDI</t>
        </is>
      </c>
      <c r="M935" s="3">
        <f>IF(H935="Efectivo",IFERROR((VALUE(RIGHT(I935,4))-VALUE(RIGHT(E935,4)))*12+(VALUE(LEFT(I935,2))-VALUE(LEFT(E935,2))),""),"")</f>
        <v/>
      </c>
    </row>
    <row r="936">
      <c r="A936" t="inlineStr">
        <is>
          <t>RAMIREZ DURAN SERGIO ANTONIO</t>
        </is>
      </c>
      <c r="B936" t="inlineStr">
        <is>
          <t>Hombre</t>
        </is>
      </c>
      <c r="C936" t="inlineStr">
        <is>
          <t>5497AF</t>
        </is>
      </c>
      <c r="D936" t="inlineStr">
        <is>
          <t>CDMX Y AREA METROPOLITANA</t>
        </is>
      </c>
      <c r="E936" t="inlineStr">
        <is>
          <t>10-2025</t>
        </is>
      </c>
      <c r="F936" t="inlineStr">
        <is>
          <t>05-2026</t>
        </is>
      </c>
      <c r="G936" t="n">
        <v>7</v>
      </c>
      <c r="H936" t="inlineStr">
        <is>
          <t>Pendiente</t>
        </is>
      </c>
      <c r="J936" t="inlineStr">
        <is>
          <t>48G147</t>
        </is>
      </c>
      <c r="K936" t="inlineStr">
        <is>
          <t>BYD MINIDOLPHIN</t>
        </is>
      </c>
      <c r="L936" t="inlineStr">
        <is>
          <t>UBER</t>
        </is>
      </c>
      <c r="M936" s="3">
        <f>IF(H936="Efectivo",IFERROR((VALUE(RIGHT(I936,4))-VALUE(RIGHT(E936,4)))*12+(VALUE(LEFT(I936,2))-VALUE(LEFT(E936,2))),""),"")</f>
        <v/>
      </c>
    </row>
    <row r="937">
      <c r="A937" t="inlineStr">
        <is>
          <t>RAMIREZ ENRIQUEZ JESUS</t>
        </is>
      </c>
      <c r="B937" t="inlineStr">
        <is>
          <t>Hombre</t>
        </is>
      </c>
      <c r="C937" t="inlineStr">
        <is>
          <t>3872AF</t>
        </is>
      </c>
      <c r="D937" t="inlineStr">
        <is>
          <t>CDMX Y AREA METROPOLITANA</t>
        </is>
      </c>
      <c r="E937" t="inlineStr">
        <is>
          <t>10-2024</t>
        </is>
      </c>
      <c r="F937" t="inlineStr">
        <is>
          <t>11-2025</t>
        </is>
      </c>
      <c r="G937" t="n">
        <v>12</v>
      </c>
      <c r="H937" t="inlineStr">
        <is>
          <t>Pendiente</t>
        </is>
      </c>
      <c r="J937" t="inlineStr">
        <is>
          <t>F70BPT</t>
        </is>
      </c>
      <c r="K937" t="inlineStr">
        <is>
          <t>TOYOTA AVANZA</t>
        </is>
      </c>
      <c r="L937" t="inlineStr">
        <is>
          <t>UBER</t>
        </is>
      </c>
      <c r="M937" s="3">
        <f>IF(H937="Efectivo",IFERROR((VALUE(RIGHT(I937,4))-VALUE(RIGHT(E937,4)))*12+(VALUE(LEFT(I937,2))-VALUE(LEFT(E937,2))),""),"")</f>
        <v/>
      </c>
    </row>
    <row r="938">
      <c r="A938" t="inlineStr">
        <is>
          <t>RAMIREZ GARCIA GUILLERMO ALEJANDRO</t>
        </is>
      </c>
      <c r="B938" t="inlineStr">
        <is>
          <t>Hombre</t>
        </is>
      </c>
      <c r="C938" t="inlineStr">
        <is>
          <t>5517AF</t>
        </is>
      </c>
      <c r="D938" t="inlineStr">
        <is>
          <t>CDMX Y AREA METROPOLITANA</t>
        </is>
      </c>
      <c r="E938" t="inlineStr">
        <is>
          <t>08-2025</t>
        </is>
      </c>
      <c r="F938" t="inlineStr">
        <is>
          <t>10-2025</t>
        </is>
      </c>
      <c r="G938" t="n">
        <v>3</v>
      </c>
      <c r="H938" t="inlineStr">
        <is>
          <t>Efectivo</t>
        </is>
      </c>
      <c r="I938" t="inlineStr">
        <is>
          <t>10-2025</t>
        </is>
      </c>
      <c r="J938" t="inlineStr">
        <is>
          <t>39G936</t>
        </is>
      </c>
      <c r="K938" t="inlineStr">
        <is>
          <t>GAC AION S</t>
        </is>
      </c>
      <c r="L938" t="inlineStr">
        <is>
          <t>UBER</t>
        </is>
      </c>
      <c r="M938" s="3">
        <f>IF(H938="Efectivo",IFERROR((VALUE(RIGHT(I938,4))-VALUE(RIGHT(E938,4)))*12+(VALUE(LEFT(I938,2))-VALUE(LEFT(E938,2))),""),"")</f>
        <v/>
      </c>
    </row>
    <row r="939">
      <c r="A939" t="inlineStr">
        <is>
          <t>RAMIREZ GARCIA OSCAR ALFONSO</t>
        </is>
      </c>
      <c r="B939" t="inlineStr">
        <is>
          <t>Hombre</t>
        </is>
      </c>
      <c r="C939" t="inlineStr">
        <is>
          <t>4889AF</t>
        </is>
      </c>
      <c r="D939" t="inlineStr">
        <is>
          <t>CDMX Y AREA METROPOLITANA</t>
        </is>
      </c>
      <c r="E939" t="inlineStr">
        <is>
          <t>05-2025</t>
        </is>
      </c>
      <c r="F939" t="inlineStr">
        <is>
          <t>07-2025</t>
        </is>
      </c>
      <c r="G939" t="n">
        <v>2</v>
      </c>
      <c r="H939" t="inlineStr">
        <is>
          <t>Efectivo</t>
        </is>
      </c>
      <c r="I939" t="inlineStr">
        <is>
          <t>08-2025</t>
        </is>
      </c>
      <c r="J939" t="inlineStr">
        <is>
          <t>13G723</t>
        </is>
      </c>
      <c r="K939" t="inlineStr">
        <is>
          <t>BYD D1</t>
        </is>
      </c>
      <c r="L939" t="inlineStr">
        <is>
          <t>UBER</t>
        </is>
      </c>
      <c r="M939" s="3">
        <f>IF(H939="Efectivo",IFERROR((VALUE(RIGHT(I939,4))-VALUE(RIGHT(E939,4)))*12+(VALUE(LEFT(I939,2))-VALUE(LEFT(E939,2))),""),"")</f>
        <v/>
      </c>
    </row>
    <row r="940">
      <c r="A940" t="inlineStr">
        <is>
          <t>RAMIREZ HERNANDEZ FRANCISCO JAVIER</t>
        </is>
      </c>
      <c r="B940" t="inlineStr">
        <is>
          <t>Hombre</t>
        </is>
      </c>
      <c r="C940" t="inlineStr">
        <is>
          <t>6329AF</t>
        </is>
      </c>
      <c r="D940" t="inlineStr">
        <is>
          <t>CDMX Y AREA METROPOLITANA</t>
        </is>
      </c>
      <c r="E940" t="inlineStr">
        <is>
          <t>11-2025</t>
        </is>
      </c>
      <c r="F940" t="inlineStr">
        <is>
          <t>04-2026</t>
        </is>
      </c>
      <c r="G940" t="n">
        <v>4</v>
      </c>
      <c r="H940" t="inlineStr">
        <is>
          <t>Efectivo</t>
        </is>
      </c>
      <c r="I940" t="inlineStr">
        <is>
          <t>05-2026</t>
        </is>
      </c>
      <c r="J940" t="inlineStr">
        <is>
          <t>62G292</t>
        </is>
      </c>
      <c r="K940" t="inlineStr">
        <is>
          <t>BYD E5</t>
        </is>
      </c>
      <c r="L940" t="inlineStr">
        <is>
          <t>UBER</t>
        </is>
      </c>
      <c r="M940" s="3">
        <f>IF(H940="Efectivo",IFERROR((VALUE(RIGHT(I940,4))-VALUE(RIGHT(E940,4)))*12+(VALUE(LEFT(I940,2))-VALUE(LEFT(E940,2))),""),"")</f>
        <v/>
      </c>
    </row>
    <row r="941">
      <c r="A941" t="inlineStr">
        <is>
          <t>RAMIREZ HERNANDEZ JOSE CARLOS</t>
        </is>
      </c>
      <c r="B941" t="inlineStr">
        <is>
          <t>Hombre</t>
        </is>
      </c>
      <c r="C941" t="inlineStr">
        <is>
          <t>4264AF</t>
        </is>
      </c>
      <c r="D941" t="inlineStr">
        <is>
          <t>CDMX Y AREA METROPOLITANA</t>
        </is>
      </c>
      <c r="E941" t="inlineStr">
        <is>
          <t>01-2025</t>
        </is>
      </c>
      <c r="F941" t="inlineStr">
        <is>
          <t>05-2025</t>
        </is>
      </c>
      <c r="G941" t="n">
        <v>4</v>
      </c>
      <c r="H941" t="inlineStr">
        <is>
          <t>Efectivo</t>
        </is>
      </c>
      <c r="I941" t="inlineStr">
        <is>
          <t>06-2025</t>
        </is>
      </c>
      <c r="J941" t="inlineStr">
        <is>
          <t>19G489</t>
        </is>
      </c>
      <c r="K941" t="inlineStr">
        <is>
          <t>BYD D1</t>
        </is>
      </c>
      <c r="L941" t="inlineStr">
        <is>
          <t>UBER</t>
        </is>
      </c>
      <c r="M941" s="3">
        <f>IF(H941="Efectivo",IFERROR((VALUE(RIGHT(I941,4))-VALUE(RIGHT(E941,4)))*12+(VALUE(LEFT(I941,2))-VALUE(LEFT(E941,2))),""),"")</f>
        <v/>
      </c>
    </row>
    <row r="942">
      <c r="A942" t="inlineStr">
        <is>
          <t>RAMIREZ HERNANDEZ ROBERTO GREGORIO</t>
        </is>
      </c>
      <c r="B942" t="inlineStr">
        <is>
          <t>Hombre</t>
        </is>
      </c>
      <c r="C942" t="inlineStr">
        <is>
          <t>3123AF</t>
        </is>
      </c>
      <c r="D942" t="inlineStr">
        <is>
          <t>CDMX Y AREA METROPOLITANA</t>
        </is>
      </c>
      <c r="E942" t="inlineStr">
        <is>
          <t>03-2024</t>
        </is>
      </c>
      <c r="F942" t="inlineStr">
        <is>
          <t>01-2025</t>
        </is>
      </c>
      <c r="G942" t="n">
        <v>10</v>
      </c>
      <c r="H942" t="inlineStr">
        <is>
          <t>Efectivo</t>
        </is>
      </c>
      <c r="I942" t="inlineStr">
        <is>
          <t>01-2025</t>
        </is>
      </c>
      <c r="J942" t="inlineStr">
        <is>
          <t>Y69BNL</t>
        </is>
      </c>
      <c r="K942" t="inlineStr">
        <is>
          <t>CHEVROLET AVEO</t>
        </is>
      </c>
      <c r="L942" t="inlineStr">
        <is>
          <t>UBER</t>
        </is>
      </c>
      <c r="M942" s="3">
        <f>IF(H942="Efectivo",IFERROR((VALUE(RIGHT(I942,4))-VALUE(RIGHT(E942,4)))*12+(VALUE(LEFT(I942,2))-VALUE(LEFT(E942,2))),""),"")</f>
        <v/>
      </c>
    </row>
    <row r="943">
      <c r="A943" t="inlineStr">
        <is>
          <t>RAMIREZ JARA JAVIER ALBERTO</t>
        </is>
      </c>
      <c r="B943" t="inlineStr">
        <is>
          <t>Hombre</t>
        </is>
      </c>
      <c r="C943" t="inlineStr">
        <is>
          <t>2620AF</t>
        </is>
      </c>
      <c r="D943" t="inlineStr">
        <is>
          <t>CDMX Y AREA METROPOLITANA</t>
        </is>
      </c>
      <c r="E943" t="inlineStr">
        <is>
          <t>07-2023</t>
        </is>
      </c>
      <c r="F943" t="inlineStr">
        <is>
          <t>02-2026</t>
        </is>
      </c>
      <c r="G943" t="n">
        <v>31</v>
      </c>
      <c r="H943" t="inlineStr">
        <is>
          <t>Efectivo</t>
        </is>
      </c>
      <c r="I943" t="inlineStr">
        <is>
          <t>02-2026</t>
        </is>
      </c>
      <c r="J943" t="inlineStr">
        <is>
          <t>H63BMC</t>
        </is>
      </c>
      <c r="K943" t="inlineStr">
        <is>
          <t>ATTITUDE</t>
        </is>
      </c>
      <c r="L943" t="inlineStr">
        <is>
          <t>UBER</t>
        </is>
      </c>
      <c r="M943" s="3">
        <f>IF(H943="Efectivo",IFERROR((VALUE(RIGHT(I943,4))-VALUE(RIGHT(E943,4)))*12+(VALUE(LEFT(I943,2))-VALUE(LEFT(E943,2))),""),"")</f>
        <v/>
      </c>
    </row>
    <row r="944">
      <c r="A944" t="inlineStr">
        <is>
          <t>RAMIREZ JIMENEZ VICTOR FERNANDO</t>
        </is>
      </c>
      <c r="B944" t="inlineStr">
        <is>
          <t>Hombre</t>
        </is>
      </c>
      <c r="C944" t="inlineStr">
        <is>
          <t>5156AF</t>
        </is>
      </c>
      <c r="D944" t="inlineStr">
        <is>
          <t>NUEVO LEON</t>
        </is>
      </c>
      <c r="E944" t="inlineStr">
        <is>
          <t>06-2025</t>
        </is>
      </c>
      <c r="F944" t="inlineStr">
        <is>
          <t>02-2026</t>
        </is>
      </c>
      <c r="G944" t="n">
        <v>8</v>
      </c>
      <c r="H944" t="inlineStr">
        <is>
          <t>Efectivo</t>
        </is>
      </c>
      <c r="I944" t="inlineStr">
        <is>
          <t>03-2026</t>
        </is>
      </c>
      <c r="J944" t="inlineStr">
        <is>
          <t>RUW783C</t>
        </is>
      </c>
      <c r="K944" t="inlineStr">
        <is>
          <t>CHEVROLET AVEO</t>
        </is>
      </c>
      <c r="L944" t="inlineStr">
        <is>
          <t>UBER</t>
        </is>
      </c>
      <c r="M944" s="3">
        <f>IF(H944="Efectivo",IFERROR((VALUE(RIGHT(I944,4))-VALUE(RIGHT(E944,4)))*12+(VALUE(LEFT(I944,2))-VALUE(LEFT(E944,2))),""),"")</f>
        <v/>
      </c>
    </row>
    <row r="945">
      <c r="A945" t="inlineStr">
        <is>
          <t>RAMIREZ JUAREZ JESUS ALBERTO</t>
        </is>
      </c>
      <c r="B945" t="inlineStr">
        <is>
          <t>Hombre</t>
        </is>
      </c>
      <c r="C945" t="inlineStr">
        <is>
          <t>5681AF</t>
        </is>
      </c>
      <c r="D945" t="inlineStr">
        <is>
          <t>CDMX Y AREA METROPOLITANA</t>
        </is>
      </c>
      <c r="E945" t="inlineStr">
        <is>
          <t>09-2025</t>
        </is>
      </c>
      <c r="F945" t="inlineStr">
        <is>
          <t>12-2025</t>
        </is>
      </c>
      <c r="G945" t="n">
        <v>3</v>
      </c>
      <c r="H945" t="inlineStr">
        <is>
          <t>Efectivo</t>
        </is>
      </c>
      <c r="I945" t="inlineStr">
        <is>
          <t>01-2026</t>
        </is>
      </c>
      <c r="J945" t="inlineStr">
        <is>
          <t>84F062</t>
        </is>
      </c>
      <c r="K945" t="inlineStr">
        <is>
          <t>BYD D1</t>
        </is>
      </c>
      <c r="L945" t="inlineStr">
        <is>
          <t>UBER</t>
        </is>
      </c>
      <c r="M945" s="3">
        <f>IF(H945="Efectivo",IFERROR((VALUE(RIGHT(I945,4))-VALUE(RIGHT(E945,4)))*12+(VALUE(LEFT(I945,2))-VALUE(LEFT(E945,2))),""),"")</f>
        <v/>
      </c>
    </row>
    <row r="946">
      <c r="A946" t="inlineStr">
        <is>
          <t>RAMIREZ LICEA JOSE LUIS DAMIAN</t>
        </is>
      </c>
      <c r="B946" t="inlineStr">
        <is>
          <t>Hombre</t>
        </is>
      </c>
      <c r="C946" t="inlineStr">
        <is>
          <t>4689AF</t>
        </is>
      </c>
      <c r="D946" t="inlineStr">
        <is>
          <t>CDMX Y AREA METROPOLITANA</t>
        </is>
      </c>
      <c r="E946" t="inlineStr">
        <is>
          <t>04-2025</t>
        </is>
      </c>
      <c r="F946" t="inlineStr">
        <is>
          <t>10-2025</t>
        </is>
      </c>
      <c r="G946" t="n">
        <v>5</v>
      </c>
      <c r="H946" t="inlineStr">
        <is>
          <t>Pendiente</t>
        </is>
      </c>
      <c r="J946" t="inlineStr">
        <is>
          <t>38G227</t>
        </is>
      </c>
      <c r="K946" t="inlineStr">
        <is>
          <t>GAC AION S</t>
        </is>
      </c>
      <c r="L946" t="inlineStr">
        <is>
          <t>UBER</t>
        </is>
      </c>
      <c r="M946" s="3">
        <f>IF(H946="Efectivo",IFERROR((VALUE(RIGHT(I946,4))-VALUE(RIGHT(E946,4)))*12+(VALUE(LEFT(I946,2))-VALUE(LEFT(E946,2))),""),"")</f>
        <v/>
      </c>
    </row>
    <row r="947">
      <c r="A947" t="inlineStr">
        <is>
          <t>RAMIREZ MENDEZ DIEGO ALEJANDRO</t>
        </is>
      </c>
      <c r="B947" t="inlineStr">
        <is>
          <t>Hombre</t>
        </is>
      </c>
      <c r="C947" t="inlineStr">
        <is>
          <t>4906AF</t>
        </is>
      </c>
      <c r="D947" t="inlineStr">
        <is>
          <t>NUEVO LEON</t>
        </is>
      </c>
      <c r="E947" t="inlineStr">
        <is>
          <t>05-2025</t>
        </is>
      </c>
      <c r="F947" t="inlineStr">
        <is>
          <t>04-2026</t>
        </is>
      </c>
      <c r="G947" t="n">
        <v>11</v>
      </c>
      <c r="H947" t="inlineStr">
        <is>
          <t>Pendiente</t>
        </is>
      </c>
      <c r="J947" t="inlineStr">
        <is>
          <t>RUB745C</t>
        </is>
      </c>
      <c r="K947" t="inlineStr">
        <is>
          <t>TOYOTA AVANZA</t>
        </is>
      </c>
      <c r="L947" t="inlineStr">
        <is>
          <t>DIDI</t>
        </is>
      </c>
      <c r="M947" s="3">
        <f>IF(H947="Efectivo",IFERROR((VALUE(RIGHT(I947,4))-VALUE(RIGHT(E947,4)))*12+(VALUE(LEFT(I947,2))-VALUE(LEFT(E947,2))),""),"")</f>
        <v/>
      </c>
    </row>
    <row r="948">
      <c r="A948" t="inlineStr">
        <is>
          <t>RAMIREZ MERCADO HECTOR EDUARDO</t>
        </is>
      </c>
      <c r="B948" t="inlineStr">
        <is>
          <t>Hombre</t>
        </is>
      </c>
      <c r="C948" t="inlineStr">
        <is>
          <t>5015AF</t>
        </is>
      </c>
      <c r="D948" t="inlineStr">
        <is>
          <t>CDMX Y AREA METROPOLITANA</t>
        </is>
      </c>
      <c r="E948" t="inlineStr">
        <is>
          <t>06-2025</t>
        </is>
      </c>
      <c r="F948" t="inlineStr">
        <is>
          <t>05-2026</t>
        </is>
      </c>
      <c r="G948" t="n">
        <v>11</v>
      </c>
      <c r="H948" t="inlineStr">
        <is>
          <t>Efectivo</t>
        </is>
      </c>
      <c r="I948" t="inlineStr">
        <is>
          <t>05-2026</t>
        </is>
      </c>
      <c r="J948" t="inlineStr">
        <is>
          <t>47G547</t>
        </is>
      </c>
      <c r="K948" t="inlineStr">
        <is>
          <t>BYD MINIDOLPHIN</t>
        </is>
      </c>
      <c r="L948" t="inlineStr">
        <is>
          <t>DIDI</t>
        </is>
      </c>
      <c r="M948" s="3">
        <f>IF(H948="Efectivo",IFERROR((VALUE(RIGHT(I948,4))-VALUE(RIGHT(E948,4)))*12+(VALUE(LEFT(I948,2))-VALUE(LEFT(E948,2))),""),"")</f>
        <v/>
      </c>
    </row>
    <row r="949">
      <c r="A949" t="inlineStr">
        <is>
          <t>RAMIREZ MORENO SALVADOR IVAN</t>
        </is>
      </c>
      <c r="B949" t="inlineStr">
        <is>
          <t>Hombre</t>
        </is>
      </c>
      <c r="C949" t="inlineStr">
        <is>
          <t>6744AF</t>
        </is>
      </c>
      <c r="D949" t="inlineStr">
        <is>
          <t>CDMX Y AREA METROPOLITANA</t>
        </is>
      </c>
      <c r="E949" t="inlineStr">
        <is>
          <t>07-2025</t>
        </is>
      </c>
      <c r="F949" t="inlineStr">
        <is>
          <t>05-2026</t>
        </is>
      </c>
      <c r="G949" t="n">
        <v>10</v>
      </c>
      <c r="H949" t="inlineStr">
        <is>
          <t>Efectivo</t>
        </is>
      </c>
      <c r="I949" t="inlineStr">
        <is>
          <t>05-2026</t>
        </is>
      </c>
      <c r="J949" t="inlineStr">
        <is>
          <t>52G079</t>
        </is>
      </c>
      <c r="K949" t="inlineStr">
        <is>
          <t>BYD MINIDOLPHIN</t>
        </is>
      </c>
      <c r="L949" t="inlineStr">
        <is>
          <t>UBER</t>
        </is>
      </c>
      <c r="M949" s="3">
        <f>IF(H949="Efectivo",IFERROR((VALUE(RIGHT(I949,4))-VALUE(RIGHT(E949,4)))*12+(VALUE(LEFT(I949,2))-VALUE(LEFT(E949,2))),""),"")</f>
        <v/>
      </c>
    </row>
    <row r="950">
      <c r="A950" t="inlineStr">
        <is>
          <t>RAMIREZ OLASCOAGA BRAULIO JESUS</t>
        </is>
      </c>
      <c r="B950" t="inlineStr">
        <is>
          <t>Hombre</t>
        </is>
      </c>
      <c r="C950" t="inlineStr">
        <is>
          <t>4144AF</t>
        </is>
      </c>
      <c r="D950" t="inlineStr">
        <is>
          <t>CDMX Y AREA METROPOLITANA</t>
        </is>
      </c>
      <c r="E950" t="inlineStr">
        <is>
          <t>12-2024</t>
        </is>
      </c>
      <c r="F950" t="inlineStr">
        <is>
          <t>03-2026</t>
        </is>
      </c>
      <c r="G950" t="n">
        <v>15</v>
      </c>
      <c r="H950" t="inlineStr">
        <is>
          <t>Efectivo</t>
        </is>
      </c>
      <c r="I950" t="inlineStr">
        <is>
          <t>03-2026</t>
        </is>
      </c>
      <c r="J950" t="inlineStr">
        <is>
          <t>19G556</t>
        </is>
      </c>
      <c r="K950" t="inlineStr">
        <is>
          <t>BYD D1</t>
        </is>
      </c>
      <c r="L950" t="inlineStr">
        <is>
          <t>UBER</t>
        </is>
      </c>
      <c r="M950" s="3">
        <f>IF(H950="Efectivo",IFERROR((VALUE(RIGHT(I950,4))-VALUE(RIGHT(E950,4)))*12+(VALUE(LEFT(I950,2))-VALUE(LEFT(E950,2))),""),"")</f>
        <v/>
      </c>
    </row>
    <row r="951">
      <c r="A951" t="inlineStr">
        <is>
          <t>RAMIREZ RAMIREZ GABRIEL</t>
        </is>
      </c>
      <c r="B951" t="inlineStr">
        <is>
          <t>Hombre</t>
        </is>
      </c>
      <c r="C951" t="inlineStr">
        <is>
          <t>4048AF</t>
        </is>
      </c>
      <c r="D951" t="inlineStr">
        <is>
          <t>CDMX Y AREA METROPOLITANA</t>
        </is>
      </c>
      <c r="E951" t="inlineStr">
        <is>
          <t>11-2024</t>
        </is>
      </c>
      <c r="F951" t="inlineStr">
        <is>
          <t>04-2026</t>
        </is>
      </c>
      <c r="G951" t="n">
        <v>17</v>
      </c>
      <c r="H951" t="inlineStr">
        <is>
          <t>Efectivo</t>
        </is>
      </c>
      <c r="I951" t="inlineStr">
        <is>
          <t>04-2026</t>
        </is>
      </c>
      <c r="J951" t="inlineStr">
        <is>
          <t>B72BNH</t>
        </is>
      </c>
      <c r="K951" t="inlineStr">
        <is>
          <t>TOYOTA AVANZA</t>
        </is>
      </c>
      <c r="L951" t="inlineStr">
        <is>
          <t>UBER</t>
        </is>
      </c>
      <c r="M951" s="3">
        <f>IF(H951="Efectivo",IFERROR((VALUE(RIGHT(I951,4))-VALUE(RIGHT(E951,4)))*12+(VALUE(LEFT(I951,2))-VALUE(LEFT(E951,2))),""),"")</f>
        <v/>
      </c>
    </row>
    <row r="952">
      <c r="A952" t="inlineStr">
        <is>
          <t>RAMIREZ RODEA CARLOS ENRIQUE</t>
        </is>
      </c>
      <c r="B952" t="inlineStr">
        <is>
          <t>Hombre</t>
        </is>
      </c>
      <c r="C952" t="inlineStr">
        <is>
          <t>2544AF</t>
        </is>
      </c>
      <c r="D952" t="inlineStr">
        <is>
          <t>CDMX Y AREA METROPOLITANA</t>
        </is>
      </c>
      <c r="E952" t="inlineStr">
        <is>
          <t>05-2023</t>
        </is>
      </c>
      <c r="F952" t="inlineStr">
        <is>
          <t>06-2025</t>
        </is>
      </c>
      <c r="G952" t="n">
        <v>25</v>
      </c>
      <c r="H952" t="inlineStr">
        <is>
          <t>Efectivo</t>
        </is>
      </c>
      <c r="I952" t="inlineStr">
        <is>
          <t>06-2025</t>
        </is>
      </c>
      <c r="J952" t="inlineStr">
        <is>
          <t>28F715</t>
        </is>
      </c>
      <c r="K952" t="inlineStr">
        <is>
          <t>BYD D1</t>
        </is>
      </c>
      <c r="L952" t="inlineStr">
        <is>
          <t>UBER</t>
        </is>
      </c>
      <c r="M952" s="3">
        <f>IF(H952="Efectivo",IFERROR((VALUE(RIGHT(I952,4))-VALUE(RIGHT(E952,4)))*12+(VALUE(LEFT(I952,2))-VALUE(LEFT(E952,2))),""),"")</f>
        <v/>
      </c>
    </row>
    <row r="953">
      <c r="A953" t="inlineStr">
        <is>
          <t>RAMIREZ RUIZ ELENA FAVIOLA</t>
        </is>
      </c>
      <c r="B953" t="inlineStr">
        <is>
          <t>Mujer</t>
        </is>
      </c>
      <c r="C953" t="inlineStr">
        <is>
          <t>3699AF</t>
        </is>
      </c>
      <c r="D953" t="inlineStr">
        <is>
          <t>CDMX Y AREA METROPOLITANA</t>
        </is>
      </c>
      <c r="E953" t="inlineStr">
        <is>
          <t>09-2024</t>
        </is>
      </c>
      <c r="F953" t="inlineStr">
        <is>
          <t>05-2025</t>
        </is>
      </c>
      <c r="G953" t="n">
        <v>9</v>
      </c>
      <c r="H953" t="inlineStr">
        <is>
          <t>Efectivo</t>
        </is>
      </c>
      <c r="I953" t="inlineStr">
        <is>
          <t>05-2025</t>
        </is>
      </c>
      <c r="J953" t="inlineStr">
        <is>
          <t>94F979</t>
        </is>
      </c>
      <c r="K953" t="inlineStr">
        <is>
          <t>SUZUKI ERTIGA</t>
        </is>
      </c>
      <c r="L953" t="inlineStr">
        <is>
          <t>UBER</t>
        </is>
      </c>
      <c r="M953" s="3">
        <f>IF(H953="Efectivo",IFERROR((VALUE(RIGHT(I953,4))-VALUE(RIGHT(E953,4)))*12+(VALUE(LEFT(I953,2))-VALUE(LEFT(E953,2))),""),"")</f>
        <v/>
      </c>
    </row>
    <row r="954">
      <c r="A954" t="inlineStr">
        <is>
          <t>RAMIREZ TRUJILLO VICTOR MANUEL</t>
        </is>
      </c>
      <c r="B954" t="inlineStr">
        <is>
          <t>Hombre</t>
        </is>
      </c>
      <c r="C954" t="inlineStr">
        <is>
          <t>3038AF</t>
        </is>
      </c>
      <c r="D954" t="inlineStr">
        <is>
          <t>BAJA CALIFORNIA</t>
        </is>
      </c>
      <c r="E954" t="inlineStr">
        <is>
          <t>02-2024</t>
        </is>
      </c>
      <c r="F954" t="inlineStr">
        <is>
          <t>09-2025</t>
        </is>
      </c>
      <c r="G954" t="n">
        <v>19</v>
      </c>
      <c r="H954" t="inlineStr">
        <is>
          <t>Efectivo</t>
        </is>
      </c>
      <c r="I954" t="inlineStr">
        <is>
          <t>10-2025</t>
        </is>
      </c>
      <c r="J954" t="inlineStr">
        <is>
          <t>BLX686A</t>
        </is>
      </c>
      <c r="K954" t="inlineStr">
        <is>
          <t>CHEVROLET AVEO</t>
        </is>
      </c>
      <c r="L954" t="inlineStr">
        <is>
          <t>UBER</t>
        </is>
      </c>
      <c r="M954" s="3">
        <f>IF(H954="Efectivo",IFERROR((VALUE(RIGHT(I954,4))-VALUE(RIGHT(E954,4)))*12+(VALUE(LEFT(I954,2))-VALUE(LEFT(E954,2))),""),"")</f>
        <v/>
      </c>
    </row>
    <row r="955">
      <c r="A955" t="inlineStr">
        <is>
          <t>RAMIREZ VAZQUEZ HECTOR RICARDO</t>
        </is>
      </c>
      <c r="B955" t="inlineStr">
        <is>
          <t>Hombre</t>
        </is>
      </c>
      <c r="C955" t="inlineStr">
        <is>
          <t>4339AF</t>
        </is>
      </c>
      <c r="D955" t="inlineStr">
        <is>
          <t>CDMX Y AREA METROPOLITANA</t>
        </is>
      </c>
      <c r="E955" t="inlineStr">
        <is>
          <t>02-2025</t>
        </is>
      </c>
      <c r="F955" t="inlineStr">
        <is>
          <t>06-2025</t>
        </is>
      </c>
      <c r="G955" t="n">
        <v>3</v>
      </c>
      <c r="H955" t="inlineStr">
        <is>
          <t>Efectivo</t>
        </is>
      </c>
      <c r="I955" t="inlineStr">
        <is>
          <t>06-2025</t>
        </is>
      </c>
      <c r="J955" t="inlineStr">
        <is>
          <t>31G941</t>
        </is>
      </c>
      <c r="K955" t="inlineStr">
        <is>
          <t>GAC AION S</t>
        </is>
      </c>
      <c r="L955" t="inlineStr">
        <is>
          <t>DIDI</t>
        </is>
      </c>
      <c r="M955" s="3">
        <f>IF(H955="Efectivo",IFERROR((VALUE(RIGHT(I955,4))-VALUE(RIGHT(E955,4)))*12+(VALUE(LEFT(I955,2))-VALUE(LEFT(E955,2))),""),"")</f>
        <v/>
      </c>
    </row>
    <row r="956">
      <c r="A956" t="inlineStr">
        <is>
          <t>RAMIREZ VERGARA JULIO CESAR</t>
        </is>
      </c>
      <c r="B956" t="inlineStr">
        <is>
          <t>Hombre</t>
        </is>
      </c>
      <c r="C956" t="inlineStr">
        <is>
          <t>3531AF</t>
        </is>
      </c>
      <c r="D956" t="inlineStr">
        <is>
          <t>CDMX Y AREA METROPOLITANA</t>
        </is>
      </c>
      <c r="E956" t="inlineStr">
        <is>
          <t>07-2024</t>
        </is>
      </c>
      <c r="F956" t="inlineStr">
        <is>
          <t>11-2025</t>
        </is>
      </c>
      <c r="G956" t="n">
        <v>16</v>
      </c>
      <c r="H956" t="inlineStr">
        <is>
          <t>Pendiente</t>
        </is>
      </c>
      <c r="J956" t="inlineStr">
        <is>
          <t>89F760</t>
        </is>
      </c>
      <c r="K956" t="inlineStr">
        <is>
          <t>BYD D1</t>
        </is>
      </c>
      <c r="L956" t="inlineStr">
        <is>
          <t>UBER</t>
        </is>
      </c>
      <c r="M956" s="3">
        <f>IF(H956="Efectivo",IFERROR((VALUE(RIGHT(I956,4))-VALUE(RIGHT(E956,4)))*12+(VALUE(LEFT(I956,2))-VALUE(LEFT(E956,2))),""),"")</f>
        <v/>
      </c>
    </row>
    <row r="957">
      <c r="A957" t="inlineStr">
        <is>
          <t>RAMIREZ VIZCARRA ALEJANDRO SALVADOR</t>
        </is>
      </c>
      <c r="B957" t="inlineStr">
        <is>
          <t>Hombre</t>
        </is>
      </c>
      <c r="C957" t="inlineStr">
        <is>
          <t>3456AF</t>
        </is>
      </c>
      <c r="D957" t="inlineStr">
        <is>
          <t>JALISCO</t>
        </is>
      </c>
      <c r="E957" t="inlineStr">
        <is>
          <t>07-2024</t>
        </is>
      </c>
      <c r="F957" t="inlineStr">
        <is>
          <t>04-2025</t>
        </is>
      </c>
      <c r="G957" t="n">
        <v>9</v>
      </c>
      <c r="H957" t="inlineStr">
        <is>
          <t>Cancelado</t>
        </is>
      </c>
      <c r="J957" t="inlineStr">
        <is>
          <t>HWE171A</t>
        </is>
      </c>
      <c r="K957" t="inlineStr">
        <is>
          <t>CHEVROLET AVEO</t>
        </is>
      </c>
      <c r="L957" t="inlineStr">
        <is>
          <t>UBER</t>
        </is>
      </c>
      <c r="M957" s="3">
        <f>IF(H957="Efectivo",IFERROR((VALUE(RIGHT(I957,4))-VALUE(RIGHT(E957,4)))*12+(VALUE(LEFT(I957,2))-VALUE(LEFT(E957,2))),""),"")</f>
        <v/>
      </c>
    </row>
    <row r="958">
      <c r="A958" t="inlineStr">
        <is>
          <t>RAMIREZ ZARATE HECTOR</t>
        </is>
      </c>
      <c r="B958" t="inlineStr">
        <is>
          <t>Hombre</t>
        </is>
      </c>
      <c r="C958" t="inlineStr">
        <is>
          <t>4401AF</t>
        </is>
      </c>
      <c r="D958" t="inlineStr">
        <is>
          <t>CDMX Y AREA METROPOLITANA</t>
        </is>
      </c>
      <c r="E958" t="inlineStr">
        <is>
          <t>03-2025</t>
        </is>
      </c>
      <c r="F958" t="inlineStr">
        <is>
          <t>03-2026</t>
        </is>
      </c>
      <c r="G958" t="n">
        <v>12</v>
      </c>
      <c r="H958" t="inlineStr">
        <is>
          <t>Efectivo</t>
        </is>
      </c>
      <c r="I958" t="inlineStr">
        <is>
          <t>03-2026</t>
        </is>
      </c>
      <c r="J958" t="inlineStr">
        <is>
          <t>F71BRJ</t>
        </is>
      </c>
      <c r="K958" t="inlineStr">
        <is>
          <t>CHEVROLET AVEO</t>
        </is>
      </c>
      <c r="L958" t="inlineStr">
        <is>
          <t>UBER</t>
        </is>
      </c>
      <c r="M958" s="3">
        <f>IF(H958="Efectivo",IFERROR((VALUE(RIGHT(I958,4))-VALUE(RIGHT(E958,4)))*12+(VALUE(LEFT(I958,2))-VALUE(LEFT(E958,2))),""),"")</f>
        <v/>
      </c>
    </row>
    <row r="959">
      <c r="A959" t="inlineStr">
        <is>
          <t>RAMOS ALCANTARA JOSE ALBERTO</t>
        </is>
      </c>
      <c r="B959" t="inlineStr">
        <is>
          <t>Hombre</t>
        </is>
      </c>
      <c r="C959" t="inlineStr">
        <is>
          <t>4047AF</t>
        </is>
      </c>
      <c r="D959" t="inlineStr">
        <is>
          <t>CDMX Y AREA METROPOLITANA</t>
        </is>
      </c>
      <c r="E959" t="inlineStr">
        <is>
          <t>11-2024</t>
        </is>
      </c>
      <c r="F959" t="inlineStr">
        <is>
          <t>12-2025</t>
        </is>
      </c>
      <c r="G959" t="n">
        <v>12</v>
      </c>
      <c r="H959" t="inlineStr">
        <is>
          <t>Efectivo</t>
        </is>
      </c>
      <c r="I959" t="inlineStr">
        <is>
          <t>01-2026</t>
        </is>
      </c>
      <c r="J959" t="inlineStr">
        <is>
          <t>13G980</t>
        </is>
      </c>
      <c r="K959" t="inlineStr">
        <is>
          <t>BYD D1</t>
        </is>
      </c>
      <c r="L959" t="inlineStr">
        <is>
          <t>UBER</t>
        </is>
      </c>
      <c r="M959" s="3">
        <f>IF(H959="Efectivo",IFERROR((VALUE(RIGHT(I959,4))-VALUE(RIGHT(E959,4)))*12+(VALUE(LEFT(I959,2))-VALUE(LEFT(E959,2))),""),"")</f>
        <v/>
      </c>
    </row>
    <row r="960">
      <c r="A960" t="inlineStr">
        <is>
          <t>RAMOS CANO JUAN PABLO</t>
        </is>
      </c>
      <c r="B960" t="inlineStr">
        <is>
          <t>Hombre</t>
        </is>
      </c>
      <c r="C960" t="inlineStr">
        <is>
          <t>3994AF</t>
        </is>
      </c>
      <c r="D960" t="inlineStr">
        <is>
          <t>CDMX Y AREA METROPOLITANA</t>
        </is>
      </c>
      <c r="E960" t="inlineStr">
        <is>
          <t>11-2024</t>
        </is>
      </c>
      <c r="F960" t="inlineStr">
        <is>
          <t>03-2025</t>
        </is>
      </c>
      <c r="G960" t="n">
        <v>3</v>
      </c>
      <c r="H960" t="inlineStr">
        <is>
          <t>Efectivo</t>
        </is>
      </c>
      <c r="I960" t="inlineStr">
        <is>
          <t>03-2025</t>
        </is>
      </c>
      <c r="J960" t="inlineStr">
        <is>
          <t>13G723</t>
        </is>
      </c>
      <c r="K960" t="inlineStr">
        <is>
          <t>BYD D1</t>
        </is>
      </c>
      <c r="L960" t="inlineStr">
        <is>
          <t>UBER</t>
        </is>
      </c>
      <c r="M960" s="3">
        <f>IF(H960="Efectivo",IFERROR((VALUE(RIGHT(I960,4))-VALUE(RIGHT(E960,4)))*12+(VALUE(LEFT(I960,2))-VALUE(LEFT(E960,2))),""),"")</f>
        <v/>
      </c>
    </row>
    <row r="961">
      <c r="A961" t="inlineStr">
        <is>
          <t>RAMOS GARCIA GISELA</t>
        </is>
      </c>
      <c r="B961" t="inlineStr">
        <is>
          <t>Mujer</t>
        </is>
      </c>
      <c r="C961" t="inlineStr">
        <is>
          <t>5345AF</t>
        </is>
      </c>
      <c r="D961" t="inlineStr">
        <is>
          <t>CDMX Y AREA METROPOLITANA</t>
        </is>
      </c>
      <c r="E961" t="inlineStr">
        <is>
          <t>07-2025</t>
        </is>
      </c>
      <c r="F961" t="inlineStr">
        <is>
          <t>10-2025</t>
        </is>
      </c>
      <c r="G961" t="n">
        <v>2</v>
      </c>
      <c r="H961" t="inlineStr">
        <is>
          <t>Efectivo</t>
        </is>
      </c>
      <c r="I961" t="inlineStr">
        <is>
          <t>04-2026</t>
        </is>
      </c>
      <c r="J961" t="inlineStr">
        <is>
          <t>47G814</t>
        </is>
      </c>
      <c r="K961" t="inlineStr">
        <is>
          <t>BYD MINIDOLPHIN</t>
        </is>
      </c>
      <c r="L961" t="inlineStr">
        <is>
          <t>UBER</t>
        </is>
      </c>
      <c r="M961" s="3">
        <f>IF(H961="Efectivo",IFERROR((VALUE(RIGHT(I961,4))-VALUE(RIGHT(E961,4)))*12+(VALUE(LEFT(I961,2))-VALUE(LEFT(E961,2))),""),"")</f>
        <v/>
      </c>
    </row>
    <row r="962">
      <c r="A962" t="inlineStr">
        <is>
          <t>RAMOS GUZMAN JORGE ALBERTO</t>
        </is>
      </c>
      <c r="B962" t="inlineStr">
        <is>
          <t>Hombre</t>
        </is>
      </c>
      <c r="C962" t="inlineStr">
        <is>
          <t>6304AF</t>
        </is>
      </c>
      <c r="D962" t="inlineStr">
        <is>
          <t>CDMX Y AREA METROPOLITANA</t>
        </is>
      </c>
      <c r="E962" t="inlineStr">
        <is>
          <t>11-2025</t>
        </is>
      </c>
      <c r="F962" t="inlineStr">
        <is>
          <t>05-2026</t>
        </is>
      </c>
      <c r="G962" t="n">
        <v>6</v>
      </c>
      <c r="H962" t="inlineStr">
        <is>
          <t>Efectivo</t>
        </is>
      </c>
      <c r="I962" t="inlineStr">
        <is>
          <t>05-2026</t>
        </is>
      </c>
      <c r="J962" t="inlineStr">
        <is>
          <t>N90BSF</t>
        </is>
      </c>
      <c r="K962" t="inlineStr">
        <is>
          <t>CHEVROLET AVEO</t>
        </is>
      </c>
      <c r="L962" t="inlineStr">
        <is>
          <t>UBER</t>
        </is>
      </c>
      <c r="M962" s="3">
        <f>IF(H962="Efectivo",IFERROR((VALUE(RIGHT(I962,4))-VALUE(RIGHT(E962,4)))*12+(VALUE(LEFT(I962,2))-VALUE(LEFT(E962,2))),""),"")</f>
        <v/>
      </c>
    </row>
    <row r="963">
      <c r="A963" t="inlineStr">
        <is>
          <t>RAMOS MENDOZA ERIK ADRIAN</t>
        </is>
      </c>
      <c r="B963" t="inlineStr">
        <is>
          <t>Hombre</t>
        </is>
      </c>
      <c r="C963" t="inlineStr">
        <is>
          <t>3554AF</t>
        </is>
      </c>
      <c r="D963" t="inlineStr">
        <is>
          <t>CDMX Y AREA METROPOLITANA</t>
        </is>
      </c>
      <c r="E963" t="inlineStr">
        <is>
          <t>08-2024</t>
        </is>
      </c>
      <c r="F963" t="inlineStr">
        <is>
          <t>08-2025</t>
        </is>
      </c>
      <c r="G963" t="n">
        <v>13</v>
      </c>
      <c r="H963" t="inlineStr">
        <is>
          <t>Pendiente</t>
        </is>
      </c>
      <c r="J963" t="inlineStr">
        <is>
          <t>G74BPF</t>
        </is>
      </c>
      <c r="K963" t="inlineStr">
        <is>
          <t>TOYOTA AVANZA</t>
        </is>
      </c>
      <c r="L963" t="inlineStr">
        <is>
          <t>UBER</t>
        </is>
      </c>
      <c r="M963" s="3">
        <f>IF(H963="Efectivo",IFERROR((VALUE(RIGHT(I963,4))-VALUE(RIGHT(E963,4)))*12+(VALUE(LEFT(I963,2))-VALUE(LEFT(E963,2))),""),"")</f>
        <v/>
      </c>
    </row>
    <row r="964">
      <c r="A964" t="inlineStr">
        <is>
          <t>RAMOS VAZQUEZ JUAN ENRIQUE</t>
        </is>
      </c>
      <c r="B964" t="inlineStr">
        <is>
          <t>Hombre</t>
        </is>
      </c>
      <c r="C964" t="inlineStr">
        <is>
          <t>4031AF</t>
        </is>
      </c>
      <c r="D964" t="inlineStr">
        <is>
          <t>CDMX Y AREA METROPOLITANA</t>
        </is>
      </c>
      <c r="E964" t="inlineStr">
        <is>
          <t>11-2024</t>
        </is>
      </c>
      <c r="F964" t="inlineStr">
        <is>
          <t>04-2025</t>
        </is>
      </c>
      <c r="G964" t="n">
        <v>4</v>
      </c>
      <c r="H964" t="inlineStr">
        <is>
          <t>Pendiente</t>
        </is>
      </c>
      <c r="J964" t="inlineStr">
        <is>
          <t>13G754</t>
        </is>
      </c>
      <c r="K964" t="inlineStr">
        <is>
          <t>BYD D1</t>
        </is>
      </c>
      <c r="L964" t="inlineStr">
        <is>
          <t>UBER</t>
        </is>
      </c>
      <c r="M964" s="3">
        <f>IF(H964="Efectivo",IFERROR((VALUE(RIGHT(I964,4))-VALUE(RIGHT(E964,4)))*12+(VALUE(LEFT(I964,2))-VALUE(LEFT(E964,2))),""),"")</f>
        <v/>
      </c>
    </row>
    <row r="965">
      <c r="A965" t="inlineStr">
        <is>
          <t>RAMOS ZACATECO MIGUEL ANGEL</t>
        </is>
      </c>
      <c r="B965" t="inlineStr">
        <is>
          <t>Hombre</t>
        </is>
      </c>
      <c r="C965" t="inlineStr">
        <is>
          <t>5627AF</t>
        </is>
      </c>
      <c r="D965" t="inlineStr">
        <is>
          <t>CDMX Y AREA METROPOLITANA</t>
        </is>
      </c>
      <c r="E965" t="inlineStr">
        <is>
          <t>08-2025</t>
        </is>
      </c>
      <c r="F965" t="inlineStr">
        <is>
          <t>03-2026</t>
        </is>
      </c>
      <c r="G965" t="n">
        <v>6</v>
      </c>
      <c r="H965" t="inlineStr">
        <is>
          <t>Pendiente</t>
        </is>
      </c>
      <c r="J965" t="inlineStr">
        <is>
          <t>48G261</t>
        </is>
      </c>
      <c r="K965" t="inlineStr">
        <is>
          <t>BYD MINIDOLPHIN</t>
        </is>
      </c>
      <c r="L965" t="inlineStr">
        <is>
          <t>DIDI</t>
        </is>
      </c>
      <c r="M965" s="3">
        <f>IF(H965="Efectivo",IFERROR((VALUE(RIGHT(I965,4))-VALUE(RIGHT(E965,4)))*12+(VALUE(LEFT(I965,2))-VALUE(LEFT(E965,2))),""),"")</f>
        <v/>
      </c>
    </row>
    <row r="966">
      <c r="A966" t="inlineStr">
        <is>
          <t>RANGEL MARTINEZ CARLOS</t>
        </is>
      </c>
      <c r="B966" t="inlineStr">
        <is>
          <t>Hombre</t>
        </is>
      </c>
      <c r="C966" t="inlineStr">
        <is>
          <t>2980AF</t>
        </is>
      </c>
      <c r="D966" t="inlineStr">
        <is>
          <t>CDMX Y AREA METROPOLITANA</t>
        </is>
      </c>
      <c r="E966" t="inlineStr">
        <is>
          <t>01-2024</t>
        </is>
      </c>
      <c r="F966" t="inlineStr">
        <is>
          <t>09-2025</t>
        </is>
      </c>
      <c r="G966" t="n">
        <v>20</v>
      </c>
      <c r="H966" t="inlineStr">
        <is>
          <t>Cancelado</t>
        </is>
      </c>
      <c r="J966" t="inlineStr">
        <is>
          <t>72F015</t>
        </is>
      </c>
      <c r="K966" t="inlineStr">
        <is>
          <t>BYD D1</t>
        </is>
      </c>
      <c r="L966" t="inlineStr">
        <is>
          <t>UBER</t>
        </is>
      </c>
      <c r="M966" s="3">
        <f>IF(H966="Efectivo",IFERROR((VALUE(RIGHT(I966,4))-VALUE(RIGHT(E966,4)))*12+(VALUE(LEFT(I966,2))-VALUE(LEFT(E966,2))),""),"")</f>
        <v/>
      </c>
    </row>
    <row r="967">
      <c r="A967" t="inlineStr">
        <is>
          <t>RAYA ESCOBAR JESUS ALBERTO</t>
        </is>
      </c>
      <c r="B967" t="inlineStr">
        <is>
          <t>Hombre</t>
        </is>
      </c>
      <c r="C967" t="inlineStr">
        <is>
          <t>4542AF</t>
        </is>
      </c>
      <c r="D967" t="inlineStr">
        <is>
          <t>CDMX Y AREA METROPOLITANA</t>
        </is>
      </c>
      <c r="E967" t="inlineStr">
        <is>
          <t>03-2025</t>
        </is>
      </c>
      <c r="F967" t="inlineStr">
        <is>
          <t>07-2025</t>
        </is>
      </c>
      <c r="G967" t="n">
        <v>3</v>
      </c>
      <c r="H967" t="inlineStr">
        <is>
          <t>Efectivo</t>
        </is>
      </c>
      <c r="I967" t="inlineStr">
        <is>
          <t>09-2025</t>
        </is>
      </c>
      <c r="J967" t="inlineStr">
        <is>
          <t>39G825</t>
        </is>
      </c>
      <c r="K967" t="inlineStr">
        <is>
          <t>GAC AION S</t>
        </is>
      </c>
      <c r="L967" t="inlineStr">
        <is>
          <t>DIDI</t>
        </is>
      </c>
      <c r="M967" s="3">
        <f>IF(H967="Efectivo",IFERROR((VALUE(RIGHT(I967,4))-VALUE(RIGHT(E967,4)))*12+(VALUE(LEFT(I967,2))-VALUE(LEFT(E967,2))),""),"")</f>
        <v/>
      </c>
    </row>
    <row r="968">
      <c r="A968" t="inlineStr">
        <is>
          <t>RAYAS IBARRA CARLOS</t>
        </is>
      </c>
      <c r="B968" t="inlineStr">
        <is>
          <t>Hombre</t>
        </is>
      </c>
      <c r="C968" t="inlineStr">
        <is>
          <t>5333AF</t>
        </is>
      </c>
      <c r="D968" t="inlineStr">
        <is>
          <t>CDMX Y AREA METROPOLITANA</t>
        </is>
      </c>
      <c r="E968" t="inlineStr">
        <is>
          <t>07-2025</t>
        </is>
      </c>
      <c r="F968" t="inlineStr">
        <is>
          <t>10-2025</t>
        </is>
      </c>
      <c r="G968" t="n">
        <v>2</v>
      </c>
      <c r="H968" t="inlineStr">
        <is>
          <t>Cancelado</t>
        </is>
      </c>
      <c r="J968" t="inlineStr">
        <is>
          <t>84F033</t>
        </is>
      </c>
      <c r="K968" t="inlineStr">
        <is>
          <t>BYD D1</t>
        </is>
      </c>
      <c r="L968" t="inlineStr">
        <is>
          <t>DIDI</t>
        </is>
      </c>
      <c r="M968" s="3">
        <f>IF(H968="Efectivo",IFERROR((VALUE(RIGHT(I968,4))-VALUE(RIGHT(E968,4)))*12+(VALUE(LEFT(I968,2))-VALUE(LEFT(E968,2))),""),"")</f>
        <v/>
      </c>
    </row>
    <row r="969">
      <c r="A969" t="inlineStr">
        <is>
          <t>RAYAS IBARRA CARLOS</t>
        </is>
      </c>
      <c r="B969" t="inlineStr">
        <is>
          <t>Hombre</t>
        </is>
      </c>
      <c r="C969" t="inlineStr">
        <is>
          <t>5333AF</t>
        </is>
      </c>
      <c r="D969" t="inlineStr">
        <is>
          <t>CDMX Y AREA METROPOLITANA</t>
        </is>
      </c>
      <c r="E969" t="inlineStr">
        <is>
          <t>07-2025</t>
        </is>
      </c>
      <c r="F969" t="inlineStr">
        <is>
          <t>04-2026</t>
        </is>
      </c>
      <c r="G969" t="n">
        <v>9</v>
      </c>
      <c r="H969" t="inlineStr">
        <is>
          <t>Efectivo</t>
        </is>
      </c>
      <c r="I969" t="inlineStr">
        <is>
          <t>04-2026</t>
        </is>
      </c>
      <c r="J969" t="inlineStr">
        <is>
          <t>84F033</t>
        </is>
      </c>
      <c r="K969" t="inlineStr">
        <is>
          <t>BYD D1</t>
        </is>
      </c>
      <c r="L969" t="inlineStr">
        <is>
          <t>DIDI</t>
        </is>
      </c>
      <c r="M969" s="3">
        <f>IF(H969="Efectivo",IFERROR((VALUE(RIGHT(I969,4))-VALUE(RIGHT(E969,4)))*12+(VALUE(LEFT(I969,2))-VALUE(LEFT(E969,2))),""),"")</f>
        <v/>
      </c>
    </row>
    <row r="970">
      <c r="A970" t="inlineStr">
        <is>
          <t>RAZO RODRIGUEZ JOSE DE JESUS</t>
        </is>
      </c>
      <c r="B970" t="inlineStr">
        <is>
          <t>Hombre</t>
        </is>
      </c>
      <c r="C970" t="inlineStr">
        <is>
          <t>4415AF</t>
        </is>
      </c>
      <c r="D970" t="inlineStr">
        <is>
          <t>JALISCO</t>
        </is>
      </c>
      <c r="E970" t="inlineStr">
        <is>
          <t>03-2025</t>
        </is>
      </c>
      <c r="F970" t="inlineStr">
        <is>
          <t>02-2026</t>
        </is>
      </c>
      <c r="G970" t="n">
        <v>11</v>
      </c>
      <c r="H970" t="inlineStr">
        <is>
          <t>Efectivo</t>
        </is>
      </c>
      <c r="I970" t="inlineStr">
        <is>
          <t>03-2026</t>
        </is>
      </c>
      <c r="J970" t="inlineStr">
        <is>
          <t>JAW364A</t>
        </is>
      </c>
      <c r="K970" t="inlineStr">
        <is>
          <t>TOYOTA AVANZA</t>
        </is>
      </c>
      <c r="L970" t="inlineStr">
        <is>
          <t>UBER</t>
        </is>
      </c>
      <c r="M970" s="3">
        <f>IF(H970="Efectivo",IFERROR((VALUE(RIGHT(I970,4))-VALUE(RIGHT(E970,4)))*12+(VALUE(LEFT(I970,2))-VALUE(LEFT(E970,2))),""),"")</f>
        <v/>
      </c>
    </row>
    <row r="971">
      <c r="A971" t="inlineStr">
        <is>
          <t>RAZO VELAZQUEZ TOMAS ALEJANDRO</t>
        </is>
      </c>
      <c r="B971" t="inlineStr">
        <is>
          <t>Hombre</t>
        </is>
      </c>
      <c r="C971" t="inlineStr">
        <is>
          <t>5713AF</t>
        </is>
      </c>
      <c r="D971" t="inlineStr">
        <is>
          <t>JALISCO</t>
        </is>
      </c>
      <c r="E971" t="inlineStr">
        <is>
          <t>09-2025</t>
        </is>
      </c>
      <c r="F971" t="inlineStr">
        <is>
          <t>03-2026</t>
        </is>
      </c>
      <c r="G971" t="n">
        <v>6</v>
      </c>
      <c r="H971" t="inlineStr">
        <is>
          <t>Efectivo</t>
        </is>
      </c>
      <c r="I971" t="inlineStr">
        <is>
          <t>04-2026</t>
        </is>
      </c>
      <c r="J971" t="inlineStr">
        <is>
          <t>JNU129A</t>
        </is>
      </c>
      <c r="K971" t="inlineStr">
        <is>
          <t>CHEVROLET AVEO</t>
        </is>
      </c>
      <c r="L971" t="inlineStr">
        <is>
          <t>UBER</t>
        </is>
      </c>
      <c r="M971" s="3">
        <f>IF(H971="Efectivo",IFERROR((VALUE(RIGHT(I971,4))-VALUE(RIGHT(E971,4)))*12+(VALUE(LEFT(I971,2))-VALUE(LEFT(E971,2))),""),"")</f>
        <v/>
      </c>
    </row>
    <row r="972">
      <c r="A972" t="inlineStr">
        <is>
          <t>REMIGIO GOMEZ ALEJANDRO</t>
        </is>
      </c>
      <c r="B972" t="inlineStr">
        <is>
          <t>Hombre</t>
        </is>
      </c>
      <c r="C972" t="inlineStr">
        <is>
          <t>4762AF</t>
        </is>
      </c>
      <c r="D972" t="inlineStr">
        <is>
          <t>CDMX Y AREA METROPOLITANA</t>
        </is>
      </c>
      <c r="E972" t="inlineStr">
        <is>
          <t>05-2025</t>
        </is>
      </c>
      <c r="F972" t="inlineStr">
        <is>
          <t>06-2025</t>
        </is>
      </c>
      <c r="G972" t="n">
        <v>2</v>
      </c>
      <c r="H972" t="inlineStr">
        <is>
          <t>Efectivo</t>
        </is>
      </c>
      <c r="I972" t="inlineStr">
        <is>
          <t>07-2025</t>
        </is>
      </c>
      <c r="J972" t="inlineStr">
        <is>
          <t>41G508</t>
        </is>
      </c>
      <c r="K972" t="inlineStr">
        <is>
          <t>BYD MINIDOLPHIN</t>
        </is>
      </c>
      <c r="L972" t="inlineStr">
        <is>
          <t>DIDI</t>
        </is>
      </c>
      <c r="M972" s="3">
        <f>IF(H972="Efectivo",IFERROR((VALUE(RIGHT(I972,4))-VALUE(RIGHT(E972,4)))*12+(VALUE(LEFT(I972,2))-VALUE(LEFT(E972,2))),""),"")</f>
        <v/>
      </c>
    </row>
    <row r="973">
      <c r="A973" t="inlineStr">
        <is>
          <t>RESENDIZ ALMARAZ IVAN</t>
        </is>
      </c>
      <c r="B973" t="inlineStr">
        <is>
          <t>Hombre</t>
        </is>
      </c>
      <c r="C973" t="inlineStr">
        <is>
          <t>2863AF</t>
        </is>
      </c>
      <c r="D973" t="inlineStr">
        <is>
          <t>QUERETARO</t>
        </is>
      </c>
      <c r="E973" t="inlineStr">
        <is>
          <t>11-2023</t>
        </is>
      </c>
      <c r="F973" t="inlineStr">
        <is>
          <t>01-2025</t>
        </is>
      </c>
      <c r="G973" t="n">
        <v>14</v>
      </c>
      <c r="H973" t="inlineStr">
        <is>
          <t>Cancelado</t>
        </is>
      </c>
      <c r="J973" t="inlineStr">
        <is>
          <t>ULM699H</t>
        </is>
      </c>
      <c r="K973" t="inlineStr">
        <is>
          <t>CHEVROLET AVEO</t>
        </is>
      </c>
      <c r="L973" t="inlineStr">
        <is>
          <t>UBER</t>
        </is>
      </c>
      <c r="M973" s="3">
        <f>IF(H973="Efectivo",IFERROR((VALUE(RIGHT(I973,4))-VALUE(RIGHT(E973,4)))*12+(VALUE(LEFT(I973,2))-VALUE(LEFT(E973,2))),""),"")</f>
        <v/>
      </c>
    </row>
    <row r="974">
      <c r="A974" t="inlineStr">
        <is>
          <t>RESENDIZ MOLINA ADAN</t>
        </is>
      </c>
      <c r="B974" t="inlineStr">
        <is>
          <t>Hombre</t>
        </is>
      </c>
      <c r="C974" t="inlineStr">
        <is>
          <t>5350AF</t>
        </is>
      </c>
      <c r="D974" t="inlineStr">
        <is>
          <t>CDMX Y AREA METROPOLITANA</t>
        </is>
      </c>
      <c r="E974" t="inlineStr">
        <is>
          <t>01-2026</t>
        </is>
      </c>
      <c r="F974" t="inlineStr">
        <is>
          <t>05-2026</t>
        </is>
      </c>
      <c r="G974" t="n">
        <v>4</v>
      </c>
      <c r="H974" t="inlineStr">
        <is>
          <t>Pendiente</t>
        </is>
      </c>
      <c r="J974" t="inlineStr">
        <is>
          <t>47G923</t>
        </is>
      </c>
      <c r="K974" t="inlineStr">
        <is>
          <t>BYD MINIDOLPHIN</t>
        </is>
      </c>
      <c r="L974" t="inlineStr">
        <is>
          <t>UBER</t>
        </is>
      </c>
      <c r="M974" s="3">
        <f>IF(H974="Efectivo",IFERROR((VALUE(RIGHT(I974,4))-VALUE(RIGHT(E974,4)))*12+(VALUE(LEFT(I974,2))-VALUE(LEFT(E974,2))),""),"")</f>
        <v/>
      </c>
    </row>
    <row r="975">
      <c r="A975" t="inlineStr">
        <is>
          <t>REYES ALBARRAN EMMANUEL</t>
        </is>
      </c>
      <c r="B975" t="inlineStr">
        <is>
          <t>Hombre</t>
        </is>
      </c>
      <c r="C975" t="inlineStr">
        <is>
          <t>3899AF</t>
        </is>
      </c>
      <c r="D975" t="inlineStr">
        <is>
          <t>CDMX Y AREA METROPOLITANA</t>
        </is>
      </c>
      <c r="E975" t="inlineStr">
        <is>
          <t>10-2024</t>
        </is>
      </c>
      <c r="F975" t="inlineStr">
        <is>
          <t>12-2025</t>
        </is>
      </c>
      <c r="G975" t="n">
        <v>14</v>
      </c>
      <c r="H975" t="inlineStr">
        <is>
          <t>Efectivo</t>
        </is>
      </c>
      <c r="I975" t="inlineStr">
        <is>
          <t>01-2026</t>
        </is>
      </c>
      <c r="J975" t="inlineStr">
        <is>
          <t>13G684</t>
        </is>
      </c>
      <c r="K975" t="inlineStr">
        <is>
          <t>BYD MINIDOLPHIN</t>
        </is>
      </c>
      <c r="L975" t="inlineStr">
        <is>
          <t>DIDI</t>
        </is>
      </c>
      <c r="M975" s="3">
        <f>IF(H975="Efectivo",IFERROR((VALUE(RIGHT(I975,4))-VALUE(RIGHT(E975,4)))*12+(VALUE(LEFT(I975,2))-VALUE(LEFT(E975,2))),""),"")</f>
        <v/>
      </c>
    </row>
    <row r="976">
      <c r="A976" t="inlineStr">
        <is>
          <t>REYES DOMINGUEZ EDGAR</t>
        </is>
      </c>
      <c r="B976" t="inlineStr">
        <is>
          <t>Hombre</t>
        </is>
      </c>
      <c r="C976" t="inlineStr">
        <is>
          <t>4590AF</t>
        </is>
      </c>
      <c r="D976" t="inlineStr">
        <is>
          <t>CDMX Y AREA METROPOLITANA</t>
        </is>
      </c>
      <c r="E976" t="inlineStr">
        <is>
          <t>04-2025</t>
        </is>
      </c>
      <c r="F976" t="inlineStr">
        <is>
          <t>04-2026</t>
        </is>
      </c>
      <c r="G976" t="n">
        <v>12</v>
      </c>
      <c r="H976" t="inlineStr">
        <is>
          <t>Pendiente</t>
        </is>
      </c>
      <c r="J976" t="inlineStr">
        <is>
          <t>27G755</t>
        </is>
      </c>
      <c r="K976" t="inlineStr">
        <is>
          <t>BYD MINIDOLPHIN</t>
        </is>
      </c>
      <c r="L976" t="inlineStr">
        <is>
          <t>DIDI</t>
        </is>
      </c>
      <c r="M976" s="3">
        <f>IF(H976="Efectivo",IFERROR((VALUE(RIGHT(I976,4))-VALUE(RIGHT(E976,4)))*12+(VALUE(LEFT(I976,2))-VALUE(LEFT(E976,2))),""),"")</f>
        <v/>
      </c>
    </row>
    <row r="977">
      <c r="A977" t="inlineStr">
        <is>
          <t>REYES GONZALEZ CESAR AGUSTIN</t>
        </is>
      </c>
      <c r="B977" t="inlineStr">
        <is>
          <t>Hombre</t>
        </is>
      </c>
      <c r="C977" t="inlineStr">
        <is>
          <t>3708AF</t>
        </is>
      </c>
      <c r="D977" t="inlineStr">
        <is>
          <t>NUEVO LEON</t>
        </is>
      </c>
      <c r="E977" t="inlineStr">
        <is>
          <t>09-2024</t>
        </is>
      </c>
      <c r="F977" t="inlineStr">
        <is>
          <t>03-2026</t>
        </is>
      </c>
      <c r="G977" t="n">
        <v>18</v>
      </c>
      <c r="H977" t="inlineStr">
        <is>
          <t>Efectivo</t>
        </is>
      </c>
      <c r="I977" t="inlineStr">
        <is>
          <t>03-2026</t>
        </is>
      </c>
      <c r="J977" t="inlineStr">
        <is>
          <t>TFP202B</t>
        </is>
      </c>
      <c r="K977" t="inlineStr">
        <is>
          <t>TOYOTA AVANZA</t>
        </is>
      </c>
      <c r="L977" t="inlineStr">
        <is>
          <t>UBER</t>
        </is>
      </c>
      <c r="M977" s="3">
        <f>IF(H977="Efectivo",IFERROR((VALUE(RIGHT(I977,4))-VALUE(RIGHT(E977,4)))*12+(VALUE(LEFT(I977,2))-VALUE(LEFT(E977,2))),""),"")</f>
        <v/>
      </c>
    </row>
    <row r="978">
      <c r="A978" t="inlineStr">
        <is>
          <t>REYES HERNANDEZ CARLOS</t>
        </is>
      </c>
      <c r="B978" t="inlineStr">
        <is>
          <t>Hombre</t>
        </is>
      </c>
      <c r="C978" t="inlineStr">
        <is>
          <t>3377AF</t>
        </is>
      </c>
      <c r="D978" t="inlineStr">
        <is>
          <t>BAJA CALIFORNIA</t>
        </is>
      </c>
      <c r="E978" t="inlineStr">
        <is>
          <t>06-2024</t>
        </is>
      </c>
      <c r="F978" t="inlineStr">
        <is>
          <t>03-2025</t>
        </is>
      </c>
      <c r="G978" t="n">
        <v>9</v>
      </c>
      <c r="H978" t="inlineStr">
        <is>
          <t>Efectivo</t>
        </is>
      </c>
      <c r="I978" t="inlineStr">
        <is>
          <t>03-2025</t>
        </is>
      </c>
      <c r="J978" t="inlineStr">
        <is>
          <t>BPW799A</t>
        </is>
      </c>
      <c r="K978" t="inlineStr">
        <is>
          <t>CHEVROLET AVEO</t>
        </is>
      </c>
      <c r="L978" t="inlineStr">
        <is>
          <t>UBER</t>
        </is>
      </c>
      <c r="M978" s="3">
        <f>IF(H978="Efectivo",IFERROR((VALUE(RIGHT(I978,4))-VALUE(RIGHT(E978,4)))*12+(VALUE(LEFT(I978,2))-VALUE(LEFT(E978,2))),""),"")</f>
        <v/>
      </c>
    </row>
    <row r="979">
      <c r="A979" t="inlineStr">
        <is>
          <t>REYES LARIOS IGNACIO</t>
        </is>
      </c>
      <c r="B979" t="inlineStr">
        <is>
          <t>Hombre</t>
        </is>
      </c>
      <c r="C979" t="inlineStr">
        <is>
          <t>2914AF</t>
        </is>
      </c>
      <c r="D979" t="inlineStr">
        <is>
          <t>CDMX Y AREA METROPOLITANA</t>
        </is>
      </c>
      <c r="E979" t="inlineStr">
        <is>
          <t>12-2023</t>
        </is>
      </c>
      <c r="F979" t="inlineStr">
        <is>
          <t>05-2025</t>
        </is>
      </c>
      <c r="G979" t="n">
        <v>17</v>
      </c>
      <c r="H979" t="inlineStr">
        <is>
          <t>Cancelado</t>
        </is>
      </c>
      <c r="J979" t="inlineStr">
        <is>
          <t>E48BNH</t>
        </is>
      </c>
      <c r="K979" t="inlineStr">
        <is>
          <t>CHEVROLET AVEO</t>
        </is>
      </c>
      <c r="L979" t="inlineStr">
        <is>
          <t>UBER</t>
        </is>
      </c>
      <c r="M979" s="3">
        <f>IF(H979="Efectivo",IFERROR((VALUE(RIGHT(I979,4))-VALUE(RIGHT(E979,4)))*12+(VALUE(LEFT(I979,2))-VALUE(LEFT(E979,2))),""),"")</f>
        <v/>
      </c>
    </row>
    <row r="980">
      <c r="A980" t="inlineStr">
        <is>
          <t>REYES MACEDONIO JONATHAN AXEL</t>
        </is>
      </c>
      <c r="B980" t="inlineStr">
        <is>
          <t>Hombre</t>
        </is>
      </c>
      <c r="C980" t="inlineStr">
        <is>
          <t>5810AF</t>
        </is>
      </c>
      <c r="D980" t="inlineStr">
        <is>
          <t>CDMX Y AREA METROPOLITANA</t>
        </is>
      </c>
      <c r="E980" t="inlineStr">
        <is>
          <t>09-2025</t>
        </is>
      </c>
      <c r="F980" t="inlineStr">
        <is>
          <t>03-2026</t>
        </is>
      </c>
      <c r="G980" t="n">
        <v>5</v>
      </c>
      <c r="H980" t="inlineStr">
        <is>
          <t>Efectivo</t>
        </is>
      </c>
      <c r="I980" t="inlineStr">
        <is>
          <t>04-2026</t>
        </is>
      </c>
      <c r="J980" t="inlineStr">
        <is>
          <t>11K118</t>
        </is>
      </c>
      <c r="K980" t="inlineStr">
        <is>
          <t>BYD MINIDOLPHIN</t>
        </is>
      </c>
      <c r="L980" t="inlineStr">
        <is>
          <t>DIDI</t>
        </is>
      </c>
      <c r="M980" s="3">
        <f>IF(H980="Efectivo",IFERROR((VALUE(RIGHT(I980,4))-VALUE(RIGHT(E980,4)))*12+(VALUE(LEFT(I980,2))-VALUE(LEFT(E980,2))),""),"")</f>
        <v/>
      </c>
    </row>
    <row r="981">
      <c r="A981" t="inlineStr">
        <is>
          <t>REYES MAUNO JOAN DAVID</t>
        </is>
      </c>
      <c r="B981" t="inlineStr">
        <is>
          <t>Hombre</t>
        </is>
      </c>
      <c r="C981" t="inlineStr">
        <is>
          <t>4627AF</t>
        </is>
      </c>
      <c r="D981" t="inlineStr">
        <is>
          <t>CDMX Y AREA METROPOLITANA</t>
        </is>
      </c>
      <c r="E981" t="inlineStr">
        <is>
          <t>04-2025</t>
        </is>
      </c>
      <c r="F981" t="inlineStr">
        <is>
          <t>07-2025</t>
        </is>
      </c>
      <c r="G981" t="n">
        <v>3</v>
      </c>
      <c r="H981" t="inlineStr">
        <is>
          <t>Efectivo</t>
        </is>
      </c>
      <c r="I981" t="inlineStr">
        <is>
          <t>08-2025</t>
        </is>
      </c>
      <c r="J981" t="inlineStr">
        <is>
          <t>38G259</t>
        </is>
      </c>
      <c r="K981" t="inlineStr">
        <is>
          <t>GAC AION S</t>
        </is>
      </c>
      <c r="L981" t="inlineStr">
        <is>
          <t>UBER</t>
        </is>
      </c>
      <c r="M981" s="3">
        <f>IF(H981="Efectivo",IFERROR((VALUE(RIGHT(I981,4))-VALUE(RIGHT(E981,4)))*12+(VALUE(LEFT(I981,2))-VALUE(LEFT(E981,2))),""),"")</f>
        <v/>
      </c>
    </row>
    <row r="982">
      <c r="A982" t="inlineStr">
        <is>
          <t>REYES PERALES RAUL</t>
        </is>
      </c>
      <c r="B982" t="inlineStr">
        <is>
          <t>Hombre</t>
        </is>
      </c>
      <c r="C982" t="inlineStr">
        <is>
          <t>4126AF</t>
        </is>
      </c>
      <c r="D982" t="inlineStr">
        <is>
          <t>CDMX Y AREA METROPOLITANA</t>
        </is>
      </c>
      <c r="E982" t="inlineStr">
        <is>
          <t>12-2024</t>
        </is>
      </c>
      <c r="F982" t="inlineStr">
        <is>
          <t>02-2025</t>
        </is>
      </c>
      <c r="G982" t="n">
        <v>2</v>
      </c>
      <c r="H982" t="inlineStr">
        <is>
          <t>Efectivo</t>
        </is>
      </c>
      <c r="I982" t="inlineStr">
        <is>
          <t>03-2025</t>
        </is>
      </c>
      <c r="J982" t="inlineStr">
        <is>
          <t>19G593</t>
        </is>
      </c>
      <c r="K982" t="inlineStr">
        <is>
          <t>BYD D1</t>
        </is>
      </c>
      <c r="L982" t="inlineStr">
        <is>
          <t>UBER</t>
        </is>
      </c>
      <c r="M982" s="3">
        <f>IF(H982="Efectivo",IFERROR((VALUE(RIGHT(I982,4))-VALUE(RIGHT(E982,4)))*12+(VALUE(LEFT(I982,2))-VALUE(LEFT(E982,2))),""),"")</f>
        <v/>
      </c>
    </row>
    <row r="983">
      <c r="A983" t="inlineStr">
        <is>
          <t>REYES SANCHEZ EDUARDO</t>
        </is>
      </c>
      <c r="B983" t="inlineStr">
        <is>
          <t>Hombre</t>
        </is>
      </c>
      <c r="C983" t="inlineStr">
        <is>
          <t>4362AF</t>
        </is>
      </c>
      <c r="D983" t="inlineStr">
        <is>
          <t>CDMX Y AREA METROPOLITANA</t>
        </is>
      </c>
      <c r="E983" t="inlineStr">
        <is>
          <t>02-2025</t>
        </is>
      </c>
      <c r="F983" t="inlineStr">
        <is>
          <t>04-2025</t>
        </is>
      </c>
      <c r="G983" t="n">
        <v>2</v>
      </c>
      <c r="H983" t="inlineStr">
        <is>
          <t>Efectivo</t>
        </is>
      </c>
      <c r="I983" t="inlineStr">
        <is>
          <t>05-2025</t>
        </is>
      </c>
      <c r="J983" t="inlineStr">
        <is>
          <t>19G575</t>
        </is>
      </c>
      <c r="K983" t="inlineStr">
        <is>
          <t>BYD D1</t>
        </is>
      </c>
      <c r="L983" t="inlineStr">
        <is>
          <t>UBER</t>
        </is>
      </c>
      <c r="M983" s="3">
        <f>IF(H983="Efectivo",IFERROR((VALUE(RIGHT(I983,4))-VALUE(RIGHT(E983,4)))*12+(VALUE(LEFT(I983,2))-VALUE(LEFT(E983,2))),""),"")</f>
        <v/>
      </c>
    </row>
    <row r="984">
      <c r="A984" t="inlineStr">
        <is>
          <t>REYES VEGA EDUARDO</t>
        </is>
      </c>
      <c r="B984" t="inlineStr">
        <is>
          <t>Hombre</t>
        </is>
      </c>
      <c r="C984" t="inlineStr">
        <is>
          <t>4083AF</t>
        </is>
      </c>
      <c r="D984" t="inlineStr">
        <is>
          <t>NUEVO LEON</t>
        </is>
      </c>
      <c r="E984" t="inlineStr">
        <is>
          <t>12-2024</t>
        </is>
      </c>
      <c r="F984" t="inlineStr">
        <is>
          <t>02-2026</t>
        </is>
      </c>
      <c r="G984" t="n">
        <v>14</v>
      </c>
      <c r="H984" t="inlineStr">
        <is>
          <t>Efectivo</t>
        </is>
      </c>
      <c r="I984" t="inlineStr">
        <is>
          <t>03-2026</t>
        </is>
      </c>
      <c r="J984" t="inlineStr">
        <is>
          <t>TFP416B</t>
        </is>
      </c>
      <c r="K984" t="inlineStr">
        <is>
          <t>CHEVROLET AVEO</t>
        </is>
      </c>
      <c r="L984" t="inlineStr">
        <is>
          <t>UBER</t>
        </is>
      </c>
      <c r="M984" s="3">
        <f>IF(H984="Efectivo",IFERROR((VALUE(RIGHT(I984,4))-VALUE(RIGHT(E984,4)))*12+(VALUE(LEFT(I984,2))-VALUE(LEFT(E984,2))),""),"")</f>
        <v/>
      </c>
    </row>
    <row r="985">
      <c r="A985" t="inlineStr">
        <is>
          <t>REYES VENEGAS JONATAN</t>
        </is>
      </c>
      <c r="B985" t="inlineStr">
        <is>
          <t>Hombre</t>
        </is>
      </c>
      <c r="C985" t="inlineStr">
        <is>
          <t>6632AF</t>
        </is>
      </c>
      <c r="D985" t="inlineStr">
        <is>
          <t>CDMX Y AREA METROPOLITANA</t>
        </is>
      </c>
      <c r="E985" t="inlineStr">
        <is>
          <t>12-2025</t>
        </is>
      </c>
      <c r="F985" t="inlineStr">
        <is>
          <t>04-2026</t>
        </is>
      </c>
      <c r="G985" t="n">
        <v>3</v>
      </c>
      <c r="H985" t="inlineStr">
        <is>
          <t>Pendiente</t>
        </is>
      </c>
      <c r="J985" t="inlineStr">
        <is>
          <t>62G291</t>
        </is>
      </c>
      <c r="K985" t="inlineStr">
        <is>
          <t>BYD E5</t>
        </is>
      </c>
      <c r="L985" t="inlineStr">
        <is>
          <t>UBER</t>
        </is>
      </c>
      <c r="M985" s="3">
        <f>IF(H985="Efectivo",IFERROR((VALUE(RIGHT(I985,4))-VALUE(RIGHT(E985,4)))*12+(VALUE(LEFT(I985,2))-VALUE(LEFT(E985,2))),""),"")</f>
        <v/>
      </c>
    </row>
    <row r="986">
      <c r="A986" t="inlineStr">
        <is>
          <t>REYNA GUZMAN CARLOS ARMANDO</t>
        </is>
      </c>
      <c r="B986" t="inlineStr">
        <is>
          <t>Hombre</t>
        </is>
      </c>
      <c r="C986" t="inlineStr">
        <is>
          <t>3662AF</t>
        </is>
      </c>
      <c r="D986" t="inlineStr">
        <is>
          <t>CDMX Y AREA METROPOLITANA</t>
        </is>
      </c>
      <c r="E986" t="inlineStr">
        <is>
          <t>08-2024</t>
        </is>
      </c>
      <c r="F986" t="inlineStr">
        <is>
          <t>07-2025</t>
        </is>
      </c>
      <c r="G986" t="n">
        <v>11</v>
      </c>
      <c r="H986" t="inlineStr">
        <is>
          <t>Efectivo</t>
        </is>
      </c>
      <c r="I986" t="inlineStr">
        <is>
          <t>08-2025</t>
        </is>
      </c>
      <c r="J986" t="inlineStr">
        <is>
          <t>89F973</t>
        </is>
      </c>
      <c r="K986" t="inlineStr">
        <is>
          <t>BYD D1</t>
        </is>
      </c>
      <c r="L986" t="inlineStr">
        <is>
          <t>DIDI</t>
        </is>
      </c>
      <c r="M986" s="3">
        <f>IF(H986="Efectivo",IFERROR((VALUE(RIGHT(I986,4))-VALUE(RIGHT(E986,4)))*12+(VALUE(LEFT(I986,2))-VALUE(LEFT(E986,2))),""),"")</f>
        <v/>
      </c>
    </row>
    <row r="987">
      <c r="A987" t="inlineStr">
        <is>
          <t>REYNOSO CASTRO ALFREDO GUADALUPE</t>
        </is>
      </c>
      <c r="B987" t="inlineStr">
        <is>
          <t>Hombre</t>
        </is>
      </c>
      <c r="C987" t="inlineStr">
        <is>
          <t>6630AF</t>
        </is>
      </c>
      <c r="D987" t="inlineStr">
        <is>
          <t>CDMX Y AREA METROPOLITANA</t>
        </is>
      </c>
      <c r="E987" t="inlineStr">
        <is>
          <t>12-2025</t>
        </is>
      </c>
      <c r="F987" t="inlineStr">
        <is>
          <t>05-2026</t>
        </is>
      </c>
      <c r="G987" t="n">
        <v>4</v>
      </c>
      <c r="H987" t="inlineStr">
        <is>
          <t>Efectivo</t>
        </is>
      </c>
      <c r="I987" t="inlineStr">
        <is>
          <t>05-2026</t>
        </is>
      </c>
      <c r="J987" t="inlineStr">
        <is>
          <t>62G321</t>
        </is>
      </c>
      <c r="K987" t="inlineStr">
        <is>
          <t>BYD E5</t>
        </is>
      </c>
      <c r="L987" t="inlineStr">
        <is>
          <t>UBER</t>
        </is>
      </c>
      <c r="M987" s="3">
        <f>IF(H987="Efectivo",IFERROR((VALUE(RIGHT(I987,4))-VALUE(RIGHT(E987,4)))*12+(VALUE(LEFT(I987,2))-VALUE(LEFT(E987,2))),""),"")</f>
        <v/>
      </c>
    </row>
    <row r="988">
      <c r="A988" t="inlineStr">
        <is>
          <t>REYNOSO RIVADENEYRA JORGE</t>
        </is>
      </c>
      <c r="B988" t="inlineStr">
        <is>
          <t>Hombre</t>
        </is>
      </c>
      <c r="C988" t="inlineStr">
        <is>
          <t>4006AF</t>
        </is>
      </c>
      <c r="D988" t="inlineStr">
        <is>
          <t>CDMX Y AREA METROPOLITANA</t>
        </is>
      </c>
      <c r="E988" t="inlineStr">
        <is>
          <t>11-2024</t>
        </is>
      </c>
      <c r="F988" t="inlineStr">
        <is>
          <t>06-2025</t>
        </is>
      </c>
      <c r="G988" t="n">
        <v>7</v>
      </c>
      <c r="H988" t="inlineStr">
        <is>
          <t>Efectivo</t>
        </is>
      </c>
      <c r="I988" t="inlineStr">
        <is>
          <t>07-2025</t>
        </is>
      </c>
      <c r="J988" t="inlineStr">
        <is>
          <t>E97BPT</t>
        </is>
      </c>
      <c r="K988" t="inlineStr">
        <is>
          <t>CHEVROLET AVEO</t>
        </is>
      </c>
      <c r="L988" t="inlineStr">
        <is>
          <t>UBER</t>
        </is>
      </c>
      <c r="M988" s="3">
        <f>IF(H988="Efectivo",IFERROR((VALUE(RIGHT(I988,4))-VALUE(RIGHT(E988,4)))*12+(VALUE(LEFT(I988,2))-VALUE(LEFT(E988,2))),""),"")</f>
        <v/>
      </c>
    </row>
    <row r="989">
      <c r="A989" t="inlineStr">
        <is>
          <t>RICARDO PLATON HIRAM ITZEN</t>
        </is>
      </c>
      <c r="B989" t="inlineStr">
        <is>
          <t>Hombre</t>
        </is>
      </c>
      <c r="C989" t="inlineStr">
        <is>
          <t>4936AF</t>
        </is>
      </c>
      <c r="D989" t="inlineStr">
        <is>
          <t>CDMX Y AREA METROPOLITANA</t>
        </is>
      </c>
      <c r="E989" t="inlineStr">
        <is>
          <t>05-2025</t>
        </is>
      </c>
      <c r="F989" t="inlineStr">
        <is>
          <t>08-2025</t>
        </is>
      </c>
      <c r="G989" t="n">
        <v>3</v>
      </c>
      <c r="H989" t="inlineStr">
        <is>
          <t>Efectivo</t>
        </is>
      </c>
      <c r="I989" t="inlineStr">
        <is>
          <t>08-2025</t>
        </is>
      </c>
      <c r="J989" t="inlineStr">
        <is>
          <t>50G973</t>
        </is>
      </c>
      <c r="K989" t="inlineStr">
        <is>
          <t>GAC AION S</t>
        </is>
      </c>
      <c r="L989" t="inlineStr">
        <is>
          <t>UBER</t>
        </is>
      </c>
      <c r="M989" s="3">
        <f>IF(H989="Efectivo",IFERROR((VALUE(RIGHT(I989,4))-VALUE(RIGHT(E989,4)))*12+(VALUE(LEFT(I989,2))-VALUE(LEFT(E989,2))),""),"")</f>
        <v/>
      </c>
    </row>
    <row r="990">
      <c r="A990" t="inlineStr">
        <is>
          <t>RICO OLVERA OSVALDO GUADALUPE</t>
        </is>
      </c>
      <c r="B990" t="inlineStr">
        <is>
          <t>Hombre</t>
        </is>
      </c>
      <c r="C990" t="inlineStr">
        <is>
          <t>3550AF</t>
        </is>
      </c>
      <c r="D990" t="inlineStr">
        <is>
          <t>JALISCO</t>
        </is>
      </c>
      <c r="E990" t="inlineStr">
        <is>
          <t>07-2024</t>
        </is>
      </c>
      <c r="F990" t="inlineStr">
        <is>
          <t>06-2025</t>
        </is>
      </c>
      <c r="G990" t="n">
        <v>10</v>
      </c>
      <c r="H990" t="inlineStr">
        <is>
          <t>Cancelado</t>
        </is>
      </c>
      <c r="J990" t="inlineStr">
        <is>
          <t>HWE176A</t>
        </is>
      </c>
      <c r="K990" t="inlineStr">
        <is>
          <t>CHEVROLET AVEO</t>
        </is>
      </c>
      <c r="L990" t="inlineStr">
        <is>
          <t>UBER</t>
        </is>
      </c>
      <c r="M990" s="3">
        <f>IF(H990="Efectivo",IFERROR((VALUE(RIGHT(I990,4))-VALUE(RIGHT(E990,4)))*12+(VALUE(LEFT(I990,2))-VALUE(LEFT(E990,2))),""),"")</f>
        <v/>
      </c>
    </row>
    <row r="991">
      <c r="A991" t="inlineStr">
        <is>
          <t>RINCON DE LA CRUZ ALEJANDRO</t>
        </is>
      </c>
      <c r="B991" t="inlineStr">
        <is>
          <t>Hombre</t>
        </is>
      </c>
      <c r="C991" t="inlineStr">
        <is>
          <t>4190AF</t>
        </is>
      </c>
      <c r="D991" t="inlineStr">
        <is>
          <t>CDMX Y AREA METROPOLITANA</t>
        </is>
      </c>
      <c r="E991" t="inlineStr">
        <is>
          <t>01-2025</t>
        </is>
      </c>
      <c r="F991" t="inlineStr">
        <is>
          <t>06-2025</t>
        </is>
      </c>
      <c r="G991" t="n">
        <v>5</v>
      </c>
      <c r="H991" t="inlineStr">
        <is>
          <t>Efectivo</t>
        </is>
      </c>
      <c r="I991" t="inlineStr">
        <is>
          <t>06-2025</t>
        </is>
      </c>
      <c r="J991" t="inlineStr">
        <is>
          <t>57F881</t>
        </is>
      </c>
      <c r="K991" t="inlineStr">
        <is>
          <t>GAC AION S</t>
        </is>
      </c>
      <c r="L991" t="inlineStr">
        <is>
          <t>DIDI</t>
        </is>
      </c>
      <c r="M991" s="3">
        <f>IF(H991="Efectivo",IFERROR((VALUE(RIGHT(I991,4))-VALUE(RIGHT(E991,4)))*12+(VALUE(LEFT(I991,2))-VALUE(LEFT(E991,2))),""),"")</f>
        <v/>
      </c>
    </row>
    <row r="992">
      <c r="A992" t="inlineStr">
        <is>
          <t>RIOS SUAREZ OSCAR ESTEBAN</t>
        </is>
      </c>
      <c r="B992" t="inlineStr">
        <is>
          <t>Hombre</t>
        </is>
      </c>
      <c r="C992" t="inlineStr">
        <is>
          <t>3803AF</t>
        </is>
      </c>
      <c r="D992" t="inlineStr">
        <is>
          <t>CDMX Y AREA METROPOLITANA</t>
        </is>
      </c>
      <c r="E992" t="inlineStr">
        <is>
          <t>09-2024</t>
        </is>
      </c>
      <c r="F992" t="inlineStr">
        <is>
          <t>06-2025</t>
        </is>
      </c>
      <c r="G992" t="n">
        <v>8</v>
      </c>
      <c r="H992" t="inlineStr">
        <is>
          <t>Efectivo</t>
        </is>
      </c>
      <c r="I992" t="inlineStr">
        <is>
          <t>06-2025</t>
        </is>
      </c>
      <c r="J992" t="inlineStr">
        <is>
          <t>08G151</t>
        </is>
      </c>
      <c r="K992" t="inlineStr">
        <is>
          <t>BYD D1</t>
        </is>
      </c>
      <c r="L992" t="inlineStr">
        <is>
          <t>DIDI</t>
        </is>
      </c>
      <c r="M992" s="3">
        <f>IF(H992="Efectivo",IFERROR((VALUE(RIGHT(I992,4))-VALUE(RIGHT(E992,4)))*12+(VALUE(LEFT(I992,2))-VALUE(LEFT(E992,2))),""),"")</f>
        <v/>
      </c>
    </row>
    <row r="993">
      <c r="A993" t="inlineStr">
        <is>
          <t>RIVAS MONTER JESUS BRYAN</t>
        </is>
      </c>
      <c r="B993" t="inlineStr">
        <is>
          <t>Hombre</t>
        </is>
      </c>
      <c r="C993" t="inlineStr">
        <is>
          <t>4969AF</t>
        </is>
      </c>
      <c r="D993" t="inlineStr">
        <is>
          <t>CDMX Y AREA METROPOLITANA</t>
        </is>
      </c>
      <c r="E993" t="inlineStr">
        <is>
          <t>05-2025</t>
        </is>
      </c>
      <c r="F993" t="inlineStr">
        <is>
          <t>12-2025</t>
        </is>
      </c>
      <c r="G993" t="n">
        <v>7</v>
      </c>
      <c r="H993" t="inlineStr">
        <is>
          <t>Efectivo</t>
        </is>
      </c>
      <c r="I993" t="inlineStr">
        <is>
          <t>01-2026</t>
        </is>
      </c>
      <c r="J993" t="inlineStr">
        <is>
          <t>41G615</t>
        </is>
      </c>
      <c r="K993" t="inlineStr">
        <is>
          <t>BYD MINIDOLPHIN</t>
        </is>
      </c>
      <c r="L993" t="inlineStr">
        <is>
          <t>UBER</t>
        </is>
      </c>
      <c r="M993" s="3">
        <f>IF(H993="Efectivo",IFERROR((VALUE(RIGHT(I993,4))-VALUE(RIGHT(E993,4)))*12+(VALUE(LEFT(I993,2))-VALUE(LEFT(E993,2))),""),"")</f>
        <v/>
      </c>
    </row>
    <row r="994">
      <c r="A994" t="inlineStr">
        <is>
          <t>RIVAS RIVAS MIGUEL ANGEL</t>
        </is>
      </c>
      <c r="B994" t="inlineStr">
        <is>
          <t>Hombre</t>
        </is>
      </c>
      <c r="C994" t="inlineStr">
        <is>
          <t>4958AF</t>
        </is>
      </c>
      <c r="D994" t="inlineStr">
        <is>
          <t>CDMX Y AREA METROPOLITANA</t>
        </is>
      </c>
      <c r="E994" t="inlineStr">
        <is>
          <t>05-2025</t>
        </is>
      </c>
      <c r="F994" t="inlineStr">
        <is>
          <t>03-2026</t>
        </is>
      </c>
      <c r="G994" t="n">
        <v>10</v>
      </c>
      <c r="H994" t="inlineStr">
        <is>
          <t>Cancelado</t>
        </is>
      </c>
      <c r="J994" t="inlineStr">
        <is>
          <t>41G620</t>
        </is>
      </c>
      <c r="K994" t="inlineStr">
        <is>
          <t>BYD MINIDOLPHIN</t>
        </is>
      </c>
      <c r="L994" t="inlineStr">
        <is>
          <t>UBER</t>
        </is>
      </c>
      <c r="M994" s="3">
        <f>IF(H994="Efectivo",IFERROR((VALUE(RIGHT(I994,4))-VALUE(RIGHT(E994,4)))*12+(VALUE(LEFT(I994,2))-VALUE(LEFT(E994,2))),""),"")</f>
        <v/>
      </c>
    </row>
    <row r="995">
      <c r="A995" t="inlineStr">
        <is>
          <t>RIVERA ATONDO RICARDO</t>
        </is>
      </c>
      <c r="B995" t="inlineStr">
        <is>
          <t>Hombre</t>
        </is>
      </c>
      <c r="C995" t="inlineStr">
        <is>
          <t>3713AF</t>
        </is>
      </c>
      <c r="D995" t="inlineStr">
        <is>
          <t>BAJA CALIFORNIA</t>
        </is>
      </c>
      <c r="E995" t="inlineStr">
        <is>
          <t>09-2024</t>
        </is>
      </c>
      <c r="F995" t="inlineStr">
        <is>
          <t>05-2025</t>
        </is>
      </c>
      <c r="G995" t="n">
        <v>8</v>
      </c>
      <c r="H995" t="inlineStr">
        <is>
          <t>Efectivo</t>
        </is>
      </c>
      <c r="I995" t="inlineStr">
        <is>
          <t>06-2025</t>
        </is>
      </c>
      <c r="J995" t="inlineStr">
        <is>
          <t>BSG143A</t>
        </is>
      </c>
      <c r="K995" t="inlineStr">
        <is>
          <t>CHEVROLET AVEO</t>
        </is>
      </c>
      <c r="L995" t="inlineStr">
        <is>
          <t>UBER</t>
        </is>
      </c>
      <c r="M995" s="3">
        <f>IF(H995="Efectivo",IFERROR((VALUE(RIGHT(I995,4))-VALUE(RIGHT(E995,4)))*12+(VALUE(LEFT(I995,2))-VALUE(LEFT(E995,2))),""),"")</f>
        <v/>
      </c>
    </row>
    <row r="996">
      <c r="A996" t="inlineStr">
        <is>
          <t>RIVERA BALDENEGRO BRYAN ALBERTO</t>
        </is>
      </c>
      <c r="B996" t="inlineStr">
        <is>
          <t>Hombre</t>
        </is>
      </c>
      <c r="C996" t="inlineStr">
        <is>
          <t>3605AF</t>
        </is>
      </c>
      <c r="D996" t="inlineStr">
        <is>
          <t>BAJA CALIFORNIA</t>
        </is>
      </c>
      <c r="E996" t="inlineStr">
        <is>
          <t>08-2024</t>
        </is>
      </c>
      <c r="F996" t="inlineStr">
        <is>
          <t>03-2025</t>
        </is>
      </c>
      <c r="G996" t="n">
        <v>7</v>
      </c>
      <c r="H996" t="inlineStr">
        <is>
          <t>Efectivo</t>
        </is>
      </c>
      <c r="I996" t="inlineStr">
        <is>
          <t>03-2025</t>
        </is>
      </c>
      <c r="J996" t="inlineStr">
        <is>
          <t>BRH515A</t>
        </is>
      </c>
      <c r="K996" t="inlineStr">
        <is>
          <t>CHEVROLET AVEO</t>
        </is>
      </c>
      <c r="L996" t="inlineStr">
        <is>
          <t>UBER</t>
        </is>
      </c>
      <c r="M996" s="3">
        <f>IF(H996="Efectivo",IFERROR((VALUE(RIGHT(I996,4))-VALUE(RIGHT(E996,4)))*12+(VALUE(LEFT(I996,2))-VALUE(LEFT(E996,2))),""),"")</f>
        <v/>
      </c>
    </row>
    <row r="997">
      <c r="A997" t="inlineStr">
        <is>
          <t>RIVERA GOMEZ ASTRO ROGELIO</t>
        </is>
      </c>
      <c r="B997" t="inlineStr">
        <is>
          <t>Hombre</t>
        </is>
      </c>
      <c r="C997" t="inlineStr">
        <is>
          <t>3798AF</t>
        </is>
      </c>
      <c r="D997" t="inlineStr">
        <is>
          <t>NUEVO LEON</t>
        </is>
      </c>
      <c r="E997" t="inlineStr">
        <is>
          <t>10-2024</t>
        </is>
      </c>
      <c r="F997" t="inlineStr">
        <is>
          <t>12-2025</t>
        </is>
      </c>
      <c r="G997" t="n">
        <v>15</v>
      </c>
      <c r="H997" t="inlineStr">
        <is>
          <t>Efectivo</t>
        </is>
      </c>
      <c r="I997" t="inlineStr">
        <is>
          <t>01-2026</t>
        </is>
      </c>
      <c r="J997" t="inlineStr">
        <is>
          <t>TFP410B</t>
        </is>
      </c>
      <c r="K997" t="inlineStr">
        <is>
          <t>CHEVROLET AVEO</t>
        </is>
      </c>
      <c r="L997" t="inlineStr">
        <is>
          <t>UBER</t>
        </is>
      </c>
      <c r="M997" s="3">
        <f>IF(H997="Efectivo",IFERROR((VALUE(RIGHT(I997,4))-VALUE(RIGHT(E997,4)))*12+(VALUE(LEFT(I997,2))-VALUE(LEFT(E997,2))),""),"")</f>
        <v/>
      </c>
    </row>
    <row r="998">
      <c r="A998" t="inlineStr">
        <is>
          <t>RIVERA LUJANO JORGE HUMBERTO</t>
        </is>
      </c>
      <c r="B998" t="inlineStr">
        <is>
          <t>Hombre</t>
        </is>
      </c>
      <c r="C998" t="inlineStr">
        <is>
          <t>4647AF</t>
        </is>
      </c>
      <c r="D998" t="inlineStr">
        <is>
          <t>CDMX Y AREA METROPOLITANA</t>
        </is>
      </c>
      <c r="E998" t="inlineStr">
        <is>
          <t>04-2025</t>
        </is>
      </c>
      <c r="F998" t="inlineStr">
        <is>
          <t>09-2025</t>
        </is>
      </c>
      <c r="G998" t="n">
        <v>5</v>
      </c>
      <c r="H998" t="inlineStr">
        <is>
          <t>Cancelado</t>
        </is>
      </c>
      <c r="J998" t="inlineStr">
        <is>
          <t>38G254</t>
        </is>
      </c>
      <c r="K998" t="inlineStr">
        <is>
          <t>GAC AION S</t>
        </is>
      </c>
      <c r="L998" t="inlineStr">
        <is>
          <t>UBER</t>
        </is>
      </c>
      <c r="M998" s="3">
        <f>IF(H998="Efectivo",IFERROR((VALUE(RIGHT(I998,4))-VALUE(RIGHT(E998,4)))*12+(VALUE(LEFT(I998,2))-VALUE(LEFT(E998,2))),""),"")</f>
        <v/>
      </c>
    </row>
    <row r="999">
      <c r="A999" t="inlineStr">
        <is>
          <t>RIVERA PATIÑO J FELIX</t>
        </is>
      </c>
      <c r="B999" t="inlineStr">
        <is>
          <t>Hombre</t>
        </is>
      </c>
      <c r="C999" t="inlineStr">
        <is>
          <t>3376AF</t>
        </is>
      </c>
      <c r="D999" t="inlineStr">
        <is>
          <t>JALISCO</t>
        </is>
      </c>
      <c r="E999" t="inlineStr">
        <is>
          <t>06-2024</t>
        </is>
      </c>
      <c r="F999" t="inlineStr">
        <is>
          <t>04-2025</t>
        </is>
      </c>
      <c r="G999" t="n">
        <v>10</v>
      </c>
      <c r="H999" t="inlineStr">
        <is>
          <t>Efectivo</t>
        </is>
      </c>
      <c r="I999" t="inlineStr">
        <is>
          <t>04-2025</t>
        </is>
      </c>
      <c r="J999" t="inlineStr">
        <is>
          <t>HWE179A</t>
        </is>
      </c>
      <c r="K999" t="inlineStr">
        <is>
          <t>CHEVROLET AVEO</t>
        </is>
      </c>
      <c r="L999" t="inlineStr">
        <is>
          <t>UBER</t>
        </is>
      </c>
      <c r="M999" s="3">
        <f>IF(H999="Efectivo",IFERROR((VALUE(RIGHT(I999,4))-VALUE(RIGHT(E999,4)))*12+(VALUE(LEFT(I999,2))-VALUE(LEFT(E999,2))),""),"")</f>
        <v/>
      </c>
    </row>
    <row r="1000">
      <c r="A1000" t="inlineStr">
        <is>
          <t>RIVERA REGINO JOSE IVAN</t>
        </is>
      </c>
      <c r="B1000" t="inlineStr">
        <is>
          <t>Hombre</t>
        </is>
      </c>
      <c r="C1000" t="inlineStr">
        <is>
          <t>5688AF</t>
        </is>
      </c>
      <c r="D1000" t="inlineStr">
        <is>
          <t>NUEVO LEON</t>
        </is>
      </c>
      <c r="E1000" t="inlineStr">
        <is>
          <t>09-2025</t>
        </is>
      </c>
      <c r="F1000" t="inlineStr">
        <is>
          <t>03-2026</t>
        </is>
      </c>
      <c r="G1000" t="n">
        <v>6</v>
      </c>
      <c r="H1000" t="inlineStr">
        <is>
          <t>Efectivo</t>
        </is>
      </c>
      <c r="I1000" t="inlineStr">
        <is>
          <t>03-2026</t>
        </is>
      </c>
      <c r="J1000" t="inlineStr">
        <is>
          <t>RXN887C</t>
        </is>
      </c>
      <c r="K1000" t="inlineStr">
        <is>
          <t>CHEVROLET AVEO</t>
        </is>
      </c>
      <c r="L1000" t="inlineStr">
        <is>
          <t>UBER</t>
        </is>
      </c>
      <c r="M1000" s="3">
        <f>IF(H1000="Efectivo",IFERROR((VALUE(RIGHT(I1000,4))-VALUE(RIGHT(E1000,4)))*12+(VALUE(LEFT(I1000,2))-VALUE(LEFT(E1000,2))),""),"")</f>
        <v/>
      </c>
    </row>
    <row r="1001">
      <c r="A1001" t="inlineStr">
        <is>
          <t>RIVERA VILLA JOSE DE JESUS</t>
        </is>
      </c>
      <c r="B1001" t="inlineStr">
        <is>
          <t>Hombre</t>
        </is>
      </c>
      <c r="C1001" t="inlineStr">
        <is>
          <t>2334AF</t>
        </is>
      </c>
      <c r="D1001" t="inlineStr">
        <is>
          <t>JALISCO</t>
        </is>
      </c>
      <c r="E1001" t="inlineStr">
        <is>
          <t>11-2022</t>
        </is>
      </c>
      <c r="F1001" t="inlineStr">
        <is>
          <t>01-2025</t>
        </is>
      </c>
      <c r="G1001" t="n">
        <v>26</v>
      </c>
      <c r="H1001" t="inlineStr">
        <is>
          <t>Efectivo</t>
        </is>
      </c>
      <c r="I1001" t="inlineStr">
        <is>
          <t>01-2025</t>
        </is>
      </c>
      <c r="J1001" t="inlineStr">
        <is>
          <t>JTK9302</t>
        </is>
      </c>
      <c r="K1001" t="inlineStr">
        <is>
          <t>ATTITUDE</t>
        </is>
      </c>
      <c r="L1001" t="inlineStr">
        <is>
          <t>UBER</t>
        </is>
      </c>
      <c r="M1001" s="3">
        <f>IF(H1001="Efectivo",IFERROR((VALUE(RIGHT(I1001,4))-VALUE(RIGHT(E1001,4)))*12+(VALUE(LEFT(I1001,2))-VALUE(LEFT(E1001,2))),""),"")</f>
        <v/>
      </c>
    </row>
    <row r="1002">
      <c r="A1002" t="inlineStr">
        <is>
          <t>RIVERO DELGADO GUILLERMO ISAHI</t>
        </is>
      </c>
      <c r="B1002" t="inlineStr">
        <is>
          <t>Hombre</t>
        </is>
      </c>
      <c r="C1002" t="inlineStr">
        <is>
          <t>4163AF</t>
        </is>
      </c>
      <c r="D1002" t="inlineStr">
        <is>
          <t>CDMX Y AREA METROPOLITANA</t>
        </is>
      </c>
      <c r="E1002" t="inlineStr">
        <is>
          <t>12-2024</t>
        </is>
      </c>
      <c r="F1002" t="inlineStr">
        <is>
          <t>06-2025</t>
        </is>
      </c>
      <c r="G1002" t="n">
        <v>6</v>
      </c>
      <c r="H1002" t="inlineStr">
        <is>
          <t>Efectivo</t>
        </is>
      </c>
      <c r="I1002" t="inlineStr">
        <is>
          <t>07-2025</t>
        </is>
      </c>
      <c r="J1002" t="inlineStr">
        <is>
          <t>19G343</t>
        </is>
      </c>
      <c r="K1002" t="inlineStr">
        <is>
          <t>BYD D1</t>
        </is>
      </c>
      <c r="L1002" t="inlineStr">
        <is>
          <t>UBER</t>
        </is>
      </c>
      <c r="M1002" s="3">
        <f>IF(H1002="Efectivo",IFERROR((VALUE(RIGHT(I1002,4))-VALUE(RIGHT(E1002,4)))*12+(VALUE(LEFT(I1002,2))-VALUE(LEFT(E1002,2))),""),"")</f>
        <v/>
      </c>
    </row>
    <row r="1003">
      <c r="A1003" t="inlineStr">
        <is>
          <t>ROBLEDO TELLO JESUS FRANCISCO</t>
        </is>
      </c>
      <c r="B1003" t="inlineStr">
        <is>
          <t>Hombre</t>
        </is>
      </c>
      <c r="C1003" t="inlineStr">
        <is>
          <t>3504AF</t>
        </is>
      </c>
      <c r="D1003" t="inlineStr">
        <is>
          <t>CDMX Y AREA METROPOLITANA</t>
        </is>
      </c>
      <c r="E1003" t="inlineStr">
        <is>
          <t>07-2024</t>
        </is>
      </c>
      <c r="F1003" t="inlineStr">
        <is>
          <t>04-2025</t>
        </is>
      </c>
      <c r="G1003" t="n">
        <v>9</v>
      </c>
      <c r="H1003" t="inlineStr">
        <is>
          <t>Efectivo</t>
        </is>
      </c>
      <c r="I1003" t="inlineStr">
        <is>
          <t>04-2025</t>
        </is>
      </c>
      <c r="J1003" t="inlineStr">
        <is>
          <t>89F716</t>
        </is>
      </c>
      <c r="K1003" t="inlineStr">
        <is>
          <t>BYD D1</t>
        </is>
      </c>
      <c r="L1003" t="inlineStr">
        <is>
          <t>UBER</t>
        </is>
      </c>
      <c r="M1003" s="3">
        <f>IF(H1003="Efectivo",IFERROR((VALUE(RIGHT(I1003,4))-VALUE(RIGHT(E1003,4)))*12+(VALUE(LEFT(I1003,2))-VALUE(LEFT(E1003,2))),""),"")</f>
        <v/>
      </c>
    </row>
    <row r="1004">
      <c r="A1004" t="inlineStr">
        <is>
          <t>ROBLERO VELAZQUEZ JUAN CARLOS</t>
        </is>
      </c>
      <c r="B1004" t="inlineStr">
        <is>
          <t>Hombre</t>
        </is>
      </c>
      <c r="C1004" t="inlineStr">
        <is>
          <t>2753AF</t>
        </is>
      </c>
      <c r="D1004" t="inlineStr">
        <is>
          <t>BAJA CALIFORNIA</t>
        </is>
      </c>
      <c r="E1004" t="inlineStr">
        <is>
          <t>09-2023</t>
        </is>
      </c>
      <c r="F1004" t="inlineStr">
        <is>
          <t>03-2025</t>
        </is>
      </c>
      <c r="G1004" t="n">
        <v>18</v>
      </c>
      <c r="H1004" t="inlineStr">
        <is>
          <t>Efectivo</t>
        </is>
      </c>
      <c r="I1004" t="inlineStr">
        <is>
          <t>03-2025</t>
        </is>
      </c>
      <c r="J1004" t="inlineStr">
        <is>
          <t>BJX360A</t>
        </is>
      </c>
      <c r="K1004" t="inlineStr">
        <is>
          <t>CHEVROLET AVEO</t>
        </is>
      </c>
      <c r="L1004" t="inlineStr">
        <is>
          <t>UBER</t>
        </is>
      </c>
      <c r="M1004" s="3">
        <f>IF(H1004="Efectivo",IFERROR((VALUE(RIGHT(I1004,4))-VALUE(RIGHT(E1004,4)))*12+(VALUE(LEFT(I1004,2))-VALUE(LEFT(E1004,2))),""),"")</f>
        <v/>
      </c>
    </row>
    <row r="1005">
      <c r="A1005" t="inlineStr">
        <is>
          <t>ROBLES ABONZA FEDERICO</t>
        </is>
      </c>
      <c r="B1005" t="inlineStr">
        <is>
          <t>Hombre</t>
        </is>
      </c>
      <c r="C1005" t="inlineStr">
        <is>
          <t>6368AF</t>
        </is>
      </c>
      <c r="D1005" t="inlineStr">
        <is>
          <t>CDMX Y AREA METROPOLITANA</t>
        </is>
      </c>
      <c r="E1005" t="inlineStr">
        <is>
          <t>11-2025</t>
        </is>
      </c>
      <c r="F1005" t="inlineStr">
        <is>
          <t>02-2026</t>
        </is>
      </c>
      <c r="G1005" t="n">
        <v>2</v>
      </c>
      <c r="H1005" t="inlineStr">
        <is>
          <t>Cancelado</t>
        </is>
      </c>
      <c r="J1005" t="inlineStr">
        <is>
          <t>62G288</t>
        </is>
      </c>
      <c r="K1005" t="inlineStr">
        <is>
          <t>BYD E5</t>
        </is>
      </c>
      <c r="L1005" t="inlineStr">
        <is>
          <t>UBER</t>
        </is>
      </c>
      <c r="M1005" s="3">
        <f>IF(H1005="Efectivo",IFERROR((VALUE(RIGHT(I1005,4))-VALUE(RIGHT(E1005,4)))*12+(VALUE(LEFT(I1005,2))-VALUE(LEFT(E1005,2))),""),"")</f>
        <v/>
      </c>
    </row>
    <row r="1006">
      <c r="A1006" t="inlineStr">
        <is>
          <t>ROBLES CISNEROS JUAN</t>
        </is>
      </c>
      <c r="B1006" t="inlineStr">
        <is>
          <t>Hombre</t>
        </is>
      </c>
      <c r="C1006" t="inlineStr">
        <is>
          <t>5430AF</t>
        </is>
      </c>
      <c r="D1006" t="inlineStr">
        <is>
          <t>NUEVO LEON</t>
        </is>
      </c>
      <c r="E1006" t="inlineStr">
        <is>
          <t>07-2025</t>
        </is>
      </c>
      <c r="F1006" t="inlineStr">
        <is>
          <t>09-2025</t>
        </is>
      </c>
      <c r="G1006" t="n">
        <v>2</v>
      </c>
      <c r="H1006" t="inlineStr">
        <is>
          <t>Efectivo</t>
        </is>
      </c>
      <c r="I1006" t="inlineStr">
        <is>
          <t>10-2025</t>
        </is>
      </c>
      <c r="J1006" t="inlineStr">
        <is>
          <t>RWG687C</t>
        </is>
      </c>
      <c r="K1006" t="inlineStr">
        <is>
          <t>TOYOTA AVANZA</t>
        </is>
      </c>
      <c r="L1006" t="inlineStr">
        <is>
          <t>DIDI</t>
        </is>
      </c>
      <c r="M1006" s="3">
        <f>IF(H1006="Efectivo",IFERROR((VALUE(RIGHT(I1006,4))-VALUE(RIGHT(E1006,4)))*12+(VALUE(LEFT(I1006,2))-VALUE(LEFT(E1006,2))),""),"")</f>
        <v/>
      </c>
    </row>
    <row r="1007">
      <c r="A1007" t="inlineStr">
        <is>
          <t>ROCHA . MICHAEL</t>
        </is>
      </c>
      <c r="B1007" t="inlineStr">
        <is>
          <t>Hombre</t>
        </is>
      </c>
      <c r="C1007" t="inlineStr">
        <is>
          <t>4100AF</t>
        </is>
      </c>
      <c r="D1007" t="inlineStr">
        <is>
          <t>CDMX Y AREA METROPOLITANA</t>
        </is>
      </c>
      <c r="E1007" t="inlineStr">
        <is>
          <t>12-2024</t>
        </is>
      </c>
      <c r="F1007" t="inlineStr">
        <is>
          <t>04-2025</t>
        </is>
      </c>
      <c r="G1007" t="n">
        <v>5</v>
      </c>
      <c r="H1007" t="inlineStr">
        <is>
          <t>Efectivo</t>
        </is>
      </c>
      <c r="I1007" t="inlineStr">
        <is>
          <t>05-2025</t>
        </is>
      </c>
      <c r="J1007" t="inlineStr">
        <is>
          <t>19G319</t>
        </is>
      </c>
      <c r="K1007" t="inlineStr">
        <is>
          <t>BYD D1</t>
        </is>
      </c>
      <c r="L1007" t="inlineStr">
        <is>
          <t>UBER</t>
        </is>
      </c>
      <c r="M1007" s="3">
        <f>IF(H1007="Efectivo",IFERROR((VALUE(RIGHT(I1007,4))-VALUE(RIGHT(E1007,4)))*12+(VALUE(LEFT(I1007,2))-VALUE(LEFT(E1007,2))),""),"")</f>
        <v/>
      </c>
    </row>
    <row r="1008">
      <c r="A1008" t="inlineStr">
        <is>
          <t>RODRIGUEZ ALVAREZ KEVIN EDUARDO</t>
        </is>
      </c>
      <c r="B1008" t="inlineStr">
        <is>
          <t>Hombre</t>
        </is>
      </c>
      <c r="C1008" t="inlineStr">
        <is>
          <t>4813AF</t>
        </is>
      </c>
      <c r="D1008" t="inlineStr">
        <is>
          <t>CDMX Y AREA METROPOLITANA</t>
        </is>
      </c>
      <c r="E1008" t="inlineStr">
        <is>
          <t>05-2025</t>
        </is>
      </c>
      <c r="F1008" t="inlineStr">
        <is>
          <t>05-2026</t>
        </is>
      </c>
      <c r="G1008" t="n">
        <v>12</v>
      </c>
      <c r="H1008" t="inlineStr">
        <is>
          <t>Efectivo</t>
        </is>
      </c>
      <c r="I1008" t="inlineStr">
        <is>
          <t>05-2026</t>
        </is>
      </c>
      <c r="J1008" t="inlineStr">
        <is>
          <t>41G608</t>
        </is>
      </c>
      <c r="K1008" t="inlineStr">
        <is>
          <t>BYD MINIDOLPHIN</t>
        </is>
      </c>
      <c r="L1008" t="inlineStr">
        <is>
          <t>DIDI</t>
        </is>
      </c>
      <c r="M1008" s="3">
        <f>IF(H1008="Efectivo",IFERROR((VALUE(RIGHT(I1008,4))-VALUE(RIGHT(E1008,4)))*12+(VALUE(LEFT(I1008,2))-VALUE(LEFT(E1008,2))),""),"")</f>
        <v/>
      </c>
    </row>
    <row r="1009">
      <c r="A1009" t="inlineStr">
        <is>
          <t>RODRIGUEZ CERVANTES ANGEL ISAAC</t>
        </is>
      </c>
      <c r="B1009" t="inlineStr">
        <is>
          <t>Hombre</t>
        </is>
      </c>
      <c r="C1009" t="inlineStr">
        <is>
          <t>3539AF</t>
        </is>
      </c>
      <c r="D1009" t="inlineStr">
        <is>
          <t>CDMX Y AREA METROPOLITANA</t>
        </is>
      </c>
      <c r="E1009" t="inlineStr">
        <is>
          <t>07-2024</t>
        </is>
      </c>
      <c r="F1009" t="inlineStr">
        <is>
          <t>02-2025</t>
        </is>
      </c>
      <c r="G1009" t="n">
        <v>7</v>
      </c>
      <c r="H1009" t="inlineStr">
        <is>
          <t>Efectivo</t>
        </is>
      </c>
      <c r="I1009" t="inlineStr">
        <is>
          <t>03-2025</t>
        </is>
      </c>
      <c r="J1009" t="inlineStr">
        <is>
          <t>89F772</t>
        </is>
      </c>
      <c r="K1009" t="inlineStr">
        <is>
          <t>BYD D1</t>
        </is>
      </c>
      <c r="L1009" t="inlineStr">
        <is>
          <t>UBER</t>
        </is>
      </c>
      <c r="M1009" s="3">
        <f>IF(H1009="Efectivo",IFERROR((VALUE(RIGHT(I1009,4))-VALUE(RIGHT(E1009,4)))*12+(VALUE(LEFT(I1009,2))-VALUE(LEFT(E1009,2))),""),"")</f>
        <v/>
      </c>
    </row>
    <row r="1010">
      <c r="A1010" t="inlineStr">
        <is>
          <t>RODRIGUEZ DE LA ROSA JOSE MIGUEL</t>
        </is>
      </c>
      <c r="B1010" t="inlineStr">
        <is>
          <t>Mujer</t>
        </is>
      </c>
      <c r="C1010" t="inlineStr">
        <is>
          <t>3263AF</t>
        </is>
      </c>
      <c r="D1010" t="inlineStr">
        <is>
          <t>JALISCO</t>
        </is>
      </c>
      <c r="E1010" t="inlineStr">
        <is>
          <t>05-2024</t>
        </is>
      </c>
      <c r="F1010" t="inlineStr">
        <is>
          <t>07-2025</t>
        </is>
      </c>
      <c r="G1010" t="n">
        <v>14</v>
      </c>
      <c r="H1010" t="inlineStr">
        <is>
          <t>Pendiente</t>
        </is>
      </c>
      <c r="J1010" t="inlineStr">
        <is>
          <t>HVM533A</t>
        </is>
      </c>
      <c r="K1010" t="inlineStr">
        <is>
          <t>CHEVROLET AVEO</t>
        </is>
      </c>
      <c r="L1010" t="inlineStr">
        <is>
          <t>UBER</t>
        </is>
      </c>
      <c r="M1010" s="3">
        <f>IF(H1010="Efectivo",IFERROR((VALUE(RIGHT(I1010,4))-VALUE(RIGHT(E1010,4)))*12+(VALUE(LEFT(I1010,2))-VALUE(LEFT(E1010,2))),""),"")</f>
        <v/>
      </c>
    </row>
    <row r="1011">
      <c r="A1011" t="inlineStr">
        <is>
          <t>RODRIGUEZ DIAZ AMERICO</t>
        </is>
      </c>
      <c r="B1011" t="inlineStr">
        <is>
          <t>Hombre</t>
        </is>
      </c>
      <c r="C1011" t="inlineStr">
        <is>
          <t>5578AF</t>
        </is>
      </c>
      <c r="D1011" t="inlineStr">
        <is>
          <t>NUEVO LEON</t>
        </is>
      </c>
      <c r="E1011" t="inlineStr">
        <is>
          <t>08-2025</t>
        </is>
      </c>
      <c r="F1011" t="inlineStr">
        <is>
          <t>12-2025</t>
        </is>
      </c>
      <c r="G1011" t="n">
        <v>4</v>
      </c>
      <c r="H1011" t="inlineStr">
        <is>
          <t>Cancelado</t>
        </is>
      </c>
      <c r="J1011" t="inlineStr">
        <is>
          <t>RWG694C</t>
        </is>
      </c>
      <c r="K1011" t="inlineStr">
        <is>
          <t>CHEVROLET AVEO</t>
        </is>
      </c>
      <c r="L1011" t="inlineStr">
        <is>
          <t>DIDI</t>
        </is>
      </c>
      <c r="M1011" s="3">
        <f>IF(H1011="Efectivo",IFERROR((VALUE(RIGHT(I1011,4))-VALUE(RIGHT(E1011,4)))*12+(VALUE(LEFT(I1011,2))-VALUE(LEFT(E1011,2))),""),"")</f>
        <v/>
      </c>
    </row>
    <row r="1012">
      <c r="A1012" t="inlineStr">
        <is>
          <t>RODRIGUEZ DIAZ AMERICO</t>
        </is>
      </c>
      <c r="B1012" t="inlineStr">
        <is>
          <t>Hombre</t>
        </is>
      </c>
      <c r="C1012" t="inlineStr">
        <is>
          <t>5578AF</t>
        </is>
      </c>
      <c r="D1012" t="inlineStr">
        <is>
          <t>NUEVO LEON</t>
        </is>
      </c>
      <c r="E1012" t="inlineStr">
        <is>
          <t>08-2025</t>
        </is>
      </c>
      <c r="F1012" t="inlineStr">
        <is>
          <t>02-2026</t>
        </is>
      </c>
      <c r="G1012" t="n">
        <v>5</v>
      </c>
      <c r="H1012" t="inlineStr">
        <is>
          <t>Efectivo</t>
        </is>
      </c>
      <c r="I1012" t="inlineStr">
        <is>
          <t>02-2026</t>
        </is>
      </c>
      <c r="J1012" t="inlineStr">
        <is>
          <t>RWG694C</t>
        </is>
      </c>
      <c r="K1012" t="inlineStr">
        <is>
          <t>CHEVROLET AVEO</t>
        </is>
      </c>
      <c r="L1012" t="inlineStr">
        <is>
          <t>DIDI</t>
        </is>
      </c>
      <c r="M1012" s="3">
        <f>IF(H1012="Efectivo",IFERROR((VALUE(RIGHT(I1012,4))-VALUE(RIGHT(E1012,4)))*12+(VALUE(LEFT(I1012,2))-VALUE(LEFT(E1012,2))),""),"")</f>
        <v/>
      </c>
    </row>
    <row r="1013">
      <c r="A1013" t="inlineStr">
        <is>
          <t>RODRIGUEZ DIAZ OSCAR</t>
        </is>
      </c>
      <c r="B1013" t="inlineStr">
        <is>
          <t>Hombre</t>
        </is>
      </c>
      <c r="C1013" t="inlineStr">
        <is>
          <t>4363AF</t>
        </is>
      </c>
      <c r="D1013" t="inlineStr">
        <is>
          <t>JALISCO</t>
        </is>
      </c>
      <c r="E1013" t="inlineStr">
        <is>
          <t>02-2025</t>
        </is>
      </c>
      <c r="F1013" t="inlineStr">
        <is>
          <t>11-2025</t>
        </is>
      </c>
      <c r="G1013" t="n">
        <v>8</v>
      </c>
      <c r="H1013" t="inlineStr">
        <is>
          <t>Cancelado</t>
        </is>
      </c>
      <c r="J1013" t="inlineStr">
        <is>
          <t>HZT602A</t>
        </is>
      </c>
      <c r="K1013" t="inlineStr">
        <is>
          <t>CHEVROLET AVEO</t>
        </is>
      </c>
      <c r="L1013" t="inlineStr">
        <is>
          <t>UBER</t>
        </is>
      </c>
      <c r="M1013" s="3">
        <f>IF(H1013="Efectivo",IFERROR((VALUE(RIGHT(I1013,4))-VALUE(RIGHT(E1013,4)))*12+(VALUE(LEFT(I1013,2))-VALUE(LEFT(E1013,2))),""),"")</f>
        <v/>
      </c>
    </row>
    <row r="1014">
      <c r="A1014" t="inlineStr">
        <is>
          <t>RODRIGUEZ ESTEBAN CRHISTIAN</t>
        </is>
      </c>
      <c r="B1014" t="inlineStr">
        <is>
          <t>Hombre</t>
        </is>
      </c>
      <c r="C1014" t="inlineStr">
        <is>
          <t>4583AF</t>
        </is>
      </c>
      <c r="D1014" t="inlineStr">
        <is>
          <t>CDMX Y AREA METROPOLITANA</t>
        </is>
      </c>
      <c r="E1014" t="inlineStr">
        <is>
          <t>04-2025</t>
        </is>
      </c>
      <c r="F1014" t="inlineStr">
        <is>
          <t>01-2026</t>
        </is>
      </c>
      <c r="G1014" t="n">
        <v>10</v>
      </c>
      <c r="H1014" t="inlineStr">
        <is>
          <t>Efectivo</t>
        </is>
      </c>
      <c r="I1014" t="inlineStr">
        <is>
          <t>01-2026</t>
        </is>
      </c>
      <c r="J1014" t="inlineStr">
        <is>
          <t>39G877</t>
        </is>
      </c>
      <c r="K1014" t="inlineStr">
        <is>
          <t>GAC AION S</t>
        </is>
      </c>
      <c r="L1014" t="inlineStr">
        <is>
          <t>UBER</t>
        </is>
      </c>
      <c r="M1014" s="3">
        <f>IF(H1014="Efectivo",IFERROR((VALUE(RIGHT(I1014,4))-VALUE(RIGHT(E1014,4)))*12+(VALUE(LEFT(I1014,2))-VALUE(LEFT(E1014,2))),""),"")</f>
        <v/>
      </c>
    </row>
    <row r="1015">
      <c r="A1015" t="inlineStr">
        <is>
          <t>RODRIGUEZ FLORES CARLOS FRANCISCO</t>
        </is>
      </c>
      <c r="B1015" t="inlineStr">
        <is>
          <t>Hombre</t>
        </is>
      </c>
      <c r="C1015" t="inlineStr">
        <is>
          <t>6086AF</t>
        </is>
      </c>
      <c r="D1015" t="inlineStr">
        <is>
          <t>CDMX Y AREA METROPOLITANA</t>
        </is>
      </c>
      <c r="E1015" t="inlineStr">
        <is>
          <t>10-2025</t>
        </is>
      </c>
      <c r="F1015" t="inlineStr">
        <is>
          <t>04-2026</t>
        </is>
      </c>
      <c r="G1015" t="n">
        <v>6</v>
      </c>
      <c r="H1015" t="inlineStr">
        <is>
          <t>Efectivo</t>
        </is>
      </c>
      <c r="I1015" t="inlineStr">
        <is>
          <t>04-2026</t>
        </is>
      </c>
      <c r="J1015" t="inlineStr">
        <is>
          <t>V93BSF</t>
        </is>
      </c>
      <c r="K1015" t="inlineStr">
        <is>
          <t>TOYOTA AVANZA</t>
        </is>
      </c>
      <c r="L1015" t="inlineStr">
        <is>
          <t>UBER</t>
        </is>
      </c>
      <c r="M1015" s="3">
        <f>IF(H1015="Efectivo",IFERROR((VALUE(RIGHT(I1015,4))-VALUE(RIGHT(E1015,4)))*12+(VALUE(LEFT(I1015,2))-VALUE(LEFT(E1015,2))),""),"")</f>
        <v/>
      </c>
    </row>
    <row r="1016">
      <c r="A1016" t="inlineStr">
        <is>
          <t>RODRIGUEZ GARCIA ABNER</t>
        </is>
      </c>
      <c r="B1016" t="inlineStr">
        <is>
          <t>Hombre</t>
        </is>
      </c>
      <c r="C1016" t="inlineStr">
        <is>
          <t>3381AF</t>
        </is>
      </c>
      <c r="D1016" t="inlineStr">
        <is>
          <t>CDMX Y AREA METROPOLITANA</t>
        </is>
      </c>
      <c r="E1016" t="inlineStr">
        <is>
          <t>06-2024</t>
        </is>
      </c>
      <c r="F1016" t="inlineStr">
        <is>
          <t>07-2025</t>
        </is>
      </c>
      <c r="G1016" t="n">
        <v>13</v>
      </c>
      <c r="H1016" t="inlineStr">
        <is>
          <t>Efectivo</t>
        </is>
      </c>
      <c r="I1016" t="inlineStr">
        <is>
          <t>08-2025</t>
        </is>
      </c>
      <c r="J1016" t="inlineStr">
        <is>
          <t>84F195</t>
        </is>
      </c>
      <c r="K1016" t="inlineStr">
        <is>
          <t>BYD D1</t>
        </is>
      </c>
      <c r="L1016" t="inlineStr">
        <is>
          <t>UBER</t>
        </is>
      </c>
      <c r="M1016" s="3">
        <f>IF(H1016="Efectivo",IFERROR((VALUE(RIGHT(I1016,4))-VALUE(RIGHT(E1016,4)))*12+(VALUE(LEFT(I1016,2))-VALUE(LEFT(E1016,2))),""),"")</f>
        <v/>
      </c>
    </row>
    <row r="1017">
      <c r="A1017" t="inlineStr">
        <is>
          <t>RODRIGUEZ GARCIA EDUARDO ANDRES</t>
        </is>
      </c>
      <c r="B1017" t="inlineStr">
        <is>
          <t>Hombre</t>
        </is>
      </c>
      <c r="C1017" t="inlineStr">
        <is>
          <t>4497AF</t>
        </is>
      </c>
      <c r="D1017" t="inlineStr">
        <is>
          <t>JALISCO</t>
        </is>
      </c>
      <c r="E1017" t="inlineStr">
        <is>
          <t>03-2025</t>
        </is>
      </c>
      <c r="F1017" t="inlineStr">
        <is>
          <t>12-2025</t>
        </is>
      </c>
      <c r="G1017" t="n">
        <v>9</v>
      </c>
      <c r="H1017" t="inlineStr">
        <is>
          <t>Efectivo</t>
        </is>
      </c>
      <c r="I1017" t="inlineStr">
        <is>
          <t>01-2026</t>
        </is>
      </c>
      <c r="J1017" t="inlineStr">
        <is>
          <t>HZT604A</t>
        </is>
      </c>
      <c r="K1017" t="inlineStr">
        <is>
          <t>CHEVROLET AVEO</t>
        </is>
      </c>
      <c r="L1017" t="inlineStr">
        <is>
          <t>UBER</t>
        </is>
      </c>
      <c r="M1017" s="3">
        <f>IF(H1017="Efectivo",IFERROR((VALUE(RIGHT(I1017,4))-VALUE(RIGHT(E1017,4)))*12+(VALUE(LEFT(I1017,2))-VALUE(LEFT(E1017,2))),""),"")</f>
        <v/>
      </c>
    </row>
    <row r="1018">
      <c r="A1018" t="inlineStr">
        <is>
          <t>RODRIGUEZ MEJIA JESUS</t>
        </is>
      </c>
      <c r="B1018" t="inlineStr">
        <is>
          <t>Hombre</t>
        </is>
      </c>
      <c r="C1018" t="inlineStr">
        <is>
          <t>4814AF</t>
        </is>
      </c>
      <c r="D1018" t="inlineStr">
        <is>
          <t>CDMX Y AREA METROPOLITANA</t>
        </is>
      </c>
      <c r="E1018" t="inlineStr">
        <is>
          <t>05-2025</t>
        </is>
      </c>
      <c r="F1018" t="inlineStr">
        <is>
          <t>04-2026</t>
        </is>
      </c>
      <c r="G1018" t="n">
        <v>11</v>
      </c>
      <c r="H1018" t="inlineStr">
        <is>
          <t>Efectivo</t>
        </is>
      </c>
      <c r="I1018" t="inlineStr">
        <is>
          <t>04-2026</t>
        </is>
      </c>
      <c r="J1018" t="inlineStr">
        <is>
          <t>41G629</t>
        </is>
      </c>
      <c r="K1018" t="inlineStr">
        <is>
          <t>BYD MINIDOLPHIN</t>
        </is>
      </c>
      <c r="L1018" t="inlineStr">
        <is>
          <t>UBER</t>
        </is>
      </c>
      <c r="M1018" s="3">
        <f>IF(H1018="Efectivo",IFERROR((VALUE(RIGHT(I1018,4))-VALUE(RIGHT(E1018,4)))*12+(VALUE(LEFT(I1018,2))-VALUE(LEFT(E1018,2))),""),"")</f>
        <v/>
      </c>
    </row>
    <row r="1019">
      <c r="A1019" t="inlineStr">
        <is>
          <t>RODRIGUEZ MUÑOZ ARTURO</t>
        </is>
      </c>
      <c r="B1019" t="inlineStr">
        <is>
          <t>Hombre</t>
        </is>
      </c>
      <c r="C1019" t="inlineStr">
        <is>
          <t>4073AF</t>
        </is>
      </c>
      <c r="D1019" t="inlineStr">
        <is>
          <t>CDMX Y AREA METROPOLITANA</t>
        </is>
      </c>
      <c r="E1019" t="inlineStr">
        <is>
          <t>12-2024</t>
        </is>
      </c>
      <c r="F1019" t="inlineStr">
        <is>
          <t>08-2025</t>
        </is>
      </c>
      <c r="G1019" t="n">
        <v>9</v>
      </c>
      <c r="H1019" t="inlineStr">
        <is>
          <t>Efectivo</t>
        </is>
      </c>
      <c r="I1019" t="inlineStr">
        <is>
          <t>08-2025</t>
        </is>
      </c>
      <c r="J1019" t="inlineStr">
        <is>
          <t>14G404</t>
        </is>
      </c>
      <c r="K1019" t="inlineStr">
        <is>
          <t>BYD D1</t>
        </is>
      </c>
      <c r="L1019" t="inlineStr">
        <is>
          <t>UBER</t>
        </is>
      </c>
      <c r="M1019" s="3">
        <f>IF(H1019="Efectivo",IFERROR((VALUE(RIGHT(I1019,4))-VALUE(RIGHT(E1019,4)))*12+(VALUE(LEFT(I1019,2))-VALUE(LEFT(E1019,2))),""),"")</f>
        <v/>
      </c>
    </row>
    <row r="1020">
      <c r="A1020" t="inlineStr">
        <is>
          <t>RODRIGUEZ MUÑOZ ARTURO</t>
        </is>
      </c>
      <c r="B1020" t="inlineStr">
        <is>
          <t>Hombre</t>
        </is>
      </c>
      <c r="C1020" t="inlineStr">
        <is>
          <t>4073AF</t>
        </is>
      </c>
      <c r="D1020" t="inlineStr">
        <is>
          <t>CDMX Y AREA METROPOLITANA</t>
        </is>
      </c>
      <c r="E1020" t="inlineStr">
        <is>
          <t>12-2024</t>
        </is>
      </c>
      <c r="F1020" t="inlineStr">
        <is>
          <t>03-2026</t>
        </is>
      </c>
      <c r="G1020" t="n">
        <v>16</v>
      </c>
      <c r="H1020" t="inlineStr">
        <is>
          <t>Efectivo</t>
        </is>
      </c>
      <c r="I1020" t="inlineStr">
        <is>
          <t>03-2026</t>
        </is>
      </c>
      <c r="J1020" t="inlineStr">
        <is>
          <t>14G404</t>
        </is>
      </c>
      <c r="K1020" t="inlineStr">
        <is>
          <t>BYD D1</t>
        </is>
      </c>
      <c r="L1020" t="inlineStr">
        <is>
          <t>UBER</t>
        </is>
      </c>
      <c r="M1020" s="3">
        <f>IF(H1020="Efectivo",IFERROR((VALUE(RIGHT(I1020,4))-VALUE(RIGHT(E1020,4)))*12+(VALUE(LEFT(I1020,2))-VALUE(LEFT(E1020,2))),""),"")</f>
        <v/>
      </c>
    </row>
    <row r="1021">
      <c r="A1021" t="inlineStr">
        <is>
          <t>RODRIGUEZ OLMOS OSCAR</t>
        </is>
      </c>
      <c r="B1021" t="inlineStr">
        <is>
          <t>Hombre</t>
        </is>
      </c>
      <c r="C1021" t="inlineStr">
        <is>
          <t>3580AF</t>
        </is>
      </c>
      <c r="D1021" t="inlineStr">
        <is>
          <t>CDMX Y AREA METROPOLITANA</t>
        </is>
      </c>
      <c r="E1021" t="inlineStr">
        <is>
          <t>08-2024</t>
        </is>
      </c>
      <c r="F1021" t="inlineStr">
        <is>
          <t>04-2025</t>
        </is>
      </c>
      <c r="G1021" t="n">
        <v>9</v>
      </c>
      <c r="H1021" t="inlineStr">
        <is>
          <t>Efectivo</t>
        </is>
      </c>
      <c r="I1021" t="inlineStr">
        <is>
          <t>05-2025</t>
        </is>
      </c>
      <c r="J1021" t="inlineStr">
        <is>
          <t>E59BPF</t>
        </is>
      </c>
      <c r="K1021" t="inlineStr">
        <is>
          <t>CHEVROLET AVEO</t>
        </is>
      </c>
      <c r="L1021" t="inlineStr">
        <is>
          <t>UBER</t>
        </is>
      </c>
      <c r="M1021" s="3">
        <f>IF(H1021="Efectivo",IFERROR((VALUE(RIGHT(I1021,4))-VALUE(RIGHT(E1021,4)))*12+(VALUE(LEFT(I1021,2))-VALUE(LEFT(E1021,2))),""),"")</f>
        <v/>
      </c>
    </row>
    <row r="1022">
      <c r="A1022" t="inlineStr">
        <is>
          <t>RODRIGUEZ OVANDO ARMANDO</t>
        </is>
      </c>
      <c r="B1022" t="inlineStr">
        <is>
          <t>Hombre</t>
        </is>
      </c>
      <c r="C1022" t="inlineStr">
        <is>
          <t>6338AF</t>
        </is>
      </c>
      <c r="D1022" t="inlineStr">
        <is>
          <t>CDMX Y AREA METROPOLITANA</t>
        </is>
      </c>
      <c r="E1022" t="inlineStr">
        <is>
          <t>11-2025</t>
        </is>
      </c>
      <c r="F1022" t="inlineStr">
        <is>
          <t>04-2026</t>
        </is>
      </c>
      <c r="G1022" t="n">
        <v>4</v>
      </c>
      <c r="H1022" t="inlineStr">
        <is>
          <t>Efectivo</t>
        </is>
      </c>
      <c r="I1022" t="inlineStr">
        <is>
          <t>04-2026</t>
        </is>
      </c>
      <c r="J1022" t="inlineStr">
        <is>
          <t>M30BSF</t>
        </is>
      </c>
      <c r="K1022" t="inlineStr">
        <is>
          <t>CHEVROLET AVEO</t>
        </is>
      </c>
      <c r="L1022" t="inlineStr">
        <is>
          <t>DIDI</t>
        </is>
      </c>
      <c r="M1022" s="3">
        <f>IF(H1022="Efectivo",IFERROR((VALUE(RIGHT(I1022,4))-VALUE(RIGHT(E1022,4)))*12+(VALUE(LEFT(I1022,2))-VALUE(LEFT(E1022,2))),""),"")</f>
        <v/>
      </c>
    </row>
    <row r="1023">
      <c r="A1023" t="inlineStr">
        <is>
          <t>RODRIGUEZ PARRA ISMAEL</t>
        </is>
      </c>
      <c r="B1023" t="inlineStr">
        <is>
          <t>Hombre</t>
        </is>
      </c>
      <c r="C1023" t="inlineStr">
        <is>
          <t>5075AF</t>
        </is>
      </c>
      <c r="D1023" t="inlineStr">
        <is>
          <t>CDMX Y AREA METROPOLITANA</t>
        </is>
      </c>
      <c r="E1023" t="inlineStr">
        <is>
          <t>06-2025</t>
        </is>
      </c>
      <c r="F1023" t="inlineStr">
        <is>
          <t>10-2025</t>
        </is>
      </c>
      <c r="G1023" t="n">
        <v>4</v>
      </c>
      <c r="H1023" t="inlineStr">
        <is>
          <t>Pendiente</t>
        </is>
      </c>
      <c r="J1023" t="inlineStr">
        <is>
          <t>47G995</t>
        </is>
      </c>
      <c r="K1023" t="inlineStr">
        <is>
          <t>BYD MINIDOLPHIN</t>
        </is>
      </c>
      <c r="L1023" t="inlineStr">
        <is>
          <t>UBER</t>
        </is>
      </c>
      <c r="M1023" s="3">
        <f>IF(H1023="Efectivo",IFERROR((VALUE(RIGHT(I1023,4))-VALUE(RIGHT(E1023,4)))*12+(VALUE(LEFT(I1023,2))-VALUE(LEFT(E1023,2))),""),"")</f>
        <v/>
      </c>
    </row>
    <row r="1024">
      <c r="A1024" t="inlineStr">
        <is>
          <t>RODRIGUEZ PEÑA MARIO</t>
        </is>
      </c>
      <c r="B1024" t="inlineStr">
        <is>
          <t>Hombre</t>
        </is>
      </c>
      <c r="C1024" t="inlineStr">
        <is>
          <t>4291AF</t>
        </is>
      </c>
      <c r="D1024" t="inlineStr">
        <is>
          <t>CDMX Y AREA METROPOLITANA</t>
        </is>
      </c>
      <c r="E1024" t="inlineStr">
        <is>
          <t>02-2025</t>
        </is>
      </c>
      <c r="F1024" t="inlineStr">
        <is>
          <t>04-2025</t>
        </is>
      </c>
      <c r="G1024" t="n">
        <v>2</v>
      </c>
      <c r="H1024" t="inlineStr">
        <is>
          <t>Efectivo</t>
        </is>
      </c>
      <c r="I1024" t="inlineStr">
        <is>
          <t>04-2025</t>
        </is>
      </c>
      <c r="J1024" t="inlineStr">
        <is>
          <t>31G411</t>
        </is>
      </c>
      <c r="K1024" t="inlineStr">
        <is>
          <t>GAC AION S</t>
        </is>
      </c>
      <c r="L1024" t="inlineStr">
        <is>
          <t>DIDI</t>
        </is>
      </c>
      <c r="M1024" s="3">
        <f>IF(H1024="Efectivo",IFERROR((VALUE(RIGHT(I1024,4))-VALUE(RIGHT(E1024,4)))*12+(VALUE(LEFT(I1024,2))-VALUE(LEFT(E1024,2))),""),"")</f>
        <v/>
      </c>
    </row>
    <row r="1025">
      <c r="A1025" t="inlineStr">
        <is>
          <t>RODRIGUEZ PEREZ DIEGO ENRIQUE</t>
        </is>
      </c>
      <c r="B1025" t="inlineStr">
        <is>
          <t>Hombre</t>
        </is>
      </c>
      <c r="C1025" t="inlineStr">
        <is>
          <t>4145AF</t>
        </is>
      </c>
      <c r="D1025" t="inlineStr">
        <is>
          <t>CDMX Y AREA METROPOLITANA</t>
        </is>
      </c>
      <c r="E1025" t="inlineStr">
        <is>
          <t>12-2024</t>
        </is>
      </c>
      <c r="F1025" t="inlineStr">
        <is>
          <t>03-2025</t>
        </is>
      </c>
      <c r="G1025" t="n">
        <v>3</v>
      </c>
      <c r="H1025" t="inlineStr">
        <is>
          <t>Efectivo</t>
        </is>
      </c>
      <c r="I1025" t="inlineStr">
        <is>
          <t>04-2025</t>
        </is>
      </c>
      <c r="J1025" t="inlineStr">
        <is>
          <t>19G363</t>
        </is>
      </c>
      <c r="K1025" t="inlineStr">
        <is>
          <t>BYD D1</t>
        </is>
      </c>
      <c r="L1025" t="inlineStr">
        <is>
          <t>UBER</t>
        </is>
      </c>
      <c r="M1025" s="3">
        <f>IF(H1025="Efectivo",IFERROR((VALUE(RIGHT(I1025,4))-VALUE(RIGHT(E1025,4)))*12+(VALUE(LEFT(I1025,2))-VALUE(LEFT(E1025,2))),""),"")</f>
        <v/>
      </c>
    </row>
    <row r="1026">
      <c r="A1026" t="inlineStr">
        <is>
          <t>RODRIGUEZ PEREZ JENARO</t>
        </is>
      </c>
      <c r="B1026" t="inlineStr">
        <is>
          <t>Hombre</t>
        </is>
      </c>
      <c r="C1026" t="inlineStr">
        <is>
          <t>4262AF</t>
        </is>
      </c>
      <c r="D1026" t="inlineStr">
        <is>
          <t>CDMX Y AREA METROPOLITANA</t>
        </is>
      </c>
      <c r="E1026" t="inlineStr">
        <is>
          <t>01-2025</t>
        </is>
      </c>
      <c r="F1026" t="inlineStr">
        <is>
          <t>11-2025</t>
        </is>
      </c>
      <c r="G1026" t="n">
        <v>10</v>
      </c>
      <c r="H1026" t="inlineStr">
        <is>
          <t>Cancelado</t>
        </is>
      </c>
      <c r="J1026" t="inlineStr">
        <is>
          <t>19G647</t>
        </is>
      </c>
      <c r="K1026" t="inlineStr">
        <is>
          <t>BYD D1</t>
        </is>
      </c>
      <c r="L1026" t="inlineStr">
        <is>
          <t>DIDI</t>
        </is>
      </c>
      <c r="M1026" s="3">
        <f>IF(H1026="Efectivo",IFERROR((VALUE(RIGHT(I1026,4))-VALUE(RIGHT(E1026,4)))*12+(VALUE(LEFT(I1026,2))-VALUE(LEFT(E1026,2))),""),"")</f>
        <v/>
      </c>
    </row>
    <row r="1027">
      <c r="A1027" t="inlineStr">
        <is>
          <t>RODRIGUEZ RAMIREZ JONATHAN</t>
        </is>
      </c>
      <c r="B1027" t="inlineStr">
        <is>
          <t>Hombre</t>
        </is>
      </c>
      <c r="C1027" t="inlineStr">
        <is>
          <t>4256AF</t>
        </is>
      </c>
      <c r="D1027" t="inlineStr">
        <is>
          <t>CDMX Y AREA METROPOLITANA</t>
        </is>
      </c>
      <c r="E1027" t="inlineStr">
        <is>
          <t>01-2025</t>
        </is>
      </c>
      <c r="F1027" t="inlineStr">
        <is>
          <t>09-2025</t>
        </is>
      </c>
      <c r="G1027" t="n">
        <v>8</v>
      </c>
      <c r="H1027" t="inlineStr">
        <is>
          <t>Pendiente</t>
        </is>
      </c>
      <c r="J1027" t="inlineStr">
        <is>
          <t>20G872</t>
        </is>
      </c>
      <c r="K1027" t="inlineStr">
        <is>
          <t>GAC AION S</t>
        </is>
      </c>
      <c r="L1027" t="inlineStr">
        <is>
          <t>UBER</t>
        </is>
      </c>
      <c r="M1027" s="3">
        <f>IF(H1027="Efectivo",IFERROR((VALUE(RIGHT(I1027,4))-VALUE(RIGHT(E1027,4)))*12+(VALUE(LEFT(I1027,2))-VALUE(LEFT(E1027,2))),""),"")</f>
        <v/>
      </c>
    </row>
    <row r="1028">
      <c r="A1028" t="inlineStr">
        <is>
          <t>RODRIGUEZ RAMIREZ OSVALDO</t>
        </is>
      </c>
      <c r="B1028" t="inlineStr">
        <is>
          <t>Hombre</t>
        </is>
      </c>
      <c r="C1028" t="inlineStr">
        <is>
          <t>5061AF</t>
        </is>
      </c>
      <c r="D1028" t="inlineStr">
        <is>
          <t>JALISCO</t>
        </is>
      </c>
      <c r="E1028" t="inlineStr">
        <is>
          <t>06-2025</t>
        </is>
      </c>
      <c r="F1028" t="inlineStr">
        <is>
          <t>02-2026</t>
        </is>
      </c>
      <c r="G1028" t="n">
        <v>8</v>
      </c>
      <c r="H1028" t="inlineStr">
        <is>
          <t>Efectivo</t>
        </is>
      </c>
      <c r="I1028" t="inlineStr">
        <is>
          <t>03-2026</t>
        </is>
      </c>
      <c r="J1028" t="inlineStr">
        <is>
          <t>HWE169A</t>
        </is>
      </c>
      <c r="K1028" t="inlineStr">
        <is>
          <t>CHEVROLET AVEO</t>
        </is>
      </c>
      <c r="L1028" t="inlineStr">
        <is>
          <t>UBER</t>
        </is>
      </c>
      <c r="M1028" s="3">
        <f>IF(H1028="Efectivo",IFERROR((VALUE(RIGHT(I1028,4))-VALUE(RIGHT(E1028,4)))*12+(VALUE(LEFT(I1028,2))-VALUE(LEFT(E1028,2))),""),"")</f>
        <v/>
      </c>
    </row>
    <row r="1029">
      <c r="A1029" t="inlineStr">
        <is>
          <t>RODRIGUEZ ROBLEDO HORACIO</t>
        </is>
      </c>
      <c r="B1029" t="inlineStr">
        <is>
          <t>Hombre</t>
        </is>
      </c>
      <c r="C1029" t="inlineStr">
        <is>
          <t>2654AF</t>
        </is>
      </c>
      <c r="D1029" t="inlineStr">
        <is>
          <t>CDMX Y AREA METROPOLITANA</t>
        </is>
      </c>
      <c r="E1029" t="inlineStr">
        <is>
          <t>07-2023</t>
        </is>
      </c>
      <c r="F1029" t="inlineStr">
        <is>
          <t>08-2025</t>
        </is>
      </c>
      <c r="G1029" t="n">
        <v>25</v>
      </c>
      <c r="H1029" t="inlineStr">
        <is>
          <t>Efectivo</t>
        </is>
      </c>
      <c r="I1029" t="inlineStr">
        <is>
          <t>09-2025</t>
        </is>
      </c>
      <c r="J1029" t="inlineStr">
        <is>
          <t>H85BMC</t>
        </is>
      </c>
      <c r="K1029" t="inlineStr">
        <is>
          <t>ATTITUDE</t>
        </is>
      </c>
      <c r="L1029" t="inlineStr">
        <is>
          <t>UBER</t>
        </is>
      </c>
      <c r="M1029" s="3">
        <f>IF(H1029="Efectivo",IFERROR((VALUE(RIGHT(I1029,4))-VALUE(RIGHT(E1029,4)))*12+(VALUE(LEFT(I1029,2))-VALUE(LEFT(E1029,2))),""),"")</f>
        <v/>
      </c>
    </row>
    <row r="1030">
      <c r="A1030" t="inlineStr">
        <is>
          <t>RODRIGUEZ RODRIGUEZ JUAN CARLOS</t>
        </is>
      </c>
      <c r="B1030" t="inlineStr">
        <is>
          <t>Hombre</t>
        </is>
      </c>
      <c r="C1030" t="inlineStr">
        <is>
          <t>6443AF</t>
        </is>
      </c>
      <c r="D1030" t="inlineStr">
        <is>
          <t>CDMX Y AREA METROPOLITANA</t>
        </is>
      </c>
      <c r="E1030" t="inlineStr">
        <is>
          <t>12-2025</t>
        </is>
      </c>
      <c r="F1030" t="inlineStr">
        <is>
          <t>02-2026</t>
        </is>
      </c>
      <c r="G1030" t="n">
        <v>2</v>
      </c>
      <c r="H1030" t="inlineStr">
        <is>
          <t>Efectivo</t>
        </is>
      </c>
      <c r="I1030" t="inlineStr">
        <is>
          <t>04-2026</t>
        </is>
      </c>
      <c r="J1030" t="inlineStr">
        <is>
          <t>62G306</t>
        </is>
      </c>
      <c r="K1030" t="inlineStr">
        <is>
          <t>BYD E5</t>
        </is>
      </c>
      <c r="L1030" t="inlineStr">
        <is>
          <t>UBER</t>
        </is>
      </c>
      <c r="M1030" s="3">
        <f>IF(H1030="Efectivo",IFERROR((VALUE(RIGHT(I1030,4))-VALUE(RIGHT(E1030,4)))*12+(VALUE(LEFT(I1030,2))-VALUE(LEFT(E1030,2))),""),"")</f>
        <v/>
      </c>
    </row>
    <row r="1031">
      <c r="A1031" t="inlineStr">
        <is>
          <t>RODRIGUEZ SALAZAR DAVID ANGEL</t>
        </is>
      </c>
      <c r="B1031" t="inlineStr">
        <is>
          <t>Hombre</t>
        </is>
      </c>
      <c r="C1031" t="inlineStr">
        <is>
          <t>4089AF</t>
        </is>
      </c>
      <c r="D1031" t="inlineStr">
        <is>
          <t>CDMX Y AREA METROPOLITANA</t>
        </is>
      </c>
      <c r="E1031" t="inlineStr">
        <is>
          <t>12-2024</t>
        </is>
      </c>
      <c r="F1031" t="inlineStr">
        <is>
          <t>06-2025</t>
        </is>
      </c>
      <c r="G1031" t="n">
        <v>7</v>
      </c>
      <c r="H1031" t="inlineStr">
        <is>
          <t>Efectivo</t>
        </is>
      </c>
      <c r="I1031" t="inlineStr">
        <is>
          <t>07-2025</t>
        </is>
      </c>
      <c r="J1031" t="inlineStr">
        <is>
          <t>14G396</t>
        </is>
      </c>
      <c r="K1031" t="inlineStr">
        <is>
          <t>BYD D1</t>
        </is>
      </c>
      <c r="L1031" t="inlineStr">
        <is>
          <t>DIDI</t>
        </is>
      </c>
      <c r="M1031" s="3">
        <f>IF(H1031="Efectivo",IFERROR((VALUE(RIGHT(I1031,4))-VALUE(RIGHT(E1031,4)))*12+(VALUE(LEFT(I1031,2))-VALUE(LEFT(E1031,2))),""),"")</f>
        <v/>
      </c>
    </row>
    <row r="1032">
      <c r="A1032" t="inlineStr">
        <is>
          <t>ROJAS ALVAREZ NAHUM</t>
        </is>
      </c>
      <c r="B1032" t="inlineStr">
        <is>
          <t>Hombre</t>
        </is>
      </c>
      <c r="C1032" t="inlineStr">
        <is>
          <t>6314AF</t>
        </is>
      </c>
      <c r="D1032" t="inlineStr">
        <is>
          <t>BAJA CALIFORNIA</t>
        </is>
      </c>
      <c r="E1032" t="inlineStr">
        <is>
          <t>11-2025</t>
        </is>
      </c>
      <c r="F1032" t="inlineStr">
        <is>
          <t>04-2026</t>
        </is>
      </c>
      <c r="G1032" t="n">
        <v>5</v>
      </c>
      <c r="H1032" t="inlineStr">
        <is>
          <t>Efectivo</t>
        </is>
      </c>
      <c r="I1032" t="inlineStr">
        <is>
          <t>04-2026</t>
        </is>
      </c>
      <c r="J1032" t="inlineStr">
        <is>
          <t>CAT838A</t>
        </is>
      </c>
      <c r="K1032" t="inlineStr">
        <is>
          <t>CHEVROLET AVEO</t>
        </is>
      </c>
      <c r="L1032" t="inlineStr">
        <is>
          <t>UBER</t>
        </is>
      </c>
      <c r="M1032" s="3">
        <f>IF(H1032="Efectivo",IFERROR((VALUE(RIGHT(I1032,4))-VALUE(RIGHT(E1032,4)))*12+(VALUE(LEFT(I1032,2))-VALUE(LEFT(E1032,2))),""),"")</f>
        <v/>
      </c>
    </row>
    <row r="1033">
      <c r="A1033" t="inlineStr">
        <is>
          <t>ROJAS ANDRADE GABRIEL</t>
        </is>
      </c>
      <c r="B1033" t="inlineStr">
        <is>
          <t>Hombre</t>
        </is>
      </c>
      <c r="C1033" t="inlineStr">
        <is>
          <t>3933AF</t>
        </is>
      </c>
      <c r="D1033" t="inlineStr">
        <is>
          <t>CDMX Y AREA METROPOLITANA</t>
        </is>
      </c>
      <c r="E1033" t="inlineStr">
        <is>
          <t>10-2024</t>
        </is>
      </c>
      <c r="F1033" t="inlineStr">
        <is>
          <t>04-2025</t>
        </is>
      </c>
      <c r="G1033" t="n">
        <v>6</v>
      </c>
      <c r="H1033" t="inlineStr">
        <is>
          <t>Efectivo</t>
        </is>
      </c>
      <c r="I1033" t="inlineStr">
        <is>
          <t>04-2025</t>
        </is>
      </c>
      <c r="J1033" t="inlineStr">
        <is>
          <t>13G840</t>
        </is>
      </c>
      <c r="K1033" t="inlineStr">
        <is>
          <t>BYD D1</t>
        </is>
      </c>
      <c r="L1033" t="inlineStr">
        <is>
          <t>DIDI</t>
        </is>
      </c>
      <c r="M1033" s="3">
        <f>IF(H1033="Efectivo",IFERROR((VALUE(RIGHT(I1033,4))-VALUE(RIGHT(E1033,4)))*12+(VALUE(LEFT(I1033,2))-VALUE(LEFT(E1033,2))),""),"")</f>
        <v/>
      </c>
    </row>
    <row r="1034">
      <c r="A1034" t="inlineStr">
        <is>
          <t>ROJAS CRUZ JULIO ALBERTO</t>
        </is>
      </c>
      <c r="B1034" t="inlineStr">
        <is>
          <t>Hombre</t>
        </is>
      </c>
      <c r="C1034" t="inlineStr">
        <is>
          <t>5225AF</t>
        </is>
      </c>
      <c r="D1034" t="inlineStr">
        <is>
          <t>CDMX Y AREA METROPOLITANA</t>
        </is>
      </c>
      <c r="E1034" t="inlineStr">
        <is>
          <t>07-2025</t>
        </is>
      </c>
      <c r="F1034" t="inlineStr">
        <is>
          <t>02-2026</t>
        </is>
      </c>
      <c r="G1034" t="n">
        <v>7</v>
      </c>
      <c r="H1034" t="inlineStr">
        <is>
          <t>Efectivo</t>
        </is>
      </c>
      <c r="I1034" t="inlineStr">
        <is>
          <t>02-2026</t>
        </is>
      </c>
      <c r="J1034" t="inlineStr">
        <is>
          <t>47G913</t>
        </is>
      </c>
      <c r="K1034" t="inlineStr">
        <is>
          <t>BYD MINIDOLPHIN</t>
        </is>
      </c>
      <c r="L1034" t="inlineStr">
        <is>
          <t>UBER</t>
        </is>
      </c>
      <c r="M1034" s="3">
        <f>IF(H1034="Efectivo",IFERROR((VALUE(RIGHT(I1034,4))-VALUE(RIGHT(E1034,4)))*12+(VALUE(LEFT(I1034,2))-VALUE(LEFT(E1034,2))),""),"")</f>
        <v/>
      </c>
    </row>
    <row r="1035">
      <c r="A1035" t="inlineStr">
        <is>
          <t>ROJAS DIAZ JOSE CARLOS</t>
        </is>
      </c>
      <c r="B1035" t="inlineStr">
        <is>
          <t>Hombre</t>
        </is>
      </c>
      <c r="C1035" t="inlineStr">
        <is>
          <t>6258AF</t>
        </is>
      </c>
      <c r="D1035" t="inlineStr">
        <is>
          <t>CDMX Y AREA METROPOLITANA</t>
        </is>
      </c>
      <c r="E1035" t="inlineStr">
        <is>
          <t>11-2025</t>
        </is>
      </c>
      <c r="F1035" t="inlineStr">
        <is>
          <t>01-2026</t>
        </is>
      </c>
      <c r="G1035" t="n">
        <v>2</v>
      </c>
      <c r="H1035" t="inlineStr">
        <is>
          <t>Efectivo</t>
        </is>
      </c>
      <c r="I1035" t="inlineStr">
        <is>
          <t>02-2026</t>
        </is>
      </c>
      <c r="J1035" t="inlineStr">
        <is>
          <t>M91BSF</t>
        </is>
      </c>
      <c r="K1035" t="inlineStr">
        <is>
          <t>CHEVROLET AVEO</t>
        </is>
      </c>
      <c r="L1035" t="inlineStr">
        <is>
          <t>UBER</t>
        </is>
      </c>
      <c r="M1035" s="3">
        <f>IF(H1035="Efectivo",IFERROR((VALUE(RIGHT(I1035,4))-VALUE(RIGHT(E1035,4)))*12+(VALUE(LEFT(I1035,2))-VALUE(LEFT(E1035,2))),""),"")</f>
        <v/>
      </c>
    </row>
    <row r="1036">
      <c r="A1036" t="inlineStr">
        <is>
          <t>ROJAS FLORES GUILLERMO</t>
        </is>
      </c>
      <c r="B1036" t="inlineStr">
        <is>
          <t>Hombre</t>
        </is>
      </c>
      <c r="C1036" t="inlineStr">
        <is>
          <t>4319AF</t>
        </is>
      </c>
      <c r="D1036" t="inlineStr">
        <is>
          <t>CDMX Y AREA METROPOLITANA</t>
        </is>
      </c>
      <c r="E1036" t="inlineStr">
        <is>
          <t>02-2025</t>
        </is>
      </c>
      <c r="F1036" t="inlineStr">
        <is>
          <t>11-2025</t>
        </is>
      </c>
      <c r="G1036" t="n">
        <v>9</v>
      </c>
      <c r="H1036" t="inlineStr">
        <is>
          <t>Pendiente</t>
        </is>
      </c>
      <c r="J1036" t="inlineStr">
        <is>
          <t>C25BRJ</t>
        </is>
      </c>
      <c r="K1036" t="inlineStr">
        <is>
          <t>CHEVROLET AVEO</t>
        </is>
      </c>
      <c r="L1036" t="inlineStr">
        <is>
          <t>UBER</t>
        </is>
      </c>
      <c r="M1036" s="3">
        <f>IF(H1036="Efectivo",IFERROR((VALUE(RIGHT(I1036,4))-VALUE(RIGHT(E1036,4)))*12+(VALUE(LEFT(I1036,2))-VALUE(LEFT(E1036,2))),""),"")</f>
        <v/>
      </c>
    </row>
    <row r="1037">
      <c r="A1037" t="inlineStr">
        <is>
          <t>ROJAS HERNANDEZ EDUARDO</t>
        </is>
      </c>
      <c r="B1037" t="inlineStr">
        <is>
          <t>Hombre</t>
        </is>
      </c>
      <c r="C1037" t="inlineStr">
        <is>
          <t>5153AF</t>
        </is>
      </c>
      <c r="D1037" t="inlineStr">
        <is>
          <t>CDMX Y AREA METROPOLITANA</t>
        </is>
      </c>
      <c r="E1037" t="inlineStr">
        <is>
          <t>06-2025</t>
        </is>
      </c>
      <c r="F1037" t="inlineStr">
        <is>
          <t>01-2026</t>
        </is>
      </c>
      <c r="G1037" t="n">
        <v>7</v>
      </c>
      <c r="H1037" t="inlineStr">
        <is>
          <t>Efectivo</t>
        </is>
      </c>
      <c r="I1037" t="inlineStr">
        <is>
          <t>03-2026</t>
        </is>
      </c>
      <c r="J1037" t="inlineStr">
        <is>
          <t>F18BRR</t>
        </is>
      </c>
      <c r="K1037" t="inlineStr">
        <is>
          <t>CHEVROLET AVEO</t>
        </is>
      </c>
      <c r="L1037" t="inlineStr">
        <is>
          <t>UBER</t>
        </is>
      </c>
      <c r="M1037" s="3">
        <f>IF(H1037="Efectivo",IFERROR((VALUE(RIGHT(I1037,4))-VALUE(RIGHT(E1037,4)))*12+(VALUE(LEFT(I1037,2))-VALUE(LEFT(E1037,2))),""),"")</f>
        <v/>
      </c>
    </row>
    <row r="1038">
      <c r="A1038" t="inlineStr">
        <is>
          <t>ROMERO ALVAREZ LUIS DANIEL</t>
        </is>
      </c>
      <c r="B1038" t="inlineStr">
        <is>
          <t>Hombre</t>
        </is>
      </c>
      <c r="C1038" t="inlineStr">
        <is>
          <t>5245AF</t>
        </is>
      </c>
      <c r="D1038" t="inlineStr">
        <is>
          <t>CDMX Y AREA METROPOLITANA</t>
        </is>
      </c>
      <c r="E1038" t="inlineStr">
        <is>
          <t>07-2025</t>
        </is>
      </c>
      <c r="F1038" t="inlineStr">
        <is>
          <t>05-2026</t>
        </is>
      </c>
      <c r="G1038" t="n">
        <v>10</v>
      </c>
      <c r="H1038" t="inlineStr">
        <is>
          <t>Pendiente</t>
        </is>
      </c>
      <c r="J1038" t="inlineStr">
        <is>
          <t>47G892</t>
        </is>
      </c>
      <c r="K1038" t="inlineStr">
        <is>
          <t>BYD MINIDOLPHIN</t>
        </is>
      </c>
      <c r="L1038" t="inlineStr">
        <is>
          <t>DIDI</t>
        </is>
      </c>
      <c r="M1038" s="3">
        <f>IF(H1038="Efectivo",IFERROR((VALUE(RIGHT(I1038,4))-VALUE(RIGHT(E1038,4)))*12+(VALUE(LEFT(I1038,2))-VALUE(LEFT(E1038,2))),""),"")</f>
        <v/>
      </c>
    </row>
    <row r="1039">
      <c r="A1039" t="inlineStr">
        <is>
          <t>ROMERO ARREDONDO MARCOS FRANCISCO</t>
        </is>
      </c>
      <c r="B1039" t="inlineStr">
        <is>
          <t>Hombre</t>
        </is>
      </c>
      <c r="C1039" t="inlineStr">
        <is>
          <t>5389AF</t>
        </is>
      </c>
      <c r="D1039" t="inlineStr">
        <is>
          <t>NUEVO LEON</t>
        </is>
      </c>
      <c r="E1039" t="inlineStr">
        <is>
          <t>07-2025</t>
        </is>
      </c>
      <c r="F1039" t="inlineStr">
        <is>
          <t>03-2026</t>
        </is>
      </c>
      <c r="G1039" t="n">
        <v>8</v>
      </c>
      <c r="H1039" t="inlineStr">
        <is>
          <t>Efectivo</t>
        </is>
      </c>
      <c r="I1039" t="inlineStr">
        <is>
          <t>04-2026</t>
        </is>
      </c>
      <c r="J1039" t="inlineStr">
        <is>
          <t>RWG691C</t>
        </is>
      </c>
      <c r="K1039" t="inlineStr">
        <is>
          <t>TOYOTA AVANZA</t>
        </is>
      </c>
      <c r="L1039" t="inlineStr">
        <is>
          <t>DIDI</t>
        </is>
      </c>
      <c r="M1039" s="3">
        <f>IF(H1039="Efectivo",IFERROR((VALUE(RIGHT(I1039,4))-VALUE(RIGHT(E1039,4)))*12+(VALUE(LEFT(I1039,2))-VALUE(LEFT(E1039,2))),""),"")</f>
        <v/>
      </c>
    </row>
    <row r="1040">
      <c r="A1040" t="inlineStr">
        <is>
          <t>ROMERO BENITEZ MIGUEL ANGEL</t>
        </is>
      </c>
      <c r="B1040" t="inlineStr">
        <is>
          <t>Hombre</t>
        </is>
      </c>
      <c r="C1040" t="inlineStr">
        <is>
          <t>5659AF</t>
        </is>
      </c>
      <c r="D1040" t="inlineStr">
        <is>
          <t>BAJA CALIFORNIA</t>
        </is>
      </c>
      <c r="E1040" t="inlineStr">
        <is>
          <t>09-2025</t>
        </is>
      </c>
      <c r="F1040" t="inlineStr">
        <is>
          <t>04-2026</t>
        </is>
      </c>
      <c r="G1040" t="n">
        <v>7</v>
      </c>
      <c r="H1040" t="inlineStr">
        <is>
          <t>Efectivo</t>
        </is>
      </c>
      <c r="I1040" t="inlineStr">
        <is>
          <t>04-2026</t>
        </is>
      </c>
      <c r="J1040" t="inlineStr">
        <is>
          <t>CAD045A</t>
        </is>
      </c>
      <c r="K1040" t="inlineStr">
        <is>
          <t>CHEVROLET AVEO</t>
        </is>
      </c>
      <c r="L1040" t="inlineStr">
        <is>
          <t>UBER</t>
        </is>
      </c>
      <c r="M1040" s="3">
        <f>IF(H1040="Efectivo",IFERROR((VALUE(RIGHT(I1040,4))-VALUE(RIGHT(E1040,4)))*12+(VALUE(LEFT(I1040,2))-VALUE(LEFT(E1040,2))),""),"")</f>
        <v/>
      </c>
    </row>
    <row r="1041">
      <c r="A1041" t="inlineStr">
        <is>
          <t>ROMERO CASTILLO ARMANDO</t>
        </is>
      </c>
      <c r="B1041" t="inlineStr">
        <is>
          <t>Hombre</t>
        </is>
      </c>
      <c r="C1041" t="inlineStr">
        <is>
          <t>3666AF</t>
        </is>
      </c>
      <c r="D1041" t="inlineStr">
        <is>
          <t>CDMX Y AREA METROPOLITANA</t>
        </is>
      </c>
      <c r="E1041" t="inlineStr">
        <is>
          <t>08-2024</t>
        </is>
      </c>
      <c r="F1041" t="inlineStr">
        <is>
          <t>06-2025</t>
        </is>
      </c>
      <c r="G1041" t="n">
        <v>9</v>
      </c>
      <c r="H1041" t="inlineStr">
        <is>
          <t>Efectivo</t>
        </is>
      </c>
      <c r="I1041" t="inlineStr">
        <is>
          <t>06-2025</t>
        </is>
      </c>
      <c r="J1041" t="inlineStr">
        <is>
          <t>89F851</t>
        </is>
      </c>
      <c r="K1041" t="inlineStr">
        <is>
          <t>BYD D1</t>
        </is>
      </c>
      <c r="L1041" t="inlineStr">
        <is>
          <t>DIDI</t>
        </is>
      </c>
      <c r="M1041" s="3">
        <f>IF(H1041="Efectivo",IFERROR((VALUE(RIGHT(I1041,4))-VALUE(RIGHT(E1041,4)))*12+(VALUE(LEFT(I1041,2))-VALUE(LEFT(E1041,2))),""),"")</f>
        <v/>
      </c>
    </row>
    <row r="1042">
      <c r="A1042" t="inlineStr">
        <is>
          <t>ROMERO GARCIA JOSE EDUARDO</t>
        </is>
      </c>
      <c r="B1042" t="inlineStr">
        <is>
          <t>Hombre</t>
        </is>
      </c>
      <c r="C1042" t="inlineStr">
        <is>
          <t>4322AF</t>
        </is>
      </c>
      <c r="D1042" t="inlineStr">
        <is>
          <t>JALISCO</t>
        </is>
      </c>
      <c r="E1042" t="inlineStr">
        <is>
          <t>02-2025</t>
        </is>
      </c>
      <c r="F1042" t="inlineStr">
        <is>
          <t>09-2025</t>
        </is>
      </c>
      <c r="G1042" t="n">
        <v>7</v>
      </c>
      <c r="H1042" t="inlineStr">
        <is>
          <t>Efectivo</t>
        </is>
      </c>
      <c r="I1042" t="inlineStr">
        <is>
          <t>09-2025</t>
        </is>
      </c>
      <c r="J1042" t="inlineStr">
        <is>
          <t>HZT597A</t>
        </is>
      </c>
      <c r="K1042" t="inlineStr">
        <is>
          <t>CHEVROLET AVEO</t>
        </is>
      </c>
      <c r="L1042" t="inlineStr">
        <is>
          <t>UBER</t>
        </is>
      </c>
      <c r="M1042" s="3">
        <f>IF(H1042="Efectivo",IFERROR((VALUE(RIGHT(I1042,4))-VALUE(RIGHT(E1042,4)))*12+(VALUE(LEFT(I1042,2))-VALUE(LEFT(E1042,2))),""),"")</f>
        <v/>
      </c>
    </row>
    <row r="1043">
      <c r="A1043" t="inlineStr">
        <is>
          <t>ROMERO GONZALEZ ENRIQUE</t>
        </is>
      </c>
      <c r="B1043" t="inlineStr">
        <is>
          <t>Hombre</t>
        </is>
      </c>
      <c r="C1043" t="inlineStr">
        <is>
          <t>5226AF</t>
        </is>
      </c>
      <c r="D1043" t="inlineStr">
        <is>
          <t>CDMX Y AREA METROPOLITANA</t>
        </is>
      </c>
      <c r="E1043" t="inlineStr">
        <is>
          <t>07-2025</t>
        </is>
      </c>
      <c r="F1043" t="inlineStr">
        <is>
          <t>02-2026</t>
        </is>
      </c>
      <c r="G1043" t="n">
        <v>7</v>
      </c>
      <c r="H1043" t="inlineStr">
        <is>
          <t>Efectivo</t>
        </is>
      </c>
      <c r="I1043" t="inlineStr">
        <is>
          <t>04-2026</t>
        </is>
      </c>
      <c r="J1043" t="inlineStr">
        <is>
          <t>47G778</t>
        </is>
      </c>
      <c r="K1043" t="inlineStr">
        <is>
          <t>BYD MINIDOLPHIN</t>
        </is>
      </c>
      <c r="L1043" t="inlineStr">
        <is>
          <t>UBER</t>
        </is>
      </c>
      <c r="M1043" s="3">
        <f>IF(H1043="Efectivo",IFERROR((VALUE(RIGHT(I1043,4))-VALUE(RIGHT(E1043,4)))*12+(VALUE(LEFT(I1043,2))-VALUE(LEFT(E1043,2))),""),"")</f>
        <v/>
      </c>
    </row>
    <row r="1044">
      <c r="A1044" t="inlineStr">
        <is>
          <t>ROMERO PETRICIOLET URIEL</t>
        </is>
      </c>
      <c r="B1044" t="inlineStr">
        <is>
          <t>Hombre</t>
        </is>
      </c>
      <c r="C1044" t="inlineStr">
        <is>
          <t>5273AF</t>
        </is>
      </c>
      <c r="D1044" t="inlineStr">
        <is>
          <t>CDMX Y AREA METROPOLITANA</t>
        </is>
      </c>
      <c r="E1044" t="inlineStr">
        <is>
          <t>07-2025</t>
        </is>
      </c>
      <c r="F1044" t="inlineStr">
        <is>
          <t>10-2025</t>
        </is>
      </c>
      <c r="G1044" t="n">
        <v>3</v>
      </c>
      <c r="H1044" t="inlineStr">
        <is>
          <t>Efectivo</t>
        </is>
      </c>
      <c r="I1044" t="inlineStr">
        <is>
          <t>03-2026</t>
        </is>
      </c>
      <c r="J1044" t="inlineStr">
        <is>
          <t>47G936</t>
        </is>
      </c>
      <c r="K1044" t="inlineStr">
        <is>
          <t>BYD MINIDOLPHIN</t>
        </is>
      </c>
      <c r="L1044" t="inlineStr">
        <is>
          <t>UBER</t>
        </is>
      </c>
      <c r="M1044" s="3">
        <f>IF(H1044="Efectivo",IFERROR((VALUE(RIGHT(I1044,4))-VALUE(RIGHT(E1044,4)))*12+(VALUE(LEFT(I1044,2))-VALUE(LEFT(E1044,2))),""),"")</f>
        <v/>
      </c>
    </row>
    <row r="1045">
      <c r="A1045" t="inlineStr">
        <is>
          <t>ROMERO SOLIS JORGE EDUARDO</t>
        </is>
      </c>
      <c r="B1045" t="inlineStr">
        <is>
          <t>Hombre</t>
        </is>
      </c>
      <c r="C1045" t="inlineStr">
        <is>
          <t>4042AF</t>
        </is>
      </c>
      <c r="D1045" t="inlineStr">
        <is>
          <t>CDMX Y AREA METROPOLITANA</t>
        </is>
      </c>
      <c r="E1045" t="inlineStr">
        <is>
          <t>11-2024</t>
        </is>
      </c>
      <c r="F1045" t="inlineStr">
        <is>
          <t>04-2025</t>
        </is>
      </c>
      <c r="G1045" t="n">
        <v>5</v>
      </c>
      <c r="H1045" t="inlineStr">
        <is>
          <t>Efectivo</t>
        </is>
      </c>
      <c r="I1045" t="inlineStr">
        <is>
          <t>05-2025</t>
        </is>
      </c>
      <c r="J1045" t="inlineStr">
        <is>
          <t>13G755</t>
        </is>
      </c>
      <c r="K1045" t="inlineStr">
        <is>
          <t>BYD D1</t>
        </is>
      </c>
      <c r="L1045" t="inlineStr">
        <is>
          <t>UBER</t>
        </is>
      </c>
      <c r="M1045" s="3">
        <f>IF(H1045="Efectivo",IFERROR((VALUE(RIGHT(I1045,4))-VALUE(RIGHT(E1045,4)))*12+(VALUE(LEFT(I1045,2))-VALUE(LEFT(E1045,2))),""),"")</f>
        <v/>
      </c>
    </row>
    <row r="1046">
      <c r="A1046" t="inlineStr">
        <is>
          <t>RONDERO GARCIA JORGE LUIS</t>
        </is>
      </c>
      <c r="B1046" t="inlineStr">
        <is>
          <t>Hombre</t>
        </is>
      </c>
      <c r="C1046" t="inlineStr">
        <is>
          <t>3552AF</t>
        </is>
      </c>
      <c r="D1046" t="inlineStr">
        <is>
          <t>BAJA CALIFORNIA</t>
        </is>
      </c>
      <c r="E1046" t="inlineStr">
        <is>
          <t>07-2024</t>
        </is>
      </c>
      <c r="F1046" t="inlineStr">
        <is>
          <t>02-2026</t>
        </is>
      </c>
      <c r="G1046" t="n">
        <v>18</v>
      </c>
      <c r="H1046" t="inlineStr">
        <is>
          <t>Efectivo</t>
        </is>
      </c>
      <c r="I1046" t="inlineStr">
        <is>
          <t>02-2026</t>
        </is>
      </c>
      <c r="J1046" t="inlineStr">
        <is>
          <t>BRH514A</t>
        </is>
      </c>
      <c r="K1046" t="inlineStr">
        <is>
          <t>CHEVROLET AVEO</t>
        </is>
      </c>
      <c r="L1046" t="inlineStr">
        <is>
          <t>UBER</t>
        </is>
      </c>
      <c r="M1046" s="3">
        <f>IF(H1046="Efectivo",IFERROR((VALUE(RIGHT(I1046,4))-VALUE(RIGHT(E1046,4)))*12+(VALUE(LEFT(I1046,2))-VALUE(LEFT(E1046,2))),""),"")</f>
        <v/>
      </c>
    </row>
    <row r="1047">
      <c r="A1047" t="inlineStr">
        <is>
          <t>RONQUILLO CASTILLO EDUARDO</t>
        </is>
      </c>
      <c r="B1047" t="inlineStr">
        <is>
          <t>Hombre</t>
        </is>
      </c>
      <c r="C1047" t="inlineStr">
        <is>
          <t>5597AF</t>
        </is>
      </c>
      <c r="D1047" t="inlineStr">
        <is>
          <t>CDMX Y AREA METROPOLITANA</t>
        </is>
      </c>
      <c r="E1047" t="inlineStr">
        <is>
          <t>08-2025</t>
        </is>
      </c>
      <c r="F1047" t="inlineStr">
        <is>
          <t>02-2026</t>
        </is>
      </c>
      <c r="G1047" t="n">
        <v>5</v>
      </c>
      <c r="H1047" t="inlineStr">
        <is>
          <t>Efectivo</t>
        </is>
      </c>
      <c r="I1047" t="inlineStr">
        <is>
          <t>04-2026</t>
        </is>
      </c>
      <c r="J1047" t="inlineStr">
        <is>
          <t>08K725</t>
        </is>
      </c>
      <c r="K1047" t="inlineStr">
        <is>
          <t>GAC AION S</t>
        </is>
      </c>
      <c r="L1047" t="inlineStr">
        <is>
          <t>UBER</t>
        </is>
      </c>
      <c r="M1047" s="3">
        <f>IF(H1047="Efectivo",IFERROR((VALUE(RIGHT(I1047,4))-VALUE(RIGHT(E1047,4)))*12+(VALUE(LEFT(I1047,2))-VALUE(LEFT(E1047,2))),""),"")</f>
        <v/>
      </c>
    </row>
    <row r="1048">
      <c r="A1048" t="inlineStr">
        <is>
          <t>ROSALES DE LA CRUZ IVAN</t>
        </is>
      </c>
      <c r="B1048" t="inlineStr">
        <is>
          <t>Hombre</t>
        </is>
      </c>
      <c r="C1048" t="inlineStr">
        <is>
          <t>5267AF</t>
        </is>
      </c>
      <c r="D1048" t="inlineStr">
        <is>
          <t>CDMX Y AREA METROPOLITANA</t>
        </is>
      </c>
      <c r="E1048" t="inlineStr">
        <is>
          <t>07-2025</t>
        </is>
      </c>
      <c r="F1048" t="inlineStr">
        <is>
          <t>04-2026</t>
        </is>
      </c>
      <c r="G1048" t="n">
        <v>9</v>
      </c>
      <c r="H1048" t="inlineStr">
        <is>
          <t>Efectivo</t>
        </is>
      </c>
      <c r="I1048" t="inlineStr">
        <is>
          <t>04-2026</t>
        </is>
      </c>
      <c r="J1048" t="inlineStr">
        <is>
          <t>43G947</t>
        </is>
      </c>
      <c r="K1048" t="inlineStr">
        <is>
          <t>GAC AION S</t>
        </is>
      </c>
      <c r="L1048" t="inlineStr">
        <is>
          <t>UBER</t>
        </is>
      </c>
      <c r="M1048" s="3">
        <f>IF(H1048="Efectivo",IFERROR((VALUE(RIGHT(I1048,4))-VALUE(RIGHT(E1048,4)))*12+(VALUE(LEFT(I1048,2))-VALUE(LEFT(E1048,2))),""),"")</f>
        <v/>
      </c>
    </row>
    <row r="1049">
      <c r="A1049" t="inlineStr">
        <is>
          <t>ROSALES SALDAÑA CARLOS CHRISTIAN</t>
        </is>
      </c>
      <c r="B1049" t="inlineStr">
        <is>
          <t>Hombre</t>
        </is>
      </c>
      <c r="C1049" t="inlineStr">
        <is>
          <t>4839AF</t>
        </is>
      </c>
      <c r="D1049" t="inlineStr">
        <is>
          <t>CDMX Y AREA METROPOLITANA</t>
        </is>
      </c>
      <c r="E1049" t="inlineStr">
        <is>
          <t>05-2025</t>
        </is>
      </c>
      <c r="F1049" t="inlineStr">
        <is>
          <t>05-2026</t>
        </is>
      </c>
      <c r="G1049" t="n">
        <v>12</v>
      </c>
      <c r="H1049" t="inlineStr">
        <is>
          <t>Pendiente</t>
        </is>
      </c>
      <c r="J1049" t="inlineStr">
        <is>
          <t>D20BRR</t>
        </is>
      </c>
      <c r="K1049" t="inlineStr">
        <is>
          <t>CHEVROLET AVEO</t>
        </is>
      </c>
      <c r="L1049" t="inlineStr">
        <is>
          <t>DIDI</t>
        </is>
      </c>
      <c r="M1049" s="3">
        <f>IF(H1049="Efectivo",IFERROR((VALUE(RIGHT(I1049,4))-VALUE(RIGHT(E1049,4)))*12+(VALUE(LEFT(I1049,2))-VALUE(LEFT(E1049,2))),""),"")</f>
        <v/>
      </c>
    </row>
    <row r="1050">
      <c r="A1050" t="inlineStr">
        <is>
          <t>RUIZ HERNANDEZ EMMANUEL</t>
        </is>
      </c>
      <c r="B1050" t="inlineStr">
        <is>
          <t>Hombre</t>
        </is>
      </c>
      <c r="C1050" t="inlineStr">
        <is>
          <t>5227AF</t>
        </is>
      </c>
      <c r="D1050" t="inlineStr">
        <is>
          <t>CDMX Y AREA METROPOLITANA</t>
        </is>
      </c>
      <c r="E1050" t="inlineStr">
        <is>
          <t>07-2025</t>
        </is>
      </c>
      <c r="F1050" t="inlineStr">
        <is>
          <t>12-2025</t>
        </is>
      </c>
      <c r="G1050" t="n">
        <v>5</v>
      </c>
      <c r="H1050" t="inlineStr">
        <is>
          <t>Efectivo</t>
        </is>
      </c>
      <c r="I1050" t="inlineStr">
        <is>
          <t>01-2026</t>
        </is>
      </c>
      <c r="J1050" t="inlineStr">
        <is>
          <t>47G837</t>
        </is>
      </c>
      <c r="K1050" t="inlineStr">
        <is>
          <t>BYD MINIDOLPHIN</t>
        </is>
      </c>
      <c r="L1050" t="inlineStr">
        <is>
          <t>UBER</t>
        </is>
      </c>
      <c r="M1050" s="3">
        <f>IF(H1050="Efectivo",IFERROR((VALUE(RIGHT(I1050,4))-VALUE(RIGHT(E1050,4)))*12+(VALUE(LEFT(I1050,2))-VALUE(LEFT(E1050,2))),""),"")</f>
        <v/>
      </c>
    </row>
    <row r="1051">
      <c r="A1051" t="inlineStr">
        <is>
          <t>RUIZ JUACHE RAUL ALFREDO</t>
        </is>
      </c>
      <c r="B1051" t="inlineStr">
        <is>
          <t>Hombre</t>
        </is>
      </c>
      <c r="C1051" t="inlineStr">
        <is>
          <t>2388AF</t>
        </is>
      </c>
      <c r="D1051" t="inlineStr">
        <is>
          <t>CDMX Y AREA METROPOLITANA</t>
        </is>
      </c>
      <c r="E1051" t="inlineStr">
        <is>
          <t>12-2022</t>
        </is>
      </c>
      <c r="F1051" t="inlineStr">
        <is>
          <t>04-2025</t>
        </is>
      </c>
      <c r="G1051" t="n">
        <v>29</v>
      </c>
      <c r="H1051" t="inlineStr">
        <is>
          <t>Efectivo</t>
        </is>
      </c>
      <c r="I1051" t="inlineStr">
        <is>
          <t>05-2025</t>
        </is>
      </c>
      <c r="J1051" t="inlineStr">
        <is>
          <t>U66BMZ</t>
        </is>
      </c>
      <c r="K1051" t="inlineStr">
        <is>
          <t>IGNIS</t>
        </is>
      </c>
      <c r="L1051" t="inlineStr">
        <is>
          <t>UBER</t>
        </is>
      </c>
      <c r="M1051" s="3">
        <f>IF(H1051="Efectivo",IFERROR((VALUE(RIGHT(I1051,4))-VALUE(RIGHT(E1051,4)))*12+(VALUE(LEFT(I1051,2))-VALUE(LEFT(E1051,2))),""),"")</f>
        <v/>
      </c>
    </row>
    <row r="1052">
      <c r="A1052" t="inlineStr">
        <is>
          <t>RUIZ MARTINEZ CHRISTIAN ELHJAER</t>
        </is>
      </c>
      <c r="B1052" t="inlineStr">
        <is>
          <t>Hombre</t>
        </is>
      </c>
      <c r="C1052" t="inlineStr">
        <is>
          <t>5971AF</t>
        </is>
      </c>
      <c r="D1052" t="inlineStr">
        <is>
          <t>CDMX Y AREA METROPOLITANA</t>
        </is>
      </c>
      <c r="E1052" t="inlineStr">
        <is>
          <t>10-2025</t>
        </is>
      </c>
      <c r="F1052" t="inlineStr">
        <is>
          <t>03-2026</t>
        </is>
      </c>
      <c r="G1052" t="n">
        <v>5</v>
      </c>
      <c r="H1052" t="inlineStr">
        <is>
          <t>Efectivo</t>
        </is>
      </c>
      <c r="I1052" t="inlineStr">
        <is>
          <t>03-2026</t>
        </is>
      </c>
      <c r="J1052" t="inlineStr">
        <is>
          <t>51G593</t>
        </is>
      </c>
      <c r="K1052" t="inlineStr">
        <is>
          <t>GAC AION S</t>
        </is>
      </c>
      <c r="L1052" t="inlineStr">
        <is>
          <t>UBER</t>
        </is>
      </c>
      <c r="M1052" s="3">
        <f>IF(H1052="Efectivo",IFERROR((VALUE(RIGHT(I1052,4))-VALUE(RIGHT(E1052,4)))*12+(VALUE(LEFT(I1052,2))-VALUE(LEFT(E1052,2))),""),"")</f>
        <v/>
      </c>
    </row>
    <row r="1053">
      <c r="A1053" t="inlineStr">
        <is>
          <t>RUIZ VALDEZ ESMERALDA</t>
        </is>
      </c>
      <c r="B1053" t="inlineStr">
        <is>
          <t>Mujer</t>
        </is>
      </c>
      <c r="C1053" t="inlineStr">
        <is>
          <t>5978AF</t>
        </is>
      </c>
      <c r="D1053" t="inlineStr">
        <is>
          <t>NUEVO LEON</t>
        </is>
      </c>
      <c r="E1053" t="inlineStr">
        <is>
          <t>03-2025</t>
        </is>
      </c>
      <c r="F1053" t="inlineStr">
        <is>
          <t>05-2026</t>
        </is>
      </c>
      <c r="G1053" t="n">
        <v>14</v>
      </c>
      <c r="H1053" t="inlineStr">
        <is>
          <t>Pendiente</t>
        </is>
      </c>
      <c r="J1053" t="inlineStr">
        <is>
          <t>RXW067C</t>
        </is>
      </c>
      <c r="K1053" t="inlineStr">
        <is>
          <t>CHEVROLET AVEO</t>
        </is>
      </c>
      <c r="L1053" t="inlineStr">
        <is>
          <t>DIDI</t>
        </is>
      </c>
      <c r="M1053" s="3">
        <f>IF(H1053="Efectivo",IFERROR((VALUE(RIGHT(I1053,4))-VALUE(RIGHT(E1053,4)))*12+(VALUE(LEFT(I1053,2))-VALUE(LEFT(E1053,2))),""),"")</f>
        <v/>
      </c>
    </row>
    <row r="1054">
      <c r="A1054" t="inlineStr">
        <is>
          <t>RUIZ ZUÑIGA RAYMUNDO ELIMELEC</t>
        </is>
      </c>
      <c r="B1054" t="inlineStr">
        <is>
          <t>Hombre</t>
        </is>
      </c>
      <c r="C1054" t="inlineStr">
        <is>
          <t>4543AF</t>
        </is>
      </c>
      <c r="D1054" t="inlineStr">
        <is>
          <t>CDMX Y AREA METROPOLITANA</t>
        </is>
      </c>
      <c r="E1054" t="inlineStr">
        <is>
          <t>03-2025</t>
        </is>
      </c>
      <c r="F1054" t="inlineStr">
        <is>
          <t>07-2025</t>
        </is>
      </c>
      <c r="G1054" t="n">
        <v>3</v>
      </c>
      <c r="H1054" t="inlineStr">
        <is>
          <t>Efectivo</t>
        </is>
      </c>
      <c r="I1054" t="inlineStr">
        <is>
          <t>07-2025</t>
        </is>
      </c>
      <c r="J1054" t="inlineStr">
        <is>
          <t>39G795</t>
        </is>
      </c>
      <c r="K1054" t="inlineStr">
        <is>
          <t>GAC AION S</t>
        </is>
      </c>
      <c r="L1054" t="inlineStr">
        <is>
          <t>UBER</t>
        </is>
      </c>
      <c r="M1054" s="3">
        <f>IF(H1054="Efectivo",IFERROR((VALUE(RIGHT(I1054,4))-VALUE(RIGHT(E1054,4)))*12+(VALUE(LEFT(I1054,2))-VALUE(LEFT(E1054,2))),""),"")</f>
        <v/>
      </c>
    </row>
    <row r="1055">
      <c r="A1055" t="inlineStr">
        <is>
          <t>SAAVEDRA GALLARDO JUAN GUILLERMO</t>
        </is>
      </c>
      <c r="B1055" t="inlineStr">
        <is>
          <t>Hombre</t>
        </is>
      </c>
      <c r="C1055" t="inlineStr">
        <is>
          <t>4069AF</t>
        </is>
      </c>
      <c r="D1055" t="inlineStr">
        <is>
          <t>CDMX Y AREA METROPOLITANA</t>
        </is>
      </c>
      <c r="E1055" t="inlineStr">
        <is>
          <t>12-2024</t>
        </is>
      </c>
      <c r="F1055" t="inlineStr">
        <is>
          <t>07-2025</t>
        </is>
      </c>
      <c r="G1055" t="n">
        <v>7</v>
      </c>
      <c r="H1055" t="inlineStr">
        <is>
          <t>Efectivo</t>
        </is>
      </c>
      <c r="I1055" t="inlineStr">
        <is>
          <t>07-2025</t>
        </is>
      </c>
      <c r="J1055" t="inlineStr">
        <is>
          <t>14G487</t>
        </is>
      </c>
      <c r="K1055" t="inlineStr">
        <is>
          <t>BYD D1</t>
        </is>
      </c>
      <c r="L1055" t="inlineStr">
        <is>
          <t>UBER</t>
        </is>
      </c>
      <c r="M1055" s="3">
        <f>IF(H1055="Efectivo",IFERROR((VALUE(RIGHT(I1055,4))-VALUE(RIGHT(E1055,4)))*12+(VALUE(LEFT(I1055,2))-VALUE(LEFT(E1055,2))),""),"")</f>
        <v/>
      </c>
    </row>
    <row r="1056">
      <c r="A1056" t="inlineStr">
        <is>
          <t>SAAVEDRA LOPEZ RAMON</t>
        </is>
      </c>
      <c r="B1056" t="inlineStr">
        <is>
          <t>Hombre</t>
        </is>
      </c>
      <c r="C1056" t="inlineStr">
        <is>
          <t>3134AF</t>
        </is>
      </c>
      <c r="D1056" t="inlineStr">
        <is>
          <t>BAJA CALIFORNIA</t>
        </is>
      </c>
      <c r="E1056" t="inlineStr">
        <is>
          <t>03-2024</t>
        </is>
      </c>
      <c r="F1056" t="inlineStr">
        <is>
          <t>06-2025</t>
        </is>
      </c>
      <c r="G1056" t="n">
        <v>14</v>
      </c>
      <c r="H1056" t="inlineStr">
        <is>
          <t>Efectivo</t>
        </is>
      </c>
      <c r="I1056" t="inlineStr">
        <is>
          <t>06-2025</t>
        </is>
      </c>
      <c r="J1056" t="inlineStr">
        <is>
          <t>BML834A</t>
        </is>
      </c>
      <c r="K1056" t="inlineStr">
        <is>
          <t>CHEVROLET AVEO</t>
        </is>
      </c>
      <c r="L1056" t="inlineStr">
        <is>
          <t>UBER</t>
        </is>
      </c>
      <c r="M1056" s="3">
        <f>IF(H1056="Efectivo",IFERROR((VALUE(RIGHT(I1056,4))-VALUE(RIGHT(E1056,4)))*12+(VALUE(LEFT(I1056,2))-VALUE(LEFT(E1056,2))),""),"")</f>
        <v/>
      </c>
    </row>
    <row r="1057">
      <c r="A1057" t="inlineStr">
        <is>
          <t>SAAVEDRA SANCHEZ LEANDRO</t>
        </is>
      </c>
      <c r="B1057" t="inlineStr">
        <is>
          <t>Hombre</t>
        </is>
      </c>
      <c r="C1057" t="inlineStr">
        <is>
          <t>4358AF</t>
        </is>
      </c>
      <c r="D1057" t="inlineStr">
        <is>
          <t>CDMX Y AREA METROPOLITANA</t>
        </is>
      </c>
      <c r="E1057" t="inlineStr">
        <is>
          <t>02-2025</t>
        </is>
      </c>
      <c r="F1057" t="inlineStr">
        <is>
          <t>06-2025</t>
        </is>
      </c>
      <c r="G1057" t="n">
        <v>3</v>
      </c>
      <c r="H1057" t="inlineStr">
        <is>
          <t>Efectivo</t>
        </is>
      </c>
      <c r="I1057" t="inlineStr">
        <is>
          <t>06-2025</t>
        </is>
      </c>
      <c r="J1057" t="inlineStr">
        <is>
          <t>31G610</t>
        </is>
      </c>
      <c r="K1057" t="inlineStr">
        <is>
          <t>GAC AION S</t>
        </is>
      </c>
      <c r="L1057" t="inlineStr">
        <is>
          <t>UBER</t>
        </is>
      </c>
      <c r="M1057" s="3">
        <f>IF(H1057="Efectivo",IFERROR((VALUE(RIGHT(I1057,4))-VALUE(RIGHT(E1057,4)))*12+(VALUE(LEFT(I1057,2))-VALUE(LEFT(E1057,2))),""),"")</f>
        <v/>
      </c>
    </row>
    <row r="1058">
      <c r="A1058" t="inlineStr">
        <is>
          <t>SAAVEDRA VELASCO FIDEL ENRIQUE</t>
        </is>
      </c>
      <c r="B1058" t="inlineStr">
        <is>
          <t>Hombre</t>
        </is>
      </c>
      <c r="C1058" t="inlineStr">
        <is>
          <t>4624AF</t>
        </is>
      </c>
      <c r="D1058" t="inlineStr">
        <is>
          <t>CDMX Y AREA METROPOLITANA</t>
        </is>
      </c>
      <c r="E1058" t="inlineStr">
        <is>
          <t>04-2025</t>
        </is>
      </c>
      <c r="F1058" t="inlineStr">
        <is>
          <t>11-2025</t>
        </is>
      </c>
      <c r="G1058" t="n">
        <v>7</v>
      </c>
      <c r="H1058" t="inlineStr">
        <is>
          <t>Efectivo</t>
        </is>
      </c>
      <c r="I1058" t="inlineStr">
        <is>
          <t>11-2025</t>
        </is>
      </c>
      <c r="J1058" t="inlineStr">
        <is>
          <t>38G221</t>
        </is>
      </c>
      <c r="K1058" t="inlineStr">
        <is>
          <t>GAC AION S</t>
        </is>
      </c>
      <c r="L1058" t="inlineStr">
        <is>
          <t>DIDI</t>
        </is>
      </c>
      <c r="M1058" s="3">
        <f>IF(H1058="Efectivo",IFERROR((VALUE(RIGHT(I1058,4))-VALUE(RIGHT(E1058,4)))*12+(VALUE(LEFT(I1058,2))-VALUE(LEFT(E1058,2))),""),"")</f>
        <v/>
      </c>
    </row>
    <row r="1059">
      <c r="A1059" t="inlineStr">
        <is>
          <t>SAITO VINAGRE LUIS ENRIQUE</t>
        </is>
      </c>
      <c r="B1059" t="inlineStr">
        <is>
          <t>Hombre</t>
        </is>
      </c>
      <c r="C1059" t="inlineStr">
        <is>
          <t>4111AF</t>
        </is>
      </c>
      <c r="D1059" t="inlineStr">
        <is>
          <t>NUEVO LEON</t>
        </is>
      </c>
      <c r="E1059" t="inlineStr">
        <is>
          <t>12-2024</t>
        </is>
      </c>
      <c r="F1059" t="inlineStr">
        <is>
          <t>09-2025</t>
        </is>
      </c>
      <c r="G1059" t="n">
        <v>9</v>
      </c>
      <c r="H1059" t="inlineStr">
        <is>
          <t>Efectivo</t>
        </is>
      </c>
      <c r="I1059" t="inlineStr">
        <is>
          <t>10-2025</t>
        </is>
      </c>
      <c r="J1059" t="inlineStr">
        <is>
          <t>TFP428B</t>
        </is>
      </c>
      <c r="K1059" t="inlineStr">
        <is>
          <t>CHEVROLET AVEO</t>
        </is>
      </c>
      <c r="L1059" t="inlineStr">
        <is>
          <t>UBER</t>
        </is>
      </c>
      <c r="M1059" s="3">
        <f>IF(H1059="Efectivo",IFERROR((VALUE(RIGHT(I1059,4))-VALUE(RIGHT(E1059,4)))*12+(VALUE(LEFT(I1059,2))-VALUE(LEFT(E1059,2))),""),"")</f>
        <v/>
      </c>
    </row>
    <row r="1060">
      <c r="A1060" t="inlineStr">
        <is>
          <t>SALAS ESCOBEDO YAIR BRIAN</t>
        </is>
      </c>
      <c r="B1060" t="inlineStr">
        <is>
          <t>Hombre</t>
        </is>
      </c>
      <c r="C1060" t="inlineStr">
        <is>
          <t>6198AF</t>
        </is>
      </c>
      <c r="D1060" t="inlineStr">
        <is>
          <t>CDMX Y AREA METROPOLITANA</t>
        </is>
      </c>
      <c r="E1060" t="inlineStr">
        <is>
          <t>11-2025</t>
        </is>
      </c>
      <c r="F1060" t="inlineStr">
        <is>
          <t>04-2026</t>
        </is>
      </c>
      <c r="G1060" t="n">
        <v>5</v>
      </c>
      <c r="H1060" t="inlineStr">
        <is>
          <t>Efectivo</t>
        </is>
      </c>
      <c r="I1060" t="inlineStr">
        <is>
          <t>04-2026</t>
        </is>
      </c>
      <c r="J1060" t="inlineStr">
        <is>
          <t>15K063</t>
        </is>
      </c>
      <c r="K1060" t="inlineStr">
        <is>
          <t>BYD MINIDOLPHIN</t>
        </is>
      </c>
      <c r="L1060" t="inlineStr">
        <is>
          <t>UBER</t>
        </is>
      </c>
      <c r="M1060" s="3">
        <f>IF(H1060="Efectivo",IFERROR((VALUE(RIGHT(I1060,4))-VALUE(RIGHT(E1060,4)))*12+(VALUE(LEFT(I1060,2))-VALUE(LEFT(E1060,2))),""),"")</f>
        <v/>
      </c>
    </row>
    <row r="1061">
      <c r="A1061" t="inlineStr">
        <is>
          <t>SALAS HERNANDEZ TOMAS</t>
        </is>
      </c>
      <c r="B1061" t="inlineStr">
        <is>
          <t>Hombre</t>
        </is>
      </c>
      <c r="C1061" t="inlineStr">
        <is>
          <t>4094AF</t>
        </is>
      </c>
      <c r="D1061" t="inlineStr">
        <is>
          <t>CDMX Y AREA METROPOLITANA</t>
        </is>
      </c>
      <c r="E1061" t="inlineStr">
        <is>
          <t>12-2024</t>
        </is>
      </c>
      <c r="F1061" t="inlineStr">
        <is>
          <t>04-2026</t>
        </is>
      </c>
      <c r="G1061" t="n">
        <v>16</v>
      </c>
      <c r="H1061" t="inlineStr">
        <is>
          <t>Efectivo</t>
        </is>
      </c>
      <c r="I1061" t="inlineStr">
        <is>
          <t>04-2026</t>
        </is>
      </c>
      <c r="J1061" t="inlineStr">
        <is>
          <t>14G476</t>
        </is>
      </c>
      <c r="K1061" t="inlineStr">
        <is>
          <t>BYD D1</t>
        </is>
      </c>
      <c r="L1061" t="inlineStr">
        <is>
          <t>UBER</t>
        </is>
      </c>
      <c r="M1061" s="3">
        <f>IF(H1061="Efectivo",IFERROR((VALUE(RIGHT(I1061,4))-VALUE(RIGHT(E1061,4)))*12+(VALUE(LEFT(I1061,2))-VALUE(LEFT(E1061,2))),""),"")</f>
        <v/>
      </c>
    </row>
    <row r="1062">
      <c r="A1062" t="inlineStr">
        <is>
          <t>SALAS POSADAS ROBERTO</t>
        </is>
      </c>
      <c r="B1062" t="inlineStr">
        <is>
          <t>Hombre</t>
        </is>
      </c>
      <c r="C1062" t="inlineStr">
        <is>
          <t>3667AF</t>
        </is>
      </c>
      <c r="D1062" t="inlineStr">
        <is>
          <t>CDMX Y AREA METROPOLITANA</t>
        </is>
      </c>
      <c r="E1062" t="inlineStr">
        <is>
          <t>08-2024</t>
        </is>
      </c>
      <c r="F1062" t="inlineStr">
        <is>
          <t>05-2026</t>
        </is>
      </c>
      <c r="G1062" t="n">
        <v>20</v>
      </c>
      <c r="H1062" t="inlineStr">
        <is>
          <t>Cancelado</t>
        </is>
      </c>
      <c r="J1062" t="inlineStr">
        <is>
          <t>89F854</t>
        </is>
      </c>
      <c r="K1062" t="inlineStr">
        <is>
          <t>BYD D1</t>
        </is>
      </c>
      <c r="L1062" t="inlineStr">
        <is>
          <t>DIDI</t>
        </is>
      </c>
      <c r="M1062" s="3">
        <f>IF(H1062="Efectivo",IFERROR((VALUE(RIGHT(I1062,4))-VALUE(RIGHT(E1062,4)))*12+(VALUE(LEFT(I1062,2))-VALUE(LEFT(E1062,2))),""),"")</f>
        <v/>
      </c>
    </row>
    <row r="1063">
      <c r="A1063" t="inlineStr">
        <is>
          <t>SALAS RAMOS ROBERTO</t>
        </is>
      </c>
      <c r="B1063" t="inlineStr">
        <is>
          <t>Hombre</t>
        </is>
      </c>
      <c r="C1063" t="inlineStr">
        <is>
          <t>2978AF</t>
        </is>
      </c>
      <c r="D1063" t="inlineStr">
        <is>
          <t>CDMX Y AREA METROPOLITANA</t>
        </is>
      </c>
      <c r="E1063" t="inlineStr">
        <is>
          <t>01-2024</t>
        </is>
      </c>
      <c r="F1063" t="inlineStr">
        <is>
          <t>04-2026</t>
        </is>
      </c>
      <c r="G1063" t="n">
        <v>27</v>
      </c>
      <c r="H1063" t="inlineStr">
        <is>
          <t>Pendiente</t>
        </is>
      </c>
      <c r="J1063" t="inlineStr">
        <is>
          <t>72F001</t>
        </is>
      </c>
      <c r="K1063" t="inlineStr">
        <is>
          <t>BYD D1</t>
        </is>
      </c>
      <c r="L1063" t="inlineStr">
        <is>
          <t>UBER</t>
        </is>
      </c>
      <c r="M1063" s="3">
        <f>IF(H1063="Efectivo",IFERROR((VALUE(RIGHT(I1063,4))-VALUE(RIGHT(E1063,4)))*12+(VALUE(LEFT(I1063,2))-VALUE(LEFT(E1063,2))),""),"")</f>
        <v/>
      </c>
    </row>
    <row r="1064">
      <c r="A1064" t="inlineStr">
        <is>
          <t>SALAS URIBE LUIS EDUARDO</t>
        </is>
      </c>
      <c r="B1064" t="inlineStr">
        <is>
          <t>Hombre</t>
        </is>
      </c>
      <c r="C1064" t="inlineStr">
        <is>
          <t>3309AF</t>
        </is>
      </c>
      <c r="D1064" t="inlineStr">
        <is>
          <t>JALISCO</t>
        </is>
      </c>
      <c r="E1064" t="inlineStr">
        <is>
          <t>05-2024</t>
        </is>
      </c>
      <c r="F1064" t="inlineStr">
        <is>
          <t>08-2025</t>
        </is>
      </c>
      <c r="G1064" t="n">
        <v>15</v>
      </c>
      <c r="H1064" t="inlineStr">
        <is>
          <t>Cancelado</t>
        </is>
      </c>
      <c r="J1064" t="inlineStr">
        <is>
          <t>HWD957A</t>
        </is>
      </c>
      <c r="K1064" t="inlineStr">
        <is>
          <t>CHEVROLET AVEO</t>
        </is>
      </c>
      <c r="L1064" t="inlineStr">
        <is>
          <t>UBER</t>
        </is>
      </c>
      <c r="M1064" s="3">
        <f>IF(H1064="Efectivo",IFERROR((VALUE(RIGHT(I1064,4))-VALUE(RIGHT(E1064,4)))*12+(VALUE(LEFT(I1064,2))-VALUE(LEFT(E1064,2))),""),"")</f>
        <v/>
      </c>
    </row>
    <row r="1065">
      <c r="A1065" t="inlineStr">
        <is>
          <t>SALAZAR ARIAS JOSE BENJAMIN</t>
        </is>
      </c>
      <c r="B1065" t="inlineStr">
        <is>
          <t>Hombre</t>
        </is>
      </c>
      <c r="C1065" t="inlineStr">
        <is>
          <t>2598AF</t>
        </is>
      </c>
      <c r="D1065" t="inlineStr">
        <is>
          <t>BAJA CALIFORNIA</t>
        </is>
      </c>
      <c r="E1065" t="inlineStr">
        <is>
          <t>06-2023</t>
        </is>
      </c>
      <c r="F1065" t="inlineStr">
        <is>
          <t>01-2026</t>
        </is>
      </c>
      <c r="G1065" t="n">
        <v>32</v>
      </c>
      <c r="H1065" t="inlineStr">
        <is>
          <t>Efectivo</t>
        </is>
      </c>
      <c r="I1065" t="inlineStr">
        <is>
          <t>02-2026</t>
        </is>
      </c>
      <c r="J1065" t="inlineStr">
        <is>
          <t>BGA258A</t>
        </is>
      </c>
      <c r="K1065" t="inlineStr">
        <is>
          <t>ATTITUDE</t>
        </is>
      </c>
      <c r="L1065" t="inlineStr">
        <is>
          <t>UBER</t>
        </is>
      </c>
      <c r="M1065" s="3">
        <f>IF(H1065="Efectivo",IFERROR((VALUE(RIGHT(I1065,4))-VALUE(RIGHT(E1065,4)))*12+(VALUE(LEFT(I1065,2))-VALUE(LEFT(E1065,2))),""),"")</f>
        <v/>
      </c>
    </row>
    <row r="1066">
      <c r="A1066" t="inlineStr">
        <is>
          <t>SALAZAR FLORES JOEL MAURICIO</t>
        </is>
      </c>
      <c r="B1066" t="inlineStr">
        <is>
          <t>Hombre</t>
        </is>
      </c>
      <c r="C1066" t="inlineStr">
        <is>
          <t>5937AF</t>
        </is>
      </c>
      <c r="D1066" t="inlineStr">
        <is>
          <t>CDMX Y AREA METROPOLITANA</t>
        </is>
      </c>
      <c r="E1066" t="inlineStr">
        <is>
          <t>10-2025</t>
        </is>
      </c>
      <c r="F1066" t="inlineStr">
        <is>
          <t>01-2026</t>
        </is>
      </c>
      <c r="G1066" t="n">
        <v>3</v>
      </c>
      <c r="H1066" t="inlineStr">
        <is>
          <t>Efectivo</t>
        </is>
      </c>
      <c r="I1066" t="inlineStr">
        <is>
          <t>01-2026</t>
        </is>
      </c>
      <c r="J1066" t="inlineStr">
        <is>
          <t>51G620</t>
        </is>
      </c>
      <c r="K1066" t="inlineStr">
        <is>
          <t>BYD MINIDOLPHIN</t>
        </is>
      </c>
      <c r="L1066" t="inlineStr">
        <is>
          <t>UBER</t>
        </is>
      </c>
      <c r="M1066" s="3">
        <f>IF(H1066="Efectivo",IFERROR((VALUE(RIGHT(I1066,4))-VALUE(RIGHT(E1066,4)))*12+(VALUE(LEFT(I1066,2))-VALUE(LEFT(E1066,2))),""),"")</f>
        <v/>
      </c>
    </row>
    <row r="1067">
      <c r="A1067" t="inlineStr">
        <is>
          <t>SALAZAR GONZALEZ RAMSES LEONARDO</t>
        </is>
      </c>
      <c r="B1067" t="inlineStr">
        <is>
          <t>Hombre</t>
        </is>
      </c>
      <c r="C1067" t="inlineStr">
        <is>
          <t>3328AF</t>
        </is>
      </c>
      <c r="D1067" t="inlineStr">
        <is>
          <t>CDMX Y AREA METROPOLITANA</t>
        </is>
      </c>
      <c r="E1067" t="inlineStr">
        <is>
          <t>05-2024</t>
        </is>
      </c>
      <c r="F1067" t="inlineStr">
        <is>
          <t>02-2026</t>
        </is>
      </c>
      <c r="G1067" t="n">
        <v>21</v>
      </c>
      <c r="H1067" t="inlineStr">
        <is>
          <t>Efectivo</t>
        </is>
      </c>
      <c r="I1067" t="inlineStr">
        <is>
          <t>04-2026</t>
        </is>
      </c>
      <c r="J1067" t="inlineStr">
        <is>
          <t>84F045</t>
        </is>
      </c>
      <c r="K1067" t="inlineStr">
        <is>
          <t>BYD D1</t>
        </is>
      </c>
      <c r="L1067" t="inlineStr">
        <is>
          <t>UBER</t>
        </is>
      </c>
      <c r="M1067" s="3">
        <f>IF(H1067="Efectivo",IFERROR((VALUE(RIGHT(I1067,4))-VALUE(RIGHT(E1067,4)))*12+(VALUE(LEFT(I1067,2))-VALUE(LEFT(E1067,2))),""),"")</f>
        <v/>
      </c>
    </row>
    <row r="1068">
      <c r="A1068" t="inlineStr">
        <is>
          <t>SALAZAR HERNANDEZ MARTIN OSVALDO</t>
        </is>
      </c>
      <c r="B1068" t="inlineStr">
        <is>
          <t>Hombre</t>
        </is>
      </c>
      <c r="C1068" t="inlineStr">
        <is>
          <t>4714AF</t>
        </is>
      </c>
      <c r="D1068" t="inlineStr">
        <is>
          <t>CDMX Y AREA METROPOLITANA</t>
        </is>
      </c>
      <c r="E1068" t="inlineStr">
        <is>
          <t>04-2025</t>
        </is>
      </c>
      <c r="F1068" t="inlineStr">
        <is>
          <t>12-2025</t>
        </is>
      </c>
      <c r="G1068" t="n">
        <v>7</v>
      </c>
      <c r="H1068" t="inlineStr">
        <is>
          <t>Efectivo</t>
        </is>
      </c>
      <c r="I1068" t="inlineStr">
        <is>
          <t>01-2026</t>
        </is>
      </c>
      <c r="J1068" t="inlineStr">
        <is>
          <t>F13BRR</t>
        </is>
      </c>
      <c r="K1068" t="inlineStr">
        <is>
          <t>CHEVROLET AVEO</t>
        </is>
      </c>
      <c r="L1068" t="inlineStr">
        <is>
          <t>UBER</t>
        </is>
      </c>
      <c r="M1068" s="3">
        <f>IF(H1068="Efectivo",IFERROR((VALUE(RIGHT(I1068,4))-VALUE(RIGHT(E1068,4)))*12+(VALUE(LEFT(I1068,2))-VALUE(LEFT(E1068,2))),""),"")</f>
        <v/>
      </c>
    </row>
    <row r="1069">
      <c r="A1069" t="inlineStr">
        <is>
          <t>SALAZAR HERNANDEZ OMAR</t>
        </is>
      </c>
      <c r="B1069" t="inlineStr">
        <is>
          <t>Hombre</t>
        </is>
      </c>
      <c r="C1069" t="inlineStr">
        <is>
          <t>4189AF</t>
        </is>
      </c>
      <c r="D1069" t="inlineStr">
        <is>
          <t>CDMX Y AREA METROPOLITANA</t>
        </is>
      </c>
      <c r="E1069" t="inlineStr">
        <is>
          <t>01-2025</t>
        </is>
      </c>
      <c r="F1069" t="inlineStr">
        <is>
          <t>02-2025</t>
        </is>
      </c>
      <c r="G1069" t="n">
        <v>1</v>
      </c>
      <c r="H1069" t="inlineStr">
        <is>
          <t>Cancelado</t>
        </is>
      </c>
      <c r="J1069" t="inlineStr">
        <is>
          <t>23G247</t>
        </is>
      </c>
      <c r="K1069" t="inlineStr">
        <is>
          <t>GAC AION S</t>
        </is>
      </c>
      <c r="L1069" t="inlineStr">
        <is>
          <t>UBER</t>
        </is>
      </c>
      <c r="M1069" s="3">
        <f>IF(H1069="Efectivo",IFERROR((VALUE(RIGHT(I1069,4))-VALUE(RIGHT(E1069,4)))*12+(VALUE(LEFT(I1069,2))-VALUE(LEFT(E1069,2))),""),"")</f>
        <v/>
      </c>
    </row>
    <row r="1070">
      <c r="A1070" t="inlineStr">
        <is>
          <t>SALAZAR LORANCA MARCO ORLANDO</t>
        </is>
      </c>
      <c r="B1070" t="inlineStr">
        <is>
          <t>Hombre</t>
        </is>
      </c>
      <c r="C1070" t="inlineStr">
        <is>
          <t>3500AF</t>
        </is>
      </c>
      <c r="D1070" t="inlineStr">
        <is>
          <t>CDMX Y AREA METROPOLITANA</t>
        </is>
      </c>
      <c r="E1070" t="inlineStr">
        <is>
          <t>07-2024</t>
        </is>
      </c>
      <c r="F1070" t="inlineStr">
        <is>
          <t>02-2026</t>
        </is>
      </c>
      <c r="G1070" t="n">
        <v>19</v>
      </c>
      <c r="H1070" t="inlineStr">
        <is>
          <t>Efectivo</t>
        </is>
      </c>
      <c r="I1070" t="inlineStr">
        <is>
          <t>04-2026</t>
        </is>
      </c>
      <c r="J1070" t="inlineStr">
        <is>
          <t>89F712</t>
        </is>
      </c>
      <c r="K1070" t="inlineStr">
        <is>
          <t>BYD D1</t>
        </is>
      </c>
      <c r="L1070" t="inlineStr">
        <is>
          <t>UBER</t>
        </is>
      </c>
      <c r="M1070" s="3">
        <f>IF(H1070="Efectivo",IFERROR((VALUE(RIGHT(I1070,4))-VALUE(RIGHT(E1070,4)))*12+(VALUE(LEFT(I1070,2))-VALUE(LEFT(E1070,2))),""),"")</f>
        <v/>
      </c>
    </row>
    <row r="1071">
      <c r="A1071" t="inlineStr">
        <is>
          <t>SALAZAR MARTINEZ HORACIO NAHUM</t>
        </is>
      </c>
      <c r="B1071" t="inlineStr">
        <is>
          <t>Hombre</t>
        </is>
      </c>
      <c r="C1071" t="inlineStr">
        <is>
          <t>5591AF</t>
        </is>
      </c>
      <c r="D1071" t="inlineStr">
        <is>
          <t>NUEVO LEON</t>
        </is>
      </c>
      <c r="E1071" t="inlineStr">
        <is>
          <t>08-2025</t>
        </is>
      </c>
      <c r="F1071" t="inlineStr">
        <is>
          <t>05-2026</t>
        </is>
      </c>
      <c r="G1071" t="n">
        <v>9</v>
      </c>
      <c r="H1071" t="inlineStr">
        <is>
          <t>Pendiente</t>
        </is>
      </c>
      <c r="J1071" t="inlineStr">
        <is>
          <t>RVX597C</t>
        </is>
      </c>
      <c r="K1071" t="inlineStr">
        <is>
          <t>CHEVROLET AVEO</t>
        </is>
      </c>
      <c r="L1071" t="inlineStr">
        <is>
          <t>DIDI</t>
        </is>
      </c>
      <c r="M1071" s="3">
        <f>IF(H1071="Efectivo",IFERROR((VALUE(RIGHT(I1071,4))-VALUE(RIGHT(E1071,4)))*12+(VALUE(LEFT(I1071,2))-VALUE(LEFT(E1071,2))),""),"")</f>
        <v/>
      </c>
    </row>
    <row r="1072">
      <c r="A1072" t="inlineStr">
        <is>
          <t>SALAZAR MARTINEZ RAUL</t>
        </is>
      </c>
      <c r="B1072" t="inlineStr">
        <is>
          <t>Hombre</t>
        </is>
      </c>
      <c r="C1072" t="inlineStr">
        <is>
          <t>5902AF</t>
        </is>
      </c>
      <c r="D1072" t="inlineStr">
        <is>
          <t>CDMX Y AREA METROPOLITANA</t>
        </is>
      </c>
      <c r="E1072" t="inlineStr">
        <is>
          <t>10-2025</t>
        </is>
      </c>
      <c r="F1072" t="inlineStr">
        <is>
          <t>12-2025</t>
        </is>
      </c>
      <c r="G1072" t="n">
        <v>3</v>
      </c>
      <c r="H1072" t="inlineStr">
        <is>
          <t>Efectivo</t>
        </is>
      </c>
      <c r="I1072" t="inlineStr">
        <is>
          <t>01-2026</t>
        </is>
      </c>
      <c r="J1072" t="inlineStr">
        <is>
          <t>11K125</t>
        </is>
      </c>
      <c r="K1072" t="inlineStr">
        <is>
          <t>BYD MINIDOLPHIN</t>
        </is>
      </c>
      <c r="L1072" t="inlineStr">
        <is>
          <t>UBER</t>
        </is>
      </c>
      <c r="M1072" s="3">
        <f>IF(H1072="Efectivo",IFERROR((VALUE(RIGHT(I1072,4))-VALUE(RIGHT(E1072,4)))*12+(VALUE(LEFT(I1072,2))-VALUE(LEFT(E1072,2))),""),"")</f>
        <v/>
      </c>
    </row>
    <row r="1073">
      <c r="A1073" t="inlineStr">
        <is>
          <t>SALAZAR MENDEZ MISAEL ALEJANDRO</t>
        </is>
      </c>
      <c r="B1073" t="inlineStr">
        <is>
          <t>Hombre</t>
        </is>
      </c>
      <c r="C1073" t="inlineStr">
        <is>
          <t>4563AF</t>
        </is>
      </c>
      <c r="D1073" t="inlineStr">
        <is>
          <t>BAJA CALIFORNIA</t>
        </is>
      </c>
      <c r="E1073" t="inlineStr">
        <is>
          <t>03-2025</t>
        </is>
      </c>
      <c r="F1073" t="inlineStr">
        <is>
          <t>12-2025</t>
        </is>
      </c>
      <c r="G1073" t="n">
        <v>8</v>
      </c>
      <c r="H1073" t="inlineStr">
        <is>
          <t>Efectivo</t>
        </is>
      </c>
      <c r="I1073" t="inlineStr">
        <is>
          <t>12-2025</t>
        </is>
      </c>
      <c r="J1073" t="inlineStr">
        <is>
          <t>BWX662A</t>
        </is>
      </c>
      <c r="K1073" t="inlineStr">
        <is>
          <t>CHEVROLET AVEO</t>
        </is>
      </c>
      <c r="L1073" t="inlineStr">
        <is>
          <t>UBER</t>
        </is>
      </c>
      <c r="M1073" s="3">
        <f>IF(H1073="Efectivo",IFERROR((VALUE(RIGHT(I1073,4))-VALUE(RIGHT(E1073,4)))*12+(VALUE(LEFT(I1073,2))-VALUE(LEFT(E1073,2))),""),"")</f>
        <v/>
      </c>
    </row>
    <row r="1074">
      <c r="A1074" t="inlineStr">
        <is>
          <t>SALCEDA SILVA LUIS ALBERTO</t>
        </is>
      </c>
      <c r="B1074" t="inlineStr">
        <is>
          <t>Hombre</t>
        </is>
      </c>
      <c r="C1074" t="inlineStr">
        <is>
          <t>3571AF</t>
        </is>
      </c>
      <c r="D1074" t="inlineStr">
        <is>
          <t>CDMX Y AREA METROPOLITANA</t>
        </is>
      </c>
      <c r="E1074" t="inlineStr">
        <is>
          <t>08-2024</t>
        </is>
      </c>
      <c r="F1074" t="inlineStr">
        <is>
          <t>01-2025</t>
        </is>
      </c>
      <c r="G1074" t="n">
        <v>6</v>
      </c>
      <c r="H1074" t="inlineStr">
        <is>
          <t>Efectivo</t>
        </is>
      </c>
      <c r="I1074" t="inlineStr">
        <is>
          <t>01-2025</t>
        </is>
      </c>
      <c r="J1074" t="inlineStr">
        <is>
          <t>89F834</t>
        </is>
      </c>
      <c r="K1074" t="inlineStr">
        <is>
          <t>BYD D1</t>
        </is>
      </c>
      <c r="L1074" t="inlineStr">
        <is>
          <t>UBER</t>
        </is>
      </c>
      <c r="M1074" s="3">
        <f>IF(H1074="Efectivo",IFERROR((VALUE(RIGHT(I1074,4))-VALUE(RIGHT(E1074,4)))*12+(VALUE(LEFT(I1074,2))-VALUE(LEFT(E1074,2))),""),"")</f>
        <v/>
      </c>
    </row>
    <row r="1075">
      <c r="A1075" t="inlineStr">
        <is>
          <t>SALDAÑA BETANCOURT ROGER ALEXIS</t>
        </is>
      </c>
      <c r="B1075" t="inlineStr">
        <is>
          <t>Hombre</t>
        </is>
      </c>
      <c r="C1075" t="inlineStr">
        <is>
          <t>4793AF</t>
        </is>
      </c>
      <c r="D1075" t="inlineStr">
        <is>
          <t>NUEVO LEON</t>
        </is>
      </c>
      <c r="E1075" t="inlineStr">
        <is>
          <t>05-2025</t>
        </is>
      </c>
      <c r="F1075" t="inlineStr">
        <is>
          <t>11-2025</t>
        </is>
      </c>
      <c r="G1075" t="n">
        <v>6</v>
      </c>
      <c r="H1075" t="inlineStr">
        <is>
          <t>Efectivo</t>
        </is>
      </c>
      <c r="I1075" t="inlineStr">
        <is>
          <t>11-2025</t>
        </is>
      </c>
      <c r="J1075" t="inlineStr">
        <is>
          <t>RSK960C</t>
        </is>
      </c>
      <c r="K1075" t="inlineStr">
        <is>
          <t>TOYOTA AVANZA</t>
        </is>
      </c>
      <c r="L1075" t="inlineStr">
        <is>
          <t>DIDI</t>
        </is>
      </c>
      <c r="M1075" s="3">
        <f>IF(H1075="Efectivo",IFERROR((VALUE(RIGHT(I1075,4))-VALUE(RIGHT(E1075,4)))*12+(VALUE(LEFT(I1075,2))-VALUE(LEFT(E1075,2))),""),"")</f>
        <v/>
      </c>
    </row>
    <row r="1076">
      <c r="A1076" t="inlineStr">
        <is>
          <t>SALDIVAR FIGUEROA EDUARDO JAVIER</t>
        </is>
      </c>
      <c r="B1076" t="inlineStr">
        <is>
          <t>Hombre</t>
        </is>
      </c>
      <c r="C1076" t="inlineStr">
        <is>
          <t>2906AF</t>
        </is>
      </c>
      <c r="D1076" t="inlineStr">
        <is>
          <t>CDMX Y AREA METROPOLITANA</t>
        </is>
      </c>
      <c r="E1076" t="inlineStr">
        <is>
          <t>12-2023</t>
        </is>
      </c>
      <c r="F1076" t="inlineStr">
        <is>
          <t>04-2025</t>
        </is>
      </c>
      <c r="G1076" t="n">
        <v>17</v>
      </c>
      <c r="H1076" t="inlineStr">
        <is>
          <t>Cancelado</t>
        </is>
      </c>
      <c r="J1076" t="inlineStr">
        <is>
          <t>E21BNH</t>
        </is>
      </c>
      <c r="K1076" t="inlineStr">
        <is>
          <t>CHEVROLET AVEO</t>
        </is>
      </c>
      <c r="L1076" t="inlineStr">
        <is>
          <t>UBER</t>
        </is>
      </c>
      <c r="M1076" s="3">
        <f>IF(H1076="Efectivo",IFERROR((VALUE(RIGHT(I1076,4))-VALUE(RIGHT(E1076,4)))*12+(VALUE(LEFT(I1076,2))-VALUE(LEFT(E1076,2))),""),"")</f>
        <v/>
      </c>
    </row>
    <row r="1077">
      <c r="A1077" t="inlineStr">
        <is>
          <t>SALGADO BAHENA JOSE JUAN</t>
        </is>
      </c>
      <c r="B1077" t="inlineStr">
        <is>
          <t>Hombre</t>
        </is>
      </c>
      <c r="C1077" t="inlineStr">
        <is>
          <t>5247AF</t>
        </is>
      </c>
      <c r="D1077" t="inlineStr">
        <is>
          <t>CDMX Y AREA METROPOLITANA</t>
        </is>
      </c>
      <c r="E1077" t="inlineStr">
        <is>
          <t>07-2025</t>
        </is>
      </c>
      <c r="F1077" t="inlineStr">
        <is>
          <t>09-2025</t>
        </is>
      </c>
      <c r="G1077" t="n">
        <v>2</v>
      </c>
      <c r="H1077" t="inlineStr">
        <is>
          <t>Efectivo</t>
        </is>
      </c>
      <c r="I1077" t="inlineStr">
        <is>
          <t>09-2025</t>
        </is>
      </c>
      <c r="J1077" t="inlineStr">
        <is>
          <t>47G939</t>
        </is>
      </c>
      <c r="K1077" t="inlineStr">
        <is>
          <t>BYD MINIDOLPHIN</t>
        </is>
      </c>
      <c r="L1077" t="inlineStr">
        <is>
          <t>UBER</t>
        </is>
      </c>
      <c r="M1077" s="3">
        <f>IF(H1077="Efectivo",IFERROR((VALUE(RIGHT(I1077,4))-VALUE(RIGHT(E1077,4)))*12+(VALUE(LEFT(I1077,2))-VALUE(LEFT(E1077,2))),""),"")</f>
        <v/>
      </c>
    </row>
    <row r="1078">
      <c r="A1078" t="inlineStr">
        <is>
          <t>SALGADO HERNANDEZ STEPHANIE</t>
        </is>
      </c>
      <c r="B1078" t="inlineStr">
        <is>
          <t>Mujer</t>
        </is>
      </c>
      <c r="C1078" t="inlineStr">
        <is>
          <t>4831AF</t>
        </is>
      </c>
      <c r="D1078" t="inlineStr">
        <is>
          <t>CDMX Y AREA METROPOLITANA</t>
        </is>
      </c>
      <c r="E1078" t="inlineStr">
        <is>
          <t>05-2025</t>
        </is>
      </c>
      <c r="F1078" t="inlineStr">
        <is>
          <t>02-2026</t>
        </is>
      </c>
      <c r="G1078" t="n">
        <v>9</v>
      </c>
      <c r="H1078" t="inlineStr">
        <is>
          <t>Efectivo</t>
        </is>
      </c>
      <c r="I1078" t="inlineStr">
        <is>
          <t>02-2026</t>
        </is>
      </c>
      <c r="J1078" t="inlineStr">
        <is>
          <t>50G764</t>
        </is>
      </c>
      <c r="K1078" t="inlineStr">
        <is>
          <t>GAC AION S</t>
        </is>
      </c>
      <c r="L1078" t="inlineStr">
        <is>
          <t>UBER</t>
        </is>
      </c>
      <c r="M1078" s="3">
        <f>IF(H1078="Efectivo",IFERROR((VALUE(RIGHT(I1078,4))-VALUE(RIGHT(E1078,4)))*12+(VALUE(LEFT(I1078,2))-VALUE(LEFT(E1078,2))),""),"")</f>
        <v/>
      </c>
    </row>
    <row r="1079">
      <c r="A1079" t="inlineStr">
        <is>
          <t>SALINAS SEINOS EDUARDO ALFONSO</t>
        </is>
      </c>
      <c r="B1079" t="inlineStr">
        <is>
          <t>Hombre</t>
        </is>
      </c>
      <c r="C1079" t="inlineStr">
        <is>
          <t>5080AF</t>
        </is>
      </c>
      <c r="D1079" t="inlineStr">
        <is>
          <t>CDMX Y AREA METROPOLITANA</t>
        </is>
      </c>
      <c r="E1079" t="inlineStr">
        <is>
          <t>06-2025</t>
        </is>
      </c>
      <c r="F1079" t="inlineStr">
        <is>
          <t>09-2025</t>
        </is>
      </c>
      <c r="G1079" t="n">
        <v>3</v>
      </c>
      <c r="H1079" t="inlineStr">
        <is>
          <t>Efectivo</t>
        </is>
      </c>
      <c r="I1079" t="inlineStr">
        <is>
          <t>09-2025</t>
        </is>
      </c>
      <c r="J1079" t="inlineStr">
        <is>
          <t>E56BRR</t>
        </is>
      </c>
      <c r="K1079" t="inlineStr">
        <is>
          <t>CHEVROLET AVEO</t>
        </is>
      </c>
      <c r="L1079" t="inlineStr">
        <is>
          <t>UBER</t>
        </is>
      </c>
      <c r="M1079" s="3">
        <f>IF(H1079="Efectivo",IFERROR((VALUE(RIGHT(I1079,4))-VALUE(RIGHT(E1079,4)))*12+(VALUE(LEFT(I1079,2))-VALUE(LEFT(E1079,2))),""),"")</f>
        <v/>
      </c>
    </row>
    <row r="1080">
      <c r="A1080" t="inlineStr">
        <is>
          <t>SALVADOR CRUZ JOSE ARMANDO</t>
        </is>
      </c>
      <c r="B1080" t="inlineStr">
        <is>
          <t>Hombre</t>
        </is>
      </c>
      <c r="C1080" t="inlineStr">
        <is>
          <t>4380AF</t>
        </is>
      </c>
      <c r="D1080" t="inlineStr">
        <is>
          <t>CDMX Y AREA METROPOLITANA</t>
        </is>
      </c>
      <c r="E1080" t="inlineStr">
        <is>
          <t>02-2025</t>
        </is>
      </c>
      <c r="F1080" t="inlineStr">
        <is>
          <t>12-2025</t>
        </is>
      </c>
      <c r="G1080" t="n">
        <v>10</v>
      </c>
      <c r="H1080" t="inlineStr">
        <is>
          <t>Efectivo</t>
        </is>
      </c>
      <c r="I1080" t="inlineStr">
        <is>
          <t>12-2025</t>
        </is>
      </c>
      <c r="J1080" t="inlineStr">
        <is>
          <t>31G311</t>
        </is>
      </c>
      <c r="K1080" t="inlineStr">
        <is>
          <t>GAC AION S</t>
        </is>
      </c>
      <c r="L1080" t="inlineStr">
        <is>
          <t>UBER</t>
        </is>
      </c>
      <c r="M1080" s="3">
        <f>IF(H1080="Efectivo",IFERROR((VALUE(RIGHT(I1080,4))-VALUE(RIGHT(E1080,4)))*12+(VALUE(LEFT(I1080,2))-VALUE(LEFT(E1080,2))),""),"")</f>
        <v/>
      </c>
    </row>
    <row r="1081">
      <c r="A1081" t="inlineStr">
        <is>
          <t>SALVADOR NAVA ALFREDO EMMANUEL</t>
        </is>
      </c>
      <c r="B1081" t="inlineStr">
        <is>
          <t>Hombre</t>
        </is>
      </c>
      <c r="C1081" t="inlineStr">
        <is>
          <t>5125AF</t>
        </is>
      </c>
      <c r="D1081" t="inlineStr">
        <is>
          <t>CDMX Y AREA METROPOLITANA</t>
        </is>
      </c>
      <c r="E1081" t="inlineStr">
        <is>
          <t>06-2025</t>
        </is>
      </c>
      <c r="F1081" t="inlineStr">
        <is>
          <t>11-2025</t>
        </is>
      </c>
      <c r="G1081" t="n">
        <v>5</v>
      </c>
      <c r="H1081" t="inlineStr">
        <is>
          <t>Efectivo</t>
        </is>
      </c>
      <c r="I1081" t="inlineStr">
        <is>
          <t>11-2025</t>
        </is>
      </c>
      <c r="J1081" t="inlineStr">
        <is>
          <t>47G820</t>
        </is>
      </c>
      <c r="K1081" t="inlineStr">
        <is>
          <t>BYD MINIDOLPHIN</t>
        </is>
      </c>
      <c r="L1081" t="inlineStr">
        <is>
          <t>UBER</t>
        </is>
      </c>
      <c r="M1081" s="3">
        <f>IF(H1081="Efectivo",IFERROR((VALUE(RIGHT(I1081,4))-VALUE(RIGHT(E1081,4)))*12+(VALUE(LEFT(I1081,2))-VALUE(LEFT(E1081,2))),""),"")</f>
        <v/>
      </c>
    </row>
    <row r="1082">
      <c r="A1082" t="inlineStr">
        <is>
          <t>SALVADOR PERALTA AGUSTIN</t>
        </is>
      </c>
      <c r="B1082" t="inlineStr">
        <is>
          <t>Hombre</t>
        </is>
      </c>
      <c r="C1082" t="inlineStr">
        <is>
          <t>4015AF</t>
        </is>
      </c>
      <c r="D1082" t="inlineStr">
        <is>
          <t>NUEVO LEON</t>
        </is>
      </c>
      <c r="E1082" t="inlineStr">
        <is>
          <t>11-2024</t>
        </is>
      </c>
      <c r="F1082" t="inlineStr">
        <is>
          <t>02-2026</t>
        </is>
      </c>
      <c r="G1082" t="n">
        <v>15</v>
      </c>
      <c r="H1082" t="inlineStr">
        <is>
          <t>Pendiente</t>
        </is>
      </c>
      <c r="J1082" t="inlineStr">
        <is>
          <t>39S863</t>
        </is>
      </c>
      <c r="K1082" t="inlineStr">
        <is>
          <t>SUZUKI ERTIGA</t>
        </is>
      </c>
      <c r="L1082" t="inlineStr">
        <is>
          <t>UBER</t>
        </is>
      </c>
      <c r="M1082" s="3">
        <f>IF(H1082="Efectivo",IFERROR((VALUE(RIGHT(I1082,4))-VALUE(RIGHT(E1082,4)))*12+(VALUE(LEFT(I1082,2))-VALUE(LEFT(E1082,2))),""),"")</f>
        <v/>
      </c>
    </row>
    <row r="1083">
      <c r="A1083" t="inlineStr">
        <is>
          <t>SAMPEDRO JIMENEZ SERGIO OSWALDO</t>
        </is>
      </c>
      <c r="B1083" t="inlineStr">
        <is>
          <t>Hombre</t>
        </is>
      </c>
      <c r="C1083" t="inlineStr">
        <is>
          <t>4290AF</t>
        </is>
      </c>
      <c r="D1083" t="inlineStr">
        <is>
          <t>CDMX Y AREA METROPOLITANA</t>
        </is>
      </c>
      <c r="E1083" t="inlineStr">
        <is>
          <t>02-2025</t>
        </is>
      </c>
      <c r="F1083" t="inlineStr">
        <is>
          <t>12-2025</t>
        </is>
      </c>
      <c r="G1083" t="n">
        <v>10</v>
      </c>
      <c r="H1083" t="inlineStr">
        <is>
          <t>Efectivo</t>
        </is>
      </c>
      <c r="I1083" t="inlineStr">
        <is>
          <t>01-2026</t>
        </is>
      </c>
      <c r="J1083" t="inlineStr">
        <is>
          <t>31G919</t>
        </is>
      </c>
      <c r="K1083" t="inlineStr">
        <is>
          <t>GAC AION S</t>
        </is>
      </c>
      <c r="L1083" t="inlineStr">
        <is>
          <t>DIDI</t>
        </is>
      </c>
      <c r="M1083" s="3">
        <f>IF(H1083="Efectivo",IFERROR((VALUE(RIGHT(I1083,4))-VALUE(RIGHT(E1083,4)))*12+(VALUE(LEFT(I1083,2))-VALUE(LEFT(E1083,2))),""),"")</f>
        <v/>
      </c>
    </row>
    <row r="1084">
      <c r="A1084" t="inlineStr">
        <is>
          <t>SAN JUAN MARTINEZ RAUL</t>
        </is>
      </c>
      <c r="B1084" t="inlineStr">
        <is>
          <t>Hombre</t>
        </is>
      </c>
      <c r="C1084" t="inlineStr">
        <is>
          <t>2473AF</t>
        </is>
      </c>
      <c r="D1084" t="inlineStr">
        <is>
          <t>CDMX Y AREA METROPOLITANA</t>
        </is>
      </c>
      <c r="E1084" t="inlineStr">
        <is>
          <t>03-2023</t>
        </is>
      </c>
      <c r="F1084" t="inlineStr">
        <is>
          <t>04-2026</t>
        </is>
      </c>
      <c r="G1084" t="n">
        <v>38</v>
      </c>
      <c r="H1084" t="inlineStr">
        <is>
          <t>Efectivo</t>
        </is>
      </c>
      <c r="I1084" t="inlineStr">
        <is>
          <t>04-2026</t>
        </is>
      </c>
      <c r="J1084" t="inlineStr">
        <is>
          <t>R17BKY</t>
        </is>
      </c>
      <c r="K1084" t="inlineStr">
        <is>
          <t>CHEVROLET AVEO</t>
        </is>
      </c>
      <c r="L1084" t="inlineStr">
        <is>
          <t>UBER</t>
        </is>
      </c>
      <c r="M1084" s="3">
        <f>IF(H1084="Efectivo",IFERROR((VALUE(RIGHT(I1084,4))-VALUE(RIGHT(E1084,4)))*12+(VALUE(LEFT(I1084,2))-VALUE(LEFT(E1084,2))),""),"")</f>
        <v/>
      </c>
    </row>
    <row r="1085">
      <c r="A1085" t="inlineStr">
        <is>
          <t>SANCHEZ AMBRIZ SALVADOR JUAN CARLOS</t>
        </is>
      </c>
      <c r="B1085" t="inlineStr">
        <is>
          <t>Hombre</t>
        </is>
      </c>
      <c r="C1085" t="inlineStr">
        <is>
          <t>5582AF</t>
        </is>
      </c>
      <c r="D1085" t="inlineStr">
        <is>
          <t>JALISCO</t>
        </is>
      </c>
      <c r="E1085" t="inlineStr">
        <is>
          <t>08-2025</t>
        </is>
      </c>
      <c r="F1085" t="inlineStr">
        <is>
          <t>11-2025</t>
        </is>
      </c>
      <c r="G1085" t="n">
        <v>2</v>
      </c>
      <c r="H1085" t="inlineStr">
        <is>
          <t>Efectivo</t>
        </is>
      </c>
      <c r="I1085" t="inlineStr">
        <is>
          <t>11-2025</t>
        </is>
      </c>
      <c r="J1085" t="inlineStr">
        <is>
          <t>JNU147A</t>
        </is>
      </c>
      <c r="K1085" t="inlineStr">
        <is>
          <t>TOYOTA AVANZA</t>
        </is>
      </c>
      <c r="L1085" t="inlineStr">
        <is>
          <t>UBER</t>
        </is>
      </c>
      <c r="M1085" s="3">
        <f>IF(H1085="Efectivo",IFERROR((VALUE(RIGHT(I1085,4))-VALUE(RIGHT(E1085,4)))*12+(VALUE(LEFT(I1085,2))-VALUE(LEFT(E1085,2))),""),"")</f>
        <v/>
      </c>
    </row>
    <row r="1086">
      <c r="A1086" t="inlineStr">
        <is>
          <t>SANCHEZ AZA ANUAR ANDRES</t>
        </is>
      </c>
      <c r="B1086" t="inlineStr">
        <is>
          <t>Hombre</t>
        </is>
      </c>
      <c r="C1086" t="inlineStr">
        <is>
          <t>4525AF</t>
        </is>
      </c>
      <c r="D1086" t="inlineStr">
        <is>
          <t>CDMX Y AREA METROPOLITANA</t>
        </is>
      </c>
      <c r="E1086" t="inlineStr">
        <is>
          <t>03-2025</t>
        </is>
      </c>
      <c r="F1086" t="inlineStr">
        <is>
          <t>12-2025</t>
        </is>
      </c>
      <c r="G1086" t="n">
        <v>9</v>
      </c>
      <c r="H1086" t="inlineStr">
        <is>
          <t>Efectivo</t>
        </is>
      </c>
      <c r="I1086" t="inlineStr">
        <is>
          <t>01-2026</t>
        </is>
      </c>
      <c r="J1086" t="inlineStr">
        <is>
          <t>39G667</t>
        </is>
      </c>
      <c r="K1086" t="inlineStr">
        <is>
          <t>GAC AION S</t>
        </is>
      </c>
      <c r="L1086" t="inlineStr">
        <is>
          <t>UBER</t>
        </is>
      </c>
      <c r="M1086" s="3">
        <f>IF(H1086="Efectivo",IFERROR((VALUE(RIGHT(I1086,4))-VALUE(RIGHT(E1086,4)))*12+(VALUE(LEFT(I1086,2))-VALUE(LEFT(E1086,2))),""),"")</f>
        <v/>
      </c>
    </row>
    <row r="1087">
      <c r="A1087" t="inlineStr">
        <is>
          <t>SANCHEZ BLANCO RAUL</t>
        </is>
      </c>
      <c r="B1087" t="inlineStr">
        <is>
          <t>Hombre</t>
        </is>
      </c>
      <c r="C1087" t="inlineStr">
        <is>
          <t>5033AF</t>
        </is>
      </c>
      <c r="D1087" t="inlineStr">
        <is>
          <t>CDMX Y AREA METROPOLITANA</t>
        </is>
      </c>
      <c r="E1087" t="inlineStr">
        <is>
          <t>06-2025</t>
        </is>
      </c>
      <c r="F1087" t="inlineStr">
        <is>
          <t>01-2026</t>
        </is>
      </c>
      <c r="G1087" t="n">
        <v>7</v>
      </c>
      <c r="H1087" t="inlineStr">
        <is>
          <t>Efectivo</t>
        </is>
      </c>
      <c r="I1087" t="inlineStr">
        <is>
          <t>01-2026</t>
        </is>
      </c>
      <c r="J1087" t="inlineStr">
        <is>
          <t>S64BRY</t>
        </is>
      </c>
      <c r="K1087" t="inlineStr">
        <is>
          <t>CHEVROLET AVEO</t>
        </is>
      </c>
      <c r="L1087" t="inlineStr">
        <is>
          <t>DIDI</t>
        </is>
      </c>
      <c r="M1087" s="3">
        <f>IF(H1087="Efectivo",IFERROR((VALUE(RIGHT(I1087,4))-VALUE(RIGHT(E1087,4)))*12+(VALUE(LEFT(I1087,2))-VALUE(LEFT(E1087,2))),""),"")</f>
        <v/>
      </c>
    </row>
    <row r="1088">
      <c r="A1088" t="inlineStr">
        <is>
          <t>SANCHEZ CONTRERAS DIEGO</t>
        </is>
      </c>
      <c r="B1088" t="inlineStr">
        <is>
          <t>Hombre</t>
        </is>
      </c>
      <c r="C1088" t="inlineStr">
        <is>
          <t>3719AF</t>
        </is>
      </c>
      <c r="D1088" t="inlineStr">
        <is>
          <t>CDMX Y AREA METROPOLITANA</t>
        </is>
      </c>
      <c r="E1088" t="inlineStr">
        <is>
          <t>09-2024</t>
        </is>
      </c>
      <c r="F1088" t="inlineStr">
        <is>
          <t>04-2026</t>
        </is>
      </c>
      <c r="G1088" t="n">
        <v>19</v>
      </c>
      <c r="H1088" t="inlineStr">
        <is>
          <t>Efectivo</t>
        </is>
      </c>
      <c r="I1088" t="inlineStr">
        <is>
          <t>05-2026</t>
        </is>
      </c>
      <c r="J1088" t="inlineStr">
        <is>
          <t>B47BPN</t>
        </is>
      </c>
      <c r="K1088" t="inlineStr">
        <is>
          <t>TOYOTA AVANZA</t>
        </is>
      </c>
      <c r="L1088" t="inlineStr">
        <is>
          <t>UBER</t>
        </is>
      </c>
      <c r="M1088" s="3">
        <f>IF(H1088="Efectivo",IFERROR((VALUE(RIGHT(I1088,4))-VALUE(RIGHT(E1088,4)))*12+(VALUE(LEFT(I1088,2))-VALUE(LEFT(E1088,2))),""),"")</f>
        <v/>
      </c>
    </row>
    <row r="1089">
      <c r="A1089" t="inlineStr">
        <is>
          <t>SANCHEZ CORONA FABIAN SALVADOR</t>
        </is>
      </c>
      <c r="B1089" t="inlineStr">
        <is>
          <t>Hombre</t>
        </is>
      </c>
      <c r="C1089" t="inlineStr">
        <is>
          <t>3616AF</t>
        </is>
      </c>
      <c r="D1089" t="inlineStr">
        <is>
          <t>CDMX Y AREA METROPOLITANA</t>
        </is>
      </c>
      <c r="E1089" t="inlineStr">
        <is>
          <t>08-2024</t>
        </is>
      </c>
      <c r="F1089" t="inlineStr">
        <is>
          <t>07-2025</t>
        </is>
      </c>
      <c r="G1089" t="n">
        <v>12</v>
      </c>
      <c r="H1089" t="inlineStr">
        <is>
          <t>Efectivo</t>
        </is>
      </c>
      <c r="I1089" t="inlineStr">
        <is>
          <t>07-2025</t>
        </is>
      </c>
      <c r="J1089" t="inlineStr">
        <is>
          <t>89F856</t>
        </is>
      </c>
      <c r="K1089" t="inlineStr">
        <is>
          <t>BYD D1</t>
        </is>
      </c>
      <c r="L1089" t="inlineStr">
        <is>
          <t>UBER</t>
        </is>
      </c>
      <c r="M1089" s="3">
        <f>IF(H1089="Efectivo",IFERROR((VALUE(RIGHT(I1089,4))-VALUE(RIGHT(E1089,4)))*12+(VALUE(LEFT(I1089,2))-VALUE(LEFT(E1089,2))),""),"")</f>
        <v/>
      </c>
    </row>
    <row r="1090">
      <c r="A1090" t="inlineStr">
        <is>
          <t>SANCHEZ CORRAL EDGAR RAFAEL</t>
        </is>
      </c>
      <c r="B1090" t="inlineStr">
        <is>
          <t>Hombre</t>
        </is>
      </c>
      <c r="C1090" t="inlineStr">
        <is>
          <t>4366AF</t>
        </is>
      </c>
      <c r="D1090" t="inlineStr">
        <is>
          <t>CDMX Y AREA METROPOLITANA</t>
        </is>
      </c>
      <c r="E1090" t="inlineStr">
        <is>
          <t>02-2025</t>
        </is>
      </c>
      <c r="F1090" t="inlineStr">
        <is>
          <t>02-2026</t>
        </is>
      </c>
      <c r="G1090" t="n">
        <v>12</v>
      </c>
      <c r="H1090" t="inlineStr">
        <is>
          <t>Efectivo</t>
        </is>
      </c>
      <c r="I1090" t="inlineStr">
        <is>
          <t>05-2026</t>
        </is>
      </c>
      <c r="J1090" t="inlineStr">
        <is>
          <t>31G953</t>
        </is>
      </c>
      <c r="K1090" t="inlineStr">
        <is>
          <t>GAC AION S</t>
        </is>
      </c>
      <c r="L1090" t="inlineStr">
        <is>
          <t>UBER</t>
        </is>
      </c>
      <c r="M1090" s="3">
        <f>IF(H1090="Efectivo",IFERROR((VALUE(RIGHT(I1090,4))-VALUE(RIGHT(E1090,4)))*12+(VALUE(LEFT(I1090,2))-VALUE(LEFT(E1090,2))),""),"")</f>
        <v/>
      </c>
    </row>
    <row r="1091">
      <c r="A1091" t="inlineStr">
        <is>
          <t>SANCHEZ CORTES VICENTE</t>
        </is>
      </c>
      <c r="B1091" t="inlineStr">
        <is>
          <t>Hombre</t>
        </is>
      </c>
      <c r="C1091" t="inlineStr">
        <is>
          <t>5402AF</t>
        </is>
      </c>
      <c r="D1091" t="inlineStr">
        <is>
          <t>BAJA CALIFORNIA</t>
        </is>
      </c>
      <c r="E1091" t="inlineStr">
        <is>
          <t>07-2025</t>
        </is>
      </c>
      <c r="F1091" t="inlineStr">
        <is>
          <t>05-2026</t>
        </is>
      </c>
      <c r="G1091" t="n">
        <v>10</v>
      </c>
      <c r="H1091" t="inlineStr">
        <is>
          <t>Pendiente</t>
        </is>
      </c>
      <c r="J1091" t="inlineStr">
        <is>
          <t>BYZ938A</t>
        </is>
      </c>
      <c r="K1091" t="inlineStr">
        <is>
          <t>CHEVROLET AVEO</t>
        </is>
      </c>
      <c r="L1091" t="inlineStr">
        <is>
          <t>UBER</t>
        </is>
      </c>
      <c r="M1091" s="3">
        <f>IF(H1091="Efectivo",IFERROR((VALUE(RIGHT(I1091,4))-VALUE(RIGHT(E1091,4)))*12+(VALUE(LEFT(I1091,2))-VALUE(LEFT(E1091,2))),""),"")</f>
        <v/>
      </c>
    </row>
    <row r="1092">
      <c r="A1092" t="inlineStr">
        <is>
          <t>SANCHEZ DEL ANGEL JAVIER</t>
        </is>
      </c>
      <c r="B1092" t="inlineStr">
        <is>
          <t>Hombre</t>
        </is>
      </c>
      <c r="C1092" t="inlineStr">
        <is>
          <t>5527AF</t>
        </is>
      </c>
      <c r="D1092" t="inlineStr">
        <is>
          <t>CDMX Y AREA METROPOLITANA</t>
        </is>
      </c>
      <c r="E1092" t="inlineStr">
        <is>
          <t>08-2025</t>
        </is>
      </c>
      <c r="F1092" t="inlineStr">
        <is>
          <t>04-2026</t>
        </is>
      </c>
      <c r="G1092" t="n">
        <v>7</v>
      </c>
      <c r="H1092" t="inlineStr">
        <is>
          <t>Efectivo</t>
        </is>
      </c>
      <c r="I1092" t="inlineStr">
        <is>
          <t>04-2026</t>
        </is>
      </c>
      <c r="J1092" t="inlineStr">
        <is>
          <t>42G720</t>
        </is>
      </c>
      <c r="K1092" t="inlineStr">
        <is>
          <t>GAC AION S</t>
        </is>
      </c>
      <c r="L1092" t="inlineStr">
        <is>
          <t>UBER</t>
        </is>
      </c>
      <c r="M1092" s="3">
        <f>IF(H1092="Efectivo",IFERROR((VALUE(RIGHT(I1092,4))-VALUE(RIGHT(E1092,4)))*12+(VALUE(LEFT(I1092,2))-VALUE(LEFT(E1092,2))),""),"")</f>
        <v/>
      </c>
    </row>
    <row r="1093">
      <c r="A1093" t="inlineStr">
        <is>
          <t>SANCHEZ DIAZ LUIS EDUARDO</t>
        </is>
      </c>
      <c r="B1093" t="inlineStr">
        <is>
          <t>Hombre</t>
        </is>
      </c>
      <c r="C1093" t="inlineStr">
        <is>
          <t>5776AF</t>
        </is>
      </c>
      <c r="D1093" t="inlineStr">
        <is>
          <t>CDMX Y AREA METROPOLITANA</t>
        </is>
      </c>
      <c r="E1093" t="inlineStr">
        <is>
          <t>09-2025</t>
        </is>
      </c>
      <c r="F1093" t="inlineStr">
        <is>
          <t>03-2026</t>
        </is>
      </c>
      <c r="G1093" t="n">
        <v>6</v>
      </c>
      <c r="H1093" t="inlineStr">
        <is>
          <t>Efectivo</t>
        </is>
      </c>
      <c r="I1093" t="inlineStr">
        <is>
          <t>05-2026</t>
        </is>
      </c>
      <c r="J1093" t="inlineStr">
        <is>
          <t>51G512</t>
        </is>
      </c>
      <c r="K1093" t="inlineStr">
        <is>
          <t>GAC AION S</t>
        </is>
      </c>
      <c r="L1093" t="inlineStr">
        <is>
          <t>UBER</t>
        </is>
      </c>
      <c r="M1093" s="3">
        <f>IF(H1093="Efectivo",IFERROR((VALUE(RIGHT(I1093,4))-VALUE(RIGHT(E1093,4)))*12+(VALUE(LEFT(I1093,2))-VALUE(LEFT(E1093,2))),""),"")</f>
        <v/>
      </c>
    </row>
    <row r="1094">
      <c r="A1094" t="inlineStr">
        <is>
          <t>SANCHEZ EUAN BRANDON</t>
        </is>
      </c>
      <c r="B1094" t="inlineStr">
        <is>
          <t>Hombre</t>
        </is>
      </c>
      <c r="C1094" t="inlineStr">
        <is>
          <t>4769AF</t>
        </is>
      </c>
      <c r="D1094" t="inlineStr">
        <is>
          <t>CDMX Y AREA METROPOLITANA</t>
        </is>
      </c>
      <c r="E1094" t="inlineStr">
        <is>
          <t>05-2025</t>
        </is>
      </c>
      <c r="F1094" t="inlineStr">
        <is>
          <t>07-2025</t>
        </is>
      </c>
      <c r="G1094" t="n">
        <v>2</v>
      </c>
      <c r="H1094" t="inlineStr">
        <is>
          <t>Efectivo</t>
        </is>
      </c>
      <c r="I1094" t="inlineStr">
        <is>
          <t>08-2025</t>
        </is>
      </c>
      <c r="J1094" t="inlineStr">
        <is>
          <t>47G481</t>
        </is>
      </c>
      <c r="K1094" t="inlineStr">
        <is>
          <t>BYD MINIDOLPHIN</t>
        </is>
      </c>
      <c r="L1094" t="inlineStr">
        <is>
          <t>DIDI</t>
        </is>
      </c>
      <c r="M1094" s="3">
        <f>IF(H1094="Efectivo",IFERROR((VALUE(RIGHT(I1094,4))-VALUE(RIGHT(E1094,4)))*12+(VALUE(LEFT(I1094,2))-VALUE(LEFT(E1094,2))),""),"")</f>
        <v/>
      </c>
    </row>
    <row r="1095">
      <c r="A1095" t="inlineStr">
        <is>
          <t>SANCHEZ FLORES CHRISTIAN ALEJANDRO</t>
        </is>
      </c>
      <c r="B1095" t="inlineStr">
        <is>
          <t>Hombre</t>
        </is>
      </c>
      <c r="C1095" t="inlineStr">
        <is>
          <t>5123AF</t>
        </is>
      </c>
      <c r="D1095" t="inlineStr">
        <is>
          <t>CDMX Y AREA METROPOLITANA</t>
        </is>
      </c>
      <c r="E1095" t="inlineStr">
        <is>
          <t>06-2025</t>
        </is>
      </c>
      <c r="F1095" t="inlineStr">
        <is>
          <t>03-2026</t>
        </is>
      </c>
      <c r="G1095" t="n">
        <v>9</v>
      </c>
      <c r="H1095" t="inlineStr">
        <is>
          <t>Efectivo</t>
        </is>
      </c>
      <c r="I1095" t="inlineStr">
        <is>
          <t>04-2026</t>
        </is>
      </c>
      <c r="J1095" t="inlineStr">
        <is>
          <t>47G754</t>
        </is>
      </c>
      <c r="K1095" t="inlineStr">
        <is>
          <t>BYD MINIDOLPHIN</t>
        </is>
      </c>
      <c r="L1095" t="inlineStr">
        <is>
          <t>UBER</t>
        </is>
      </c>
      <c r="M1095" s="3">
        <f>IF(H1095="Efectivo",IFERROR((VALUE(RIGHT(I1095,4))-VALUE(RIGHT(E1095,4)))*12+(VALUE(LEFT(I1095,2))-VALUE(LEFT(E1095,2))),""),"")</f>
        <v/>
      </c>
    </row>
    <row r="1096">
      <c r="A1096" t="inlineStr">
        <is>
          <t>SANCHEZ GOMEZ DAMIAN JONATHAN</t>
        </is>
      </c>
      <c r="B1096" t="inlineStr">
        <is>
          <t>Hombre</t>
        </is>
      </c>
      <c r="C1096" t="inlineStr">
        <is>
          <t>4371AF</t>
        </is>
      </c>
      <c r="D1096" t="inlineStr">
        <is>
          <t>CDMX Y AREA METROPOLITANA</t>
        </is>
      </c>
      <c r="E1096" t="inlineStr">
        <is>
          <t>02-2025</t>
        </is>
      </c>
      <c r="F1096" t="inlineStr">
        <is>
          <t>04-2026</t>
        </is>
      </c>
      <c r="G1096" t="n">
        <v>14</v>
      </c>
      <c r="H1096" t="inlineStr">
        <is>
          <t>Efectivo</t>
        </is>
      </c>
      <c r="I1096" t="inlineStr">
        <is>
          <t>04-2026</t>
        </is>
      </c>
      <c r="J1096" t="inlineStr">
        <is>
          <t>19G462</t>
        </is>
      </c>
      <c r="K1096" t="inlineStr">
        <is>
          <t>BYD D1</t>
        </is>
      </c>
      <c r="L1096" t="inlineStr">
        <is>
          <t>UBER</t>
        </is>
      </c>
      <c r="M1096" s="3">
        <f>IF(H1096="Efectivo",IFERROR((VALUE(RIGHT(I1096,4))-VALUE(RIGHT(E1096,4)))*12+(VALUE(LEFT(I1096,2))-VALUE(LEFT(E1096,2))),""),"")</f>
        <v/>
      </c>
    </row>
    <row r="1097">
      <c r="A1097" t="inlineStr">
        <is>
          <t>SANCHEZ LOPEZ ANGEL DE JESUS</t>
        </is>
      </c>
      <c r="B1097" t="inlineStr">
        <is>
          <t>Hombre</t>
        </is>
      </c>
      <c r="C1097" t="inlineStr">
        <is>
          <t>5954AF</t>
        </is>
      </c>
      <c r="D1097" t="inlineStr">
        <is>
          <t>CDMX Y AREA METROPOLITANA</t>
        </is>
      </c>
      <c r="E1097" t="inlineStr">
        <is>
          <t>10-2025</t>
        </is>
      </c>
      <c r="F1097" t="inlineStr">
        <is>
          <t>03-2026</t>
        </is>
      </c>
      <c r="G1097" t="n">
        <v>5</v>
      </c>
      <c r="H1097" t="inlineStr">
        <is>
          <t>Efectivo</t>
        </is>
      </c>
      <c r="I1097" t="inlineStr">
        <is>
          <t>04-2026</t>
        </is>
      </c>
      <c r="J1097" t="inlineStr">
        <is>
          <t>A91BND</t>
        </is>
      </c>
      <c r="K1097" t="inlineStr">
        <is>
          <t>CHEVROLET AVEO</t>
        </is>
      </c>
      <c r="L1097" t="inlineStr">
        <is>
          <t>DIDI</t>
        </is>
      </c>
      <c r="M1097" s="3">
        <f>IF(H1097="Efectivo",IFERROR((VALUE(RIGHT(I1097,4))-VALUE(RIGHT(E1097,4)))*12+(VALUE(LEFT(I1097,2))-VALUE(LEFT(E1097,2))),""),"")</f>
        <v/>
      </c>
    </row>
    <row r="1098">
      <c r="A1098" t="inlineStr">
        <is>
          <t>SANCHEZ MERINO DOMINGO NOE</t>
        </is>
      </c>
      <c r="B1098" t="inlineStr">
        <is>
          <t>Hombre</t>
        </is>
      </c>
      <c r="C1098" t="inlineStr">
        <is>
          <t>5171AF</t>
        </is>
      </c>
      <c r="D1098" t="inlineStr">
        <is>
          <t>CDMX Y AREA METROPOLITANA</t>
        </is>
      </c>
      <c r="E1098" t="inlineStr">
        <is>
          <t>06-2025</t>
        </is>
      </c>
      <c r="F1098" t="inlineStr">
        <is>
          <t>12-2025</t>
        </is>
      </c>
      <c r="G1098" t="n">
        <v>6</v>
      </c>
      <c r="H1098" t="inlineStr">
        <is>
          <t>Efectivo</t>
        </is>
      </c>
      <c r="I1098" t="inlineStr">
        <is>
          <t>01-2026</t>
        </is>
      </c>
      <c r="J1098" t="inlineStr">
        <is>
          <t>47G579</t>
        </is>
      </c>
      <c r="K1098" t="inlineStr">
        <is>
          <t>BYD MINIDOLPHIN</t>
        </is>
      </c>
      <c r="L1098" t="inlineStr">
        <is>
          <t>UBER</t>
        </is>
      </c>
      <c r="M1098" s="3">
        <f>IF(H1098="Efectivo",IFERROR((VALUE(RIGHT(I1098,4))-VALUE(RIGHT(E1098,4)))*12+(VALUE(LEFT(I1098,2))-VALUE(LEFT(E1098,2))),""),"")</f>
        <v/>
      </c>
    </row>
    <row r="1099">
      <c r="A1099" t="inlineStr">
        <is>
          <t>SANCHEZ MIRAMONTES SANDRO</t>
        </is>
      </c>
      <c r="B1099" t="inlineStr">
        <is>
          <t>Hombre</t>
        </is>
      </c>
      <c r="C1099" t="inlineStr">
        <is>
          <t>4991AF</t>
        </is>
      </c>
      <c r="D1099" t="inlineStr">
        <is>
          <t>BAJA CALIFORNIA</t>
        </is>
      </c>
      <c r="E1099" t="inlineStr">
        <is>
          <t>06-2025</t>
        </is>
      </c>
      <c r="F1099" t="inlineStr">
        <is>
          <t>02-2026</t>
        </is>
      </c>
      <c r="G1099" t="n">
        <v>8</v>
      </c>
      <c r="H1099" t="inlineStr">
        <is>
          <t>Efectivo</t>
        </is>
      </c>
      <c r="I1099" t="inlineStr">
        <is>
          <t>02-2026</t>
        </is>
      </c>
      <c r="J1099" t="inlineStr">
        <is>
          <t>BYG561A</t>
        </is>
      </c>
      <c r="K1099" t="inlineStr">
        <is>
          <t>CHEVROLET AVEO</t>
        </is>
      </c>
      <c r="L1099" t="inlineStr">
        <is>
          <t>UBER</t>
        </is>
      </c>
      <c r="M1099" s="3">
        <f>IF(H1099="Efectivo",IFERROR((VALUE(RIGHT(I1099,4))-VALUE(RIGHT(E1099,4)))*12+(VALUE(LEFT(I1099,2))-VALUE(LEFT(E1099,2))),""),"")</f>
        <v/>
      </c>
    </row>
    <row r="1100">
      <c r="A1100" t="inlineStr">
        <is>
          <t>SANCHEZ MONDRAGON MARIANA ESTHEFANY</t>
        </is>
      </c>
      <c r="B1100" t="inlineStr">
        <is>
          <t>Mujer</t>
        </is>
      </c>
      <c r="C1100" t="inlineStr">
        <is>
          <t>3242AF</t>
        </is>
      </c>
      <c r="D1100" t="inlineStr">
        <is>
          <t>CDMX Y AREA METROPOLITANA</t>
        </is>
      </c>
      <c r="E1100" t="inlineStr">
        <is>
          <t>05-2024</t>
        </is>
      </c>
      <c r="F1100" t="inlineStr">
        <is>
          <t>09-2025</t>
        </is>
      </c>
      <c r="G1100" t="n">
        <v>17</v>
      </c>
      <c r="H1100" t="inlineStr">
        <is>
          <t>Pendiente</t>
        </is>
      </c>
      <c r="J1100" t="inlineStr">
        <is>
          <t>84F249</t>
        </is>
      </c>
      <c r="K1100" t="inlineStr">
        <is>
          <t>SUZUKI ERTIGA</t>
        </is>
      </c>
      <c r="L1100" t="inlineStr">
        <is>
          <t>UBER</t>
        </is>
      </c>
      <c r="M1100" s="3">
        <f>IF(H1100="Efectivo",IFERROR((VALUE(RIGHT(I1100,4))-VALUE(RIGHT(E1100,4)))*12+(VALUE(LEFT(I1100,2))-VALUE(LEFT(E1100,2))),""),"")</f>
        <v/>
      </c>
    </row>
    <row r="1101">
      <c r="A1101" t="inlineStr">
        <is>
          <t>SANCHEZ MUÑOZ ALBERTO</t>
        </is>
      </c>
      <c r="B1101" t="inlineStr">
        <is>
          <t>Hombre</t>
        </is>
      </c>
      <c r="C1101" t="inlineStr">
        <is>
          <t>4753AF</t>
        </is>
      </c>
      <c r="D1101" t="inlineStr">
        <is>
          <t>CDMX Y AREA METROPOLITANA</t>
        </is>
      </c>
      <c r="E1101" t="inlineStr">
        <is>
          <t>04-2025</t>
        </is>
      </c>
      <c r="F1101" t="inlineStr">
        <is>
          <t>07-2025</t>
        </is>
      </c>
      <c r="G1101" t="n">
        <v>3</v>
      </c>
      <c r="H1101" t="inlineStr">
        <is>
          <t>Efectivo</t>
        </is>
      </c>
      <c r="I1101" t="inlineStr">
        <is>
          <t>07-2025</t>
        </is>
      </c>
      <c r="J1101" t="inlineStr">
        <is>
          <t>84F062</t>
        </is>
      </c>
      <c r="K1101" t="inlineStr">
        <is>
          <t>BYD D1</t>
        </is>
      </c>
      <c r="L1101" t="inlineStr">
        <is>
          <t>UBER</t>
        </is>
      </c>
      <c r="M1101" s="3">
        <f>IF(H1101="Efectivo",IFERROR((VALUE(RIGHT(I1101,4))-VALUE(RIGHT(E1101,4)))*12+(VALUE(LEFT(I1101,2))-VALUE(LEFT(E1101,2))),""),"")</f>
        <v/>
      </c>
    </row>
    <row r="1102">
      <c r="A1102" t="inlineStr">
        <is>
          <t>SANCHEZ OCHOA JUAN CARLOS</t>
        </is>
      </c>
      <c r="B1102" t="inlineStr">
        <is>
          <t>Hombre</t>
        </is>
      </c>
      <c r="C1102" t="inlineStr">
        <is>
          <t>6832AF</t>
        </is>
      </c>
      <c r="D1102" t="inlineStr">
        <is>
          <t>CDMX Y AREA METROPOLITANA</t>
        </is>
      </c>
      <c r="E1102" t="inlineStr">
        <is>
          <t>01-2026</t>
        </is>
      </c>
      <c r="F1102" t="inlineStr">
        <is>
          <t>03-2026</t>
        </is>
      </c>
      <c r="G1102" t="n">
        <v>1</v>
      </c>
      <c r="H1102" t="inlineStr">
        <is>
          <t>Efectivo</t>
        </is>
      </c>
      <c r="I1102" t="inlineStr">
        <is>
          <t>03-2026</t>
        </is>
      </c>
      <c r="J1102" t="inlineStr">
        <is>
          <t>13G965</t>
        </is>
      </c>
      <c r="K1102" t="inlineStr">
        <is>
          <t>BYD D1</t>
        </is>
      </c>
      <c r="L1102" t="inlineStr">
        <is>
          <t>UBER</t>
        </is>
      </c>
      <c r="M1102" s="3">
        <f>IF(H1102="Efectivo",IFERROR((VALUE(RIGHT(I1102,4))-VALUE(RIGHT(E1102,4)))*12+(VALUE(LEFT(I1102,2))-VALUE(LEFT(E1102,2))),""),"")</f>
        <v/>
      </c>
    </row>
    <row r="1103">
      <c r="A1103" t="inlineStr">
        <is>
          <t>SANCHEZ OLVERA OSCAR</t>
        </is>
      </c>
      <c r="B1103" t="inlineStr">
        <is>
          <t>Hombre</t>
        </is>
      </c>
      <c r="C1103" t="inlineStr">
        <is>
          <t>5599AF</t>
        </is>
      </c>
      <c r="D1103" t="inlineStr">
        <is>
          <t>CDMX Y AREA METROPOLITANA</t>
        </is>
      </c>
      <c r="E1103" t="inlineStr">
        <is>
          <t>08-2025</t>
        </is>
      </c>
      <c r="F1103" t="inlineStr">
        <is>
          <t>01-2026</t>
        </is>
      </c>
      <c r="G1103" t="n">
        <v>5</v>
      </c>
      <c r="H1103" t="inlineStr">
        <is>
          <t>Efectivo</t>
        </is>
      </c>
      <c r="I1103" t="inlineStr">
        <is>
          <t>02-2026</t>
        </is>
      </c>
      <c r="J1103" t="inlineStr">
        <is>
          <t>07K828</t>
        </is>
      </c>
      <c r="K1103" t="inlineStr">
        <is>
          <t>GAC AION S</t>
        </is>
      </c>
      <c r="L1103" t="inlineStr">
        <is>
          <t>UBER</t>
        </is>
      </c>
      <c r="M1103" s="3">
        <f>IF(H1103="Efectivo",IFERROR((VALUE(RIGHT(I1103,4))-VALUE(RIGHT(E1103,4)))*12+(VALUE(LEFT(I1103,2))-VALUE(LEFT(E1103,2))),""),"")</f>
        <v/>
      </c>
    </row>
    <row r="1104">
      <c r="A1104" t="inlineStr">
        <is>
          <t>SANCHEZ OSORIO RACIEL ROMMELT</t>
        </is>
      </c>
      <c r="B1104" t="inlineStr">
        <is>
          <t>Hombre</t>
        </is>
      </c>
      <c r="C1104" t="inlineStr">
        <is>
          <t>3380AF</t>
        </is>
      </c>
      <c r="D1104" t="inlineStr">
        <is>
          <t>CDMX Y AREA METROPOLITANA</t>
        </is>
      </c>
      <c r="E1104" t="inlineStr">
        <is>
          <t>06-2024</t>
        </is>
      </c>
      <c r="F1104" t="inlineStr">
        <is>
          <t>11-2025</t>
        </is>
      </c>
      <c r="G1104" t="n">
        <v>17</v>
      </c>
      <c r="H1104" t="inlineStr">
        <is>
          <t>Efectivo</t>
        </is>
      </c>
      <c r="I1104" t="inlineStr">
        <is>
          <t>02-2026</t>
        </is>
      </c>
      <c r="J1104" t="inlineStr">
        <is>
          <t>P80BMY</t>
        </is>
      </c>
      <c r="K1104" t="inlineStr">
        <is>
          <t>CHEVROLET AVEO</t>
        </is>
      </c>
      <c r="L1104" t="inlineStr">
        <is>
          <t>UBER</t>
        </is>
      </c>
      <c r="M1104" s="3">
        <f>IF(H1104="Efectivo",IFERROR((VALUE(RIGHT(I1104,4))-VALUE(RIGHT(E1104,4)))*12+(VALUE(LEFT(I1104,2))-VALUE(LEFT(E1104,2))),""),"")</f>
        <v/>
      </c>
    </row>
    <row r="1105">
      <c r="A1105" t="inlineStr">
        <is>
          <t>SANCHEZ QUEZADA ERIK</t>
        </is>
      </c>
      <c r="B1105" t="inlineStr">
        <is>
          <t>Hombre</t>
        </is>
      </c>
      <c r="C1105" t="inlineStr">
        <is>
          <t>3604AF</t>
        </is>
      </c>
      <c r="D1105" t="inlineStr">
        <is>
          <t>NUEVO LEON</t>
        </is>
      </c>
      <c r="E1105" t="inlineStr">
        <is>
          <t>08-2024</t>
        </is>
      </c>
      <c r="F1105" t="inlineStr">
        <is>
          <t>01-2026</t>
        </is>
      </c>
      <c r="G1105" t="n">
        <v>18</v>
      </c>
      <c r="H1105" t="inlineStr">
        <is>
          <t>Efectivo</t>
        </is>
      </c>
      <c r="I1105" t="inlineStr">
        <is>
          <t>02-2026</t>
        </is>
      </c>
      <c r="J1105" t="inlineStr">
        <is>
          <t>TDS718B</t>
        </is>
      </c>
      <c r="K1105" t="inlineStr">
        <is>
          <t>CHEVROLET AVEO</t>
        </is>
      </c>
      <c r="L1105" t="inlineStr">
        <is>
          <t>UBER</t>
        </is>
      </c>
      <c r="M1105" s="3">
        <f>IF(H1105="Efectivo",IFERROR((VALUE(RIGHT(I1105,4))-VALUE(RIGHT(E1105,4)))*12+(VALUE(LEFT(I1105,2))-VALUE(LEFT(E1105,2))),""),"")</f>
        <v/>
      </c>
    </row>
    <row r="1106">
      <c r="A1106" t="inlineStr">
        <is>
          <t>SANCHEZ RAZO JOSE AUGUSTO</t>
        </is>
      </c>
      <c r="B1106" t="inlineStr">
        <is>
          <t>Hombre</t>
        </is>
      </c>
      <c r="C1106" t="inlineStr">
        <is>
          <t>5270AF</t>
        </is>
      </c>
      <c r="D1106" t="inlineStr">
        <is>
          <t>CDMX Y AREA METROPOLITANA</t>
        </is>
      </c>
      <c r="E1106" t="inlineStr">
        <is>
          <t>07-2025</t>
        </is>
      </c>
      <c r="F1106" t="inlineStr">
        <is>
          <t>01-2026</t>
        </is>
      </c>
      <c r="G1106" t="n">
        <v>6</v>
      </c>
      <c r="H1106" t="inlineStr">
        <is>
          <t>Efectivo</t>
        </is>
      </c>
      <c r="I1106" t="inlineStr">
        <is>
          <t>01-2026</t>
        </is>
      </c>
      <c r="J1106" t="inlineStr">
        <is>
          <t>43G872</t>
        </is>
      </c>
      <c r="K1106" t="inlineStr">
        <is>
          <t>GAC AION S</t>
        </is>
      </c>
      <c r="L1106" t="inlineStr">
        <is>
          <t>UBER</t>
        </is>
      </c>
      <c r="M1106" s="3">
        <f>IF(H1106="Efectivo",IFERROR((VALUE(RIGHT(I1106,4))-VALUE(RIGHT(E1106,4)))*12+(VALUE(LEFT(I1106,2))-VALUE(LEFT(E1106,2))),""),"")</f>
        <v/>
      </c>
    </row>
    <row r="1107">
      <c r="A1107" t="inlineStr">
        <is>
          <t>SANCHEZ RODRIGUEZ JOSE HERIBERTO</t>
        </is>
      </c>
      <c r="B1107" t="inlineStr">
        <is>
          <t>Hombre</t>
        </is>
      </c>
      <c r="C1107" t="inlineStr">
        <is>
          <t>4090AF</t>
        </is>
      </c>
      <c r="D1107" t="inlineStr">
        <is>
          <t>CDMX Y AREA METROPOLITANA</t>
        </is>
      </c>
      <c r="E1107" t="inlineStr">
        <is>
          <t>12-2024</t>
        </is>
      </c>
      <c r="F1107" t="inlineStr">
        <is>
          <t>03-2025</t>
        </is>
      </c>
      <c r="G1107" t="n">
        <v>3</v>
      </c>
      <c r="H1107" t="inlineStr">
        <is>
          <t>Efectivo</t>
        </is>
      </c>
      <c r="I1107" t="inlineStr">
        <is>
          <t>03-2025</t>
        </is>
      </c>
      <c r="J1107" t="inlineStr">
        <is>
          <t>19G380</t>
        </is>
      </c>
      <c r="K1107" t="inlineStr">
        <is>
          <t>BYD D1</t>
        </is>
      </c>
      <c r="L1107" t="inlineStr">
        <is>
          <t>UBER</t>
        </is>
      </c>
      <c r="M1107" s="3">
        <f>IF(H1107="Efectivo",IFERROR((VALUE(RIGHT(I1107,4))-VALUE(RIGHT(E1107,4)))*12+(VALUE(LEFT(I1107,2))-VALUE(LEFT(E1107,2))),""),"")</f>
        <v/>
      </c>
    </row>
    <row r="1108">
      <c r="A1108" t="inlineStr">
        <is>
          <t>SANCHEZ RODRIGUEZ JOSE MANUEL</t>
        </is>
      </c>
      <c r="B1108" t="inlineStr">
        <is>
          <t>Hombre</t>
        </is>
      </c>
      <c r="C1108" t="inlineStr">
        <is>
          <t>4011AF</t>
        </is>
      </c>
      <c r="D1108" t="inlineStr">
        <is>
          <t>NUEVO LEON</t>
        </is>
      </c>
      <c r="E1108" t="inlineStr">
        <is>
          <t>11-2024</t>
        </is>
      </c>
      <c r="F1108" t="inlineStr">
        <is>
          <t>05-2025</t>
        </is>
      </c>
      <c r="G1108" t="n">
        <v>6</v>
      </c>
      <c r="H1108" t="inlineStr">
        <is>
          <t>Efectivo</t>
        </is>
      </c>
      <c r="I1108" t="inlineStr">
        <is>
          <t>05-2025</t>
        </is>
      </c>
      <c r="J1108" t="inlineStr">
        <is>
          <t>TCV542B</t>
        </is>
      </c>
      <c r="K1108" t="inlineStr">
        <is>
          <t>ONIX</t>
        </is>
      </c>
      <c r="L1108" t="inlineStr">
        <is>
          <t>UBER</t>
        </is>
      </c>
      <c r="M1108" s="3">
        <f>IF(H1108="Efectivo",IFERROR((VALUE(RIGHT(I1108,4))-VALUE(RIGHT(E1108,4)))*12+(VALUE(LEFT(I1108,2))-VALUE(LEFT(E1108,2))),""),"")</f>
        <v/>
      </c>
    </row>
    <row r="1109">
      <c r="A1109" t="inlineStr">
        <is>
          <t>SANCHEZ ROJAS FRANCISCO ANTONIO</t>
        </is>
      </c>
      <c r="B1109" t="inlineStr">
        <is>
          <t>Hombre</t>
        </is>
      </c>
      <c r="C1109" t="inlineStr">
        <is>
          <t>5478AF</t>
        </is>
      </c>
      <c r="D1109" t="inlineStr">
        <is>
          <t>CDMX Y AREA METROPOLITANA</t>
        </is>
      </c>
      <c r="E1109" t="inlineStr">
        <is>
          <t>08-2025</t>
        </is>
      </c>
      <c r="F1109" t="inlineStr">
        <is>
          <t>04-2026</t>
        </is>
      </c>
      <c r="G1109" t="n">
        <v>9</v>
      </c>
      <c r="H1109" t="inlineStr">
        <is>
          <t>Efectivo</t>
        </is>
      </c>
      <c r="I1109" t="inlineStr">
        <is>
          <t>04-2026</t>
        </is>
      </c>
      <c r="J1109" t="inlineStr">
        <is>
          <t>48G177</t>
        </is>
      </c>
      <c r="K1109" t="inlineStr">
        <is>
          <t>BYD MINIDOLPHIN</t>
        </is>
      </c>
      <c r="L1109" t="inlineStr">
        <is>
          <t>UBER</t>
        </is>
      </c>
      <c r="M1109" s="3">
        <f>IF(H1109="Efectivo",IFERROR((VALUE(RIGHT(I1109,4))-VALUE(RIGHT(E1109,4)))*12+(VALUE(LEFT(I1109,2))-VALUE(LEFT(E1109,2))),""),"")</f>
        <v/>
      </c>
    </row>
    <row r="1110">
      <c r="A1110" t="inlineStr">
        <is>
          <t>SANCHEZ VALENZUELA CRISTIAN BALVANEDO</t>
        </is>
      </c>
      <c r="B1110" t="inlineStr">
        <is>
          <t>Hombre</t>
        </is>
      </c>
      <c r="C1110" t="inlineStr">
        <is>
          <t>5873AF</t>
        </is>
      </c>
      <c r="D1110" t="inlineStr">
        <is>
          <t>BAJA CALIFORNIA</t>
        </is>
      </c>
      <c r="E1110" t="inlineStr">
        <is>
          <t>10-2025</t>
        </is>
      </c>
      <c r="F1110" t="inlineStr">
        <is>
          <t>04-2026</t>
        </is>
      </c>
      <c r="G1110" t="n">
        <v>6</v>
      </c>
      <c r="H1110" t="inlineStr">
        <is>
          <t>Efectivo</t>
        </is>
      </c>
      <c r="I1110" t="inlineStr">
        <is>
          <t>04-2026</t>
        </is>
      </c>
      <c r="J1110" t="inlineStr">
        <is>
          <t>CAJ002A</t>
        </is>
      </c>
      <c r="K1110" t="inlineStr">
        <is>
          <t>CHEVROLET AVEO</t>
        </is>
      </c>
      <c r="L1110" t="inlineStr">
        <is>
          <t>UBER</t>
        </is>
      </c>
      <c r="M1110" s="3">
        <f>IF(H1110="Efectivo",IFERROR((VALUE(RIGHT(I1110,4))-VALUE(RIGHT(E1110,4)))*12+(VALUE(LEFT(I1110,2))-VALUE(LEFT(E1110,2))),""),"")</f>
        <v/>
      </c>
    </row>
    <row r="1111">
      <c r="A1111" t="inlineStr">
        <is>
          <t>SANCHEZ VALTIERRA JOSE ALBERTO</t>
        </is>
      </c>
      <c r="B1111" t="inlineStr">
        <is>
          <t>Hombre</t>
        </is>
      </c>
      <c r="C1111" t="inlineStr">
        <is>
          <t>4618AF</t>
        </is>
      </c>
      <c r="D1111" t="inlineStr">
        <is>
          <t>CDMX Y AREA METROPOLITANA</t>
        </is>
      </c>
      <c r="E1111" t="inlineStr">
        <is>
          <t>04-2025</t>
        </is>
      </c>
      <c r="F1111" t="inlineStr">
        <is>
          <t>10-2025</t>
        </is>
      </c>
      <c r="G1111" t="n">
        <v>6</v>
      </c>
      <c r="H1111" t="inlineStr">
        <is>
          <t>Efectivo</t>
        </is>
      </c>
      <c r="I1111" t="inlineStr">
        <is>
          <t>10-2025</t>
        </is>
      </c>
      <c r="J1111" t="inlineStr">
        <is>
          <t>89F999</t>
        </is>
      </c>
      <c r="K1111" t="inlineStr">
        <is>
          <t>BYD D1</t>
        </is>
      </c>
      <c r="L1111" t="inlineStr">
        <is>
          <t>DIDI</t>
        </is>
      </c>
      <c r="M1111" s="3">
        <f>IF(H1111="Efectivo",IFERROR((VALUE(RIGHT(I1111,4))-VALUE(RIGHT(E1111,4)))*12+(VALUE(LEFT(I1111,2))-VALUE(LEFT(E1111,2))),""),"")</f>
        <v/>
      </c>
    </row>
    <row r="1112">
      <c r="A1112" t="inlineStr">
        <is>
          <t>SANCHEZ VERGARA ALEJANDRO</t>
        </is>
      </c>
      <c r="B1112" t="inlineStr">
        <is>
          <t>Hombre</t>
        </is>
      </c>
      <c r="C1112" t="inlineStr">
        <is>
          <t>2527AF</t>
        </is>
      </c>
      <c r="D1112" t="inlineStr">
        <is>
          <t>CDMX Y AREA METROPOLITANA</t>
        </is>
      </c>
      <c r="E1112" t="inlineStr">
        <is>
          <t>04-2023</t>
        </is>
      </c>
      <c r="F1112" t="inlineStr">
        <is>
          <t>06-2025</t>
        </is>
      </c>
      <c r="G1112" t="n">
        <v>26</v>
      </c>
      <c r="H1112" t="inlineStr">
        <is>
          <t>Cancelado</t>
        </is>
      </c>
      <c r="J1112" t="inlineStr">
        <is>
          <t>C91BLM</t>
        </is>
      </c>
      <c r="K1112" t="inlineStr">
        <is>
          <t>ATTITUDE</t>
        </is>
      </c>
      <c r="L1112" t="inlineStr">
        <is>
          <t>UBER</t>
        </is>
      </c>
      <c r="M1112" s="3">
        <f>IF(H1112="Efectivo",IFERROR((VALUE(RIGHT(I1112,4))-VALUE(RIGHT(E1112,4)))*12+(VALUE(LEFT(I1112,2))-VALUE(LEFT(E1112,2))),""),"")</f>
        <v/>
      </c>
    </row>
    <row r="1113">
      <c r="A1113" t="inlineStr">
        <is>
          <t>SANDOVAL LUGO OSCAR</t>
        </is>
      </c>
      <c r="B1113" t="inlineStr">
        <is>
          <t>Hombre</t>
        </is>
      </c>
      <c r="C1113" t="inlineStr">
        <is>
          <t>5464AF</t>
        </is>
      </c>
      <c r="D1113" t="inlineStr">
        <is>
          <t>CDMX Y AREA METROPOLITANA</t>
        </is>
      </c>
      <c r="E1113" t="inlineStr">
        <is>
          <t>11-2025</t>
        </is>
      </c>
      <c r="F1113" t="inlineStr">
        <is>
          <t>05-2026</t>
        </is>
      </c>
      <c r="G1113" t="n">
        <v>6</v>
      </c>
      <c r="H1113" t="inlineStr">
        <is>
          <t>Pendiente</t>
        </is>
      </c>
      <c r="J1113" t="inlineStr">
        <is>
          <t>44G166</t>
        </is>
      </c>
      <c r="K1113" t="inlineStr">
        <is>
          <t>GAC AION S</t>
        </is>
      </c>
      <c r="L1113" t="inlineStr">
        <is>
          <t>UBER</t>
        </is>
      </c>
      <c r="M1113" s="3">
        <f>IF(H1113="Efectivo",IFERROR((VALUE(RIGHT(I1113,4))-VALUE(RIGHT(E1113,4)))*12+(VALUE(LEFT(I1113,2))-VALUE(LEFT(E1113,2))),""),"")</f>
        <v/>
      </c>
    </row>
    <row r="1114">
      <c r="A1114" t="inlineStr">
        <is>
          <t>SANJUAN HERNANDEZ REYNALDO</t>
        </is>
      </c>
      <c r="B1114" t="inlineStr">
        <is>
          <t>Hombre</t>
        </is>
      </c>
      <c r="C1114" t="inlineStr">
        <is>
          <t>4057AF</t>
        </is>
      </c>
      <c r="D1114" t="inlineStr">
        <is>
          <t>CDMX Y AREA METROPOLITANA</t>
        </is>
      </c>
      <c r="E1114" t="inlineStr">
        <is>
          <t>12-2024</t>
        </is>
      </c>
      <c r="F1114" t="inlineStr">
        <is>
          <t>09-2025</t>
        </is>
      </c>
      <c r="G1114" t="n">
        <v>9</v>
      </c>
      <c r="H1114" t="inlineStr">
        <is>
          <t>Efectivo</t>
        </is>
      </c>
      <c r="I1114" t="inlineStr">
        <is>
          <t>10-2025</t>
        </is>
      </c>
      <c r="J1114" t="inlineStr">
        <is>
          <t>13G940</t>
        </is>
      </c>
      <c r="K1114" t="inlineStr">
        <is>
          <t>BYD D1</t>
        </is>
      </c>
      <c r="L1114" t="inlineStr">
        <is>
          <t>UBER</t>
        </is>
      </c>
      <c r="M1114" s="3">
        <f>IF(H1114="Efectivo",IFERROR((VALUE(RIGHT(I1114,4))-VALUE(RIGHT(E1114,4)))*12+(VALUE(LEFT(I1114,2))-VALUE(LEFT(E1114,2))),""),"")</f>
        <v/>
      </c>
    </row>
    <row r="1115">
      <c r="A1115" t="inlineStr">
        <is>
          <t>SANJUANICO REYNA JOSE MANUEL</t>
        </is>
      </c>
      <c r="B1115" t="inlineStr">
        <is>
          <t>Hombre</t>
        </is>
      </c>
      <c r="C1115" t="inlineStr">
        <is>
          <t>5615AF</t>
        </is>
      </c>
      <c r="D1115" t="inlineStr">
        <is>
          <t>CDMX Y AREA METROPOLITANA</t>
        </is>
      </c>
      <c r="E1115" t="inlineStr">
        <is>
          <t>08-2025</t>
        </is>
      </c>
      <c r="F1115" t="inlineStr">
        <is>
          <t>01-2026</t>
        </is>
      </c>
      <c r="G1115" t="n">
        <v>4</v>
      </c>
      <c r="H1115" t="inlineStr">
        <is>
          <t>Efectivo</t>
        </is>
      </c>
      <c r="I1115" t="inlineStr">
        <is>
          <t>01-2026</t>
        </is>
      </c>
      <c r="J1115" t="inlineStr">
        <is>
          <t>48G158</t>
        </is>
      </c>
      <c r="K1115" t="inlineStr">
        <is>
          <t>BYD MINIDOLPHIN</t>
        </is>
      </c>
      <c r="L1115" t="inlineStr">
        <is>
          <t>UBER</t>
        </is>
      </c>
      <c r="M1115" s="3">
        <f>IF(H1115="Efectivo",IFERROR((VALUE(RIGHT(I1115,4))-VALUE(RIGHT(E1115,4)))*12+(VALUE(LEFT(I1115,2))-VALUE(LEFT(E1115,2))),""),"")</f>
        <v/>
      </c>
    </row>
    <row r="1116">
      <c r="A1116" t="inlineStr">
        <is>
          <t>SANSORES CASTRO REYNA ISABEL</t>
        </is>
      </c>
      <c r="B1116" t="inlineStr">
        <is>
          <t>Mujer</t>
        </is>
      </c>
      <c r="C1116" t="inlineStr">
        <is>
          <t>4115AF</t>
        </is>
      </c>
      <c r="D1116" t="inlineStr">
        <is>
          <t>BAJA CALIFORNIA</t>
        </is>
      </c>
      <c r="E1116" t="inlineStr">
        <is>
          <t>12-2024</t>
        </is>
      </c>
      <c r="F1116" t="inlineStr">
        <is>
          <t>10-2025</t>
        </is>
      </c>
      <c r="G1116" t="n">
        <v>10</v>
      </c>
      <c r="H1116" t="inlineStr">
        <is>
          <t>Pendiente</t>
        </is>
      </c>
      <c r="J1116" t="inlineStr">
        <is>
          <t>BJX372A</t>
        </is>
      </c>
      <c r="K1116" t="inlineStr">
        <is>
          <t>CHEVROLET AVEO</t>
        </is>
      </c>
      <c r="L1116" t="inlineStr">
        <is>
          <t>UBER</t>
        </is>
      </c>
      <c r="M1116" s="3">
        <f>IF(H1116="Efectivo",IFERROR((VALUE(RIGHT(I1116,4))-VALUE(RIGHT(E1116,4)))*12+(VALUE(LEFT(I1116,2))-VALUE(LEFT(E1116,2))),""),"")</f>
        <v/>
      </c>
    </row>
    <row r="1117">
      <c r="A1117" t="inlineStr">
        <is>
          <t>SANTANA ARZATE LUIS FELIPE</t>
        </is>
      </c>
      <c r="B1117" t="inlineStr">
        <is>
          <t>Hombre</t>
        </is>
      </c>
      <c r="C1117" t="inlineStr">
        <is>
          <t>4177AF</t>
        </is>
      </c>
      <c r="D1117" t="inlineStr">
        <is>
          <t>CDMX Y AREA METROPOLITANA</t>
        </is>
      </c>
      <c r="E1117" t="inlineStr">
        <is>
          <t>01-2025</t>
        </is>
      </c>
      <c r="F1117" t="inlineStr">
        <is>
          <t>11-2025</t>
        </is>
      </c>
      <c r="G1117" t="n">
        <v>10</v>
      </c>
      <c r="H1117" t="inlineStr">
        <is>
          <t>Efectivo</t>
        </is>
      </c>
      <c r="I1117" t="inlineStr">
        <is>
          <t>02-2026</t>
        </is>
      </c>
      <c r="J1117" t="inlineStr">
        <is>
          <t>19G635</t>
        </is>
      </c>
      <c r="K1117" t="inlineStr">
        <is>
          <t>BYD D1</t>
        </is>
      </c>
      <c r="L1117" t="inlineStr">
        <is>
          <t>UBER</t>
        </is>
      </c>
      <c r="M1117" s="3">
        <f>IF(H1117="Efectivo",IFERROR((VALUE(RIGHT(I1117,4))-VALUE(RIGHT(E1117,4)))*12+(VALUE(LEFT(I1117,2))-VALUE(LEFT(E1117,2))),""),"")</f>
        <v/>
      </c>
    </row>
    <row r="1118">
      <c r="A1118" t="inlineStr">
        <is>
          <t>SANTIAGO DIEGO NICOLAS</t>
        </is>
      </c>
      <c r="B1118" t="inlineStr">
        <is>
          <t>Hombre</t>
        </is>
      </c>
      <c r="C1118" t="inlineStr">
        <is>
          <t>3130AF</t>
        </is>
      </c>
      <c r="D1118" t="inlineStr">
        <is>
          <t>NUEVO LEON</t>
        </is>
      </c>
      <c r="E1118" t="inlineStr">
        <is>
          <t>03-2024</t>
        </is>
      </c>
      <c r="F1118" t="inlineStr">
        <is>
          <t>11-2025</t>
        </is>
      </c>
      <c r="G1118" t="n">
        <v>20</v>
      </c>
      <c r="H1118" t="inlineStr">
        <is>
          <t>Efectivo</t>
        </is>
      </c>
      <c r="I1118" t="inlineStr">
        <is>
          <t>01-2026</t>
        </is>
      </c>
      <c r="J1118" t="inlineStr">
        <is>
          <t>SVZ848B</t>
        </is>
      </c>
      <c r="K1118" t="inlineStr">
        <is>
          <t>CHEVROLET AVEO</t>
        </is>
      </c>
      <c r="L1118" t="inlineStr">
        <is>
          <t>UBER</t>
        </is>
      </c>
      <c r="M1118" s="3">
        <f>IF(H1118="Efectivo",IFERROR((VALUE(RIGHT(I1118,4))-VALUE(RIGHT(E1118,4)))*12+(VALUE(LEFT(I1118,2))-VALUE(LEFT(E1118,2))),""),"")</f>
        <v/>
      </c>
    </row>
    <row r="1119">
      <c r="A1119" t="inlineStr">
        <is>
          <t>SANTIAGO HERNANDEZ GUSTAVO ADOLFO</t>
        </is>
      </c>
      <c r="B1119" t="inlineStr">
        <is>
          <t>Hombre</t>
        </is>
      </c>
      <c r="C1119" t="inlineStr">
        <is>
          <t>5039AF</t>
        </is>
      </c>
      <c r="D1119" t="inlineStr">
        <is>
          <t>CDMX Y AREA METROPOLITANA</t>
        </is>
      </c>
      <c r="E1119" t="inlineStr">
        <is>
          <t>06-2025</t>
        </is>
      </c>
      <c r="F1119" t="inlineStr">
        <is>
          <t>09-2025</t>
        </is>
      </c>
      <c r="G1119" t="n">
        <v>3</v>
      </c>
      <c r="H1119" t="inlineStr">
        <is>
          <t>Cancelado</t>
        </is>
      </c>
      <c r="J1119" t="inlineStr">
        <is>
          <t>47G566</t>
        </is>
      </c>
      <c r="K1119" t="inlineStr">
        <is>
          <t>BYD MINIDOLPHIN</t>
        </is>
      </c>
      <c r="L1119" t="inlineStr">
        <is>
          <t>UBER</t>
        </is>
      </c>
      <c r="M1119" s="3">
        <f>IF(H1119="Efectivo",IFERROR((VALUE(RIGHT(I1119,4))-VALUE(RIGHT(E1119,4)))*12+(VALUE(LEFT(I1119,2))-VALUE(LEFT(E1119,2))),""),"")</f>
        <v/>
      </c>
    </row>
    <row r="1120">
      <c r="A1120" t="inlineStr">
        <is>
          <t>SANTIAGO LEON IVAN</t>
        </is>
      </c>
      <c r="B1120" t="inlineStr">
        <is>
          <t>Hombre</t>
        </is>
      </c>
      <c r="C1120" t="inlineStr">
        <is>
          <t>6407AF</t>
        </is>
      </c>
      <c r="D1120" t="inlineStr">
        <is>
          <t>CDMX Y AREA METROPOLITANA</t>
        </is>
      </c>
      <c r="E1120" t="inlineStr">
        <is>
          <t>12-2025</t>
        </is>
      </c>
      <c r="F1120" t="inlineStr">
        <is>
          <t>05-2026</t>
        </is>
      </c>
      <c r="G1120" t="n">
        <v>5</v>
      </c>
      <c r="H1120" t="inlineStr">
        <is>
          <t>Pendiente</t>
        </is>
      </c>
      <c r="J1120" t="inlineStr">
        <is>
          <t>50G853</t>
        </is>
      </c>
      <c r="K1120" t="inlineStr">
        <is>
          <t>GAC AION S</t>
        </is>
      </c>
      <c r="L1120" t="inlineStr">
        <is>
          <t>DIDI</t>
        </is>
      </c>
      <c r="M1120" s="3">
        <f>IF(H1120="Efectivo",IFERROR((VALUE(RIGHT(I1120,4))-VALUE(RIGHT(E1120,4)))*12+(VALUE(LEFT(I1120,2))-VALUE(LEFT(E1120,2))),""),"")</f>
        <v/>
      </c>
    </row>
    <row r="1121">
      <c r="A1121" t="inlineStr">
        <is>
          <t>SANTIAGO TOLEDO JOSE ULISES</t>
        </is>
      </c>
      <c r="B1121" t="inlineStr">
        <is>
          <t>Hombre</t>
        </is>
      </c>
      <c r="C1121" t="inlineStr">
        <is>
          <t>4198AF</t>
        </is>
      </c>
      <c r="D1121" t="inlineStr">
        <is>
          <t>CDMX Y AREA METROPOLITANA</t>
        </is>
      </c>
      <c r="E1121" t="inlineStr">
        <is>
          <t>01-2025</t>
        </is>
      </c>
      <c r="F1121" t="inlineStr">
        <is>
          <t>07-2025</t>
        </is>
      </c>
      <c r="G1121" t="n">
        <v>6</v>
      </c>
      <c r="H1121" t="inlineStr">
        <is>
          <t>Efectivo</t>
        </is>
      </c>
      <c r="I1121" t="inlineStr">
        <is>
          <t>07-2025</t>
        </is>
      </c>
      <c r="J1121" t="inlineStr">
        <is>
          <t>63F993</t>
        </is>
      </c>
      <c r="K1121" t="inlineStr">
        <is>
          <t>SUZUKI ERTIGA</t>
        </is>
      </c>
      <c r="L1121" t="inlineStr">
        <is>
          <t>UBER</t>
        </is>
      </c>
      <c r="M1121" s="3">
        <f>IF(H1121="Efectivo",IFERROR((VALUE(RIGHT(I1121,4))-VALUE(RIGHT(E1121,4)))*12+(VALUE(LEFT(I1121,2))-VALUE(LEFT(E1121,2))),""),"")</f>
        <v/>
      </c>
    </row>
    <row r="1122">
      <c r="A1122" t="inlineStr">
        <is>
          <t>SANTOS ORTIZ MARIO IVAN</t>
        </is>
      </c>
      <c r="B1122" t="inlineStr">
        <is>
          <t>Hombre</t>
        </is>
      </c>
      <c r="C1122" t="inlineStr">
        <is>
          <t>3804AF</t>
        </is>
      </c>
      <c r="D1122" t="inlineStr">
        <is>
          <t>CDMX Y AREA METROPOLITANA</t>
        </is>
      </c>
      <c r="E1122" t="inlineStr">
        <is>
          <t>09-2024</t>
        </is>
      </c>
      <c r="F1122" t="inlineStr">
        <is>
          <t>02-2025</t>
        </is>
      </c>
      <c r="G1122" t="n">
        <v>4</v>
      </c>
      <c r="H1122" t="inlineStr">
        <is>
          <t>Efectivo</t>
        </is>
      </c>
      <c r="I1122" t="inlineStr">
        <is>
          <t>02-2025</t>
        </is>
      </c>
      <c r="J1122" t="inlineStr">
        <is>
          <t>08G189</t>
        </is>
      </c>
      <c r="K1122" t="inlineStr">
        <is>
          <t>BYD D1</t>
        </is>
      </c>
      <c r="L1122" t="inlineStr">
        <is>
          <t>UBER</t>
        </is>
      </c>
      <c r="M1122" s="3">
        <f>IF(H1122="Efectivo",IFERROR((VALUE(RIGHT(I1122,4))-VALUE(RIGHT(E1122,4)))*12+(VALUE(LEFT(I1122,2))-VALUE(LEFT(E1122,2))),""),"")</f>
        <v/>
      </c>
    </row>
    <row r="1123">
      <c r="A1123" t="inlineStr">
        <is>
          <t>SAUCEDA GUERRERO DIANA JAQUELINE</t>
        </is>
      </c>
      <c r="B1123" t="inlineStr">
        <is>
          <t>Mujer</t>
        </is>
      </c>
      <c r="C1123" t="inlineStr">
        <is>
          <t>4686AF</t>
        </is>
      </c>
      <c r="D1123" t="inlineStr">
        <is>
          <t>NUEVO LEON</t>
        </is>
      </c>
      <c r="E1123" t="inlineStr">
        <is>
          <t>04-2025</t>
        </is>
      </c>
      <c r="F1123" t="inlineStr">
        <is>
          <t>12-2025</t>
        </is>
      </c>
      <c r="G1123" t="n">
        <v>8</v>
      </c>
      <c r="H1123" t="inlineStr">
        <is>
          <t>Efectivo</t>
        </is>
      </c>
      <c r="I1123" t="inlineStr">
        <is>
          <t>01-2026</t>
        </is>
      </c>
      <c r="J1123" t="inlineStr">
        <is>
          <t>RLW863C</t>
        </is>
      </c>
      <c r="K1123" t="inlineStr">
        <is>
          <t>CHEVROLET AVEO</t>
        </is>
      </c>
      <c r="L1123" t="inlineStr">
        <is>
          <t>DIDI</t>
        </is>
      </c>
      <c r="M1123" s="3">
        <f>IF(H1123="Efectivo",IFERROR((VALUE(RIGHT(I1123,4))-VALUE(RIGHT(E1123,4)))*12+(VALUE(LEFT(I1123,2))-VALUE(LEFT(E1123,2))),""),"")</f>
        <v/>
      </c>
    </row>
    <row r="1124">
      <c r="A1124" t="inlineStr">
        <is>
          <t>SEGURA CORREA JORGE GUSTAVO</t>
        </is>
      </c>
      <c r="B1124" t="inlineStr">
        <is>
          <t>Hombre</t>
        </is>
      </c>
      <c r="C1124" t="inlineStr">
        <is>
          <t>4481AF</t>
        </is>
      </c>
      <c r="D1124" t="inlineStr">
        <is>
          <t>CDMX Y AREA METROPOLITANA</t>
        </is>
      </c>
      <c r="E1124" t="inlineStr">
        <is>
          <t>03-2025</t>
        </is>
      </c>
      <c r="F1124" t="inlineStr">
        <is>
          <t>07-2025</t>
        </is>
      </c>
      <c r="G1124" t="n">
        <v>4</v>
      </c>
      <c r="H1124" t="inlineStr">
        <is>
          <t>Efectivo</t>
        </is>
      </c>
      <c r="I1124" t="inlineStr">
        <is>
          <t>07-2025</t>
        </is>
      </c>
      <c r="J1124" t="inlineStr">
        <is>
          <t>31G906</t>
        </is>
      </c>
      <c r="K1124" t="inlineStr">
        <is>
          <t>GAC AION S</t>
        </is>
      </c>
      <c r="L1124" t="inlineStr">
        <is>
          <t>UBER</t>
        </is>
      </c>
      <c r="M1124" s="3">
        <f>IF(H1124="Efectivo",IFERROR((VALUE(RIGHT(I1124,4))-VALUE(RIGHT(E1124,4)))*12+(VALUE(LEFT(I1124,2))-VALUE(LEFT(E1124,2))),""),"")</f>
        <v/>
      </c>
    </row>
    <row r="1125">
      <c r="A1125" t="inlineStr">
        <is>
          <t>SERAFIN PEREZ JULIO CESAR</t>
        </is>
      </c>
      <c r="B1125" t="inlineStr">
        <is>
          <t>Hombre</t>
        </is>
      </c>
      <c r="C1125" t="inlineStr">
        <is>
          <t>5637AF</t>
        </is>
      </c>
      <c r="D1125" t="inlineStr">
        <is>
          <t>CDMX Y AREA METROPOLITANA</t>
        </is>
      </c>
      <c r="E1125" t="inlineStr">
        <is>
          <t>08-2025</t>
        </is>
      </c>
      <c r="F1125" t="inlineStr">
        <is>
          <t>03-2026</t>
        </is>
      </c>
      <c r="G1125" t="n">
        <v>6</v>
      </c>
      <c r="H1125" t="inlineStr">
        <is>
          <t>Efectivo</t>
        </is>
      </c>
      <c r="I1125" t="inlineStr">
        <is>
          <t>03-2026</t>
        </is>
      </c>
      <c r="J1125" t="inlineStr">
        <is>
          <t>08K018</t>
        </is>
      </c>
      <c r="K1125" t="inlineStr">
        <is>
          <t>GAC AION S</t>
        </is>
      </c>
      <c r="L1125" t="inlineStr">
        <is>
          <t>UBER</t>
        </is>
      </c>
      <c r="M1125" s="3">
        <f>IF(H1125="Efectivo",IFERROR((VALUE(RIGHT(I1125,4))-VALUE(RIGHT(E1125,4)))*12+(VALUE(LEFT(I1125,2))-VALUE(LEFT(E1125,2))),""),"")</f>
        <v/>
      </c>
    </row>
    <row r="1126">
      <c r="A1126" t="inlineStr">
        <is>
          <t>SERRANO TRUJILLO FRANCISCO DAVID</t>
        </is>
      </c>
      <c r="B1126" t="inlineStr">
        <is>
          <t>Hombre</t>
        </is>
      </c>
      <c r="C1126" t="inlineStr">
        <is>
          <t>5711AF</t>
        </is>
      </c>
      <c r="D1126" t="inlineStr">
        <is>
          <t>NUEVO LEON</t>
        </is>
      </c>
      <c r="E1126" t="inlineStr">
        <is>
          <t>09-2025</t>
        </is>
      </c>
      <c r="F1126" t="inlineStr">
        <is>
          <t>02-2026</t>
        </is>
      </c>
      <c r="G1126" t="n">
        <v>5</v>
      </c>
      <c r="H1126" t="inlineStr">
        <is>
          <t>Efectivo</t>
        </is>
      </c>
      <c r="I1126" t="inlineStr">
        <is>
          <t>03-2026</t>
        </is>
      </c>
      <c r="J1126" t="inlineStr">
        <is>
          <t>RXW060C</t>
        </is>
      </c>
      <c r="K1126" t="inlineStr">
        <is>
          <t>CHEVROLET AVEO</t>
        </is>
      </c>
      <c r="L1126" t="inlineStr">
        <is>
          <t>DIDI</t>
        </is>
      </c>
      <c r="M1126" s="3">
        <f>IF(H1126="Efectivo",IFERROR((VALUE(RIGHT(I1126,4))-VALUE(RIGHT(E1126,4)))*12+(VALUE(LEFT(I1126,2))-VALUE(LEFT(E1126,2))),""),"")</f>
        <v/>
      </c>
    </row>
    <row r="1127">
      <c r="A1127" t="inlineStr">
        <is>
          <t>SERVIN MEZA HORACIO</t>
        </is>
      </c>
      <c r="B1127" t="inlineStr">
        <is>
          <t>Hombre</t>
        </is>
      </c>
      <c r="C1127" t="inlineStr">
        <is>
          <t>3258AF</t>
        </is>
      </c>
      <c r="D1127" t="inlineStr">
        <is>
          <t>NUEVO LEON</t>
        </is>
      </c>
      <c r="E1127" t="inlineStr">
        <is>
          <t>05-2024</t>
        </is>
      </c>
      <c r="F1127" t="inlineStr">
        <is>
          <t>06-2025</t>
        </is>
      </c>
      <c r="G1127" t="n">
        <v>13</v>
      </c>
      <c r="H1127" t="inlineStr">
        <is>
          <t>Efectivo</t>
        </is>
      </c>
      <c r="I1127" t="inlineStr">
        <is>
          <t>06-2025</t>
        </is>
      </c>
      <c r="J1127" t="inlineStr">
        <is>
          <t>SVZ845B</t>
        </is>
      </c>
      <c r="K1127" t="inlineStr">
        <is>
          <t>CHEVROLET AVEO</t>
        </is>
      </c>
      <c r="L1127" t="inlineStr">
        <is>
          <t>UBER</t>
        </is>
      </c>
      <c r="M1127" s="3">
        <f>IF(H1127="Efectivo",IFERROR((VALUE(RIGHT(I1127,4))-VALUE(RIGHT(E1127,4)))*12+(VALUE(LEFT(I1127,2))-VALUE(LEFT(E1127,2))),""),"")</f>
        <v/>
      </c>
    </row>
    <row r="1128">
      <c r="A1128" t="inlineStr">
        <is>
          <t>SERVIN VAZQUEZ EDGAR</t>
        </is>
      </c>
      <c r="B1128" t="inlineStr">
        <is>
          <t>Hombre</t>
        </is>
      </c>
      <c r="C1128" t="inlineStr">
        <is>
          <t>5035AF</t>
        </is>
      </c>
      <c r="D1128" t="inlineStr">
        <is>
          <t>CDMX Y AREA METROPOLITANA</t>
        </is>
      </c>
      <c r="E1128" t="inlineStr">
        <is>
          <t>06-2025</t>
        </is>
      </c>
      <c r="F1128" t="inlineStr">
        <is>
          <t>04-2026</t>
        </is>
      </c>
      <c r="G1128" t="n">
        <v>10</v>
      </c>
      <c r="H1128" t="inlineStr">
        <is>
          <t>Efectivo</t>
        </is>
      </c>
      <c r="I1128" t="inlineStr">
        <is>
          <t>05-2026</t>
        </is>
      </c>
      <c r="J1128" t="inlineStr">
        <is>
          <t>47G589</t>
        </is>
      </c>
      <c r="K1128" t="inlineStr">
        <is>
          <t>BYD MINIDOLPHIN</t>
        </is>
      </c>
      <c r="L1128" t="inlineStr">
        <is>
          <t>UBER</t>
        </is>
      </c>
      <c r="M1128" s="3">
        <f>IF(H1128="Efectivo",IFERROR((VALUE(RIGHT(I1128,4))-VALUE(RIGHT(E1128,4)))*12+(VALUE(LEFT(I1128,2))-VALUE(LEFT(E1128,2))),""),"")</f>
        <v/>
      </c>
    </row>
    <row r="1129">
      <c r="A1129" t="inlineStr">
        <is>
          <t>SEVILLA CUAUTENCOS CAYETANO</t>
        </is>
      </c>
      <c r="B1129" t="inlineStr">
        <is>
          <t>Hombre</t>
        </is>
      </c>
      <c r="C1129" t="inlineStr">
        <is>
          <t>5223AF</t>
        </is>
      </c>
      <c r="D1129" t="inlineStr">
        <is>
          <t>CDMX Y AREA METROPOLITANA</t>
        </is>
      </c>
      <c r="E1129" t="inlineStr">
        <is>
          <t>07-2025</t>
        </is>
      </c>
      <c r="F1129" t="inlineStr">
        <is>
          <t>03-2026</t>
        </is>
      </c>
      <c r="G1129" t="n">
        <v>9</v>
      </c>
      <c r="H1129" t="inlineStr">
        <is>
          <t>Efectivo</t>
        </is>
      </c>
      <c r="I1129" t="inlineStr">
        <is>
          <t>03-2026</t>
        </is>
      </c>
      <c r="J1129" t="inlineStr">
        <is>
          <t>47G862</t>
        </is>
      </c>
      <c r="K1129" t="inlineStr">
        <is>
          <t>BYD MINIDOLPHIN</t>
        </is>
      </c>
      <c r="L1129" t="inlineStr">
        <is>
          <t>DIDI</t>
        </is>
      </c>
      <c r="M1129" s="3">
        <f>IF(H1129="Efectivo",IFERROR((VALUE(RIGHT(I1129,4))-VALUE(RIGHT(E1129,4)))*12+(VALUE(LEFT(I1129,2))-VALUE(LEFT(E1129,2))),""),"")</f>
        <v/>
      </c>
    </row>
    <row r="1130">
      <c r="A1130" t="inlineStr">
        <is>
          <t>SIERRA MARTINEZ URIEL ESTEBAN</t>
        </is>
      </c>
      <c r="B1130" t="inlineStr">
        <is>
          <t>Hombre</t>
        </is>
      </c>
      <c r="C1130" t="inlineStr">
        <is>
          <t>2717AF</t>
        </is>
      </c>
      <c r="D1130" t="inlineStr">
        <is>
          <t>CDMX Y AREA METROPOLITANA</t>
        </is>
      </c>
      <c r="E1130" t="inlineStr">
        <is>
          <t>08-2023</t>
        </is>
      </c>
      <c r="F1130" t="inlineStr">
        <is>
          <t>06-2025</t>
        </is>
      </c>
      <c r="G1130" t="n">
        <v>22</v>
      </c>
      <c r="H1130" t="inlineStr">
        <is>
          <t>Efectivo</t>
        </is>
      </c>
      <c r="I1130" t="inlineStr">
        <is>
          <t>07-2025</t>
        </is>
      </c>
      <c r="J1130" t="inlineStr">
        <is>
          <t>56F072</t>
        </is>
      </c>
      <c r="K1130" t="inlineStr">
        <is>
          <t>E10X-A</t>
        </is>
      </c>
      <c r="L1130" t="inlineStr">
        <is>
          <t>UBER</t>
        </is>
      </c>
      <c r="M1130" s="3">
        <f>IF(H1130="Efectivo",IFERROR((VALUE(RIGHT(I1130,4))-VALUE(RIGHT(E1130,4)))*12+(VALUE(LEFT(I1130,2))-VALUE(LEFT(E1130,2))),""),"")</f>
        <v/>
      </c>
    </row>
    <row r="1131">
      <c r="A1131" t="inlineStr">
        <is>
          <t>SIERRA PALMA LUIS</t>
        </is>
      </c>
      <c r="B1131" t="inlineStr">
        <is>
          <t>Hombre</t>
        </is>
      </c>
      <c r="C1131" t="inlineStr">
        <is>
          <t>4064AF</t>
        </is>
      </c>
      <c r="D1131" t="inlineStr">
        <is>
          <t>CDMX Y AREA METROPOLITANA</t>
        </is>
      </c>
      <c r="E1131" t="inlineStr">
        <is>
          <t>12-2024</t>
        </is>
      </c>
      <c r="F1131" t="inlineStr">
        <is>
          <t>03-2026</t>
        </is>
      </c>
      <c r="G1131" t="n">
        <v>15</v>
      </c>
      <c r="H1131" t="inlineStr">
        <is>
          <t>Efectivo</t>
        </is>
      </c>
      <c r="I1131" t="inlineStr">
        <is>
          <t>04-2026</t>
        </is>
      </c>
      <c r="J1131" t="inlineStr">
        <is>
          <t>19G346</t>
        </is>
      </c>
      <c r="K1131" t="inlineStr">
        <is>
          <t>BYD D1</t>
        </is>
      </c>
      <c r="L1131" t="inlineStr">
        <is>
          <t>UBER</t>
        </is>
      </c>
      <c r="M1131" s="3">
        <f>IF(H1131="Efectivo",IFERROR((VALUE(RIGHT(I1131,4))-VALUE(RIGHT(E1131,4)))*12+(VALUE(LEFT(I1131,2))-VALUE(LEFT(E1131,2))),""),"")</f>
        <v/>
      </c>
    </row>
    <row r="1132">
      <c r="A1132" t="inlineStr">
        <is>
          <t>SILVA CASTILLO JOSE ENRIQUE</t>
        </is>
      </c>
      <c r="B1132" t="inlineStr">
        <is>
          <t>Hombre</t>
        </is>
      </c>
      <c r="C1132" t="inlineStr">
        <is>
          <t>4788AF</t>
        </is>
      </c>
      <c r="D1132" t="inlineStr">
        <is>
          <t>CDMX Y AREA METROPOLITANA</t>
        </is>
      </c>
      <c r="E1132" t="inlineStr">
        <is>
          <t>05-2025</t>
        </is>
      </c>
      <c r="F1132" t="inlineStr">
        <is>
          <t>02-2026</t>
        </is>
      </c>
      <c r="G1132" t="n">
        <v>9</v>
      </c>
      <c r="H1132" t="inlineStr">
        <is>
          <t>Efectivo</t>
        </is>
      </c>
      <c r="I1132" t="inlineStr">
        <is>
          <t>02-2026</t>
        </is>
      </c>
      <c r="J1132" t="inlineStr">
        <is>
          <t>F04BRR</t>
        </is>
      </c>
      <c r="K1132" t="inlineStr">
        <is>
          <t>CHEVROLET AVEO</t>
        </is>
      </c>
      <c r="L1132" t="inlineStr">
        <is>
          <t>UBER</t>
        </is>
      </c>
      <c r="M1132" s="3">
        <f>IF(H1132="Efectivo",IFERROR((VALUE(RIGHT(I1132,4))-VALUE(RIGHT(E1132,4)))*12+(VALUE(LEFT(I1132,2))-VALUE(LEFT(E1132,2))),""),"")</f>
        <v/>
      </c>
    </row>
    <row r="1133">
      <c r="A1133" t="inlineStr">
        <is>
          <t>SILVA MARTELL SERGIO</t>
        </is>
      </c>
      <c r="B1133" t="inlineStr">
        <is>
          <t>Hombre</t>
        </is>
      </c>
      <c r="C1133" t="inlineStr">
        <is>
          <t>5328AF</t>
        </is>
      </c>
      <c r="D1133" t="inlineStr">
        <is>
          <t>CDMX Y AREA METROPOLITANA</t>
        </is>
      </c>
      <c r="E1133" t="inlineStr">
        <is>
          <t>07-2025</t>
        </is>
      </c>
      <c r="F1133" t="inlineStr">
        <is>
          <t>02-2026</t>
        </is>
      </c>
      <c r="G1133" t="n">
        <v>7</v>
      </c>
      <c r="H1133" t="inlineStr">
        <is>
          <t>Efectivo</t>
        </is>
      </c>
      <c r="I1133" t="inlineStr">
        <is>
          <t>02-2026</t>
        </is>
      </c>
      <c r="J1133" t="inlineStr">
        <is>
          <t>E59BPF</t>
        </is>
      </c>
      <c r="K1133" t="inlineStr">
        <is>
          <t>CHEVROLET AVEO</t>
        </is>
      </c>
      <c r="L1133" t="inlineStr">
        <is>
          <t>UBER</t>
        </is>
      </c>
      <c r="M1133" s="3">
        <f>IF(H1133="Efectivo",IFERROR((VALUE(RIGHT(I1133,4))-VALUE(RIGHT(E1133,4)))*12+(VALUE(LEFT(I1133,2))-VALUE(LEFT(E1133,2))),""),"")</f>
        <v/>
      </c>
    </row>
    <row r="1134">
      <c r="A1134" t="inlineStr">
        <is>
          <t>SILVA ROSALES JORGE</t>
        </is>
      </c>
      <c r="B1134" t="inlineStr">
        <is>
          <t>Hombre</t>
        </is>
      </c>
      <c r="C1134" t="inlineStr">
        <is>
          <t>4142AF</t>
        </is>
      </c>
      <c r="D1134" t="inlineStr">
        <is>
          <t>CDMX Y AREA METROPOLITANA</t>
        </is>
      </c>
      <c r="E1134" t="inlineStr">
        <is>
          <t>12-2024</t>
        </is>
      </c>
      <c r="F1134" t="inlineStr">
        <is>
          <t>07-2025</t>
        </is>
      </c>
      <c r="G1134" t="n">
        <v>7</v>
      </c>
      <c r="H1134" t="inlineStr">
        <is>
          <t>Cancelado</t>
        </is>
      </c>
      <c r="J1134" t="inlineStr">
        <is>
          <t>14G313</t>
        </is>
      </c>
      <c r="K1134" t="inlineStr">
        <is>
          <t>BYD D1</t>
        </is>
      </c>
      <c r="L1134" t="inlineStr">
        <is>
          <t>UBER</t>
        </is>
      </c>
      <c r="M1134" s="3">
        <f>IF(H1134="Efectivo",IFERROR((VALUE(RIGHT(I1134,4))-VALUE(RIGHT(E1134,4)))*12+(VALUE(LEFT(I1134,2))-VALUE(LEFT(E1134,2))),""),"")</f>
        <v/>
      </c>
    </row>
    <row r="1135">
      <c r="A1135" t="inlineStr">
        <is>
          <t>SOLANO PERAL MARCO ANTONIO DANIEL</t>
        </is>
      </c>
      <c r="B1135" t="inlineStr">
        <is>
          <t>Hombre</t>
        </is>
      </c>
      <c r="C1135" t="inlineStr">
        <is>
          <t>3766AF</t>
        </is>
      </c>
      <c r="D1135" t="inlineStr">
        <is>
          <t>CDMX Y AREA METROPOLITANA</t>
        </is>
      </c>
      <c r="E1135" t="inlineStr">
        <is>
          <t>09-2024</t>
        </is>
      </c>
      <c r="F1135" t="inlineStr">
        <is>
          <t>05-2026</t>
        </is>
      </c>
      <c r="G1135" t="n">
        <v>20</v>
      </c>
      <c r="H1135" t="inlineStr">
        <is>
          <t>Efectivo</t>
        </is>
      </c>
      <c r="I1135" t="inlineStr">
        <is>
          <t>05-2026</t>
        </is>
      </c>
      <c r="J1135" t="inlineStr">
        <is>
          <t>08G195</t>
        </is>
      </c>
      <c r="K1135" t="inlineStr">
        <is>
          <t>BYD D1</t>
        </is>
      </c>
      <c r="L1135" t="inlineStr">
        <is>
          <t>UBER</t>
        </is>
      </c>
      <c r="M1135" s="3">
        <f>IF(H1135="Efectivo",IFERROR((VALUE(RIGHT(I1135,4))-VALUE(RIGHT(E1135,4)))*12+(VALUE(LEFT(I1135,2))-VALUE(LEFT(E1135,2))),""),"")</f>
        <v/>
      </c>
    </row>
    <row r="1136">
      <c r="A1136" t="inlineStr">
        <is>
          <t>SOLIS OVANDO JOSE JONATAN</t>
        </is>
      </c>
      <c r="B1136" t="inlineStr">
        <is>
          <t>Hombre</t>
        </is>
      </c>
      <c r="C1136" t="inlineStr">
        <is>
          <t>3592AF</t>
        </is>
      </c>
      <c r="D1136" t="inlineStr">
        <is>
          <t>CDMX Y AREA METROPOLITANA</t>
        </is>
      </c>
      <c r="E1136" t="inlineStr">
        <is>
          <t>08-2024</t>
        </is>
      </c>
      <c r="F1136" t="inlineStr">
        <is>
          <t>03-2025</t>
        </is>
      </c>
      <c r="G1136" t="n">
        <v>7</v>
      </c>
      <c r="H1136" t="inlineStr">
        <is>
          <t>Cancelado</t>
        </is>
      </c>
      <c r="J1136" t="inlineStr">
        <is>
          <t>89F883</t>
        </is>
      </c>
      <c r="K1136" t="inlineStr">
        <is>
          <t>BYD D1</t>
        </is>
      </c>
      <c r="L1136" t="inlineStr">
        <is>
          <t>UBER</t>
        </is>
      </c>
      <c r="M1136" s="3">
        <f>IF(H1136="Efectivo",IFERROR((VALUE(RIGHT(I1136,4))-VALUE(RIGHT(E1136,4)))*12+(VALUE(LEFT(I1136,2))-VALUE(LEFT(E1136,2))),""),"")</f>
        <v/>
      </c>
    </row>
    <row r="1137">
      <c r="A1137" t="inlineStr">
        <is>
          <t>SOLIS PEÑA EDGAR</t>
        </is>
      </c>
      <c r="B1137" t="inlineStr">
        <is>
          <t>Hombre</t>
        </is>
      </c>
      <c r="C1137" t="inlineStr">
        <is>
          <t>6000AF</t>
        </is>
      </c>
      <c r="D1137" t="inlineStr">
        <is>
          <t>CDMX Y AREA METROPOLITANA</t>
        </is>
      </c>
      <c r="E1137" t="inlineStr">
        <is>
          <t>10-2025</t>
        </is>
      </c>
      <c r="F1137" t="inlineStr">
        <is>
          <t>05-2026</t>
        </is>
      </c>
      <c r="G1137" t="n">
        <v>6</v>
      </c>
      <c r="H1137" t="inlineStr">
        <is>
          <t>Efectivo</t>
        </is>
      </c>
      <c r="I1137" t="inlineStr">
        <is>
          <t>05-2026</t>
        </is>
      </c>
      <c r="J1137" t="inlineStr">
        <is>
          <t>47G956</t>
        </is>
      </c>
      <c r="K1137" t="inlineStr">
        <is>
          <t>BYD MINIDOLPHIN</t>
        </is>
      </c>
      <c r="L1137" t="inlineStr">
        <is>
          <t>UBER</t>
        </is>
      </c>
      <c r="M1137" s="3">
        <f>IF(H1137="Efectivo",IFERROR((VALUE(RIGHT(I1137,4))-VALUE(RIGHT(E1137,4)))*12+(VALUE(LEFT(I1137,2))-VALUE(LEFT(E1137,2))),""),"")</f>
        <v/>
      </c>
    </row>
    <row r="1138">
      <c r="A1138" t="inlineStr">
        <is>
          <t>SOLIS ROSALES GABRIEL</t>
        </is>
      </c>
      <c r="B1138" t="inlineStr">
        <is>
          <t>Hombre</t>
        </is>
      </c>
      <c r="C1138" t="inlineStr">
        <is>
          <t>3671AF</t>
        </is>
      </c>
      <c r="D1138" t="inlineStr">
        <is>
          <t>CDMX Y AREA METROPOLITANA</t>
        </is>
      </c>
      <c r="E1138" t="inlineStr">
        <is>
          <t>08-2024</t>
        </is>
      </c>
      <c r="F1138" t="inlineStr">
        <is>
          <t>06-2025</t>
        </is>
      </c>
      <c r="G1138" t="n">
        <v>9</v>
      </c>
      <c r="H1138" t="inlineStr">
        <is>
          <t>Efectivo</t>
        </is>
      </c>
      <c r="I1138" t="inlineStr">
        <is>
          <t>06-2025</t>
        </is>
      </c>
      <c r="J1138" t="inlineStr">
        <is>
          <t>89F975</t>
        </is>
      </c>
      <c r="K1138" t="inlineStr">
        <is>
          <t>BYD D1</t>
        </is>
      </c>
      <c r="L1138" t="inlineStr">
        <is>
          <t>DIDI</t>
        </is>
      </c>
      <c r="M1138" s="3">
        <f>IF(H1138="Efectivo",IFERROR((VALUE(RIGHT(I1138,4))-VALUE(RIGHT(E1138,4)))*12+(VALUE(LEFT(I1138,2))-VALUE(LEFT(E1138,2))),""),"")</f>
        <v/>
      </c>
    </row>
    <row r="1139">
      <c r="A1139" t="inlineStr">
        <is>
          <t>SOLIS TOVAR GERARDO</t>
        </is>
      </c>
      <c r="B1139" t="inlineStr">
        <is>
          <t>Hombre</t>
        </is>
      </c>
      <c r="C1139" t="inlineStr">
        <is>
          <t>4517AF</t>
        </is>
      </c>
      <c r="D1139" t="inlineStr">
        <is>
          <t>CDMX Y AREA METROPOLITANA</t>
        </is>
      </c>
      <c r="E1139" t="inlineStr">
        <is>
          <t>03-2025</t>
        </is>
      </c>
      <c r="F1139" t="inlineStr">
        <is>
          <t>08-2025</t>
        </is>
      </c>
      <c r="G1139" t="n">
        <v>5</v>
      </c>
      <c r="H1139" t="inlineStr">
        <is>
          <t>Efectivo</t>
        </is>
      </c>
      <c r="I1139" t="inlineStr">
        <is>
          <t>09-2025</t>
        </is>
      </c>
      <c r="J1139" t="inlineStr">
        <is>
          <t>31G915</t>
        </is>
      </c>
      <c r="K1139" t="inlineStr">
        <is>
          <t>GAC AION S</t>
        </is>
      </c>
      <c r="L1139" t="inlineStr">
        <is>
          <t>UBER</t>
        </is>
      </c>
      <c r="M1139" s="3">
        <f>IF(H1139="Efectivo",IFERROR((VALUE(RIGHT(I1139,4))-VALUE(RIGHT(E1139,4)))*12+(VALUE(LEFT(I1139,2))-VALUE(LEFT(E1139,2))),""),"")</f>
        <v/>
      </c>
    </row>
    <row r="1140">
      <c r="A1140" t="inlineStr">
        <is>
          <t>SONI ROSAS GERARDO EDUARDO</t>
        </is>
      </c>
      <c r="B1140" t="inlineStr">
        <is>
          <t>Hombre</t>
        </is>
      </c>
      <c r="C1140" t="inlineStr">
        <is>
          <t>3833AF</t>
        </is>
      </c>
      <c r="D1140" t="inlineStr">
        <is>
          <t>CDMX Y AREA METROPOLITANA</t>
        </is>
      </c>
      <c r="E1140" t="inlineStr">
        <is>
          <t>10-2024</t>
        </is>
      </c>
      <c r="F1140" t="inlineStr">
        <is>
          <t>12-2025</t>
        </is>
      </c>
      <c r="G1140" t="n">
        <v>14</v>
      </c>
      <c r="H1140" t="inlineStr">
        <is>
          <t>Efectivo</t>
        </is>
      </c>
      <c r="I1140" t="inlineStr">
        <is>
          <t>02-2026</t>
        </is>
      </c>
      <c r="J1140" t="inlineStr">
        <is>
          <t>13G553</t>
        </is>
      </c>
      <c r="K1140" t="inlineStr">
        <is>
          <t>BYD MINIDOLPHIN</t>
        </is>
      </c>
      <c r="L1140" t="inlineStr">
        <is>
          <t>UBER</t>
        </is>
      </c>
      <c r="M1140" s="3">
        <f>IF(H1140="Efectivo",IFERROR((VALUE(RIGHT(I1140,4))-VALUE(RIGHT(E1140,4)))*12+(VALUE(LEFT(I1140,2))-VALUE(LEFT(E1140,2))),""),"")</f>
        <v/>
      </c>
    </row>
    <row r="1141">
      <c r="A1141" t="inlineStr">
        <is>
          <t>SORIA TORRES CRISTIAN JEOVANI</t>
        </is>
      </c>
      <c r="B1141" t="inlineStr">
        <is>
          <t>Hombre</t>
        </is>
      </c>
      <c r="C1141" t="inlineStr">
        <is>
          <t>4891AF</t>
        </is>
      </c>
      <c r="D1141" t="inlineStr">
        <is>
          <t>CDMX Y AREA METROPOLITANA</t>
        </is>
      </c>
      <c r="E1141" t="inlineStr">
        <is>
          <t>05-2025</t>
        </is>
      </c>
      <c r="F1141" t="inlineStr">
        <is>
          <t>12-2025</t>
        </is>
      </c>
      <c r="G1141" t="n">
        <v>7</v>
      </c>
      <c r="H1141" t="inlineStr">
        <is>
          <t>Efectivo</t>
        </is>
      </c>
      <c r="I1141" t="inlineStr">
        <is>
          <t>02-2026</t>
        </is>
      </c>
      <c r="J1141" t="inlineStr">
        <is>
          <t>F29BRR</t>
        </is>
      </c>
      <c r="K1141" t="inlineStr">
        <is>
          <t>CHEVROLET AVEO</t>
        </is>
      </c>
      <c r="L1141" t="inlineStr">
        <is>
          <t>UBER</t>
        </is>
      </c>
      <c r="M1141" s="3">
        <f>IF(H1141="Efectivo",IFERROR((VALUE(RIGHT(I1141,4))-VALUE(RIGHT(E1141,4)))*12+(VALUE(LEFT(I1141,2))-VALUE(LEFT(E1141,2))),""),"")</f>
        <v/>
      </c>
    </row>
    <row r="1142">
      <c r="A1142" t="inlineStr">
        <is>
          <t>SOSA LIOCHAY ERNESTO</t>
        </is>
      </c>
      <c r="B1142" t="inlineStr">
        <is>
          <t>Hombre</t>
        </is>
      </c>
      <c r="C1142" t="inlineStr">
        <is>
          <t>3794AF</t>
        </is>
      </c>
      <c r="D1142" t="inlineStr">
        <is>
          <t>CDMX Y AREA METROPOLITANA</t>
        </is>
      </c>
      <c r="E1142" t="inlineStr">
        <is>
          <t>10-2024</t>
        </is>
      </c>
      <c r="F1142" t="inlineStr">
        <is>
          <t>06-2025</t>
        </is>
      </c>
      <c r="G1142" t="n">
        <v>9</v>
      </c>
      <c r="H1142" t="inlineStr">
        <is>
          <t>Efectivo</t>
        </is>
      </c>
      <c r="I1142" t="inlineStr">
        <is>
          <t>07-2025</t>
        </is>
      </c>
      <c r="J1142" t="inlineStr">
        <is>
          <t>E59BPN</t>
        </is>
      </c>
      <c r="K1142" t="inlineStr">
        <is>
          <t>TOYOTA AVANZA</t>
        </is>
      </c>
      <c r="L1142" t="inlineStr">
        <is>
          <t>UBER</t>
        </is>
      </c>
      <c r="M1142" s="3">
        <f>IF(H1142="Efectivo",IFERROR((VALUE(RIGHT(I1142,4))-VALUE(RIGHT(E1142,4)))*12+(VALUE(LEFT(I1142,2))-VALUE(LEFT(E1142,2))),""),"")</f>
        <v/>
      </c>
    </row>
    <row r="1143">
      <c r="A1143" t="inlineStr">
        <is>
          <t>SOSA TERRAZAS GENARO DANIEL</t>
        </is>
      </c>
      <c r="B1143" t="inlineStr">
        <is>
          <t>Hombre</t>
        </is>
      </c>
      <c r="C1143" t="inlineStr">
        <is>
          <t>3338AF</t>
        </is>
      </c>
      <c r="D1143" t="inlineStr">
        <is>
          <t>QUERETARO</t>
        </is>
      </c>
      <c r="E1143" t="inlineStr">
        <is>
          <t>06-2024</t>
        </is>
      </c>
      <c r="F1143" t="inlineStr">
        <is>
          <t>04-2026</t>
        </is>
      </c>
      <c r="G1143" t="n">
        <v>22</v>
      </c>
      <c r="H1143" t="inlineStr">
        <is>
          <t>Efectivo</t>
        </is>
      </c>
      <c r="I1143" t="inlineStr">
        <is>
          <t>04-2026</t>
        </is>
      </c>
      <c r="J1143" t="inlineStr">
        <is>
          <t>UMF787J</t>
        </is>
      </c>
      <c r="K1143" t="inlineStr">
        <is>
          <t>CHEVROLET AVEO</t>
        </is>
      </c>
      <c r="L1143" t="inlineStr">
        <is>
          <t>UBER</t>
        </is>
      </c>
      <c r="M1143" s="3">
        <f>IF(H1143="Efectivo",IFERROR((VALUE(RIGHT(I1143,4))-VALUE(RIGHT(E1143,4)))*12+(VALUE(LEFT(I1143,2))-VALUE(LEFT(E1143,2))),""),"")</f>
        <v/>
      </c>
    </row>
    <row r="1144">
      <c r="A1144" t="inlineStr">
        <is>
          <t>SOTELO GARCIA JESUS MIGUEL</t>
        </is>
      </c>
      <c r="B1144" t="inlineStr">
        <is>
          <t>Hombre</t>
        </is>
      </c>
      <c r="C1144" t="inlineStr">
        <is>
          <t>4963AF</t>
        </is>
      </c>
      <c r="D1144" t="inlineStr">
        <is>
          <t>CDMX Y AREA METROPOLITANA</t>
        </is>
      </c>
      <c r="E1144" t="inlineStr">
        <is>
          <t>05-2025</t>
        </is>
      </c>
      <c r="F1144" t="inlineStr">
        <is>
          <t>04-2026</t>
        </is>
      </c>
      <c r="G1144" t="n">
        <v>11</v>
      </c>
      <c r="H1144" t="inlineStr">
        <is>
          <t>Efectivo</t>
        </is>
      </c>
      <c r="I1144" t="inlineStr">
        <is>
          <t>04-2026</t>
        </is>
      </c>
      <c r="J1144" t="inlineStr">
        <is>
          <t>08G109</t>
        </is>
      </c>
      <c r="K1144" t="inlineStr">
        <is>
          <t>BYD D1</t>
        </is>
      </c>
      <c r="L1144" t="inlineStr">
        <is>
          <t>UBER</t>
        </is>
      </c>
      <c r="M1144" s="3">
        <f>IF(H1144="Efectivo",IFERROR((VALUE(RIGHT(I1144,4))-VALUE(RIGHT(E1144,4)))*12+(VALUE(LEFT(I1144,2))-VALUE(LEFT(E1144,2))),""),"")</f>
        <v/>
      </c>
    </row>
    <row r="1145">
      <c r="A1145" t="inlineStr">
        <is>
          <t>SOTO ARAUJO SANDRA KARINA</t>
        </is>
      </c>
      <c r="B1145" t="inlineStr">
        <is>
          <t>Mujer</t>
        </is>
      </c>
      <c r="C1145" t="inlineStr">
        <is>
          <t>2743AF</t>
        </is>
      </c>
      <c r="D1145" t="inlineStr">
        <is>
          <t>BAJA CALIFORNIA</t>
        </is>
      </c>
      <c r="E1145" t="inlineStr">
        <is>
          <t>09-2023</t>
        </is>
      </c>
      <c r="F1145" t="inlineStr">
        <is>
          <t>03-2026</t>
        </is>
      </c>
      <c r="G1145" t="n">
        <v>30</v>
      </c>
      <c r="H1145" t="inlineStr">
        <is>
          <t>Pendiente</t>
        </is>
      </c>
      <c r="J1145" t="inlineStr">
        <is>
          <t>BJX364A</t>
        </is>
      </c>
      <c r="K1145" t="inlineStr">
        <is>
          <t>CHEVROLET AVEO</t>
        </is>
      </c>
      <c r="L1145" t="inlineStr">
        <is>
          <t>UBER</t>
        </is>
      </c>
      <c r="M1145" s="3">
        <f>IF(H1145="Efectivo",IFERROR((VALUE(RIGHT(I1145,4))-VALUE(RIGHT(E1145,4)))*12+(VALUE(LEFT(I1145,2))-VALUE(LEFT(E1145,2))),""),"")</f>
        <v/>
      </c>
    </row>
    <row r="1146">
      <c r="A1146" t="inlineStr">
        <is>
          <t>SOTO SANTOS MOISES</t>
        </is>
      </c>
      <c r="B1146" t="inlineStr">
        <is>
          <t>Hombre</t>
        </is>
      </c>
      <c r="C1146" t="inlineStr">
        <is>
          <t>5296AF</t>
        </is>
      </c>
      <c r="D1146" t="inlineStr">
        <is>
          <t>NUEVO LEON</t>
        </is>
      </c>
      <c r="E1146" t="inlineStr">
        <is>
          <t>07-2025</t>
        </is>
      </c>
      <c r="F1146" t="inlineStr">
        <is>
          <t>02-2026</t>
        </is>
      </c>
      <c r="G1146" t="n">
        <v>7</v>
      </c>
      <c r="H1146" t="inlineStr">
        <is>
          <t>Efectivo</t>
        </is>
      </c>
      <c r="I1146" t="inlineStr">
        <is>
          <t>02-2026</t>
        </is>
      </c>
      <c r="J1146" t="inlineStr">
        <is>
          <t>RUW791C</t>
        </is>
      </c>
      <c r="K1146" t="inlineStr">
        <is>
          <t>TOYOTA AVANZA</t>
        </is>
      </c>
      <c r="L1146" t="inlineStr">
        <is>
          <t>UBER</t>
        </is>
      </c>
      <c r="M1146" s="3">
        <f>IF(H1146="Efectivo",IFERROR((VALUE(RIGHT(I1146,4))-VALUE(RIGHT(E1146,4)))*12+(VALUE(LEFT(I1146,2))-VALUE(LEFT(E1146,2))),""),"")</f>
        <v/>
      </c>
    </row>
    <row r="1147">
      <c r="A1147" t="inlineStr">
        <is>
          <t>SOTO SERRALDE FRANCISCO JAVIER</t>
        </is>
      </c>
      <c r="B1147" t="inlineStr">
        <is>
          <t>Hombre</t>
        </is>
      </c>
      <c r="C1147" t="inlineStr">
        <is>
          <t>3292AF</t>
        </is>
      </c>
      <c r="D1147" t="inlineStr">
        <is>
          <t>CDMX Y AREA METROPOLITANA</t>
        </is>
      </c>
      <c r="E1147" t="inlineStr">
        <is>
          <t>05-2024</t>
        </is>
      </c>
      <c r="F1147" t="inlineStr">
        <is>
          <t>02-2026</t>
        </is>
      </c>
      <c r="G1147" t="n">
        <v>21</v>
      </c>
      <c r="H1147" t="inlineStr">
        <is>
          <t>Efectivo</t>
        </is>
      </c>
      <c r="I1147" t="inlineStr">
        <is>
          <t>02-2026</t>
        </is>
      </c>
      <c r="J1147" t="inlineStr">
        <is>
          <t>84F024</t>
        </is>
      </c>
      <c r="K1147" t="inlineStr">
        <is>
          <t>BYD D1</t>
        </is>
      </c>
      <c r="L1147" t="inlineStr">
        <is>
          <t>UBER</t>
        </is>
      </c>
      <c r="M1147" s="3">
        <f>IF(H1147="Efectivo",IFERROR((VALUE(RIGHT(I1147,4))-VALUE(RIGHT(E1147,4)))*12+(VALUE(LEFT(I1147,2))-VALUE(LEFT(E1147,2))),""),"")</f>
        <v/>
      </c>
    </row>
    <row r="1148">
      <c r="A1148" t="inlineStr">
        <is>
          <t>SUAREZ ANICETO OSCAR RICARDO</t>
        </is>
      </c>
      <c r="B1148" t="inlineStr">
        <is>
          <t>Hombre</t>
        </is>
      </c>
      <c r="C1148" t="inlineStr">
        <is>
          <t>5431AF</t>
        </is>
      </c>
      <c r="D1148" t="inlineStr">
        <is>
          <t>CDMX Y AREA METROPOLITANA</t>
        </is>
      </c>
      <c r="E1148" t="inlineStr">
        <is>
          <t>07-2025</t>
        </is>
      </c>
      <c r="F1148" t="inlineStr">
        <is>
          <t>04-2026</t>
        </is>
      </c>
      <c r="G1148" t="n">
        <v>8</v>
      </c>
      <c r="H1148" t="inlineStr">
        <is>
          <t>Efectivo</t>
        </is>
      </c>
      <c r="I1148" t="inlineStr">
        <is>
          <t>04-2026</t>
        </is>
      </c>
      <c r="J1148" t="inlineStr">
        <is>
          <t>T20BNL</t>
        </is>
      </c>
      <c r="K1148" t="inlineStr">
        <is>
          <t>CHEVROLET AVEO</t>
        </is>
      </c>
      <c r="L1148" t="inlineStr">
        <is>
          <t>UBER</t>
        </is>
      </c>
      <c r="M1148" s="3">
        <f>IF(H1148="Efectivo",IFERROR((VALUE(RIGHT(I1148,4))-VALUE(RIGHT(E1148,4)))*12+(VALUE(LEFT(I1148,2))-VALUE(LEFT(E1148,2))),""),"")</f>
        <v/>
      </c>
    </row>
    <row r="1149">
      <c r="A1149" t="inlineStr">
        <is>
          <t>SUAREZ LOPEZ OSCAR</t>
        </is>
      </c>
      <c r="B1149" t="inlineStr">
        <is>
          <t>Hombre</t>
        </is>
      </c>
      <c r="C1149" t="inlineStr">
        <is>
          <t>3278AF</t>
        </is>
      </c>
      <c r="D1149" t="inlineStr">
        <is>
          <t>CDMX Y AREA METROPOLITANA</t>
        </is>
      </c>
      <c r="E1149" t="inlineStr">
        <is>
          <t>05-2024</t>
        </is>
      </c>
      <c r="F1149" t="inlineStr">
        <is>
          <t>04-2026</t>
        </is>
      </c>
      <c r="G1149" t="n">
        <v>23</v>
      </c>
      <c r="H1149" t="inlineStr">
        <is>
          <t>Efectivo</t>
        </is>
      </c>
      <c r="I1149" t="inlineStr">
        <is>
          <t>04-2026</t>
        </is>
      </c>
      <c r="J1149" t="inlineStr">
        <is>
          <t>B20BNY</t>
        </is>
      </c>
      <c r="K1149" t="inlineStr">
        <is>
          <t>CHEVROLET AVEO</t>
        </is>
      </c>
      <c r="L1149" t="inlineStr">
        <is>
          <t>UBER</t>
        </is>
      </c>
      <c r="M1149" s="3">
        <f>IF(H1149="Efectivo",IFERROR((VALUE(RIGHT(I1149,4))-VALUE(RIGHT(E1149,4)))*12+(VALUE(LEFT(I1149,2))-VALUE(LEFT(E1149,2))),""),"")</f>
        <v/>
      </c>
    </row>
    <row r="1150">
      <c r="A1150" t="inlineStr">
        <is>
          <t>SUAREZ LOPEZ OSCAR</t>
        </is>
      </c>
      <c r="B1150" t="inlineStr">
        <is>
          <t>Hombre</t>
        </is>
      </c>
      <c r="C1150" t="inlineStr">
        <is>
          <t>4633AF</t>
        </is>
      </c>
      <c r="D1150" t="inlineStr">
        <is>
          <t>BAJA CALIFORNIA</t>
        </is>
      </c>
      <c r="E1150" t="inlineStr">
        <is>
          <t>04-2025</t>
        </is>
      </c>
      <c r="F1150" t="inlineStr">
        <is>
          <t>09-2025</t>
        </is>
      </c>
      <c r="G1150" t="n">
        <v>5</v>
      </c>
      <c r="H1150" t="inlineStr">
        <is>
          <t>Efectivo</t>
        </is>
      </c>
      <c r="I1150" t="inlineStr">
        <is>
          <t>10-2025</t>
        </is>
      </c>
      <c r="J1150" t="inlineStr">
        <is>
          <t>BLX920A</t>
        </is>
      </c>
      <c r="K1150" t="inlineStr">
        <is>
          <t>CHEVROLET AVEO</t>
        </is>
      </c>
      <c r="L1150" t="inlineStr">
        <is>
          <t>UBER</t>
        </is>
      </c>
      <c r="M1150" s="3">
        <f>IF(H1150="Efectivo",IFERROR((VALUE(RIGHT(I1150,4))-VALUE(RIGHT(E1150,4)))*12+(VALUE(LEFT(I1150,2))-VALUE(LEFT(E1150,2))),""),"")</f>
        <v/>
      </c>
    </row>
    <row r="1151">
      <c r="A1151" t="inlineStr">
        <is>
          <t>SUJUL JIMENEZ LUIS FERNANDO</t>
        </is>
      </c>
      <c r="B1151" t="inlineStr">
        <is>
          <t>Hombre</t>
        </is>
      </c>
      <c r="C1151" t="inlineStr">
        <is>
          <t>5568AF</t>
        </is>
      </c>
      <c r="D1151" t="inlineStr">
        <is>
          <t>CDMX Y AREA METROPOLITANA</t>
        </is>
      </c>
      <c r="E1151" t="inlineStr">
        <is>
          <t>08-2025</t>
        </is>
      </c>
      <c r="F1151" t="inlineStr">
        <is>
          <t>05-2026</t>
        </is>
      </c>
      <c r="G1151" t="n">
        <v>8</v>
      </c>
      <c r="H1151" t="inlineStr">
        <is>
          <t>Efectivo</t>
        </is>
      </c>
      <c r="I1151" t="inlineStr">
        <is>
          <t>05-2026</t>
        </is>
      </c>
      <c r="J1151" t="inlineStr">
        <is>
          <t>48G232</t>
        </is>
      </c>
      <c r="K1151" t="inlineStr">
        <is>
          <t>BYD MINIDOLPHIN</t>
        </is>
      </c>
      <c r="L1151" t="inlineStr">
        <is>
          <t>DIDI</t>
        </is>
      </c>
      <c r="M1151" s="3">
        <f>IF(H1151="Efectivo",IFERROR((VALUE(RIGHT(I1151,4))-VALUE(RIGHT(E1151,4)))*12+(VALUE(LEFT(I1151,2))-VALUE(LEFT(E1151,2))),""),"")</f>
        <v/>
      </c>
    </row>
    <row r="1152">
      <c r="A1152" t="inlineStr">
        <is>
          <t>TALAVERA MARTINEZ ULISES MAURICIO</t>
        </is>
      </c>
      <c r="B1152" t="inlineStr">
        <is>
          <t>Hombre</t>
        </is>
      </c>
      <c r="C1152" t="inlineStr">
        <is>
          <t>5364AF</t>
        </is>
      </c>
      <c r="D1152" t="inlineStr">
        <is>
          <t>CDMX Y AREA METROPOLITANA</t>
        </is>
      </c>
      <c r="E1152" t="inlineStr">
        <is>
          <t>07-2025</t>
        </is>
      </c>
      <c r="F1152" t="inlineStr">
        <is>
          <t>01-2026</t>
        </is>
      </c>
      <c r="G1152" t="n">
        <v>6</v>
      </c>
      <c r="H1152" t="inlineStr">
        <is>
          <t>Efectivo</t>
        </is>
      </c>
      <c r="I1152" t="inlineStr">
        <is>
          <t>02-2026</t>
        </is>
      </c>
      <c r="J1152" t="inlineStr">
        <is>
          <t>44G029</t>
        </is>
      </c>
      <c r="K1152" t="inlineStr">
        <is>
          <t>GAC AION S</t>
        </is>
      </c>
      <c r="L1152" t="inlineStr">
        <is>
          <t>UBER</t>
        </is>
      </c>
      <c r="M1152" s="3">
        <f>IF(H1152="Efectivo",IFERROR((VALUE(RIGHT(I1152,4))-VALUE(RIGHT(E1152,4)))*12+(VALUE(LEFT(I1152,2))-VALUE(LEFT(E1152,2))),""),"")</f>
        <v/>
      </c>
    </row>
    <row r="1153">
      <c r="A1153" t="inlineStr">
        <is>
          <t>TAMARIZ IBAÑEZ ISMAEL</t>
        </is>
      </c>
      <c r="B1153" t="inlineStr">
        <is>
          <t>Hombre</t>
        </is>
      </c>
      <c r="C1153" t="inlineStr">
        <is>
          <t>4164AF</t>
        </is>
      </c>
      <c r="D1153" t="inlineStr">
        <is>
          <t>CDMX Y AREA METROPOLITANA</t>
        </is>
      </c>
      <c r="E1153" t="inlineStr">
        <is>
          <t>12-2024</t>
        </is>
      </c>
      <c r="F1153" t="inlineStr">
        <is>
          <t>03-2025</t>
        </is>
      </c>
      <c r="G1153" t="n">
        <v>3</v>
      </c>
      <c r="H1153" t="inlineStr">
        <is>
          <t>Efectivo</t>
        </is>
      </c>
      <c r="I1153" t="inlineStr">
        <is>
          <t>03-2025</t>
        </is>
      </c>
      <c r="J1153" t="inlineStr">
        <is>
          <t>19G375</t>
        </is>
      </c>
      <c r="K1153" t="inlineStr">
        <is>
          <t>BYD D1</t>
        </is>
      </c>
      <c r="L1153" t="inlineStr">
        <is>
          <t>UBER</t>
        </is>
      </c>
      <c r="M1153" s="3">
        <f>IF(H1153="Efectivo",IFERROR((VALUE(RIGHT(I1153,4))-VALUE(RIGHT(E1153,4)))*12+(VALUE(LEFT(I1153,2))-VALUE(LEFT(E1153,2))),""),"")</f>
        <v/>
      </c>
    </row>
    <row r="1154">
      <c r="A1154" t="inlineStr">
        <is>
          <t>TAPIA CORREA JUAN CARLOS</t>
        </is>
      </c>
      <c r="B1154" t="inlineStr">
        <is>
          <t>Hombre</t>
        </is>
      </c>
      <c r="C1154" t="inlineStr">
        <is>
          <t>4548AF</t>
        </is>
      </c>
      <c r="D1154" t="inlineStr">
        <is>
          <t>CDMX Y AREA METROPOLITANA</t>
        </is>
      </c>
      <c r="E1154" t="inlineStr">
        <is>
          <t>03-2025</t>
        </is>
      </c>
      <c r="F1154" t="inlineStr">
        <is>
          <t>07-2025</t>
        </is>
      </c>
      <c r="G1154" t="n">
        <v>4</v>
      </c>
      <c r="H1154" t="inlineStr">
        <is>
          <t>Efectivo</t>
        </is>
      </c>
      <c r="I1154" t="inlineStr">
        <is>
          <t>08-2025</t>
        </is>
      </c>
      <c r="J1154" t="inlineStr">
        <is>
          <t>39G911</t>
        </is>
      </c>
      <c r="K1154" t="inlineStr">
        <is>
          <t>GAC AION S</t>
        </is>
      </c>
      <c r="L1154" t="inlineStr">
        <is>
          <t>DIDI</t>
        </is>
      </c>
      <c r="M1154" s="3">
        <f>IF(H1154="Efectivo",IFERROR((VALUE(RIGHT(I1154,4))-VALUE(RIGHT(E1154,4)))*12+(VALUE(LEFT(I1154,2))-VALUE(LEFT(E1154,2))),""),"")</f>
        <v/>
      </c>
    </row>
    <row r="1155">
      <c r="A1155" t="inlineStr">
        <is>
          <t>TAPIA SANCHEZ AZUCENA</t>
        </is>
      </c>
      <c r="B1155" t="inlineStr">
        <is>
          <t>Mujer</t>
        </is>
      </c>
      <c r="C1155" t="inlineStr">
        <is>
          <t>4065AF</t>
        </is>
      </c>
      <c r="D1155" t="inlineStr">
        <is>
          <t>CDMX Y AREA METROPOLITANA</t>
        </is>
      </c>
      <c r="E1155" t="inlineStr">
        <is>
          <t>12-2024</t>
        </is>
      </c>
      <c r="F1155" t="inlineStr">
        <is>
          <t>06-2025</t>
        </is>
      </c>
      <c r="G1155" t="n">
        <v>7</v>
      </c>
      <c r="H1155" t="inlineStr">
        <is>
          <t>Efectivo</t>
        </is>
      </c>
      <c r="I1155" t="inlineStr">
        <is>
          <t>06-2025</t>
        </is>
      </c>
      <c r="J1155" t="inlineStr">
        <is>
          <t>19G339</t>
        </is>
      </c>
      <c r="K1155" t="inlineStr">
        <is>
          <t>BYD D1</t>
        </is>
      </c>
      <c r="L1155" t="inlineStr">
        <is>
          <t>UBER</t>
        </is>
      </c>
      <c r="M1155" s="3">
        <f>IF(H1155="Efectivo",IFERROR((VALUE(RIGHT(I1155,4))-VALUE(RIGHT(E1155,4)))*12+(VALUE(LEFT(I1155,2))-VALUE(LEFT(E1155,2))),""),"")</f>
        <v/>
      </c>
    </row>
    <row r="1156">
      <c r="A1156" t="inlineStr">
        <is>
          <t>TEJA GARCIA JOHAAN ALBERTO</t>
        </is>
      </c>
      <c r="B1156" t="inlineStr">
        <is>
          <t>Hombre</t>
        </is>
      </c>
      <c r="C1156" t="inlineStr">
        <is>
          <t>4744AF</t>
        </is>
      </c>
      <c r="D1156" t="inlineStr">
        <is>
          <t>CDMX Y AREA METROPOLITANA</t>
        </is>
      </c>
      <c r="E1156" t="inlineStr">
        <is>
          <t>04-2025</t>
        </is>
      </c>
      <c r="F1156" t="inlineStr">
        <is>
          <t>02-2026</t>
        </is>
      </c>
      <c r="G1156" t="n">
        <v>9</v>
      </c>
      <c r="H1156" t="inlineStr">
        <is>
          <t>Efectivo</t>
        </is>
      </c>
      <c r="I1156" t="inlineStr">
        <is>
          <t>04-2026</t>
        </is>
      </c>
      <c r="J1156" t="inlineStr">
        <is>
          <t>41G439</t>
        </is>
      </c>
      <c r="K1156" t="inlineStr">
        <is>
          <t>BYD MINIDOLPHIN</t>
        </is>
      </c>
      <c r="L1156" t="inlineStr">
        <is>
          <t>DIDI</t>
        </is>
      </c>
      <c r="M1156" s="3">
        <f>IF(H1156="Efectivo",IFERROR((VALUE(RIGHT(I1156,4))-VALUE(RIGHT(E1156,4)))*12+(VALUE(LEFT(I1156,2))-VALUE(LEFT(E1156,2))),""),"")</f>
        <v/>
      </c>
    </row>
    <row r="1157">
      <c r="A1157" t="inlineStr">
        <is>
          <t>TELLEZ CARREÑO ALEXIS</t>
        </is>
      </c>
      <c r="B1157" t="inlineStr">
        <is>
          <t>Hombre</t>
        </is>
      </c>
      <c r="C1157" t="inlineStr">
        <is>
          <t>3442AF</t>
        </is>
      </c>
      <c r="D1157" t="inlineStr">
        <is>
          <t>CDMX Y AREA METROPOLITANA</t>
        </is>
      </c>
      <c r="E1157" t="inlineStr">
        <is>
          <t>07-2024</t>
        </is>
      </c>
      <c r="F1157" t="inlineStr">
        <is>
          <t>04-2025</t>
        </is>
      </c>
      <c r="G1157" t="n">
        <v>10</v>
      </c>
      <c r="H1157" t="inlineStr">
        <is>
          <t>Efectivo</t>
        </is>
      </c>
      <c r="I1157" t="inlineStr">
        <is>
          <t>05-2025</t>
        </is>
      </c>
      <c r="J1157" t="inlineStr">
        <is>
          <t>D87BPF</t>
        </is>
      </c>
      <c r="K1157" t="inlineStr">
        <is>
          <t>CHEVROLET AVEO</t>
        </is>
      </c>
      <c r="L1157" t="inlineStr">
        <is>
          <t>UBER</t>
        </is>
      </c>
      <c r="M1157" s="3">
        <f>IF(H1157="Efectivo",IFERROR((VALUE(RIGHT(I1157,4))-VALUE(RIGHT(E1157,4)))*12+(VALUE(LEFT(I1157,2))-VALUE(LEFT(E1157,2))),""),"")</f>
        <v/>
      </c>
    </row>
    <row r="1158">
      <c r="A1158" t="inlineStr">
        <is>
          <t>TELLEZ ISLAS ALEJANDRO GENARO</t>
        </is>
      </c>
      <c r="B1158" t="inlineStr">
        <is>
          <t>Hombre</t>
        </is>
      </c>
      <c r="C1158" t="inlineStr">
        <is>
          <t>6233AF</t>
        </is>
      </c>
      <c r="D1158" t="inlineStr">
        <is>
          <t>CDMX Y AREA METROPOLITANA</t>
        </is>
      </c>
      <c r="E1158" t="inlineStr">
        <is>
          <t>11-2025</t>
        </is>
      </c>
      <c r="F1158" t="inlineStr">
        <is>
          <t>03-2026</t>
        </is>
      </c>
      <c r="G1158" t="n">
        <v>3</v>
      </c>
      <c r="H1158" t="inlineStr">
        <is>
          <t>Efectivo</t>
        </is>
      </c>
      <c r="I1158" t="inlineStr">
        <is>
          <t>03-2026</t>
        </is>
      </c>
      <c r="J1158" t="inlineStr">
        <is>
          <t>K22BSF</t>
        </is>
      </c>
      <c r="K1158" t="inlineStr">
        <is>
          <t>CHEVROLET AVEO</t>
        </is>
      </c>
      <c r="L1158" t="inlineStr">
        <is>
          <t>DIDI</t>
        </is>
      </c>
      <c r="M1158" s="3">
        <f>IF(H1158="Efectivo",IFERROR((VALUE(RIGHT(I1158,4))-VALUE(RIGHT(E1158,4)))*12+(VALUE(LEFT(I1158,2))-VALUE(LEFT(E1158,2))),""),"")</f>
        <v/>
      </c>
    </row>
    <row r="1159">
      <c r="A1159" t="inlineStr">
        <is>
          <t>TELLEZ MIRANDA JORGE</t>
        </is>
      </c>
      <c r="B1159" t="inlineStr">
        <is>
          <t>Hombre</t>
        </is>
      </c>
      <c r="C1159" t="inlineStr">
        <is>
          <t>6006AF</t>
        </is>
      </c>
      <c r="D1159" t="inlineStr">
        <is>
          <t>CDMX Y AREA METROPOLITANA</t>
        </is>
      </c>
      <c r="E1159" t="inlineStr">
        <is>
          <t>10-2025</t>
        </is>
      </c>
      <c r="F1159" t="inlineStr">
        <is>
          <t>04-2026</t>
        </is>
      </c>
      <c r="G1159" t="n">
        <v>5</v>
      </c>
      <c r="H1159" t="inlineStr">
        <is>
          <t>Efectivo</t>
        </is>
      </c>
      <c r="I1159" t="inlineStr">
        <is>
          <t>04-2026</t>
        </is>
      </c>
      <c r="J1159" t="inlineStr">
        <is>
          <t>51G541</t>
        </is>
      </c>
      <c r="K1159" t="inlineStr">
        <is>
          <t>GAC AION S</t>
        </is>
      </c>
      <c r="L1159" t="inlineStr">
        <is>
          <t>UBER</t>
        </is>
      </c>
      <c r="M1159" s="3">
        <f>IF(H1159="Efectivo",IFERROR((VALUE(RIGHT(I1159,4))-VALUE(RIGHT(E1159,4)))*12+(VALUE(LEFT(I1159,2))-VALUE(LEFT(E1159,2))),""),"")</f>
        <v/>
      </c>
    </row>
    <row r="1160">
      <c r="A1160" t="inlineStr">
        <is>
          <t>TENORIO CHAVERO SERGIO</t>
        </is>
      </c>
      <c r="B1160" t="inlineStr">
        <is>
          <t>Hombre</t>
        </is>
      </c>
      <c r="C1160" t="inlineStr">
        <is>
          <t>4259AF</t>
        </is>
      </c>
      <c r="D1160" t="inlineStr">
        <is>
          <t>CDMX Y AREA METROPOLITANA</t>
        </is>
      </c>
      <c r="E1160" t="inlineStr">
        <is>
          <t>01-2025</t>
        </is>
      </c>
      <c r="F1160" t="inlineStr">
        <is>
          <t>05-2025</t>
        </is>
      </c>
      <c r="G1160" t="n">
        <v>4</v>
      </c>
      <c r="H1160" t="inlineStr">
        <is>
          <t>Efectivo</t>
        </is>
      </c>
      <c r="I1160" t="inlineStr">
        <is>
          <t>05-2025</t>
        </is>
      </c>
      <c r="J1160" t="inlineStr">
        <is>
          <t>19G548</t>
        </is>
      </c>
      <c r="K1160" t="inlineStr">
        <is>
          <t>BYD D1</t>
        </is>
      </c>
      <c r="L1160" t="inlineStr">
        <is>
          <t>DIDI</t>
        </is>
      </c>
      <c r="M1160" s="3">
        <f>IF(H1160="Efectivo",IFERROR((VALUE(RIGHT(I1160,4))-VALUE(RIGHT(E1160,4)))*12+(VALUE(LEFT(I1160,2))-VALUE(LEFT(E1160,2))),""),"")</f>
        <v/>
      </c>
    </row>
    <row r="1161">
      <c r="A1161" t="inlineStr">
        <is>
          <t>TENORIO MARTINEZ CESAR JOVANY</t>
        </is>
      </c>
      <c r="B1161" t="inlineStr">
        <is>
          <t>Hombre</t>
        </is>
      </c>
      <c r="C1161" t="inlineStr">
        <is>
          <t>4994AF</t>
        </is>
      </c>
      <c r="D1161" t="inlineStr">
        <is>
          <t>CDMX Y AREA METROPOLITANA</t>
        </is>
      </c>
      <c r="E1161" t="inlineStr">
        <is>
          <t>06-2025</t>
        </is>
      </c>
      <c r="F1161" t="inlineStr">
        <is>
          <t>07-2025</t>
        </is>
      </c>
      <c r="G1161" t="n">
        <v>1</v>
      </c>
      <c r="H1161" t="inlineStr">
        <is>
          <t>Efectivo</t>
        </is>
      </c>
      <c r="I1161" t="inlineStr">
        <is>
          <t>08-2025</t>
        </is>
      </c>
      <c r="J1161" t="inlineStr">
        <is>
          <t>47G528</t>
        </is>
      </c>
      <c r="K1161" t="inlineStr">
        <is>
          <t>BYD MINIDOLPHIN</t>
        </is>
      </c>
      <c r="L1161" t="inlineStr">
        <is>
          <t>DIDI</t>
        </is>
      </c>
      <c r="M1161" s="3">
        <f>IF(H1161="Efectivo",IFERROR((VALUE(RIGHT(I1161,4))-VALUE(RIGHT(E1161,4)))*12+(VALUE(LEFT(I1161,2))-VALUE(LEFT(E1161,2))),""),"")</f>
        <v/>
      </c>
    </row>
    <row r="1162">
      <c r="A1162" t="inlineStr">
        <is>
          <t>TENORIO VENEGAS GONZALO</t>
        </is>
      </c>
      <c r="B1162" t="inlineStr">
        <is>
          <t>Hombre</t>
        </is>
      </c>
      <c r="C1162" t="inlineStr">
        <is>
          <t>3567AF</t>
        </is>
      </c>
      <c r="D1162" t="inlineStr">
        <is>
          <t>CDMX Y AREA METROPOLITANA</t>
        </is>
      </c>
      <c r="E1162" t="inlineStr">
        <is>
          <t>07-2024</t>
        </is>
      </c>
      <c r="F1162" t="inlineStr">
        <is>
          <t>01-2025</t>
        </is>
      </c>
      <c r="G1162" t="n">
        <v>6</v>
      </c>
      <c r="H1162" t="inlineStr">
        <is>
          <t>Efectivo</t>
        </is>
      </c>
      <c r="I1162" t="inlineStr">
        <is>
          <t>01-2025</t>
        </is>
      </c>
      <c r="J1162" t="inlineStr">
        <is>
          <t>89F808</t>
        </is>
      </c>
      <c r="K1162" t="inlineStr">
        <is>
          <t>BYD D1</t>
        </is>
      </c>
      <c r="L1162" t="inlineStr">
        <is>
          <t>UBER</t>
        </is>
      </c>
      <c r="M1162" s="3">
        <f>IF(H1162="Efectivo",IFERROR((VALUE(RIGHT(I1162,4))-VALUE(RIGHT(E1162,4)))*12+(VALUE(LEFT(I1162,2))-VALUE(LEFT(E1162,2))),""),"")</f>
        <v/>
      </c>
    </row>
    <row r="1163">
      <c r="A1163" t="inlineStr">
        <is>
          <t>TEPEPA RINCON FERNANDO EDUARDO</t>
        </is>
      </c>
      <c r="B1163" t="inlineStr">
        <is>
          <t>Hombre</t>
        </is>
      </c>
      <c r="C1163" t="inlineStr">
        <is>
          <t>4088AF</t>
        </is>
      </c>
      <c r="D1163" t="inlineStr">
        <is>
          <t>CDMX Y AREA METROPOLITANA</t>
        </is>
      </c>
      <c r="E1163" t="inlineStr">
        <is>
          <t>12-2024</t>
        </is>
      </c>
      <c r="F1163" t="inlineStr">
        <is>
          <t>08-2025</t>
        </is>
      </c>
      <c r="G1163" t="n">
        <v>9</v>
      </c>
      <c r="H1163" t="inlineStr">
        <is>
          <t>Efectivo</t>
        </is>
      </c>
      <c r="I1163" t="inlineStr">
        <is>
          <t>09-2025</t>
        </is>
      </c>
      <c r="J1163" t="inlineStr">
        <is>
          <t>19G515</t>
        </is>
      </c>
      <c r="K1163" t="inlineStr">
        <is>
          <t>BYD D1</t>
        </is>
      </c>
      <c r="L1163" t="inlineStr">
        <is>
          <t>DIDI</t>
        </is>
      </c>
      <c r="M1163" s="3">
        <f>IF(H1163="Efectivo",IFERROR((VALUE(RIGHT(I1163,4))-VALUE(RIGHT(E1163,4)))*12+(VALUE(LEFT(I1163,2))-VALUE(LEFT(E1163,2))),""),"")</f>
        <v/>
      </c>
    </row>
    <row r="1164">
      <c r="A1164" t="inlineStr">
        <is>
          <t>TEPEPA RINCON OSCAR</t>
        </is>
      </c>
      <c r="B1164" t="inlineStr">
        <is>
          <t>Hombre</t>
        </is>
      </c>
      <c r="C1164" t="inlineStr">
        <is>
          <t>4240AF</t>
        </is>
      </c>
      <c r="D1164" t="inlineStr">
        <is>
          <t>CDMX Y AREA METROPOLITANA</t>
        </is>
      </c>
      <c r="E1164" t="inlineStr">
        <is>
          <t>01-2025</t>
        </is>
      </c>
      <c r="F1164" t="inlineStr">
        <is>
          <t>08-2025</t>
        </is>
      </c>
      <c r="G1164" t="n">
        <v>6</v>
      </c>
      <c r="H1164" t="inlineStr">
        <is>
          <t>Efectivo</t>
        </is>
      </c>
      <c r="I1164" t="inlineStr">
        <is>
          <t>09-2025</t>
        </is>
      </c>
      <c r="J1164" t="inlineStr">
        <is>
          <t>19G532</t>
        </is>
      </c>
      <c r="K1164" t="inlineStr">
        <is>
          <t>BYD D1</t>
        </is>
      </c>
      <c r="L1164" t="inlineStr">
        <is>
          <t>UBER</t>
        </is>
      </c>
      <c r="M1164" s="3">
        <f>IF(H1164="Efectivo",IFERROR((VALUE(RIGHT(I1164,4))-VALUE(RIGHT(E1164,4)))*12+(VALUE(LEFT(I1164,2))-VALUE(LEFT(E1164,2))),""),"")</f>
        <v/>
      </c>
    </row>
    <row r="1165">
      <c r="A1165" t="inlineStr">
        <is>
          <t>TERAN LEON FERNANDO RAFAEL</t>
        </is>
      </c>
      <c r="B1165" t="inlineStr">
        <is>
          <t>Hombre</t>
        </is>
      </c>
      <c r="C1165" t="inlineStr">
        <is>
          <t>6510AF</t>
        </is>
      </c>
      <c r="D1165" t="inlineStr">
        <is>
          <t>CDMX Y AREA METROPOLITANA</t>
        </is>
      </c>
      <c r="E1165" t="inlineStr">
        <is>
          <t>12-2025</t>
        </is>
      </c>
      <c r="F1165" t="inlineStr">
        <is>
          <t>03-2026</t>
        </is>
      </c>
      <c r="G1165" t="n">
        <v>2</v>
      </c>
      <c r="H1165" t="inlineStr">
        <is>
          <t>Efectivo</t>
        </is>
      </c>
      <c r="I1165" t="inlineStr">
        <is>
          <t>04-2026</t>
        </is>
      </c>
      <c r="J1165" t="inlineStr">
        <is>
          <t>52G097</t>
        </is>
      </c>
      <c r="K1165" t="inlineStr">
        <is>
          <t>BYD MINIDOLPHIN</t>
        </is>
      </c>
      <c r="L1165" t="inlineStr">
        <is>
          <t>UBER</t>
        </is>
      </c>
      <c r="M1165" s="3">
        <f>IF(H1165="Efectivo",IFERROR((VALUE(RIGHT(I1165,4))-VALUE(RIGHT(E1165,4)))*12+(VALUE(LEFT(I1165,2))-VALUE(LEFT(E1165,2))),""),"")</f>
        <v/>
      </c>
    </row>
    <row r="1166">
      <c r="A1166" t="inlineStr">
        <is>
          <t>TOLEDO UGALDE CELSO</t>
        </is>
      </c>
      <c r="B1166" t="inlineStr">
        <is>
          <t>Hombre</t>
        </is>
      </c>
      <c r="C1166" t="inlineStr">
        <is>
          <t>4822AF</t>
        </is>
      </c>
      <c r="D1166" t="inlineStr">
        <is>
          <t>CDMX Y AREA METROPOLITANA</t>
        </is>
      </c>
      <c r="E1166" t="inlineStr">
        <is>
          <t>05-2025</t>
        </is>
      </c>
      <c r="F1166" t="inlineStr">
        <is>
          <t>09-2025</t>
        </is>
      </c>
      <c r="G1166" t="n">
        <v>4</v>
      </c>
      <c r="H1166" t="inlineStr">
        <is>
          <t>Efectivo</t>
        </is>
      </c>
      <c r="I1166" t="inlineStr">
        <is>
          <t>09-2025</t>
        </is>
      </c>
      <c r="J1166" t="inlineStr">
        <is>
          <t>41G573</t>
        </is>
      </c>
      <c r="K1166" t="inlineStr">
        <is>
          <t>BYD MINIDOLPHIN</t>
        </is>
      </c>
      <c r="L1166" t="inlineStr">
        <is>
          <t>UBER</t>
        </is>
      </c>
      <c r="M1166" s="3">
        <f>IF(H1166="Efectivo",IFERROR((VALUE(RIGHT(I1166,4))-VALUE(RIGHT(E1166,4)))*12+(VALUE(LEFT(I1166,2))-VALUE(LEFT(E1166,2))),""),"")</f>
        <v/>
      </c>
    </row>
    <row r="1167">
      <c r="A1167" t="inlineStr">
        <is>
          <t>TOLENTINO REYES JUAN JESUS</t>
        </is>
      </c>
      <c r="B1167" t="inlineStr">
        <is>
          <t>Hombre</t>
        </is>
      </c>
      <c r="C1167" t="inlineStr">
        <is>
          <t>4146AF</t>
        </is>
      </c>
      <c r="D1167" t="inlineStr">
        <is>
          <t>CDMX Y AREA METROPOLITANA</t>
        </is>
      </c>
      <c r="E1167" t="inlineStr">
        <is>
          <t>12-2024</t>
        </is>
      </c>
      <c r="F1167" t="inlineStr">
        <is>
          <t>03-2025</t>
        </is>
      </c>
      <c r="G1167" t="n">
        <v>3</v>
      </c>
      <c r="H1167" t="inlineStr">
        <is>
          <t>Efectivo</t>
        </is>
      </c>
      <c r="I1167" t="inlineStr">
        <is>
          <t>03-2025</t>
        </is>
      </c>
      <c r="J1167" t="inlineStr">
        <is>
          <t>14G414</t>
        </is>
      </c>
      <c r="K1167" t="inlineStr">
        <is>
          <t>BYD D1</t>
        </is>
      </c>
      <c r="L1167" t="inlineStr">
        <is>
          <t>UBER</t>
        </is>
      </c>
      <c r="M1167" s="3">
        <f>IF(H1167="Efectivo",IFERROR((VALUE(RIGHT(I1167,4))-VALUE(RIGHT(E1167,4)))*12+(VALUE(LEFT(I1167,2))-VALUE(LEFT(E1167,2))),""),"")</f>
        <v/>
      </c>
    </row>
    <row r="1168">
      <c r="A1168" t="inlineStr">
        <is>
          <t>TORIZ MARTINEZ GERARDO HUMBERTO</t>
        </is>
      </c>
      <c r="B1168" t="inlineStr">
        <is>
          <t>Hombre</t>
        </is>
      </c>
      <c r="C1168" t="inlineStr">
        <is>
          <t>4098AF</t>
        </is>
      </c>
      <c r="D1168" t="inlineStr">
        <is>
          <t>CDMX Y AREA METROPOLITANA</t>
        </is>
      </c>
      <c r="E1168" t="inlineStr">
        <is>
          <t>12-2024</t>
        </is>
      </c>
      <c r="F1168" t="inlineStr">
        <is>
          <t>03-2025</t>
        </is>
      </c>
      <c r="G1168" t="n">
        <v>3</v>
      </c>
      <c r="H1168" t="inlineStr">
        <is>
          <t>Efectivo</t>
        </is>
      </c>
      <c r="I1168" t="inlineStr">
        <is>
          <t>03-2025</t>
        </is>
      </c>
      <c r="J1168" t="inlineStr">
        <is>
          <t>14G427</t>
        </is>
      </c>
      <c r="K1168" t="inlineStr">
        <is>
          <t>BYD D1</t>
        </is>
      </c>
      <c r="L1168" t="inlineStr">
        <is>
          <t>UBER</t>
        </is>
      </c>
      <c r="M1168" s="3">
        <f>IF(H1168="Efectivo",IFERROR((VALUE(RIGHT(I1168,4))-VALUE(RIGHT(E1168,4)))*12+(VALUE(LEFT(I1168,2))-VALUE(LEFT(E1168,2))),""),"")</f>
        <v/>
      </c>
    </row>
    <row r="1169">
      <c r="A1169" t="inlineStr">
        <is>
          <t>TORRES ALVAREZ ANGEL DANIEL</t>
        </is>
      </c>
      <c r="B1169" t="inlineStr">
        <is>
          <t>Hombre</t>
        </is>
      </c>
      <c r="C1169" t="inlineStr">
        <is>
          <t>6041AF</t>
        </is>
      </c>
      <c r="D1169" t="inlineStr">
        <is>
          <t>CDMX Y AREA METROPOLITANA</t>
        </is>
      </c>
      <c r="E1169" t="inlineStr">
        <is>
          <t>10-2025</t>
        </is>
      </c>
      <c r="F1169" t="inlineStr">
        <is>
          <t>12-2025</t>
        </is>
      </c>
      <c r="G1169" t="n">
        <v>2</v>
      </c>
      <c r="H1169" t="inlineStr">
        <is>
          <t>Efectivo</t>
        </is>
      </c>
      <c r="I1169" t="inlineStr">
        <is>
          <t>02-2026</t>
        </is>
      </c>
      <c r="J1169" t="inlineStr">
        <is>
          <t>14G461</t>
        </is>
      </c>
      <c r="K1169" t="inlineStr">
        <is>
          <t>BYD D1</t>
        </is>
      </c>
      <c r="L1169" t="inlineStr">
        <is>
          <t>DIDI</t>
        </is>
      </c>
      <c r="M1169" s="3">
        <f>IF(H1169="Efectivo",IFERROR((VALUE(RIGHT(I1169,4))-VALUE(RIGHT(E1169,4)))*12+(VALUE(LEFT(I1169,2))-VALUE(LEFT(E1169,2))),""),"")</f>
        <v/>
      </c>
    </row>
    <row r="1170">
      <c r="A1170" t="inlineStr">
        <is>
          <t>TORRES ARRECILLAS HECTOR FRANCISCO</t>
        </is>
      </c>
      <c r="B1170" t="inlineStr">
        <is>
          <t>Hombre</t>
        </is>
      </c>
      <c r="C1170" t="inlineStr">
        <is>
          <t>4127AF</t>
        </is>
      </c>
      <c r="D1170" t="inlineStr">
        <is>
          <t>CDMX Y AREA METROPOLITANA</t>
        </is>
      </c>
      <c r="E1170" t="inlineStr">
        <is>
          <t>12-2024</t>
        </is>
      </c>
      <c r="F1170" t="inlineStr">
        <is>
          <t>04-2025</t>
        </is>
      </c>
      <c r="G1170" t="n">
        <v>4</v>
      </c>
      <c r="H1170" t="inlineStr">
        <is>
          <t>Efectivo</t>
        </is>
      </c>
      <c r="I1170" t="inlineStr">
        <is>
          <t>05-2025</t>
        </is>
      </c>
      <c r="J1170" t="inlineStr">
        <is>
          <t>14G461</t>
        </is>
      </c>
      <c r="K1170" t="inlineStr">
        <is>
          <t>BYD D1</t>
        </is>
      </c>
      <c r="L1170" t="inlineStr">
        <is>
          <t>UBER</t>
        </is>
      </c>
      <c r="M1170" s="3">
        <f>IF(H1170="Efectivo",IFERROR((VALUE(RIGHT(I1170,4))-VALUE(RIGHT(E1170,4)))*12+(VALUE(LEFT(I1170,2))-VALUE(LEFT(E1170,2))),""),"")</f>
        <v/>
      </c>
    </row>
    <row r="1171">
      <c r="A1171" t="inlineStr">
        <is>
          <t>TORRES BLANCAS LUIS ANTONIO</t>
        </is>
      </c>
      <c r="B1171" t="inlineStr">
        <is>
          <t>Hombre</t>
        </is>
      </c>
      <c r="C1171" t="inlineStr">
        <is>
          <t>5126AF</t>
        </is>
      </c>
      <c r="D1171" t="inlineStr">
        <is>
          <t>CDMX Y AREA METROPOLITANA</t>
        </is>
      </c>
      <c r="E1171" t="inlineStr">
        <is>
          <t>06-2025</t>
        </is>
      </c>
      <c r="F1171" t="inlineStr">
        <is>
          <t>10-2025</t>
        </is>
      </c>
      <c r="G1171" t="n">
        <v>3</v>
      </c>
      <c r="H1171" t="inlineStr">
        <is>
          <t>Efectivo</t>
        </is>
      </c>
      <c r="I1171" t="inlineStr">
        <is>
          <t>10-2025</t>
        </is>
      </c>
      <c r="J1171" t="inlineStr">
        <is>
          <t>47G855</t>
        </is>
      </c>
      <c r="K1171" t="inlineStr">
        <is>
          <t>BYD MINIDOLPHIN</t>
        </is>
      </c>
      <c r="L1171" t="inlineStr">
        <is>
          <t>UBER</t>
        </is>
      </c>
      <c r="M1171" s="3">
        <f>IF(H1171="Efectivo",IFERROR((VALUE(RIGHT(I1171,4))-VALUE(RIGHT(E1171,4)))*12+(VALUE(LEFT(I1171,2))-VALUE(LEFT(E1171,2))),""),"")</f>
        <v/>
      </c>
    </row>
    <row r="1172">
      <c r="A1172" t="inlineStr">
        <is>
          <t>TORRES CASTRO MARCO ANTONIO</t>
        </is>
      </c>
      <c r="B1172" t="inlineStr">
        <is>
          <t>Hombre</t>
        </is>
      </c>
      <c r="C1172" t="inlineStr">
        <is>
          <t>3333AF</t>
        </is>
      </c>
      <c r="D1172" t="inlineStr">
        <is>
          <t>CDMX Y AREA METROPOLITANA</t>
        </is>
      </c>
      <c r="E1172" t="inlineStr">
        <is>
          <t>06-2024</t>
        </is>
      </c>
      <c r="F1172" t="inlineStr">
        <is>
          <t>03-2025</t>
        </is>
      </c>
      <c r="G1172" t="n">
        <v>9</v>
      </c>
      <c r="H1172" t="inlineStr">
        <is>
          <t>Efectivo</t>
        </is>
      </c>
      <c r="I1172" t="inlineStr">
        <is>
          <t>03-2025</t>
        </is>
      </c>
      <c r="J1172" t="inlineStr">
        <is>
          <t>84F330</t>
        </is>
      </c>
      <c r="K1172" t="inlineStr">
        <is>
          <t>SUZUKI ERTIGA</t>
        </is>
      </c>
      <c r="L1172" t="inlineStr">
        <is>
          <t>UBER</t>
        </is>
      </c>
      <c r="M1172" s="3">
        <f>IF(H1172="Efectivo",IFERROR((VALUE(RIGHT(I1172,4))-VALUE(RIGHT(E1172,4)))*12+(VALUE(LEFT(I1172,2))-VALUE(LEFT(E1172,2))),""),"")</f>
        <v/>
      </c>
    </row>
    <row r="1173">
      <c r="A1173" t="inlineStr">
        <is>
          <t>TORRES GARCIA JORGE ALDEVARAN</t>
        </is>
      </c>
      <c r="B1173" t="inlineStr">
        <is>
          <t>Hombre</t>
        </is>
      </c>
      <c r="C1173" t="inlineStr">
        <is>
          <t>4580AF</t>
        </is>
      </c>
      <c r="D1173" t="inlineStr">
        <is>
          <t>CDMX Y AREA METROPOLITANA</t>
        </is>
      </c>
      <c r="E1173" t="inlineStr">
        <is>
          <t>04-2025</t>
        </is>
      </c>
      <c r="F1173" t="inlineStr">
        <is>
          <t>04-2026</t>
        </is>
      </c>
      <c r="G1173" t="n">
        <v>13</v>
      </c>
      <c r="H1173" t="inlineStr">
        <is>
          <t>Pendiente</t>
        </is>
      </c>
      <c r="J1173" t="inlineStr">
        <is>
          <t>40G125</t>
        </is>
      </c>
      <c r="K1173" t="inlineStr">
        <is>
          <t>GAC AION S</t>
        </is>
      </c>
      <c r="L1173" t="inlineStr">
        <is>
          <t>UBER</t>
        </is>
      </c>
      <c r="M1173" s="3">
        <f>IF(H1173="Efectivo",IFERROR((VALUE(RIGHT(I1173,4))-VALUE(RIGHT(E1173,4)))*12+(VALUE(LEFT(I1173,2))-VALUE(LEFT(E1173,2))),""),"")</f>
        <v/>
      </c>
    </row>
    <row r="1174">
      <c r="A1174" t="inlineStr">
        <is>
          <t>TORRES GARCIA RICARDO DANIEL</t>
        </is>
      </c>
      <c r="B1174" t="inlineStr">
        <is>
          <t>Hombre</t>
        </is>
      </c>
      <c r="C1174" t="inlineStr">
        <is>
          <t>5190AF</t>
        </is>
      </c>
      <c r="D1174" t="inlineStr">
        <is>
          <t>NUEVO LEON</t>
        </is>
      </c>
      <c r="E1174" t="inlineStr">
        <is>
          <t>06-2025</t>
        </is>
      </c>
      <c r="F1174" t="inlineStr">
        <is>
          <t>01-2026</t>
        </is>
      </c>
      <c r="G1174" t="n">
        <v>6</v>
      </c>
      <c r="H1174" t="inlineStr">
        <is>
          <t>Efectivo</t>
        </is>
      </c>
      <c r="I1174" t="inlineStr">
        <is>
          <t>01-2026</t>
        </is>
      </c>
      <c r="J1174" t="inlineStr">
        <is>
          <t>RUW781C</t>
        </is>
      </c>
      <c r="K1174" t="inlineStr">
        <is>
          <t>CHEVROLET AVEO</t>
        </is>
      </c>
      <c r="L1174" t="inlineStr">
        <is>
          <t>DIDI</t>
        </is>
      </c>
      <c r="M1174" s="3">
        <f>IF(H1174="Efectivo",IFERROR((VALUE(RIGHT(I1174,4))-VALUE(RIGHT(E1174,4)))*12+(VALUE(LEFT(I1174,2))-VALUE(LEFT(E1174,2))),""),"")</f>
        <v/>
      </c>
    </row>
    <row r="1175">
      <c r="A1175" t="inlineStr">
        <is>
          <t>TORRES GONZALEZ CESAR AUGUSTO</t>
        </is>
      </c>
      <c r="B1175" t="inlineStr">
        <is>
          <t>Hombre</t>
        </is>
      </c>
      <c r="C1175" t="inlineStr">
        <is>
          <t>5604AF</t>
        </is>
      </c>
      <c r="D1175" t="inlineStr">
        <is>
          <t>NUEVO LEON</t>
        </is>
      </c>
      <c r="E1175" t="inlineStr">
        <is>
          <t>08-2025</t>
        </is>
      </c>
      <c r="F1175" t="inlineStr">
        <is>
          <t>03-2026</t>
        </is>
      </c>
      <c r="G1175" t="n">
        <v>6</v>
      </c>
      <c r="H1175" t="inlineStr">
        <is>
          <t>Efectivo</t>
        </is>
      </c>
      <c r="I1175" t="inlineStr">
        <is>
          <t>03-2026</t>
        </is>
      </c>
      <c r="J1175" t="inlineStr">
        <is>
          <t>RWL287C</t>
        </is>
      </c>
      <c r="K1175" t="inlineStr">
        <is>
          <t>TOYOTA AVANZA</t>
        </is>
      </c>
      <c r="L1175" t="inlineStr">
        <is>
          <t>UBER</t>
        </is>
      </c>
      <c r="M1175" s="3">
        <f>IF(H1175="Efectivo",IFERROR((VALUE(RIGHT(I1175,4))-VALUE(RIGHT(E1175,4)))*12+(VALUE(LEFT(I1175,2))-VALUE(LEFT(E1175,2))),""),"")</f>
        <v/>
      </c>
    </row>
    <row r="1176">
      <c r="A1176" t="inlineStr">
        <is>
          <t>TORRES JUAREZ JOEL DAMIAN</t>
        </is>
      </c>
      <c r="B1176" t="inlineStr">
        <is>
          <t>Hombre</t>
        </is>
      </c>
      <c r="C1176" t="inlineStr">
        <is>
          <t>4804AF</t>
        </is>
      </c>
      <c r="D1176" t="inlineStr">
        <is>
          <t>CDMX Y AREA METROPOLITANA</t>
        </is>
      </c>
      <c r="E1176" t="inlineStr">
        <is>
          <t>05-2025</t>
        </is>
      </c>
      <c r="F1176" t="inlineStr">
        <is>
          <t>03-2026</t>
        </is>
      </c>
      <c r="G1176" t="n">
        <v>10</v>
      </c>
      <c r="H1176" t="inlineStr">
        <is>
          <t>Efectivo</t>
        </is>
      </c>
      <c r="I1176" t="inlineStr">
        <is>
          <t>03-2026</t>
        </is>
      </c>
      <c r="J1176" t="inlineStr">
        <is>
          <t>47G422</t>
        </is>
      </c>
      <c r="K1176" t="inlineStr">
        <is>
          <t>BYD MINIDOLPHIN</t>
        </is>
      </c>
      <c r="L1176" t="inlineStr">
        <is>
          <t>DIDI</t>
        </is>
      </c>
      <c r="M1176" s="3">
        <f>IF(H1176="Efectivo",IFERROR((VALUE(RIGHT(I1176,4))-VALUE(RIGHT(E1176,4)))*12+(VALUE(LEFT(I1176,2))-VALUE(LEFT(E1176,2))),""),"")</f>
        <v/>
      </c>
    </row>
    <row r="1177">
      <c r="A1177" t="inlineStr">
        <is>
          <t>TORRES LOREDO HILDA</t>
        </is>
      </c>
      <c r="B1177" t="inlineStr">
        <is>
          <t>Mujer</t>
        </is>
      </c>
      <c r="C1177" t="inlineStr">
        <is>
          <t>5949AF</t>
        </is>
      </c>
      <c r="D1177" t="inlineStr">
        <is>
          <t>NUEVO LEON</t>
        </is>
      </c>
      <c r="E1177" t="inlineStr">
        <is>
          <t>10-2025</t>
        </is>
      </c>
      <c r="F1177" t="inlineStr">
        <is>
          <t>02-2026</t>
        </is>
      </c>
      <c r="G1177" t="n">
        <v>4</v>
      </c>
      <c r="H1177" t="inlineStr">
        <is>
          <t>Efectivo</t>
        </is>
      </c>
      <c r="I1177" t="inlineStr">
        <is>
          <t>02-2026</t>
        </is>
      </c>
      <c r="J1177" t="inlineStr">
        <is>
          <t>RXW053C</t>
        </is>
      </c>
      <c r="K1177" t="inlineStr">
        <is>
          <t>CHEVROLET AVEO</t>
        </is>
      </c>
      <c r="L1177" t="inlineStr">
        <is>
          <t>UBER</t>
        </is>
      </c>
      <c r="M1177" s="3">
        <f>IF(H1177="Efectivo",IFERROR((VALUE(RIGHT(I1177,4))-VALUE(RIGHT(E1177,4)))*12+(VALUE(LEFT(I1177,2))-VALUE(LEFT(E1177,2))),""),"")</f>
        <v/>
      </c>
    </row>
    <row r="1178">
      <c r="A1178" t="inlineStr">
        <is>
          <t>TORRES MALAGON SAMUEL</t>
        </is>
      </c>
      <c r="B1178" t="inlineStr">
        <is>
          <t>Hombre</t>
        </is>
      </c>
      <c r="C1178" t="inlineStr">
        <is>
          <t>6264AF</t>
        </is>
      </c>
      <c r="D1178" t="inlineStr">
        <is>
          <t>CDMX Y AREA METROPOLITANA</t>
        </is>
      </c>
      <c r="E1178" t="inlineStr">
        <is>
          <t>11-2025</t>
        </is>
      </c>
      <c r="F1178" t="inlineStr">
        <is>
          <t>05-2026</t>
        </is>
      </c>
      <c r="G1178" t="n">
        <v>6</v>
      </c>
      <c r="H1178" t="inlineStr">
        <is>
          <t>Efectivo</t>
        </is>
      </c>
      <c r="I1178" t="inlineStr">
        <is>
          <t>05-2026</t>
        </is>
      </c>
      <c r="J1178" t="inlineStr">
        <is>
          <t>48G012</t>
        </is>
      </c>
      <c r="K1178" t="inlineStr">
        <is>
          <t>BYD MINIDOLPHIN</t>
        </is>
      </c>
      <c r="L1178" t="inlineStr">
        <is>
          <t>UBER</t>
        </is>
      </c>
      <c r="M1178" s="3">
        <f>IF(H1178="Efectivo",IFERROR((VALUE(RIGHT(I1178,4))-VALUE(RIGHT(E1178,4)))*12+(VALUE(LEFT(I1178,2))-VALUE(LEFT(E1178,2))),""),"")</f>
        <v/>
      </c>
    </row>
    <row r="1179">
      <c r="A1179" t="inlineStr">
        <is>
          <t>TORRES MARTINEZ ALEJANDRO</t>
        </is>
      </c>
      <c r="B1179" t="inlineStr">
        <is>
          <t>Hombre</t>
        </is>
      </c>
      <c r="C1179" t="inlineStr">
        <is>
          <t>6718AF</t>
        </is>
      </c>
      <c r="D1179" t="inlineStr">
        <is>
          <t>CDMX Y AREA METROPOLITANA</t>
        </is>
      </c>
      <c r="E1179" t="inlineStr">
        <is>
          <t>01-2026</t>
        </is>
      </c>
      <c r="F1179" t="inlineStr">
        <is>
          <t>04-2026</t>
        </is>
      </c>
      <c r="G1179" t="n">
        <v>3</v>
      </c>
      <c r="H1179" t="inlineStr">
        <is>
          <t>Efectivo</t>
        </is>
      </c>
      <c r="I1179" t="inlineStr">
        <is>
          <t>05-2026</t>
        </is>
      </c>
      <c r="J1179" t="inlineStr">
        <is>
          <t>X05BSR</t>
        </is>
      </c>
      <c r="K1179" t="inlineStr">
        <is>
          <t>CHEVROLET AVEO</t>
        </is>
      </c>
      <c r="L1179" t="inlineStr">
        <is>
          <t>UBER</t>
        </is>
      </c>
      <c r="M1179" s="3">
        <f>IF(H1179="Efectivo",IFERROR((VALUE(RIGHT(I1179,4))-VALUE(RIGHT(E1179,4)))*12+(VALUE(LEFT(I1179,2))-VALUE(LEFT(E1179,2))),""),"")</f>
        <v/>
      </c>
    </row>
    <row r="1180">
      <c r="A1180" t="inlineStr">
        <is>
          <t>TORRES MOLANO ARTURO</t>
        </is>
      </c>
      <c r="B1180" t="inlineStr">
        <is>
          <t>Hombre</t>
        </is>
      </c>
      <c r="C1180" t="inlineStr">
        <is>
          <t>4806AF</t>
        </is>
      </c>
      <c r="D1180" t="inlineStr">
        <is>
          <t>CDMX Y AREA METROPOLITANA</t>
        </is>
      </c>
      <c r="E1180" t="inlineStr">
        <is>
          <t>05-2025</t>
        </is>
      </c>
      <c r="F1180" t="inlineStr">
        <is>
          <t>06-2025</t>
        </is>
      </c>
      <c r="G1180" t="n">
        <v>1</v>
      </c>
      <c r="H1180" t="inlineStr">
        <is>
          <t>Pendiente</t>
        </is>
      </c>
      <c r="J1180" t="inlineStr">
        <is>
          <t>41G653</t>
        </is>
      </c>
      <c r="K1180" t="inlineStr">
        <is>
          <t>BYD MINIDOLPHIN</t>
        </is>
      </c>
      <c r="L1180" t="inlineStr">
        <is>
          <t>UBER</t>
        </is>
      </c>
      <c r="M1180" s="3">
        <f>IF(H1180="Efectivo",IFERROR((VALUE(RIGHT(I1180,4))-VALUE(RIGHT(E1180,4)))*12+(VALUE(LEFT(I1180,2))-VALUE(LEFT(E1180,2))),""),"")</f>
        <v/>
      </c>
    </row>
    <row r="1181">
      <c r="A1181" t="inlineStr">
        <is>
          <t>TORRES MORENO JUAN MARIO</t>
        </is>
      </c>
      <c r="B1181" t="inlineStr">
        <is>
          <t>Hombre</t>
        </is>
      </c>
      <c r="C1181" t="inlineStr">
        <is>
          <t>6271AF</t>
        </is>
      </c>
      <c r="D1181" t="inlineStr">
        <is>
          <t>NUEVO LEON</t>
        </is>
      </c>
      <c r="E1181" t="inlineStr">
        <is>
          <t>11-2025</t>
        </is>
      </c>
      <c r="F1181" t="inlineStr">
        <is>
          <t>02-2026</t>
        </is>
      </c>
      <c r="G1181" t="n">
        <v>3</v>
      </c>
      <c r="H1181" t="inlineStr">
        <is>
          <t>Efectivo</t>
        </is>
      </c>
      <c r="I1181" t="inlineStr">
        <is>
          <t>03-2026</t>
        </is>
      </c>
      <c r="J1181" t="inlineStr">
        <is>
          <t>53S659</t>
        </is>
      </c>
      <c r="K1181" t="inlineStr">
        <is>
          <t>BYD MINIDOLPHIN</t>
        </is>
      </c>
      <c r="L1181" t="inlineStr">
        <is>
          <t>UBER</t>
        </is>
      </c>
      <c r="M1181" s="3">
        <f>IF(H1181="Efectivo",IFERROR((VALUE(RIGHT(I1181,4))-VALUE(RIGHT(E1181,4)))*12+(VALUE(LEFT(I1181,2))-VALUE(LEFT(E1181,2))),""),"")</f>
        <v/>
      </c>
    </row>
    <row r="1182">
      <c r="A1182" t="inlineStr">
        <is>
          <t>TORRES REYES BRIAN GUADALUPE</t>
        </is>
      </c>
      <c r="B1182" t="inlineStr">
        <is>
          <t>Hombre</t>
        </is>
      </c>
      <c r="C1182" t="inlineStr">
        <is>
          <t>5289AF</t>
        </is>
      </c>
      <c r="D1182" t="inlineStr">
        <is>
          <t>JALISCO</t>
        </is>
      </c>
      <c r="E1182" t="inlineStr">
        <is>
          <t>07-2025</t>
        </is>
      </c>
      <c r="F1182" t="inlineStr">
        <is>
          <t>05-2026</t>
        </is>
      </c>
      <c r="G1182" t="n">
        <v>10</v>
      </c>
      <c r="H1182" t="inlineStr">
        <is>
          <t>Pendiente</t>
        </is>
      </c>
      <c r="J1182" t="inlineStr">
        <is>
          <t>JAY042A</t>
        </is>
      </c>
      <c r="K1182" t="inlineStr">
        <is>
          <t>CHEVROLET AVEO</t>
        </is>
      </c>
      <c r="L1182" t="inlineStr">
        <is>
          <t>UBER</t>
        </is>
      </c>
      <c r="M1182" s="3">
        <f>IF(H1182="Efectivo",IFERROR((VALUE(RIGHT(I1182,4))-VALUE(RIGHT(E1182,4)))*12+(VALUE(LEFT(I1182,2))-VALUE(LEFT(E1182,2))),""),"")</f>
        <v/>
      </c>
    </row>
    <row r="1183">
      <c r="A1183" t="inlineStr">
        <is>
          <t>TORRES VARGAS ABEL</t>
        </is>
      </c>
      <c r="B1183" t="inlineStr">
        <is>
          <t>Hombre</t>
        </is>
      </c>
      <c r="C1183" t="inlineStr">
        <is>
          <t>4612AF</t>
        </is>
      </c>
      <c r="D1183" t="inlineStr">
        <is>
          <t>BAJA CALIFORNIA</t>
        </is>
      </c>
      <c r="E1183" t="inlineStr">
        <is>
          <t>04-2025</t>
        </is>
      </c>
      <c r="F1183" t="inlineStr">
        <is>
          <t>07-2025</t>
        </is>
      </c>
      <c r="G1183" t="n">
        <v>3</v>
      </c>
      <c r="H1183" t="inlineStr">
        <is>
          <t>Efectivo</t>
        </is>
      </c>
      <c r="I1183" t="inlineStr">
        <is>
          <t>07-2025</t>
        </is>
      </c>
      <c r="J1183" t="inlineStr">
        <is>
          <t>BWX683A</t>
        </is>
      </c>
      <c r="K1183" t="inlineStr">
        <is>
          <t>CHEVROLET AVEO</t>
        </is>
      </c>
      <c r="L1183" t="inlineStr">
        <is>
          <t>UBER</t>
        </is>
      </c>
      <c r="M1183" s="3">
        <f>IF(H1183="Efectivo",IFERROR((VALUE(RIGHT(I1183,4))-VALUE(RIGHT(E1183,4)))*12+(VALUE(LEFT(I1183,2))-VALUE(LEFT(E1183,2))),""),"")</f>
        <v/>
      </c>
    </row>
    <row r="1184">
      <c r="A1184" t="inlineStr">
        <is>
          <t>TORRES VILLANUEVA GILBERTO</t>
        </is>
      </c>
      <c r="B1184" t="inlineStr">
        <is>
          <t>Hombre</t>
        </is>
      </c>
      <c r="C1184" t="inlineStr">
        <is>
          <t>5079AF</t>
        </is>
      </c>
      <c r="D1184" t="inlineStr">
        <is>
          <t>CDMX Y AREA METROPOLITANA</t>
        </is>
      </c>
      <c r="E1184" t="inlineStr">
        <is>
          <t>06-2025</t>
        </is>
      </c>
      <c r="F1184" t="inlineStr">
        <is>
          <t>12-2025</t>
        </is>
      </c>
      <c r="G1184" t="n">
        <v>6</v>
      </c>
      <c r="H1184" t="inlineStr">
        <is>
          <t>Efectivo</t>
        </is>
      </c>
      <c r="I1184" t="inlineStr">
        <is>
          <t>12-2025</t>
        </is>
      </c>
      <c r="J1184" t="inlineStr">
        <is>
          <t>13G754</t>
        </is>
      </c>
      <c r="K1184" t="inlineStr">
        <is>
          <t>BYD D1</t>
        </is>
      </c>
      <c r="L1184" t="inlineStr">
        <is>
          <t>UBER</t>
        </is>
      </c>
      <c r="M1184" s="3">
        <f>IF(H1184="Efectivo",IFERROR((VALUE(RIGHT(I1184,4))-VALUE(RIGHT(E1184,4)))*12+(VALUE(LEFT(I1184,2))-VALUE(LEFT(E1184,2))),""),"")</f>
        <v/>
      </c>
    </row>
    <row r="1185">
      <c r="A1185" t="inlineStr">
        <is>
          <t>TOVAR ARAIZA INES</t>
        </is>
      </c>
      <c r="B1185" t="inlineStr">
        <is>
          <t>Mujer</t>
        </is>
      </c>
      <c r="C1185" t="inlineStr">
        <is>
          <t>3629AF</t>
        </is>
      </c>
      <c r="D1185" t="inlineStr">
        <is>
          <t>JALISCO</t>
        </is>
      </c>
      <c r="E1185" t="inlineStr">
        <is>
          <t>08-2024</t>
        </is>
      </c>
      <c r="F1185" t="inlineStr">
        <is>
          <t>09-2025</t>
        </is>
      </c>
      <c r="G1185" t="n">
        <v>13</v>
      </c>
      <c r="H1185" t="inlineStr">
        <is>
          <t>Efectivo</t>
        </is>
      </c>
      <c r="I1185" t="inlineStr">
        <is>
          <t>09-2025</t>
        </is>
      </c>
      <c r="J1185" t="inlineStr">
        <is>
          <t>HXC193A</t>
        </is>
      </c>
      <c r="K1185" t="inlineStr">
        <is>
          <t>CHEVROLET AVEO</t>
        </is>
      </c>
      <c r="L1185" t="inlineStr">
        <is>
          <t>UBER</t>
        </is>
      </c>
      <c r="M1185" s="3">
        <f>IF(H1185="Efectivo",IFERROR((VALUE(RIGHT(I1185,4))-VALUE(RIGHT(E1185,4)))*12+(VALUE(LEFT(I1185,2))-VALUE(LEFT(E1185,2))),""),"")</f>
        <v/>
      </c>
    </row>
    <row r="1186">
      <c r="A1186" t="inlineStr">
        <is>
          <t>TOVAR BONILLA SOFIA</t>
        </is>
      </c>
      <c r="B1186" t="inlineStr">
        <is>
          <t>Mujer</t>
        </is>
      </c>
      <c r="C1186" t="inlineStr">
        <is>
          <t>2962AF</t>
        </is>
      </c>
      <c r="D1186" t="inlineStr">
        <is>
          <t>BAJA CALIFORNIA</t>
        </is>
      </c>
      <c r="E1186" t="inlineStr">
        <is>
          <t>01-2024</t>
        </is>
      </c>
      <c r="F1186" t="inlineStr">
        <is>
          <t>03-2025</t>
        </is>
      </c>
      <c r="G1186" t="n">
        <v>14</v>
      </c>
      <c r="H1186" t="inlineStr">
        <is>
          <t>Efectivo</t>
        </is>
      </c>
      <c r="I1186" t="inlineStr">
        <is>
          <t>03-2025</t>
        </is>
      </c>
      <c r="J1186" t="inlineStr">
        <is>
          <t>BGL988A</t>
        </is>
      </c>
      <c r="K1186" t="inlineStr">
        <is>
          <t>SUZUKI ERTIGA</t>
        </is>
      </c>
      <c r="L1186" t="inlineStr">
        <is>
          <t>UBER</t>
        </is>
      </c>
      <c r="M1186" s="3">
        <f>IF(H1186="Efectivo",IFERROR((VALUE(RIGHT(I1186,4))-VALUE(RIGHT(E1186,4)))*12+(VALUE(LEFT(I1186,2))-VALUE(LEFT(E1186,2))),""),"")</f>
        <v/>
      </c>
    </row>
    <row r="1187">
      <c r="A1187" t="inlineStr">
        <is>
          <t>TOVAR ESTRELLA GABRIEL</t>
        </is>
      </c>
      <c r="B1187" t="inlineStr">
        <is>
          <t>Hombre</t>
        </is>
      </c>
      <c r="C1187" t="inlineStr">
        <is>
          <t>4304AF</t>
        </is>
      </c>
      <c r="D1187" t="inlineStr">
        <is>
          <t>CDMX Y AREA METROPOLITANA</t>
        </is>
      </c>
      <c r="E1187" t="inlineStr">
        <is>
          <t>02-2025</t>
        </is>
      </c>
      <c r="F1187" t="inlineStr">
        <is>
          <t>05-2026</t>
        </is>
      </c>
      <c r="G1187" t="n">
        <v>15</v>
      </c>
      <c r="H1187" t="inlineStr">
        <is>
          <t>Efectivo</t>
        </is>
      </c>
      <c r="I1187" t="inlineStr">
        <is>
          <t>05-2026</t>
        </is>
      </c>
      <c r="J1187" t="inlineStr">
        <is>
          <t>31G987</t>
        </is>
      </c>
      <c r="K1187" t="inlineStr">
        <is>
          <t>GAC AION S</t>
        </is>
      </c>
      <c r="L1187" t="inlineStr">
        <is>
          <t>DIDI</t>
        </is>
      </c>
      <c r="M1187" s="3">
        <f>IF(H1187="Efectivo",IFERROR((VALUE(RIGHT(I1187,4))-VALUE(RIGHT(E1187,4)))*12+(VALUE(LEFT(I1187,2))-VALUE(LEFT(E1187,2))),""),"")</f>
        <v/>
      </c>
    </row>
    <row r="1188">
      <c r="A1188" t="inlineStr">
        <is>
          <t>TOVAR VAZQUEZ MIGUEL ANGEL</t>
        </is>
      </c>
      <c r="B1188" t="inlineStr">
        <is>
          <t>Hombre</t>
        </is>
      </c>
      <c r="C1188" t="inlineStr">
        <is>
          <t>3579AF</t>
        </is>
      </c>
      <c r="D1188" t="inlineStr">
        <is>
          <t>CDMX Y AREA METROPOLITANA</t>
        </is>
      </c>
      <c r="E1188" t="inlineStr">
        <is>
          <t>08-2024</t>
        </is>
      </c>
      <c r="F1188" t="inlineStr">
        <is>
          <t>04-2025</t>
        </is>
      </c>
      <c r="G1188" t="n">
        <v>9</v>
      </c>
      <c r="H1188" t="inlineStr">
        <is>
          <t>Efectivo</t>
        </is>
      </c>
      <c r="I1188" t="inlineStr">
        <is>
          <t>05-2025</t>
        </is>
      </c>
      <c r="J1188" t="inlineStr">
        <is>
          <t>E89BPF</t>
        </is>
      </c>
      <c r="K1188" t="inlineStr">
        <is>
          <t>CHEVROLET AVEO</t>
        </is>
      </c>
      <c r="L1188" t="inlineStr">
        <is>
          <t>UBER</t>
        </is>
      </c>
      <c r="M1188" s="3">
        <f>IF(H1188="Efectivo",IFERROR((VALUE(RIGHT(I1188,4))-VALUE(RIGHT(E1188,4)))*12+(VALUE(LEFT(I1188,2))-VALUE(LEFT(E1188,2))),""),"")</f>
        <v/>
      </c>
    </row>
    <row r="1189">
      <c r="A1189" t="inlineStr">
        <is>
          <t>TREJO PEREZ LUIS</t>
        </is>
      </c>
      <c r="B1189" t="inlineStr">
        <is>
          <t>Hombre</t>
        </is>
      </c>
      <c r="C1189" t="inlineStr">
        <is>
          <t>4754AF</t>
        </is>
      </c>
      <c r="D1189" t="inlineStr">
        <is>
          <t>CDMX Y AREA METROPOLITANA</t>
        </is>
      </c>
      <c r="E1189" t="inlineStr">
        <is>
          <t>04-2025</t>
        </is>
      </c>
      <c r="F1189" t="inlineStr">
        <is>
          <t>10-2025</t>
        </is>
      </c>
      <c r="G1189" t="n">
        <v>5</v>
      </c>
      <c r="H1189" t="inlineStr">
        <is>
          <t>Cancelado</t>
        </is>
      </c>
      <c r="J1189" t="inlineStr">
        <is>
          <t>08G186</t>
        </is>
      </c>
      <c r="K1189" t="inlineStr">
        <is>
          <t>BYD D1</t>
        </is>
      </c>
      <c r="L1189" t="inlineStr">
        <is>
          <t>UBER</t>
        </is>
      </c>
      <c r="M1189" s="3">
        <f>IF(H1189="Efectivo",IFERROR((VALUE(RIGHT(I1189,4))-VALUE(RIGHT(E1189,4)))*12+(VALUE(LEFT(I1189,2))-VALUE(LEFT(E1189,2))),""),"")</f>
        <v/>
      </c>
    </row>
    <row r="1190">
      <c r="A1190" t="inlineStr">
        <is>
          <t>TREJO PEREZ LUIS</t>
        </is>
      </c>
      <c r="B1190" t="inlineStr">
        <is>
          <t>Hombre</t>
        </is>
      </c>
      <c r="C1190" t="inlineStr">
        <is>
          <t>4754AF</t>
        </is>
      </c>
      <c r="D1190" t="inlineStr">
        <is>
          <t>CDMX Y AREA METROPOLITANA</t>
        </is>
      </c>
      <c r="E1190" t="inlineStr">
        <is>
          <t>04-2025</t>
        </is>
      </c>
      <c r="F1190" t="inlineStr">
        <is>
          <t>02-2026</t>
        </is>
      </c>
      <c r="G1190" t="n">
        <v>10</v>
      </c>
      <c r="H1190" t="inlineStr">
        <is>
          <t>Efectivo</t>
        </is>
      </c>
      <c r="I1190" t="inlineStr">
        <is>
          <t>02-2026</t>
        </is>
      </c>
      <c r="J1190" t="inlineStr">
        <is>
          <t>08G186</t>
        </is>
      </c>
      <c r="K1190" t="inlineStr">
        <is>
          <t>BYD D1</t>
        </is>
      </c>
      <c r="L1190" t="inlineStr">
        <is>
          <t>UBER</t>
        </is>
      </c>
      <c r="M1190" s="3">
        <f>IF(H1190="Efectivo",IFERROR((VALUE(RIGHT(I1190,4))-VALUE(RIGHT(E1190,4)))*12+(VALUE(LEFT(I1190,2))-VALUE(LEFT(E1190,2))),""),"")</f>
        <v/>
      </c>
    </row>
    <row r="1191">
      <c r="A1191" t="inlineStr">
        <is>
          <t>TREJO SANCHEZ CARLOS ELIGIO</t>
        </is>
      </c>
      <c r="B1191" t="inlineStr">
        <is>
          <t>Hombre</t>
        </is>
      </c>
      <c r="C1191" t="inlineStr">
        <is>
          <t>5989AF</t>
        </is>
      </c>
      <c r="D1191" t="inlineStr">
        <is>
          <t>CDMX Y AREA METROPOLITANA</t>
        </is>
      </c>
      <c r="E1191" t="inlineStr">
        <is>
          <t>10-2025</t>
        </is>
      </c>
      <c r="F1191" t="inlineStr">
        <is>
          <t>01-2026</t>
        </is>
      </c>
      <c r="G1191" t="n">
        <v>3</v>
      </c>
      <c r="H1191" t="inlineStr">
        <is>
          <t>Efectivo</t>
        </is>
      </c>
      <c r="I1191" t="inlineStr">
        <is>
          <t>01-2026</t>
        </is>
      </c>
      <c r="J1191" t="inlineStr">
        <is>
          <t>15K147</t>
        </is>
      </c>
      <c r="K1191" t="inlineStr">
        <is>
          <t>BYD MINIDOLPHIN</t>
        </is>
      </c>
      <c r="L1191" t="inlineStr">
        <is>
          <t>DIDI</t>
        </is>
      </c>
      <c r="M1191" s="3">
        <f>IF(H1191="Efectivo",IFERROR((VALUE(RIGHT(I1191,4))-VALUE(RIGHT(E1191,4)))*12+(VALUE(LEFT(I1191,2))-VALUE(LEFT(E1191,2))),""),"")</f>
        <v/>
      </c>
    </row>
    <row r="1192">
      <c r="A1192" t="inlineStr">
        <is>
          <t>TREVILLA ELIZALDE HECTOR</t>
        </is>
      </c>
      <c r="B1192" t="inlineStr">
        <is>
          <t>Hombre</t>
        </is>
      </c>
      <c r="C1192" t="inlineStr">
        <is>
          <t>3626AF</t>
        </is>
      </c>
      <c r="D1192" t="inlineStr">
        <is>
          <t>CDMX Y AREA METROPOLITANA</t>
        </is>
      </c>
      <c r="E1192" t="inlineStr">
        <is>
          <t>08-2024</t>
        </is>
      </c>
      <c r="F1192" t="inlineStr">
        <is>
          <t>03-2025</t>
        </is>
      </c>
      <c r="G1192" t="n">
        <v>7</v>
      </c>
      <c r="H1192" t="inlineStr">
        <is>
          <t>Efectivo</t>
        </is>
      </c>
      <c r="I1192" t="inlineStr">
        <is>
          <t>03-2025</t>
        </is>
      </c>
      <c r="J1192" t="inlineStr">
        <is>
          <t>95F018</t>
        </is>
      </c>
      <c r="K1192" t="inlineStr">
        <is>
          <t>SUZUKI ERTIGA</t>
        </is>
      </c>
      <c r="L1192" t="inlineStr">
        <is>
          <t>UBER</t>
        </is>
      </c>
      <c r="M1192" s="3">
        <f>IF(H1192="Efectivo",IFERROR((VALUE(RIGHT(I1192,4))-VALUE(RIGHT(E1192,4)))*12+(VALUE(LEFT(I1192,2))-VALUE(LEFT(E1192,2))),""),"")</f>
        <v/>
      </c>
    </row>
    <row r="1193">
      <c r="A1193" t="inlineStr">
        <is>
          <t>TRONCOSO ARRIAGA ARMANDO</t>
        </is>
      </c>
      <c r="B1193" t="inlineStr">
        <is>
          <t>Hombre</t>
        </is>
      </c>
      <c r="C1193" t="inlineStr">
        <is>
          <t>5170AF</t>
        </is>
      </c>
      <c r="D1193" t="inlineStr">
        <is>
          <t>CDMX Y AREA METROPOLITANA</t>
        </is>
      </c>
      <c r="E1193" t="inlineStr">
        <is>
          <t>06-2025</t>
        </is>
      </c>
      <c r="F1193" t="inlineStr">
        <is>
          <t>12-2025</t>
        </is>
      </c>
      <c r="G1193" t="n">
        <v>6</v>
      </c>
      <c r="H1193" t="inlineStr">
        <is>
          <t>Cancelado</t>
        </is>
      </c>
      <c r="J1193" t="inlineStr">
        <is>
          <t>47G899</t>
        </is>
      </c>
      <c r="K1193" t="inlineStr">
        <is>
          <t>BYD MINIDOLPHIN</t>
        </is>
      </c>
      <c r="L1193" t="inlineStr">
        <is>
          <t>DIDI</t>
        </is>
      </c>
      <c r="M1193" s="3">
        <f>IF(H1193="Efectivo",IFERROR((VALUE(RIGHT(I1193,4))-VALUE(RIGHT(E1193,4)))*12+(VALUE(LEFT(I1193,2))-VALUE(LEFT(E1193,2))),""),"")</f>
        <v/>
      </c>
    </row>
    <row r="1194">
      <c r="A1194" t="inlineStr">
        <is>
          <t>TRONCOSO VEGA MIGUEL ANGEL</t>
        </is>
      </c>
      <c r="B1194" t="inlineStr">
        <is>
          <t>Hombre</t>
        </is>
      </c>
      <c r="C1194" t="inlineStr">
        <is>
          <t>6028AF</t>
        </is>
      </c>
      <c r="D1194" t="inlineStr">
        <is>
          <t>BAJA CALIFORNIA</t>
        </is>
      </c>
      <c r="E1194" t="inlineStr">
        <is>
          <t>10-2025</t>
        </is>
      </c>
      <c r="F1194" t="inlineStr">
        <is>
          <t>02-2026</t>
        </is>
      </c>
      <c r="G1194" t="n">
        <v>3</v>
      </c>
      <c r="H1194" t="inlineStr">
        <is>
          <t>Efectivo</t>
        </is>
      </c>
      <c r="I1194" t="inlineStr">
        <is>
          <t>02-2026</t>
        </is>
      </c>
      <c r="J1194" t="inlineStr">
        <is>
          <t>CAJ007A</t>
        </is>
      </c>
      <c r="K1194" t="inlineStr">
        <is>
          <t>CHEVROLET AVEO</t>
        </is>
      </c>
      <c r="L1194" t="inlineStr">
        <is>
          <t>DIDI</t>
        </is>
      </c>
      <c r="M1194" s="3">
        <f>IF(H1194="Efectivo",IFERROR((VALUE(RIGHT(I1194,4))-VALUE(RIGHT(E1194,4)))*12+(VALUE(LEFT(I1194,2))-VALUE(LEFT(E1194,2))),""),"")</f>
        <v/>
      </c>
    </row>
    <row r="1195">
      <c r="A1195" t="inlineStr">
        <is>
          <t>TRUJANO VELAZQUEZ ANDRES ARMANDO</t>
        </is>
      </c>
      <c r="B1195" t="inlineStr">
        <is>
          <t>Hombre</t>
        </is>
      </c>
      <c r="C1195" t="inlineStr">
        <is>
          <t>4244AF</t>
        </is>
      </c>
      <c r="D1195" t="inlineStr">
        <is>
          <t>CDMX Y AREA METROPOLITANA</t>
        </is>
      </c>
      <c r="E1195" t="inlineStr">
        <is>
          <t>01-2025</t>
        </is>
      </c>
      <c r="F1195" t="inlineStr">
        <is>
          <t>02-2026</t>
        </is>
      </c>
      <c r="G1195" t="n">
        <v>12</v>
      </c>
      <c r="H1195" t="inlineStr">
        <is>
          <t>Efectivo</t>
        </is>
      </c>
      <c r="I1195" t="inlineStr">
        <is>
          <t>03-2026</t>
        </is>
      </c>
      <c r="J1195" t="inlineStr">
        <is>
          <t>P96BRD</t>
        </is>
      </c>
      <c r="K1195" t="inlineStr">
        <is>
          <t>CHEVROLET AVEO</t>
        </is>
      </c>
      <c r="L1195" t="inlineStr">
        <is>
          <t>UBER</t>
        </is>
      </c>
      <c r="M1195" s="3">
        <f>IF(H1195="Efectivo",IFERROR((VALUE(RIGHT(I1195,4))-VALUE(RIGHT(E1195,4)))*12+(VALUE(LEFT(I1195,2))-VALUE(LEFT(E1195,2))),""),"")</f>
        <v/>
      </c>
    </row>
    <row r="1196">
      <c r="A1196" t="inlineStr">
        <is>
          <t>TRUJILLO CHAVEZ LIZANDRO IVAN</t>
        </is>
      </c>
      <c r="B1196" t="inlineStr">
        <is>
          <t>Hombre</t>
        </is>
      </c>
      <c r="C1196" t="inlineStr">
        <is>
          <t>5772AF</t>
        </is>
      </c>
      <c r="D1196" t="inlineStr">
        <is>
          <t>BAJA CALIFORNIA</t>
        </is>
      </c>
      <c r="E1196" t="inlineStr">
        <is>
          <t>09-2025</t>
        </is>
      </c>
      <c r="F1196" t="inlineStr">
        <is>
          <t>03-2026</t>
        </is>
      </c>
      <c r="G1196" t="n">
        <v>6</v>
      </c>
      <c r="H1196" t="inlineStr">
        <is>
          <t>Efectivo</t>
        </is>
      </c>
      <c r="I1196" t="inlineStr">
        <is>
          <t>03-2026</t>
        </is>
      </c>
      <c r="J1196" t="inlineStr">
        <is>
          <t>CAD705A</t>
        </is>
      </c>
      <c r="K1196" t="inlineStr">
        <is>
          <t>CHEVROLET AVEO</t>
        </is>
      </c>
      <c r="L1196" t="inlineStr">
        <is>
          <t>UBER</t>
        </is>
      </c>
      <c r="M1196" s="3">
        <f>IF(H1196="Efectivo",IFERROR((VALUE(RIGHT(I1196,4))-VALUE(RIGHT(E1196,4)))*12+(VALUE(LEFT(I1196,2))-VALUE(LEFT(E1196,2))),""),"")</f>
        <v/>
      </c>
    </row>
    <row r="1197">
      <c r="A1197" t="inlineStr">
        <is>
          <t>UGALDE VARGAS ARMANDO</t>
        </is>
      </c>
      <c r="B1197" t="inlineStr">
        <is>
          <t>Hombre</t>
        </is>
      </c>
      <c r="C1197" t="inlineStr">
        <is>
          <t>3985AF</t>
        </is>
      </c>
      <c r="D1197" t="inlineStr">
        <is>
          <t>CDMX Y AREA METROPOLITANA</t>
        </is>
      </c>
      <c r="E1197" t="inlineStr">
        <is>
          <t>11-2024</t>
        </is>
      </c>
      <c r="F1197" t="inlineStr">
        <is>
          <t>09-2025</t>
        </is>
      </c>
      <c r="G1197" t="n">
        <v>10</v>
      </c>
      <c r="H1197" t="inlineStr">
        <is>
          <t>Efectivo</t>
        </is>
      </c>
      <c r="I1197" t="inlineStr">
        <is>
          <t>09-2025</t>
        </is>
      </c>
      <c r="J1197" t="inlineStr">
        <is>
          <t>13G827</t>
        </is>
      </c>
      <c r="K1197" t="inlineStr">
        <is>
          <t>BYD D1</t>
        </is>
      </c>
      <c r="L1197" t="inlineStr">
        <is>
          <t>DIDI</t>
        </is>
      </c>
      <c r="M1197" s="3">
        <f>IF(H1197="Efectivo",IFERROR((VALUE(RIGHT(I1197,4))-VALUE(RIGHT(E1197,4)))*12+(VALUE(LEFT(I1197,2))-VALUE(LEFT(E1197,2))),""),"")</f>
        <v/>
      </c>
    </row>
    <row r="1198">
      <c r="A1198" t="inlineStr">
        <is>
          <t>URBINA RODAS LUIS ANGEL</t>
        </is>
      </c>
      <c r="B1198" t="inlineStr">
        <is>
          <t>Hombre</t>
        </is>
      </c>
      <c r="C1198" t="inlineStr">
        <is>
          <t>4847AF</t>
        </is>
      </c>
      <c r="D1198" t="inlineStr">
        <is>
          <t>NUEVO LEON</t>
        </is>
      </c>
      <c r="E1198" t="inlineStr">
        <is>
          <t>05-2025</t>
        </is>
      </c>
      <c r="F1198" t="inlineStr">
        <is>
          <t>09-2025</t>
        </is>
      </c>
      <c r="G1198" t="n">
        <v>4</v>
      </c>
      <c r="H1198" t="inlineStr">
        <is>
          <t>Efectivo</t>
        </is>
      </c>
      <c r="I1198" t="inlineStr">
        <is>
          <t>10-2025</t>
        </is>
      </c>
      <c r="J1198" t="inlineStr">
        <is>
          <t>RRG970C</t>
        </is>
      </c>
      <c r="K1198" t="inlineStr">
        <is>
          <t>TOYOTA AVANZA</t>
        </is>
      </c>
      <c r="L1198" t="inlineStr">
        <is>
          <t>DIDI</t>
        </is>
      </c>
      <c r="M1198" s="3">
        <f>IF(H1198="Efectivo",IFERROR((VALUE(RIGHT(I1198,4))-VALUE(RIGHT(E1198,4)))*12+(VALUE(LEFT(I1198,2))-VALUE(LEFT(E1198,2))),""),"")</f>
        <v/>
      </c>
    </row>
    <row r="1199">
      <c r="A1199" t="inlineStr">
        <is>
          <t>URESTI RODRIGUEZ FRANCISCO JAVIER</t>
        </is>
      </c>
      <c r="B1199" t="inlineStr">
        <is>
          <t>Hombre</t>
        </is>
      </c>
      <c r="C1199" t="inlineStr">
        <is>
          <t>5238AF</t>
        </is>
      </c>
      <c r="D1199" t="inlineStr">
        <is>
          <t>NUEVO LEON</t>
        </is>
      </c>
      <c r="E1199" t="inlineStr">
        <is>
          <t>07-2025</t>
        </is>
      </c>
      <c r="F1199" t="inlineStr">
        <is>
          <t>05-2026</t>
        </is>
      </c>
      <c r="G1199" t="n">
        <v>10</v>
      </c>
      <c r="H1199" t="inlineStr">
        <is>
          <t>Pendiente</t>
        </is>
      </c>
      <c r="J1199" t="inlineStr">
        <is>
          <t>SEX506B</t>
        </is>
      </c>
      <c r="K1199" t="inlineStr">
        <is>
          <t>TOYOTA AVANZA</t>
        </is>
      </c>
      <c r="L1199" t="inlineStr">
        <is>
          <t>DIDI</t>
        </is>
      </c>
      <c r="M1199" s="3">
        <f>IF(H1199="Efectivo",IFERROR((VALUE(RIGHT(I1199,4))-VALUE(RIGHT(E1199,4)))*12+(VALUE(LEFT(I1199,2))-VALUE(LEFT(E1199,2))),""),"")</f>
        <v/>
      </c>
    </row>
    <row r="1200">
      <c r="A1200" t="inlineStr">
        <is>
          <t>URIAS BERRELLEZA ROSARIO GUADALUPE</t>
        </is>
      </c>
      <c r="B1200" t="inlineStr">
        <is>
          <t>Hombre</t>
        </is>
      </c>
      <c r="C1200" t="inlineStr">
        <is>
          <t>5493AF</t>
        </is>
      </c>
      <c r="D1200" t="inlineStr">
        <is>
          <t>BAJA CALIFORNIA</t>
        </is>
      </c>
      <c r="E1200" t="inlineStr">
        <is>
          <t>08-2025</t>
        </is>
      </c>
      <c r="F1200" t="inlineStr">
        <is>
          <t>12-2025</t>
        </is>
      </c>
      <c r="G1200" t="n">
        <v>4</v>
      </c>
      <c r="H1200" t="inlineStr">
        <is>
          <t>Efectivo</t>
        </is>
      </c>
      <c r="I1200" t="inlineStr">
        <is>
          <t>01-2026</t>
        </is>
      </c>
      <c r="J1200" t="inlineStr">
        <is>
          <t>BZA448A</t>
        </is>
      </c>
      <c r="K1200" t="inlineStr">
        <is>
          <t>CHEVROLET AVEO</t>
        </is>
      </c>
      <c r="L1200" t="inlineStr">
        <is>
          <t>UBER</t>
        </is>
      </c>
      <c r="M1200" s="3">
        <f>IF(H1200="Efectivo",IFERROR((VALUE(RIGHT(I1200,4))-VALUE(RIGHT(E1200,4)))*12+(VALUE(LEFT(I1200,2))-VALUE(LEFT(E1200,2))),""),"")</f>
        <v/>
      </c>
    </row>
    <row r="1201">
      <c r="A1201" t="inlineStr">
        <is>
          <t>URIAS GARCIA CESAR RENE</t>
        </is>
      </c>
      <c r="B1201" t="inlineStr">
        <is>
          <t>Hombre</t>
        </is>
      </c>
      <c r="C1201" t="inlineStr">
        <is>
          <t>4853AF</t>
        </is>
      </c>
      <c r="D1201" t="inlineStr">
        <is>
          <t>BAJA CALIFORNIA</t>
        </is>
      </c>
      <c r="E1201" t="inlineStr">
        <is>
          <t>05-2025</t>
        </is>
      </c>
      <c r="F1201" t="inlineStr">
        <is>
          <t>11-2025</t>
        </is>
      </c>
      <c r="G1201" t="n">
        <v>5</v>
      </c>
      <c r="H1201" t="inlineStr">
        <is>
          <t>Pendiente</t>
        </is>
      </c>
      <c r="J1201" t="inlineStr">
        <is>
          <t>BXT308A</t>
        </is>
      </c>
      <c r="K1201" t="inlineStr">
        <is>
          <t>CHEVROLET AVEO</t>
        </is>
      </c>
      <c r="L1201" t="inlineStr">
        <is>
          <t>UBER</t>
        </is>
      </c>
      <c r="M1201" s="3">
        <f>IF(H1201="Efectivo",IFERROR((VALUE(RIGHT(I1201,4))-VALUE(RIGHT(E1201,4)))*12+(VALUE(LEFT(I1201,2))-VALUE(LEFT(E1201,2))),""),"")</f>
        <v/>
      </c>
    </row>
    <row r="1202">
      <c r="A1202" t="inlineStr">
        <is>
          <t>VALADEZ RENTERIA JHONNY ALFREDO</t>
        </is>
      </c>
      <c r="B1202" t="inlineStr">
        <is>
          <t>Hombre</t>
        </is>
      </c>
      <c r="C1202" t="inlineStr">
        <is>
          <t>5145AF</t>
        </is>
      </c>
      <c r="D1202" t="inlineStr">
        <is>
          <t>JALISCO</t>
        </is>
      </c>
      <c r="E1202" t="inlineStr">
        <is>
          <t>06-2025</t>
        </is>
      </c>
      <c r="F1202" t="inlineStr">
        <is>
          <t>02-2026</t>
        </is>
      </c>
      <c r="G1202" t="n">
        <v>8</v>
      </c>
      <c r="H1202" t="inlineStr">
        <is>
          <t>Efectivo</t>
        </is>
      </c>
      <c r="I1202" t="inlineStr">
        <is>
          <t>02-2026</t>
        </is>
      </c>
      <c r="J1202" t="inlineStr">
        <is>
          <t>JBB654A</t>
        </is>
      </c>
      <c r="K1202" t="inlineStr">
        <is>
          <t>TOYOTA AVANZA</t>
        </is>
      </c>
      <c r="L1202" t="inlineStr">
        <is>
          <t>UBER</t>
        </is>
      </c>
      <c r="M1202" s="3">
        <f>IF(H1202="Efectivo",IFERROR((VALUE(RIGHT(I1202,4))-VALUE(RIGHT(E1202,4)))*12+(VALUE(LEFT(I1202,2))-VALUE(LEFT(E1202,2))),""),"")</f>
        <v/>
      </c>
    </row>
    <row r="1203">
      <c r="A1203" t="inlineStr">
        <is>
          <t>VALDESPINO CARDENAS IGNACIO MARCELINO</t>
        </is>
      </c>
      <c r="B1203" t="inlineStr">
        <is>
          <t>Hombre</t>
        </is>
      </c>
      <c r="C1203" t="inlineStr">
        <is>
          <t>4787AF</t>
        </is>
      </c>
      <c r="D1203" t="inlineStr">
        <is>
          <t>CDMX Y AREA METROPOLITANA</t>
        </is>
      </c>
      <c r="E1203" t="inlineStr">
        <is>
          <t>05-2025</t>
        </is>
      </c>
      <c r="F1203" t="inlineStr">
        <is>
          <t>09-2025</t>
        </is>
      </c>
      <c r="G1203" t="n">
        <v>4</v>
      </c>
      <c r="H1203" t="inlineStr">
        <is>
          <t>Efectivo</t>
        </is>
      </c>
      <c r="I1203" t="inlineStr">
        <is>
          <t>09-2025</t>
        </is>
      </c>
      <c r="J1203" t="inlineStr">
        <is>
          <t>E22BRR</t>
        </is>
      </c>
      <c r="K1203" t="inlineStr">
        <is>
          <t>CHEVROLET AVEO</t>
        </is>
      </c>
      <c r="L1203" t="inlineStr">
        <is>
          <t>UBER</t>
        </is>
      </c>
      <c r="M1203" s="3">
        <f>IF(H1203="Efectivo",IFERROR((VALUE(RIGHT(I1203,4))-VALUE(RIGHT(E1203,4)))*12+(VALUE(LEFT(I1203,2))-VALUE(LEFT(E1203,2))),""),"")</f>
        <v/>
      </c>
    </row>
    <row r="1204">
      <c r="A1204" t="inlineStr">
        <is>
          <t>VALDEZ CEJA ARTURO</t>
        </is>
      </c>
      <c r="B1204" t="inlineStr">
        <is>
          <t>Hombre</t>
        </is>
      </c>
      <c r="C1204" t="inlineStr">
        <is>
          <t>7028AF</t>
        </is>
      </c>
      <c r="D1204" t="inlineStr">
        <is>
          <t>NUEVO LEON</t>
        </is>
      </c>
      <c r="E1204" t="inlineStr">
        <is>
          <t>02-2026</t>
        </is>
      </c>
      <c r="F1204" t="inlineStr">
        <is>
          <t>04-2026</t>
        </is>
      </c>
      <c r="G1204" t="n">
        <v>2</v>
      </c>
      <c r="H1204" t="inlineStr">
        <is>
          <t>Efectivo</t>
        </is>
      </c>
      <c r="I1204" t="inlineStr">
        <is>
          <t>04-2026</t>
        </is>
      </c>
      <c r="J1204" t="inlineStr">
        <is>
          <t>RZB016C</t>
        </is>
      </c>
      <c r="K1204" t="inlineStr">
        <is>
          <t>CHEVROLET AVEO</t>
        </is>
      </c>
      <c r="L1204" t="inlineStr">
        <is>
          <t>DIDI</t>
        </is>
      </c>
      <c r="M1204" s="3">
        <f>IF(H1204="Efectivo",IFERROR((VALUE(RIGHT(I1204,4))-VALUE(RIGHT(E1204,4)))*12+(VALUE(LEFT(I1204,2))-VALUE(LEFT(E1204,2))),""),"")</f>
        <v/>
      </c>
    </row>
    <row r="1205">
      <c r="A1205" t="inlineStr">
        <is>
          <t>VALDEZ ESPINOSA JORGE ARMANDO</t>
        </is>
      </c>
      <c r="B1205" t="inlineStr">
        <is>
          <t>Hombre</t>
        </is>
      </c>
      <c r="C1205" t="inlineStr">
        <is>
          <t>3756AF</t>
        </is>
      </c>
      <c r="D1205" t="inlineStr">
        <is>
          <t>NUEVO LEON</t>
        </is>
      </c>
      <c r="E1205" t="inlineStr">
        <is>
          <t>09-2024</t>
        </is>
      </c>
      <c r="F1205" t="inlineStr">
        <is>
          <t>06-2025</t>
        </is>
      </c>
      <c r="G1205" t="n">
        <v>9</v>
      </c>
      <c r="H1205" t="inlineStr">
        <is>
          <t>Efectivo</t>
        </is>
      </c>
      <c r="I1205" t="inlineStr">
        <is>
          <t>08-2025</t>
        </is>
      </c>
      <c r="J1205" t="inlineStr">
        <is>
          <t>TCV540B</t>
        </is>
      </c>
      <c r="K1205" t="inlineStr">
        <is>
          <t>ONIX</t>
        </is>
      </c>
      <c r="L1205" t="inlineStr">
        <is>
          <t>UBER</t>
        </is>
      </c>
      <c r="M1205" s="3">
        <f>IF(H1205="Efectivo",IFERROR((VALUE(RIGHT(I1205,4))-VALUE(RIGHT(E1205,4)))*12+(VALUE(LEFT(I1205,2))-VALUE(LEFT(E1205,2))),""),"")</f>
        <v/>
      </c>
    </row>
    <row r="1206">
      <c r="A1206" t="inlineStr">
        <is>
          <t>VALDEZ MONTAÑO ARTURO</t>
        </is>
      </c>
      <c r="B1206" t="inlineStr">
        <is>
          <t>Hombre</t>
        </is>
      </c>
      <c r="C1206" t="inlineStr">
        <is>
          <t>5496AF</t>
        </is>
      </c>
      <c r="D1206" t="inlineStr">
        <is>
          <t>CDMX Y AREA METROPOLITANA</t>
        </is>
      </c>
      <c r="E1206" t="inlineStr">
        <is>
          <t>08-2025</t>
        </is>
      </c>
      <c r="F1206" t="inlineStr">
        <is>
          <t>05-2026</t>
        </is>
      </c>
      <c r="G1206" t="n">
        <v>9</v>
      </c>
      <c r="H1206" t="inlineStr">
        <is>
          <t>Efectivo</t>
        </is>
      </c>
      <c r="I1206" t="inlineStr">
        <is>
          <t>05-2026</t>
        </is>
      </c>
      <c r="J1206" t="inlineStr">
        <is>
          <t>44G151</t>
        </is>
      </c>
      <c r="K1206" t="inlineStr">
        <is>
          <t>GAC AION S</t>
        </is>
      </c>
      <c r="L1206" t="inlineStr">
        <is>
          <t>UBER</t>
        </is>
      </c>
      <c r="M1206" s="3">
        <f>IF(H1206="Efectivo",IFERROR((VALUE(RIGHT(I1206,4))-VALUE(RIGHT(E1206,4)))*12+(VALUE(LEFT(I1206,2))-VALUE(LEFT(E1206,2))),""),"")</f>
        <v/>
      </c>
    </row>
    <row r="1207">
      <c r="A1207" t="inlineStr">
        <is>
          <t>VALDEZ ZEPEDA JOSE RAUL</t>
        </is>
      </c>
      <c r="B1207" t="inlineStr">
        <is>
          <t>Hombre</t>
        </is>
      </c>
      <c r="C1207" t="inlineStr">
        <is>
          <t>4815AF</t>
        </is>
      </c>
      <c r="D1207" t="inlineStr">
        <is>
          <t>CDMX Y AREA METROPOLITANA</t>
        </is>
      </c>
      <c r="E1207" t="inlineStr">
        <is>
          <t>05-2025</t>
        </is>
      </c>
      <c r="F1207" t="inlineStr">
        <is>
          <t>08-2025</t>
        </is>
      </c>
      <c r="G1207" t="n">
        <v>3</v>
      </c>
      <c r="H1207" t="inlineStr">
        <is>
          <t>Efectivo</t>
        </is>
      </c>
      <c r="I1207" t="inlineStr">
        <is>
          <t>09-2025</t>
        </is>
      </c>
      <c r="J1207" t="inlineStr">
        <is>
          <t>41G509</t>
        </is>
      </c>
      <c r="K1207" t="inlineStr">
        <is>
          <t>BYD MINIDOLPHIN</t>
        </is>
      </c>
      <c r="L1207" t="inlineStr">
        <is>
          <t>UBER</t>
        </is>
      </c>
      <c r="M1207" s="3">
        <f>IF(H1207="Efectivo",IFERROR((VALUE(RIGHT(I1207,4))-VALUE(RIGHT(E1207,4)))*12+(VALUE(LEFT(I1207,2))-VALUE(LEFT(E1207,2))),""),"")</f>
        <v/>
      </c>
    </row>
    <row r="1208">
      <c r="A1208" t="inlineStr">
        <is>
          <t>VALENCIA GARIBAY MIGUEL ANGEL</t>
        </is>
      </c>
      <c r="B1208" t="inlineStr">
        <is>
          <t>Hombre</t>
        </is>
      </c>
      <c r="C1208" t="inlineStr">
        <is>
          <t>3790AF</t>
        </is>
      </c>
      <c r="D1208" t="inlineStr">
        <is>
          <t>CDMX Y AREA METROPOLITANA</t>
        </is>
      </c>
      <c r="E1208" t="inlineStr">
        <is>
          <t>09-2024</t>
        </is>
      </c>
      <c r="F1208" t="inlineStr">
        <is>
          <t>01-2025</t>
        </is>
      </c>
      <c r="G1208" t="n">
        <v>4</v>
      </c>
      <c r="H1208" t="inlineStr">
        <is>
          <t>Efectivo</t>
        </is>
      </c>
      <c r="I1208" t="inlineStr">
        <is>
          <t>02-2025</t>
        </is>
      </c>
      <c r="J1208" t="inlineStr">
        <is>
          <t>D20BPN</t>
        </is>
      </c>
      <c r="K1208" t="inlineStr">
        <is>
          <t>TOYOTA AVANZA</t>
        </is>
      </c>
      <c r="L1208" t="inlineStr">
        <is>
          <t>UBER</t>
        </is>
      </c>
      <c r="M1208" s="3">
        <f>IF(H1208="Efectivo",IFERROR((VALUE(RIGHT(I1208,4))-VALUE(RIGHT(E1208,4)))*12+(VALUE(LEFT(I1208,2))-VALUE(LEFT(E1208,2))),""),"")</f>
        <v/>
      </c>
    </row>
    <row r="1209">
      <c r="A1209" t="inlineStr">
        <is>
          <t>VALENCIA NIEVES JUAN ANTONIO</t>
        </is>
      </c>
      <c r="B1209" t="inlineStr">
        <is>
          <t>Hombre</t>
        </is>
      </c>
      <c r="C1209" t="inlineStr">
        <is>
          <t>4091AF</t>
        </is>
      </c>
      <c r="D1209" t="inlineStr">
        <is>
          <t>CDMX Y AREA METROPOLITANA</t>
        </is>
      </c>
      <c r="E1209" t="inlineStr">
        <is>
          <t>12-2024</t>
        </is>
      </c>
      <c r="F1209" t="inlineStr">
        <is>
          <t>06-2025</t>
        </is>
      </c>
      <c r="G1209" t="n">
        <v>6</v>
      </c>
      <c r="H1209" t="inlineStr">
        <is>
          <t>Efectivo</t>
        </is>
      </c>
      <c r="I1209" t="inlineStr">
        <is>
          <t>07-2025</t>
        </is>
      </c>
      <c r="J1209" t="inlineStr">
        <is>
          <t>14G424</t>
        </is>
      </c>
      <c r="K1209" t="inlineStr">
        <is>
          <t>BYD D1</t>
        </is>
      </c>
      <c r="L1209" t="inlineStr">
        <is>
          <t>UBER</t>
        </is>
      </c>
      <c r="M1209" s="3">
        <f>IF(H1209="Efectivo",IFERROR((VALUE(RIGHT(I1209,4))-VALUE(RIGHT(E1209,4)))*12+(VALUE(LEFT(I1209,2))-VALUE(LEFT(E1209,2))),""),"")</f>
        <v/>
      </c>
    </row>
    <row r="1210">
      <c r="A1210" t="inlineStr">
        <is>
          <t>VALENCIA SANCHEZ DAVID ALBERTO</t>
        </is>
      </c>
      <c r="B1210" t="inlineStr">
        <is>
          <t>Hombre</t>
        </is>
      </c>
      <c r="C1210" t="inlineStr">
        <is>
          <t>4593AF</t>
        </is>
      </c>
      <c r="D1210" t="inlineStr">
        <is>
          <t>CDMX Y AREA METROPOLITANA</t>
        </is>
      </c>
      <c r="E1210" t="inlineStr">
        <is>
          <t>04-2025</t>
        </is>
      </c>
      <c r="F1210" t="inlineStr">
        <is>
          <t>12-2025</t>
        </is>
      </c>
      <c r="G1210" t="n">
        <v>8</v>
      </c>
      <c r="H1210" t="inlineStr">
        <is>
          <t>Efectivo</t>
        </is>
      </c>
      <c r="I1210" t="inlineStr">
        <is>
          <t>01-2026</t>
        </is>
      </c>
      <c r="J1210" t="inlineStr">
        <is>
          <t>27G723</t>
        </is>
      </c>
      <c r="K1210" t="inlineStr">
        <is>
          <t>BYD MINIDOLPHIN</t>
        </is>
      </c>
      <c r="L1210" t="inlineStr">
        <is>
          <t>DIDI</t>
        </is>
      </c>
      <c r="M1210" s="3">
        <f>IF(H1210="Efectivo",IFERROR((VALUE(RIGHT(I1210,4))-VALUE(RIGHT(E1210,4)))*12+(VALUE(LEFT(I1210,2))-VALUE(LEFT(E1210,2))),""),"")</f>
        <v/>
      </c>
    </row>
    <row r="1211">
      <c r="A1211" t="inlineStr">
        <is>
          <t>VALENZUELA LOPEZ CRISTIAN</t>
        </is>
      </c>
      <c r="B1211" t="inlineStr">
        <is>
          <t>Hombre</t>
        </is>
      </c>
      <c r="C1211" t="inlineStr">
        <is>
          <t>6288AF</t>
        </is>
      </c>
      <c r="D1211" t="inlineStr">
        <is>
          <t>BAJA CALIFORNIA</t>
        </is>
      </c>
      <c r="E1211" t="inlineStr">
        <is>
          <t>02-2025</t>
        </is>
      </c>
      <c r="F1211" t="inlineStr">
        <is>
          <t>05-2026</t>
        </is>
      </c>
      <c r="G1211" t="n">
        <v>14</v>
      </c>
      <c r="H1211" t="inlineStr">
        <is>
          <t>Pendiente</t>
        </is>
      </c>
      <c r="J1211" t="inlineStr">
        <is>
          <t>CAT837A</t>
        </is>
      </c>
      <c r="K1211" t="inlineStr">
        <is>
          <t>CHEVROLET AVEO</t>
        </is>
      </c>
      <c r="L1211" t="inlineStr">
        <is>
          <t>DIDI</t>
        </is>
      </c>
      <c r="M1211" s="3">
        <f>IF(H1211="Efectivo",IFERROR((VALUE(RIGHT(I1211,4))-VALUE(RIGHT(E1211,4)))*12+(VALUE(LEFT(I1211,2))-VALUE(LEFT(E1211,2))),""),"")</f>
        <v/>
      </c>
    </row>
    <row r="1212">
      <c r="A1212" t="inlineStr">
        <is>
          <t>VALERA MONDRAGON FERNANDO VICENTE</t>
        </is>
      </c>
      <c r="B1212" t="inlineStr">
        <is>
          <t>Hombre</t>
        </is>
      </c>
      <c r="C1212" t="inlineStr">
        <is>
          <t>5916AF</t>
        </is>
      </c>
      <c r="D1212" t="inlineStr">
        <is>
          <t>CDMX Y AREA METROPOLITANA</t>
        </is>
      </c>
      <c r="E1212" t="inlineStr">
        <is>
          <t>10-2025</t>
        </is>
      </c>
      <c r="F1212" t="inlineStr">
        <is>
          <t>01-2026</t>
        </is>
      </c>
      <c r="G1212" t="n">
        <v>3</v>
      </c>
      <c r="H1212" t="inlineStr">
        <is>
          <t>Efectivo</t>
        </is>
      </c>
      <c r="I1212" t="inlineStr">
        <is>
          <t>01-2026</t>
        </is>
      </c>
      <c r="J1212" t="inlineStr">
        <is>
          <t>51G571</t>
        </is>
      </c>
      <c r="K1212" t="inlineStr">
        <is>
          <t>GAC AION S</t>
        </is>
      </c>
      <c r="L1212" t="inlineStr">
        <is>
          <t>UBER</t>
        </is>
      </c>
      <c r="M1212" s="3">
        <f>IF(H1212="Efectivo",IFERROR((VALUE(RIGHT(I1212,4))-VALUE(RIGHT(E1212,4)))*12+(VALUE(LEFT(I1212,2))-VALUE(LEFT(E1212,2))),""),"")</f>
        <v/>
      </c>
    </row>
    <row r="1213">
      <c r="A1213" t="inlineStr">
        <is>
          <t>VALERA RAMIREZ LUIS EDUARDO</t>
        </is>
      </c>
      <c r="B1213" t="inlineStr">
        <is>
          <t>Hombre</t>
        </is>
      </c>
      <c r="C1213" t="inlineStr">
        <is>
          <t>4873AF</t>
        </is>
      </c>
      <c r="D1213" t="inlineStr">
        <is>
          <t>CDMX Y AREA METROPOLITANA</t>
        </is>
      </c>
      <c r="E1213" t="inlineStr">
        <is>
          <t>05-2025</t>
        </is>
      </c>
      <c r="F1213" t="inlineStr">
        <is>
          <t>09-2025</t>
        </is>
      </c>
      <c r="G1213" t="n">
        <v>4</v>
      </c>
      <c r="H1213" t="inlineStr">
        <is>
          <t>Efectivo</t>
        </is>
      </c>
      <c r="I1213" t="inlineStr">
        <is>
          <t>10-2025</t>
        </is>
      </c>
      <c r="J1213" t="inlineStr">
        <is>
          <t>41G561</t>
        </is>
      </c>
      <c r="K1213" t="inlineStr">
        <is>
          <t>BYD MINIDOLPHIN</t>
        </is>
      </c>
      <c r="L1213" t="inlineStr">
        <is>
          <t>UBER</t>
        </is>
      </c>
      <c r="M1213" s="3">
        <f>IF(H1213="Efectivo",IFERROR((VALUE(RIGHT(I1213,4))-VALUE(RIGHT(E1213,4)))*12+(VALUE(LEFT(I1213,2))-VALUE(LEFT(E1213,2))),""),"")</f>
        <v/>
      </c>
    </row>
    <row r="1214">
      <c r="A1214" t="inlineStr">
        <is>
          <t>VALLE BLANCO FRANCISCO JOSE</t>
        </is>
      </c>
      <c r="B1214" t="inlineStr">
        <is>
          <t>Hombre</t>
        </is>
      </c>
      <c r="C1214" t="inlineStr">
        <is>
          <t>4848AF</t>
        </is>
      </c>
      <c r="D1214" t="inlineStr">
        <is>
          <t>NUEVO LEON</t>
        </is>
      </c>
      <c r="E1214" t="inlineStr">
        <is>
          <t>05-2025</t>
        </is>
      </c>
      <c r="F1214" t="inlineStr">
        <is>
          <t>09-2025</t>
        </is>
      </c>
      <c r="G1214" t="n">
        <v>4</v>
      </c>
      <c r="H1214" t="inlineStr">
        <is>
          <t>Efectivo</t>
        </is>
      </c>
      <c r="I1214" t="inlineStr">
        <is>
          <t>10-2025</t>
        </is>
      </c>
      <c r="J1214" t="inlineStr">
        <is>
          <t>RRN263C</t>
        </is>
      </c>
      <c r="K1214" t="inlineStr">
        <is>
          <t>TOYOTA AVANZA</t>
        </is>
      </c>
      <c r="L1214" t="inlineStr">
        <is>
          <t>DIDI</t>
        </is>
      </c>
      <c r="M1214" s="3">
        <f>IF(H1214="Efectivo",IFERROR((VALUE(RIGHT(I1214,4))-VALUE(RIGHT(E1214,4)))*12+(VALUE(LEFT(I1214,2))-VALUE(LEFT(E1214,2))),""),"")</f>
        <v/>
      </c>
    </row>
    <row r="1215">
      <c r="A1215" t="inlineStr">
        <is>
          <t>VALLEJO RAMIREZ ROBERTO</t>
        </is>
      </c>
      <c r="B1215" t="inlineStr">
        <is>
          <t>Hombre</t>
        </is>
      </c>
      <c r="C1215" t="inlineStr">
        <is>
          <t>5382AF</t>
        </is>
      </c>
      <c r="D1215" t="inlineStr">
        <is>
          <t>CDMX Y AREA METROPOLITANA</t>
        </is>
      </c>
      <c r="E1215" t="inlineStr">
        <is>
          <t>07-2025</t>
        </is>
      </c>
      <c r="F1215" t="inlineStr">
        <is>
          <t>11-2025</t>
        </is>
      </c>
      <c r="G1215" t="n">
        <v>4</v>
      </c>
      <c r="H1215" t="inlineStr">
        <is>
          <t>Efectivo</t>
        </is>
      </c>
      <c r="I1215" t="inlineStr">
        <is>
          <t>03-2026</t>
        </is>
      </c>
      <c r="J1215" t="inlineStr">
        <is>
          <t>19G474</t>
        </is>
      </c>
      <c r="K1215" t="inlineStr">
        <is>
          <t>BYD D1</t>
        </is>
      </c>
      <c r="L1215" t="inlineStr">
        <is>
          <t>UBER</t>
        </is>
      </c>
      <c r="M1215" s="3">
        <f>IF(H1215="Efectivo",IFERROR((VALUE(RIGHT(I1215,4))-VALUE(RIGHT(E1215,4)))*12+(VALUE(LEFT(I1215,2))-VALUE(LEFT(E1215,2))),""),"")</f>
        <v/>
      </c>
    </row>
    <row r="1216">
      <c r="A1216" t="inlineStr">
        <is>
          <t>VARGAS ARENAS REYNALDO</t>
        </is>
      </c>
      <c r="B1216" t="inlineStr">
        <is>
          <t>Hombre</t>
        </is>
      </c>
      <c r="C1216" t="inlineStr">
        <is>
          <t>3221AF</t>
        </is>
      </c>
      <c r="D1216" t="inlineStr">
        <is>
          <t>CDMX Y AREA METROPOLITANA</t>
        </is>
      </c>
      <c r="E1216" t="inlineStr">
        <is>
          <t>04-2024</t>
        </is>
      </c>
      <c r="F1216" t="inlineStr">
        <is>
          <t>01-2025</t>
        </is>
      </c>
      <c r="G1216" t="n">
        <v>9</v>
      </c>
      <c r="H1216" t="inlineStr">
        <is>
          <t>Cancelado</t>
        </is>
      </c>
      <c r="J1216" t="inlineStr">
        <is>
          <t>84F203</t>
        </is>
      </c>
      <c r="K1216" t="inlineStr">
        <is>
          <t>SUZUKI ERTIGA</t>
        </is>
      </c>
      <c r="L1216" t="inlineStr">
        <is>
          <t>UBER</t>
        </is>
      </c>
      <c r="M1216" s="3">
        <f>IF(H1216="Efectivo",IFERROR((VALUE(RIGHT(I1216,4))-VALUE(RIGHT(E1216,4)))*12+(VALUE(LEFT(I1216,2))-VALUE(LEFT(E1216,2))),""),"")</f>
        <v/>
      </c>
    </row>
    <row r="1217">
      <c r="A1217" t="inlineStr">
        <is>
          <t>VARGAS AYALA LUIS ANGEL</t>
        </is>
      </c>
      <c r="B1217" t="inlineStr">
        <is>
          <t>Hombre</t>
        </is>
      </c>
      <c r="C1217" t="inlineStr">
        <is>
          <t>5195AF</t>
        </is>
      </c>
      <c r="D1217" t="inlineStr">
        <is>
          <t>BAJA CALIFORNIA</t>
        </is>
      </c>
      <c r="E1217" t="inlineStr">
        <is>
          <t>06-2025</t>
        </is>
      </c>
      <c r="F1217" t="inlineStr">
        <is>
          <t>10-2025</t>
        </is>
      </c>
      <c r="G1217" t="n">
        <v>3</v>
      </c>
      <c r="H1217" t="inlineStr">
        <is>
          <t>Pendiente</t>
        </is>
      </c>
      <c r="J1217" t="inlineStr">
        <is>
          <t>BYN541A</t>
        </is>
      </c>
      <c r="K1217" t="inlineStr">
        <is>
          <t>CHEVROLET AVEO</t>
        </is>
      </c>
      <c r="L1217" t="inlineStr">
        <is>
          <t>UBER</t>
        </is>
      </c>
      <c r="M1217" s="3">
        <f>IF(H1217="Efectivo",IFERROR((VALUE(RIGHT(I1217,4))-VALUE(RIGHT(E1217,4)))*12+(VALUE(LEFT(I1217,2))-VALUE(LEFT(E1217,2))),""),"")</f>
        <v/>
      </c>
    </row>
    <row r="1218">
      <c r="A1218" t="inlineStr">
        <is>
          <t>VARGAS CALDERON JOSE DAVID</t>
        </is>
      </c>
      <c r="B1218" t="inlineStr">
        <is>
          <t>Hombre</t>
        </is>
      </c>
      <c r="C1218" t="inlineStr">
        <is>
          <t>4759AF</t>
        </is>
      </c>
      <c r="D1218" t="inlineStr">
        <is>
          <t>CDMX Y AREA METROPOLITANA</t>
        </is>
      </c>
      <c r="E1218" t="inlineStr">
        <is>
          <t>04-2025</t>
        </is>
      </c>
      <c r="F1218" t="inlineStr">
        <is>
          <t>05-2026</t>
        </is>
      </c>
      <c r="G1218" t="n">
        <v>12</v>
      </c>
      <c r="H1218" t="inlineStr">
        <is>
          <t>Efectivo</t>
        </is>
      </c>
      <c r="I1218" t="inlineStr">
        <is>
          <t>05-2026</t>
        </is>
      </c>
      <c r="J1218" t="inlineStr">
        <is>
          <t>50G919</t>
        </is>
      </c>
      <c r="K1218" t="inlineStr">
        <is>
          <t>GAC AION S</t>
        </is>
      </c>
      <c r="L1218" t="inlineStr">
        <is>
          <t>UBER</t>
        </is>
      </c>
      <c r="M1218" s="3">
        <f>IF(H1218="Efectivo",IFERROR((VALUE(RIGHT(I1218,4))-VALUE(RIGHT(E1218,4)))*12+(VALUE(LEFT(I1218,2))-VALUE(LEFT(E1218,2))),""),"")</f>
        <v/>
      </c>
    </row>
    <row r="1219">
      <c r="A1219" t="inlineStr">
        <is>
          <t>VARGAS CERVANTES JUAN CARLOS</t>
        </is>
      </c>
      <c r="B1219" t="inlineStr">
        <is>
          <t>Hombre</t>
        </is>
      </c>
      <c r="C1219" t="inlineStr">
        <is>
          <t>6016AF</t>
        </is>
      </c>
      <c r="D1219" t="inlineStr">
        <is>
          <t>JALISCO</t>
        </is>
      </c>
      <c r="E1219" t="inlineStr">
        <is>
          <t>10-2025</t>
        </is>
      </c>
      <c r="F1219" t="inlineStr">
        <is>
          <t>02-2026</t>
        </is>
      </c>
      <c r="G1219" t="n">
        <v>4</v>
      </c>
      <c r="H1219" t="inlineStr">
        <is>
          <t>Efectivo</t>
        </is>
      </c>
      <c r="I1219" t="inlineStr">
        <is>
          <t>03-2026</t>
        </is>
      </c>
      <c r="J1219" t="inlineStr">
        <is>
          <t>JZK625A</t>
        </is>
      </c>
      <c r="K1219" t="inlineStr">
        <is>
          <t>TOYOTA AVANZA</t>
        </is>
      </c>
      <c r="L1219" t="inlineStr">
        <is>
          <t>DIDI</t>
        </is>
      </c>
      <c r="M1219" s="3">
        <f>IF(H1219="Efectivo",IFERROR((VALUE(RIGHT(I1219,4))-VALUE(RIGHT(E1219,4)))*12+(VALUE(LEFT(I1219,2))-VALUE(LEFT(E1219,2))),""),"")</f>
        <v/>
      </c>
    </row>
    <row r="1220">
      <c r="A1220" t="inlineStr">
        <is>
          <t>VARGAS DE LA FUENTE GERARDO</t>
        </is>
      </c>
      <c r="B1220" t="inlineStr">
        <is>
          <t>Hombre</t>
        </is>
      </c>
      <c r="C1220" t="inlineStr">
        <is>
          <t>4489AF</t>
        </is>
      </c>
      <c r="D1220" t="inlineStr">
        <is>
          <t>CDMX Y AREA METROPOLITANA</t>
        </is>
      </c>
      <c r="E1220" t="inlineStr">
        <is>
          <t>03-2025</t>
        </is>
      </c>
      <c r="F1220" t="inlineStr">
        <is>
          <t>09-2025</t>
        </is>
      </c>
      <c r="G1220" t="n">
        <v>6</v>
      </c>
      <c r="H1220" t="inlineStr">
        <is>
          <t>Efectivo</t>
        </is>
      </c>
      <c r="I1220" t="inlineStr">
        <is>
          <t>08-2025</t>
        </is>
      </c>
      <c r="J1220" t="inlineStr">
        <is>
          <t>19G418</t>
        </is>
      </c>
      <c r="K1220" t="inlineStr">
        <is>
          <t>BYD D1</t>
        </is>
      </c>
      <c r="L1220" t="inlineStr">
        <is>
          <t>UBER</t>
        </is>
      </c>
      <c r="M1220" s="3">
        <f>IF(H1220="Efectivo",IFERROR((VALUE(RIGHT(I1220,4))-VALUE(RIGHT(E1220,4)))*12+(VALUE(LEFT(I1220,2))-VALUE(LEFT(E1220,2))),""),"")</f>
        <v/>
      </c>
    </row>
    <row r="1221">
      <c r="A1221" t="inlineStr">
        <is>
          <t>VAZQUEZ BERNAL ERICK</t>
        </is>
      </c>
      <c r="B1221" t="inlineStr">
        <is>
          <t>Hombre</t>
        </is>
      </c>
      <c r="C1221" t="inlineStr">
        <is>
          <t>2886AF</t>
        </is>
      </c>
      <c r="D1221" t="inlineStr">
        <is>
          <t>BAJA CALIFORNIA</t>
        </is>
      </c>
      <c r="E1221" t="inlineStr">
        <is>
          <t>11-2023</t>
        </is>
      </c>
      <c r="F1221" t="inlineStr">
        <is>
          <t>02-2026</t>
        </is>
      </c>
      <c r="G1221" t="n">
        <v>27</v>
      </c>
      <c r="H1221" t="inlineStr">
        <is>
          <t>Efectivo</t>
        </is>
      </c>
      <c r="I1221" t="inlineStr">
        <is>
          <t>03-2026</t>
        </is>
      </c>
      <c r="J1221" t="inlineStr">
        <is>
          <t>BKB420A</t>
        </is>
      </c>
      <c r="K1221" t="inlineStr">
        <is>
          <t>CHEVROLET AVEO</t>
        </is>
      </c>
      <c r="L1221" t="inlineStr">
        <is>
          <t>UBER</t>
        </is>
      </c>
      <c r="M1221" s="3">
        <f>IF(H1221="Efectivo",IFERROR((VALUE(RIGHT(I1221,4))-VALUE(RIGHT(E1221,4)))*12+(VALUE(LEFT(I1221,2))-VALUE(LEFT(E1221,2))),""),"")</f>
        <v/>
      </c>
    </row>
    <row r="1222">
      <c r="A1222" t="inlineStr">
        <is>
          <t>VAZQUEZ ESQUIVEL VICTOR JESUS</t>
        </is>
      </c>
      <c r="B1222" t="inlineStr">
        <is>
          <t>Hombre</t>
        </is>
      </c>
      <c r="C1222" t="inlineStr">
        <is>
          <t>3955AF</t>
        </is>
      </c>
      <c r="D1222" t="inlineStr">
        <is>
          <t>NUEVO LEON</t>
        </is>
      </c>
      <c r="E1222" t="inlineStr">
        <is>
          <t>11-2024</t>
        </is>
      </c>
      <c r="F1222" t="inlineStr">
        <is>
          <t>01-2025</t>
        </is>
      </c>
      <c r="G1222" t="n">
        <v>2</v>
      </c>
      <c r="H1222" t="inlineStr">
        <is>
          <t>Cancelado</t>
        </is>
      </c>
      <c r="J1222" t="inlineStr">
        <is>
          <t>TFP413B</t>
        </is>
      </c>
      <c r="K1222" t="inlineStr">
        <is>
          <t>CHEVROLET AVEO</t>
        </is>
      </c>
      <c r="L1222" t="inlineStr">
        <is>
          <t>UBER</t>
        </is>
      </c>
      <c r="M1222" s="3">
        <f>IF(H1222="Efectivo",IFERROR((VALUE(RIGHT(I1222,4))-VALUE(RIGHT(E1222,4)))*12+(VALUE(LEFT(I1222,2))-VALUE(LEFT(E1222,2))),""),"")</f>
        <v/>
      </c>
    </row>
    <row r="1223">
      <c r="A1223" t="inlineStr">
        <is>
          <t>VAZQUEZ MUÑOZ MANUEL ALEJANDRO</t>
        </is>
      </c>
      <c r="B1223" t="inlineStr">
        <is>
          <t>Hombre</t>
        </is>
      </c>
      <c r="C1223" t="inlineStr">
        <is>
          <t>4545AF</t>
        </is>
      </c>
      <c r="D1223" t="inlineStr">
        <is>
          <t>CDMX Y AREA METROPOLITANA</t>
        </is>
      </c>
      <c r="E1223" t="inlineStr">
        <is>
          <t>03-2025</t>
        </is>
      </c>
      <c r="F1223" t="inlineStr">
        <is>
          <t>07-2025</t>
        </is>
      </c>
      <c r="G1223" t="n">
        <v>3</v>
      </c>
      <c r="H1223" t="inlineStr">
        <is>
          <t>Efectivo</t>
        </is>
      </c>
      <c r="I1223" t="inlineStr">
        <is>
          <t>07-2025</t>
        </is>
      </c>
      <c r="J1223" t="inlineStr">
        <is>
          <t>40G008</t>
        </is>
      </c>
      <c r="K1223" t="inlineStr">
        <is>
          <t>GAC AION S</t>
        </is>
      </c>
      <c r="L1223" t="inlineStr">
        <is>
          <t>DIDI</t>
        </is>
      </c>
      <c r="M1223" s="3">
        <f>IF(H1223="Efectivo",IFERROR((VALUE(RIGHT(I1223,4))-VALUE(RIGHT(E1223,4)))*12+(VALUE(LEFT(I1223,2))-VALUE(LEFT(E1223,2))),""),"")</f>
        <v/>
      </c>
    </row>
    <row r="1224">
      <c r="A1224" t="inlineStr">
        <is>
          <t>VAZQUEZ PADILLA JUAN ENRIQUE</t>
        </is>
      </c>
      <c r="B1224" t="inlineStr">
        <is>
          <t>Hombre</t>
        </is>
      </c>
      <c r="C1224" t="inlineStr">
        <is>
          <t>5840AF</t>
        </is>
      </c>
      <c r="D1224" t="inlineStr">
        <is>
          <t>CDMX Y AREA METROPOLITANA</t>
        </is>
      </c>
      <c r="E1224" t="inlineStr">
        <is>
          <t>09-2025</t>
        </is>
      </c>
      <c r="F1224" t="inlineStr">
        <is>
          <t>01-2026</t>
        </is>
      </c>
      <c r="G1224" t="n">
        <v>3</v>
      </c>
      <c r="H1224" t="inlineStr">
        <is>
          <t>Efectivo</t>
        </is>
      </c>
      <c r="I1224" t="inlineStr">
        <is>
          <t>01-2026</t>
        </is>
      </c>
      <c r="J1224" t="inlineStr">
        <is>
          <t>51G597</t>
        </is>
      </c>
      <c r="K1224" t="inlineStr">
        <is>
          <t>GAC AION S</t>
        </is>
      </c>
      <c r="L1224" t="inlineStr">
        <is>
          <t>UBER</t>
        </is>
      </c>
      <c r="M1224" s="3">
        <f>IF(H1224="Efectivo",IFERROR((VALUE(RIGHT(I1224,4))-VALUE(RIGHT(E1224,4)))*12+(VALUE(LEFT(I1224,2))-VALUE(LEFT(E1224,2))),""),"")</f>
        <v/>
      </c>
    </row>
    <row r="1225">
      <c r="A1225" t="inlineStr">
        <is>
          <t>VAZQUEZ QUEZADA LINO ARTURO</t>
        </is>
      </c>
      <c r="B1225" t="inlineStr">
        <is>
          <t>Hombre</t>
        </is>
      </c>
      <c r="C1225" t="inlineStr">
        <is>
          <t>4340AF</t>
        </is>
      </c>
      <c r="D1225" t="inlineStr">
        <is>
          <t>CDMX Y AREA METROPOLITANA</t>
        </is>
      </c>
      <c r="E1225" t="inlineStr">
        <is>
          <t>02-2025</t>
        </is>
      </c>
      <c r="F1225" t="inlineStr">
        <is>
          <t>04-2025</t>
        </is>
      </c>
      <c r="G1225" t="n">
        <v>2</v>
      </c>
      <c r="H1225" t="inlineStr">
        <is>
          <t>Efectivo</t>
        </is>
      </c>
      <c r="I1225" t="inlineStr">
        <is>
          <t>05-2025</t>
        </is>
      </c>
      <c r="J1225" t="inlineStr">
        <is>
          <t>31G940</t>
        </is>
      </c>
      <c r="K1225" t="inlineStr">
        <is>
          <t>GAC AION S</t>
        </is>
      </c>
      <c r="L1225" t="inlineStr">
        <is>
          <t>DIDI</t>
        </is>
      </c>
      <c r="M1225" s="3">
        <f>IF(H1225="Efectivo",IFERROR((VALUE(RIGHT(I1225,4))-VALUE(RIGHT(E1225,4)))*12+(VALUE(LEFT(I1225,2))-VALUE(LEFT(E1225,2))),""),"")</f>
        <v/>
      </c>
    </row>
    <row r="1226">
      <c r="A1226" t="inlineStr">
        <is>
          <t>VAZQUEZ ROJAS RICARDO RAYMUNDO</t>
        </is>
      </c>
      <c r="B1226" t="inlineStr">
        <is>
          <t>Hombre</t>
        </is>
      </c>
      <c r="C1226" t="inlineStr">
        <is>
          <t>5963AF</t>
        </is>
      </c>
      <c r="D1226" t="inlineStr">
        <is>
          <t>CDMX Y AREA METROPOLITANA</t>
        </is>
      </c>
      <c r="E1226" t="inlineStr">
        <is>
          <t>10-2025</t>
        </is>
      </c>
      <c r="F1226" t="inlineStr">
        <is>
          <t>03-2026</t>
        </is>
      </c>
      <c r="G1226" t="n">
        <v>5</v>
      </c>
      <c r="H1226" t="inlineStr">
        <is>
          <t>Efectivo</t>
        </is>
      </c>
      <c r="I1226" t="inlineStr">
        <is>
          <t>03-2026</t>
        </is>
      </c>
      <c r="J1226" t="inlineStr">
        <is>
          <t>51G663</t>
        </is>
      </c>
      <c r="K1226" t="inlineStr">
        <is>
          <t>BYD MINIDOLPHIN</t>
        </is>
      </c>
      <c r="L1226" t="inlineStr">
        <is>
          <t>DIDI</t>
        </is>
      </c>
      <c r="M1226" s="3">
        <f>IF(H1226="Efectivo",IFERROR((VALUE(RIGHT(I1226,4))-VALUE(RIGHT(E1226,4)))*12+(VALUE(LEFT(I1226,2))-VALUE(LEFT(E1226,2))),""),"")</f>
        <v/>
      </c>
    </row>
    <row r="1227">
      <c r="A1227" t="inlineStr">
        <is>
          <t>VAZQUEZ SANCHEZ ERIK ALAN</t>
        </is>
      </c>
      <c r="B1227" t="inlineStr">
        <is>
          <t>Hombre</t>
        </is>
      </c>
      <c r="C1227" t="inlineStr">
        <is>
          <t>3030AF</t>
        </is>
      </c>
      <c r="D1227" t="inlineStr">
        <is>
          <t>CDMX Y AREA METROPOLITANA</t>
        </is>
      </c>
      <c r="E1227" t="inlineStr">
        <is>
          <t>02-2024</t>
        </is>
      </c>
      <c r="F1227" t="inlineStr">
        <is>
          <t>11-2025</t>
        </is>
      </c>
      <c r="G1227" t="n">
        <v>21</v>
      </c>
      <c r="H1227" t="inlineStr">
        <is>
          <t>Pendiente</t>
        </is>
      </c>
      <c r="J1227" t="inlineStr">
        <is>
          <t>T54BNL</t>
        </is>
      </c>
      <c r="K1227" t="inlineStr">
        <is>
          <t>CHEVROLET AVEO</t>
        </is>
      </c>
      <c r="L1227" t="inlineStr">
        <is>
          <t>UBER</t>
        </is>
      </c>
      <c r="M1227" s="3">
        <f>IF(H1227="Efectivo",IFERROR((VALUE(RIGHT(I1227,4))-VALUE(RIGHT(E1227,4)))*12+(VALUE(LEFT(I1227,2))-VALUE(LEFT(E1227,2))),""),"")</f>
        <v/>
      </c>
    </row>
    <row r="1228">
      <c r="A1228" t="inlineStr">
        <is>
          <t>VAZQUEZ TREJO FERNANDO</t>
        </is>
      </c>
      <c r="B1228" t="inlineStr">
        <is>
          <t>Hombre</t>
        </is>
      </c>
      <c r="C1228" t="inlineStr">
        <is>
          <t>4673AF</t>
        </is>
      </c>
      <c r="D1228" t="inlineStr">
        <is>
          <t>CDMX Y AREA METROPOLITANA</t>
        </is>
      </c>
      <c r="E1228" t="inlineStr">
        <is>
          <t>04-2025</t>
        </is>
      </c>
      <c r="F1228" t="inlineStr">
        <is>
          <t>07-2025</t>
        </is>
      </c>
      <c r="G1228" t="n">
        <v>3</v>
      </c>
      <c r="H1228" t="inlineStr">
        <is>
          <t>Cancelado</t>
        </is>
      </c>
      <c r="J1228" t="inlineStr">
        <is>
          <t>47G442</t>
        </is>
      </c>
      <c r="K1228" t="inlineStr">
        <is>
          <t>BYD MINIDOLPHIN</t>
        </is>
      </c>
      <c r="L1228" t="inlineStr">
        <is>
          <t>UBER</t>
        </is>
      </c>
      <c r="M1228" s="3">
        <f>IF(H1228="Efectivo",IFERROR((VALUE(RIGHT(I1228,4))-VALUE(RIGHT(E1228,4)))*12+(VALUE(LEFT(I1228,2))-VALUE(LEFT(E1228,2))),""),"")</f>
        <v/>
      </c>
    </row>
    <row r="1229">
      <c r="A1229" t="inlineStr">
        <is>
          <t>VEGA BARRERA LUIS ALBERTO</t>
        </is>
      </c>
      <c r="B1229" t="inlineStr">
        <is>
          <t>Hombre</t>
        </is>
      </c>
      <c r="C1229" t="inlineStr">
        <is>
          <t>3741AF</t>
        </is>
      </c>
      <c r="D1229" t="inlineStr">
        <is>
          <t>CDMX Y AREA METROPOLITANA</t>
        </is>
      </c>
      <c r="E1229" t="inlineStr">
        <is>
          <t>09-2024</t>
        </is>
      </c>
      <c r="F1229" t="inlineStr">
        <is>
          <t>05-2025</t>
        </is>
      </c>
      <c r="G1229" t="n">
        <v>8</v>
      </c>
      <c r="H1229" t="inlineStr">
        <is>
          <t>Efectivo</t>
        </is>
      </c>
      <c r="I1229" t="inlineStr">
        <is>
          <t>06-2025</t>
        </is>
      </c>
      <c r="J1229" t="inlineStr">
        <is>
          <t>U01BNB</t>
        </is>
      </c>
      <c r="K1229" t="inlineStr">
        <is>
          <t>IGNIS</t>
        </is>
      </c>
      <c r="L1229" t="inlineStr">
        <is>
          <t>UBER</t>
        </is>
      </c>
      <c r="M1229" s="3">
        <f>IF(H1229="Efectivo",IFERROR((VALUE(RIGHT(I1229,4))-VALUE(RIGHT(E1229,4)))*12+(VALUE(LEFT(I1229,2))-VALUE(LEFT(E1229,2))),""),"")</f>
        <v/>
      </c>
    </row>
    <row r="1230">
      <c r="A1230" t="inlineStr">
        <is>
          <t>VEGA RODRIGUEZ ALBERTO ANTONIO</t>
        </is>
      </c>
      <c r="B1230" t="inlineStr">
        <is>
          <t>Hombre</t>
        </is>
      </c>
      <c r="C1230" t="inlineStr">
        <is>
          <t>4134AF</t>
        </is>
      </c>
      <c r="D1230" t="inlineStr">
        <is>
          <t>CDMX Y AREA METROPOLITANA</t>
        </is>
      </c>
      <c r="E1230" t="inlineStr">
        <is>
          <t>12-2024</t>
        </is>
      </c>
      <c r="F1230" t="inlineStr">
        <is>
          <t>09-2025</t>
        </is>
      </c>
      <c r="G1230" t="n">
        <v>9</v>
      </c>
      <c r="H1230" t="inlineStr">
        <is>
          <t>Pendiente</t>
        </is>
      </c>
      <c r="J1230" t="inlineStr">
        <is>
          <t>19G344</t>
        </is>
      </c>
      <c r="K1230" t="inlineStr">
        <is>
          <t>BYD D1</t>
        </is>
      </c>
      <c r="L1230" t="inlineStr">
        <is>
          <t>UBER</t>
        </is>
      </c>
      <c r="M1230" s="3">
        <f>IF(H1230="Efectivo",IFERROR((VALUE(RIGHT(I1230,4))-VALUE(RIGHT(E1230,4)))*12+(VALUE(LEFT(I1230,2))-VALUE(LEFT(E1230,2))),""),"")</f>
        <v/>
      </c>
    </row>
    <row r="1231">
      <c r="A1231" t="inlineStr">
        <is>
          <t>VELASCO HERNANDEZ EDGAR ALEJANDRO</t>
        </is>
      </c>
      <c r="B1231" t="inlineStr">
        <is>
          <t>Hombre</t>
        </is>
      </c>
      <c r="C1231" t="inlineStr">
        <is>
          <t>6121AF</t>
        </is>
      </c>
      <c r="D1231" t="inlineStr">
        <is>
          <t>JALISCO</t>
        </is>
      </c>
      <c r="E1231" t="inlineStr">
        <is>
          <t>10-2025</t>
        </is>
      </c>
      <c r="F1231" t="inlineStr">
        <is>
          <t>04-2026</t>
        </is>
      </c>
      <c r="G1231" t="n">
        <v>5</v>
      </c>
      <c r="H1231" t="inlineStr">
        <is>
          <t>Efectivo</t>
        </is>
      </c>
      <c r="I1231" t="inlineStr">
        <is>
          <t>04-2026</t>
        </is>
      </c>
      <c r="J1231" t="inlineStr">
        <is>
          <t>KDM110A</t>
        </is>
      </c>
      <c r="K1231" t="inlineStr">
        <is>
          <t>TOYOTA AVANZA</t>
        </is>
      </c>
      <c r="L1231" t="inlineStr">
        <is>
          <t>DIDI</t>
        </is>
      </c>
      <c r="M1231" s="3">
        <f>IF(H1231="Efectivo",IFERROR((VALUE(RIGHT(I1231,4))-VALUE(RIGHT(E1231,4)))*12+(VALUE(LEFT(I1231,2))-VALUE(LEFT(E1231,2))),""),"")</f>
        <v/>
      </c>
    </row>
    <row r="1232">
      <c r="A1232" t="inlineStr">
        <is>
          <t>VELASCO LOPEZ PABLO ERIK</t>
        </is>
      </c>
      <c r="B1232" t="inlineStr">
        <is>
          <t>Hombre</t>
        </is>
      </c>
      <c r="C1232" t="inlineStr">
        <is>
          <t>5021AF</t>
        </is>
      </c>
      <c r="D1232" t="inlineStr">
        <is>
          <t>CDMX Y AREA METROPOLITANA</t>
        </is>
      </c>
      <c r="E1232" t="inlineStr">
        <is>
          <t>06-2025</t>
        </is>
      </c>
      <c r="F1232" t="inlineStr">
        <is>
          <t>08-2025</t>
        </is>
      </c>
      <c r="G1232" t="n">
        <v>2</v>
      </c>
      <c r="H1232" t="inlineStr">
        <is>
          <t>Efectivo</t>
        </is>
      </c>
      <c r="I1232" t="inlineStr">
        <is>
          <t>08-2025</t>
        </is>
      </c>
      <c r="J1232" t="inlineStr">
        <is>
          <t>F40BRR</t>
        </is>
      </c>
      <c r="K1232" t="inlineStr">
        <is>
          <t>CHEVROLET AVEO</t>
        </is>
      </c>
      <c r="L1232" t="inlineStr">
        <is>
          <t>UBER</t>
        </is>
      </c>
      <c r="M1232" s="3">
        <f>IF(H1232="Efectivo",IFERROR((VALUE(RIGHT(I1232,4))-VALUE(RIGHT(E1232,4)))*12+(VALUE(LEFT(I1232,2))-VALUE(LEFT(E1232,2))),""),"")</f>
        <v/>
      </c>
    </row>
    <row r="1233">
      <c r="A1233" t="inlineStr">
        <is>
          <t>VELASCO RAMIREZ JORGE ZAMETH</t>
        </is>
      </c>
      <c r="B1233" t="inlineStr">
        <is>
          <t>Hombre</t>
        </is>
      </c>
      <c r="C1233" t="inlineStr">
        <is>
          <t>4281AF</t>
        </is>
      </c>
      <c r="D1233" t="inlineStr">
        <is>
          <t>CDMX Y AREA METROPOLITANA</t>
        </is>
      </c>
      <c r="E1233" t="inlineStr">
        <is>
          <t>02-2025</t>
        </is>
      </c>
      <c r="F1233" t="inlineStr">
        <is>
          <t>02-2026</t>
        </is>
      </c>
      <c r="G1233" t="n">
        <v>12</v>
      </c>
      <c r="H1233" t="inlineStr">
        <is>
          <t>Efectivo</t>
        </is>
      </c>
      <c r="I1233" t="inlineStr">
        <is>
          <t>02-2026</t>
        </is>
      </c>
      <c r="J1233" t="inlineStr">
        <is>
          <t>R62BRD</t>
        </is>
      </c>
      <c r="K1233" t="inlineStr">
        <is>
          <t>CHEVROLET AVEO</t>
        </is>
      </c>
      <c r="L1233" t="inlineStr">
        <is>
          <t>UBER</t>
        </is>
      </c>
      <c r="M1233" s="3">
        <f>IF(H1233="Efectivo",IFERROR((VALUE(RIGHT(I1233,4))-VALUE(RIGHT(E1233,4)))*12+(VALUE(LEFT(I1233,2))-VALUE(LEFT(E1233,2))),""),"")</f>
        <v/>
      </c>
    </row>
    <row r="1234">
      <c r="A1234" t="inlineStr">
        <is>
          <t>VELASCO RIVERA ANTONIO JESUS</t>
        </is>
      </c>
      <c r="B1234" t="inlineStr">
        <is>
          <t>Hombre</t>
        </is>
      </c>
      <c r="C1234" t="inlineStr">
        <is>
          <t>4265AF</t>
        </is>
      </c>
      <c r="D1234" t="inlineStr">
        <is>
          <t>CDMX Y AREA METROPOLITANA</t>
        </is>
      </c>
      <c r="E1234" t="inlineStr">
        <is>
          <t>01-2025</t>
        </is>
      </c>
      <c r="F1234" t="inlineStr">
        <is>
          <t>07-2025</t>
        </is>
      </c>
      <c r="G1234" t="n">
        <v>6</v>
      </c>
      <c r="H1234" t="inlineStr">
        <is>
          <t>Efectivo</t>
        </is>
      </c>
      <c r="I1234" t="inlineStr">
        <is>
          <t>07-2025</t>
        </is>
      </c>
      <c r="J1234" t="inlineStr">
        <is>
          <t>19G408</t>
        </is>
      </c>
      <c r="K1234" t="inlineStr">
        <is>
          <t>BYD D1</t>
        </is>
      </c>
      <c r="L1234" t="inlineStr">
        <is>
          <t>UBER</t>
        </is>
      </c>
      <c r="M1234" s="3">
        <f>IF(H1234="Efectivo",IFERROR((VALUE(RIGHT(I1234,4))-VALUE(RIGHT(E1234,4)))*12+(VALUE(LEFT(I1234,2))-VALUE(LEFT(E1234,2))),""),"")</f>
        <v/>
      </c>
    </row>
    <row r="1235">
      <c r="A1235" t="inlineStr">
        <is>
          <t>VELAZQUEZ CAMARGO RODRIGO</t>
        </is>
      </c>
      <c r="B1235" t="inlineStr">
        <is>
          <t>Hombre</t>
        </is>
      </c>
      <c r="C1235" t="inlineStr">
        <is>
          <t>5334AF</t>
        </is>
      </c>
      <c r="D1235" t="inlineStr">
        <is>
          <t>NUEVO LEON</t>
        </is>
      </c>
      <c r="E1235" t="inlineStr">
        <is>
          <t>07-2025</t>
        </is>
      </c>
      <c r="F1235" t="inlineStr">
        <is>
          <t>11-2025</t>
        </is>
      </c>
      <c r="G1235" t="n">
        <v>3</v>
      </c>
      <c r="H1235" t="inlineStr">
        <is>
          <t>Efectivo</t>
        </is>
      </c>
      <c r="I1235" t="inlineStr">
        <is>
          <t>01-2026</t>
        </is>
      </c>
      <c r="J1235" t="inlineStr">
        <is>
          <t>RVX599C</t>
        </is>
      </c>
      <c r="K1235" t="inlineStr">
        <is>
          <t>CHEVROLET AVEO</t>
        </is>
      </c>
      <c r="L1235" t="inlineStr">
        <is>
          <t>DIDI</t>
        </is>
      </c>
      <c r="M1235" s="3">
        <f>IF(H1235="Efectivo",IFERROR((VALUE(RIGHT(I1235,4))-VALUE(RIGHT(E1235,4)))*12+(VALUE(LEFT(I1235,2))-VALUE(LEFT(E1235,2))),""),"")</f>
        <v/>
      </c>
    </row>
    <row r="1236">
      <c r="A1236" t="inlineStr">
        <is>
          <t>VELAZQUEZ ESPINOSA JESUS</t>
        </is>
      </c>
      <c r="B1236" t="inlineStr">
        <is>
          <t>Hombre</t>
        </is>
      </c>
      <c r="C1236" t="inlineStr">
        <is>
          <t>3412AF</t>
        </is>
      </c>
      <c r="D1236" t="inlineStr">
        <is>
          <t>BAJA CALIFORNIA</t>
        </is>
      </c>
      <c r="E1236" t="inlineStr">
        <is>
          <t>06-2024</t>
        </is>
      </c>
      <c r="F1236" t="inlineStr">
        <is>
          <t>06-2025</t>
        </is>
      </c>
      <c r="G1236" t="n">
        <v>12</v>
      </c>
      <c r="H1236" t="inlineStr">
        <is>
          <t>Efectivo</t>
        </is>
      </c>
      <c r="I1236" t="inlineStr">
        <is>
          <t>06-2025</t>
        </is>
      </c>
      <c r="J1236" t="inlineStr">
        <is>
          <t>BPW801A</t>
        </is>
      </c>
      <c r="K1236" t="inlineStr">
        <is>
          <t>CHEVROLET AVEO</t>
        </is>
      </c>
      <c r="L1236" t="inlineStr">
        <is>
          <t>UBER</t>
        </is>
      </c>
      <c r="M1236" s="3">
        <f>IF(H1236="Efectivo",IFERROR((VALUE(RIGHT(I1236,4))-VALUE(RIGHT(E1236,4)))*12+(VALUE(LEFT(I1236,2))-VALUE(LEFT(E1236,2))),""),"")</f>
        <v/>
      </c>
    </row>
    <row r="1237">
      <c r="A1237" t="inlineStr">
        <is>
          <t>VELAZQUEZ FUENTES RAUL</t>
        </is>
      </c>
      <c r="B1237" t="inlineStr">
        <is>
          <t>Hombre</t>
        </is>
      </c>
      <c r="C1237" t="inlineStr">
        <is>
          <t>4651AF</t>
        </is>
      </c>
      <c r="D1237" t="inlineStr">
        <is>
          <t>CDMX Y AREA METROPOLITANA</t>
        </is>
      </c>
      <c r="E1237" t="inlineStr">
        <is>
          <t>04-2025</t>
        </is>
      </c>
      <c r="F1237" t="inlineStr">
        <is>
          <t>04-2026</t>
        </is>
      </c>
      <c r="G1237" t="n">
        <v>12</v>
      </c>
      <c r="H1237" t="inlineStr">
        <is>
          <t>Efectivo</t>
        </is>
      </c>
      <c r="I1237" t="inlineStr">
        <is>
          <t>04-2026</t>
        </is>
      </c>
      <c r="J1237" t="inlineStr">
        <is>
          <t>38G289</t>
        </is>
      </c>
      <c r="K1237" t="inlineStr">
        <is>
          <t>GAC AION S</t>
        </is>
      </c>
      <c r="L1237" t="inlineStr">
        <is>
          <t>UBER</t>
        </is>
      </c>
      <c r="M1237" s="3">
        <f>IF(H1237="Efectivo",IFERROR((VALUE(RIGHT(I1237,4))-VALUE(RIGHT(E1237,4)))*12+(VALUE(LEFT(I1237,2))-VALUE(LEFT(E1237,2))),""),"")</f>
        <v/>
      </c>
    </row>
    <row r="1238">
      <c r="A1238" t="inlineStr">
        <is>
          <t>VELAZQUEZ GALLARDO CHRISTIAN RICARDO</t>
        </is>
      </c>
      <c r="B1238" t="inlineStr">
        <is>
          <t>Hombre</t>
        </is>
      </c>
      <c r="C1238" t="inlineStr">
        <is>
          <t>3890AF</t>
        </is>
      </c>
      <c r="D1238" t="inlineStr">
        <is>
          <t>CDMX Y AREA METROPOLITANA</t>
        </is>
      </c>
      <c r="E1238" t="inlineStr">
        <is>
          <t>10-2024</t>
        </is>
      </c>
      <c r="F1238" t="inlineStr">
        <is>
          <t>01-2026</t>
        </is>
      </c>
      <c r="G1238" t="n">
        <v>15</v>
      </c>
      <c r="H1238" t="inlineStr">
        <is>
          <t>Efectivo</t>
        </is>
      </c>
      <c r="I1238" t="inlineStr">
        <is>
          <t>02-2026</t>
        </is>
      </c>
      <c r="J1238" t="inlineStr">
        <is>
          <t>B89BPN</t>
        </is>
      </c>
      <c r="K1238" t="inlineStr">
        <is>
          <t>CHEVROLET AVEO</t>
        </is>
      </c>
      <c r="L1238" t="inlineStr">
        <is>
          <t>UBER</t>
        </is>
      </c>
      <c r="M1238" s="3">
        <f>IF(H1238="Efectivo",IFERROR((VALUE(RIGHT(I1238,4))-VALUE(RIGHT(E1238,4)))*12+(VALUE(LEFT(I1238,2))-VALUE(LEFT(E1238,2))),""),"")</f>
        <v/>
      </c>
    </row>
    <row r="1239">
      <c r="A1239" t="inlineStr">
        <is>
          <t>VELAZQUEZ GARCIA JOSE LUIS</t>
        </is>
      </c>
      <c r="B1239" t="inlineStr">
        <is>
          <t>Hombre</t>
        </is>
      </c>
      <c r="C1239" t="inlineStr">
        <is>
          <t>6571AF</t>
        </is>
      </c>
      <c r="D1239" t="inlineStr">
        <is>
          <t>BAJA CALIFORNIA</t>
        </is>
      </c>
      <c r="E1239" t="inlineStr">
        <is>
          <t>12-2025</t>
        </is>
      </c>
      <c r="F1239" t="inlineStr">
        <is>
          <t>03-2026</t>
        </is>
      </c>
      <c r="G1239" t="n">
        <v>3</v>
      </c>
      <c r="H1239" t="inlineStr">
        <is>
          <t>Efectivo</t>
        </is>
      </c>
      <c r="I1239" t="inlineStr">
        <is>
          <t>03-2026</t>
        </is>
      </c>
      <c r="J1239" t="inlineStr">
        <is>
          <t>CBL050A</t>
        </is>
      </c>
      <c r="K1239" t="inlineStr">
        <is>
          <t>CHEVROLET AVEO</t>
        </is>
      </c>
      <c r="L1239" t="inlineStr">
        <is>
          <t>UBER</t>
        </is>
      </c>
      <c r="M1239" s="3">
        <f>IF(H1239="Efectivo",IFERROR((VALUE(RIGHT(I1239,4))-VALUE(RIGHT(E1239,4)))*12+(VALUE(LEFT(I1239,2))-VALUE(LEFT(E1239,2))),""),"")</f>
        <v/>
      </c>
    </row>
    <row r="1240">
      <c r="A1240" t="inlineStr">
        <is>
          <t>VELAZQUEZ NUÑEZ CARLOS JULIAN</t>
        </is>
      </c>
      <c r="B1240" t="inlineStr">
        <is>
          <t>Hombre</t>
        </is>
      </c>
      <c r="C1240" t="inlineStr">
        <is>
          <t>6093AF</t>
        </is>
      </c>
      <c r="D1240" t="inlineStr">
        <is>
          <t>CDMX Y AREA METROPOLITANA</t>
        </is>
      </c>
      <c r="E1240" t="inlineStr">
        <is>
          <t>10-2025</t>
        </is>
      </c>
      <c r="F1240" t="inlineStr">
        <is>
          <t>03-2026</t>
        </is>
      </c>
      <c r="G1240" t="n">
        <v>4</v>
      </c>
      <c r="H1240" t="inlineStr">
        <is>
          <t>Efectivo</t>
        </is>
      </c>
      <c r="I1240" t="inlineStr">
        <is>
          <t>03-2026</t>
        </is>
      </c>
      <c r="J1240" t="inlineStr">
        <is>
          <t>R10BPH</t>
        </is>
      </c>
      <c r="K1240" t="inlineStr">
        <is>
          <t>CHEVROLET AVEO</t>
        </is>
      </c>
      <c r="L1240" t="inlineStr">
        <is>
          <t>UBER</t>
        </is>
      </c>
      <c r="M1240" s="3">
        <f>IF(H1240="Efectivo",IFERROR((VALUE(RIGHT(I1240,4))-VALUE(RIGHT(E1240,4)))*12+(VALUE(LEFT(I1240,2))-VALUE(LEFT(E1240,2))),""),"")</f>
        <v/>
      </c>
    </row>
    <row r="1241">
      <c r="A1241" t="inlineStr">
        <is>
          <t>VELAZQUEZ ROSALES JUAN CARLOS</t>
        </is>
      </c>
      <c r="B1241" t="inlineStr">
        <is>
          <t>Hombre</t>
        </is>
      </c>
      <c r="C1241" t="inlineStr">
        <is>
          <t>4921AF</t>
        </is>
      </c>
      <c r="D1241" t="inlineStr">
        <is>
          <t>BAJA CALIFORNIA</t>
        </is>
      </c>
      <c r="E1241" t="inlineStr">
        <is>
          <t>05-2025</t>
        </is>
      </c>
      <c r="F1241" t="inlineStr">
        <is>
          <t>08-2025</t>
        </is>
      </c>
      <c r="G1241" t="n">
        <v>2</v>
      </c>
      <c r="H1241" t="inlineStr">
        <is>
          <t>Efectivo</t>
        </is>
      </c>
      <c r="I1241" t="inlineStr">
        <is>
          <t>08-2025</t>
        </is>
      </c>
      <c r="J1241" t="inlineStr">
        <is>
          <t>BYG584A</t>
        </is>
      </c>
      <c r="K1241" t="inlineStr">
        <is>
          <t>CHEVROLET AVEO</t>
        </is>
      </c>
      <c r="L1241" t="inlineStr">
        <is>
          <t>DIDI</t>
        </is>
      </c>
      <c r="M1241" s="3">
        <f>IF(H1241="Efectivo",IFERROR((VALUE(RIGHT(I1241,4))-VALUE(RIGHT(E1241,4)))*12+(VALUE(LEFT(I1241,2))-VALUE(LEFT(E1241,2))),""),"")</f>
        <v/>
      </c>
    </row>
    <row r="1242">
      <c r="A1242" t="inlineStr">
        <is>
          <t>VELAZQUEZ SALAZAR DANIEL ALBERTO</t>
        </is>
      </c>
      <c r="B1242" t="inlineStr">
        <is>
          <t>Hombre</t>
        </is>
      </c>
      <c r="C1242" t="inlineStr">
        <is>
          <t>5595AF</t>
        </is>
      </c>
      <c r="D1242" t="inlineStr">
        <is>
          <t>CDMX Y AREA METROPOLITANA</t>
        </is>
      </c>
      <c r="E1242" t="inlineStr">
        <is>
          <t>08-2025</t>
        </is>
      </c>
      <c r="F1242" t="inlineStr">
        <is>
          <t>04-2026</t>
        </is>
      </c>
      <c r="G1242" t="n">
        <v>8</v>
      </c>
      <c r="H1242" t="inlineStr">
        <is>
          <t>Efectivo</t>
        </is>
      </c>
      <c r="I1242" t="inlineStr">
        <is>
          <t>04-2026</t>
        </is>
      </c>
      <c r="J1242" t="inlineStr">
        <is>
          <t>48G234</t>
        </is>
      </c>
      <c r="K1242" t="inlineStr">
        <is>
          <t>BYD MINIDOLPHIN</t>
        </is>
      </c>
      <c r="L1242" t="inlineStr">
        <is>
          <t>DIDI</t>
        </is>
      </c>
      <c r="M1242" s="3">
        <f>IF(H1242="Efectivo",IFERROR((VALUE(RIGHT(I1242,4))-VALUE(RIGHT(E1242,4)))*12+(VALUE(LEFT(I1242,2))-VALUE(LEFT(E1242,2))),""),"")</f>
        <v/>
      </c>
    </row>
    <row r="1243">
      <c r="A1243" t="inlineStr">
        <is>
          <t>VELAZQUEZ TELLO IGNACIO</t>
        </is>
      </c>
      <c r="B1243" t="inlineStr">
        <is>
          <t>Hombre</t>
        </is>
      </c>
      <c r="C1243" t="inlineStr">
        <is>
          <t>3898AF</t>
        </is>
      </c>
      <c r="D1243" t="inlineStr">
        <is>
          <t>CDMX Y AREA METROPOLITANA</t>
        </is>
      </c>
      <c r="E1243" t="inlineStr">
        <is>
          <t>10-2024</t>
        </is>
      </c>
      <c r="F1243" t="inlineStr">
        <is>
          <t>02-2026</t>
        </is>
      </c>
      <c r="G1243" t="n">
        <v>15</v>
      </c>
      <c r="H1243" t="inlineStr">
        <is>
          <t>Efectivo</t>
        </is>
      </c>
      <c r="I1243" t="inlineStr">
        <is>
          <t>04-2026</t>
        </is>
      </c>
      <c r="J1243" t="inlineStr">
        <is>
          <t>08G176</t>
        </is>
      </c>
      <c r="K1243" t="inlineStr">
        <is>
          <t>BYD D1</t>
        </is>
      </c>
      <c r="L1243" t="inlineStr">
        <is>
          <t>UBER</t>
        </is>
      </c>
      <c r="M1243" s="3">
        <f>IF(H1243="Efectivo",IFERROR((VALUE(RIGHT(I1243,4))-VALUE(RIGHT(E1243,4)))*12+(VALUE(LEFT(I1243,2))-VALUE(LEFT(E1243,2))),""),"")</f>
        <v/>
      </c>
    </row>
    <row r="1244">
      <c r="A1244" t="inlineStr">
        <is>
          <t>VELEZ GARCIA SERGIO</t>
        </is>
      </c>
      <c r="B1244" t="inlineStr">
        <is>
          <t>Hombre</t>
        </is>
      </c>
      <c r="C1244" t="inlineStr">
        <is>
          <t>4772AF</t>
        </is>
      </c>
      <c r="D1244" t="inlineStr">
        <is>
          <t>CDMX Y AREA METROPOLITANA</t>
        </is>
      </c>
      <c r="E1244" t="inlineStr">
        <is>
          <t>05-2025</t>
        </is>
      </c>
      <c r="F1244" t="inlineStr">
        <is>
          <t>09-2025</t>
        </is>
      </c>
      <c r="G1244" t="n">
        <v>4</v>
      </c>
      <c r="H1244" t="inlineStr">
        <is>
          <t>Efectivo</t>
        </is>
      </c>
      <c r="I1244" t="inlineStr">
        <is>
          <t>09-2025</t>
        </is>
      </c>
      <c r="J1244" t="inlineStr">
        <is>
          <t>E41BRR</t>
        </is>
      </c>
      <c r="K1244" t="inlineStr">
        <is>
          <t>CHEVROLET AVEO</t>
        </is>
      </c>
      <c r="L1244" t="inlineStr">
        <is>
          <t>UBER</t>
        </is>
      </c>
      <c r="M1244" s="3">
        <f>IF(H1244="Efectivo",IFERROR((VALUE(RIGHT(I1244,4))-VALUE(RIGHT(E1244,4)))*12+(VALUE(LEFT(I1244,2))-VALUE(LEFT(E1244,2))),""),"")</f>
        <v/>
      </c>
    </row>
    <row r="1245">
      <c r="A1245" t="inlineStr">
        <is>
          <t>VENEGAS CHAYRES LUIS ALBERTO</t>
        </is>
      </c>
      <c r="B1245" t="inlineStr">
        <is>
          <t>Hombre</t>
        </is>
      </c>
      <c r="C1245" t="inlineStr">
        <is>
          <t>5636AF</t>
        </is>
      </c>
      <c r="D1245" t="inlineStr">
        <is>
          <t>CDMX Y AREA METROPOLITANA</t>
        </is>
      </c>
      <c r="E1245" t="inlineStr">
        <is>
          <t>08-2025</t>
        </is>
      </c>
      <c r="F1245" t="inlineStr">
        <is>
          <t>02-2026</t>
        </is>
      </c>
      <c r="G1245" t="n">
        <v>5</v>
      </c>
      <c r="H1245" t="inlineStr">
        <is>
          <t>Efectivo</t>
        </is>
      </c>
      <c r="I1245" t="inlineStr">
        <is>
          <t>02-2026</t>
        </is>
      </c>
      <c r="J1245" t="inlineStr">
        <is>
          <t>08K014</t>
        </is>
      </c>
      <c r="K1245" t="inlineStr">
        <is>
          <t>GAC AION S</t>
        </is>
      </c>
      <c r="L1245" t="inlineStr">
        <is>
          <t>UBER</t>
        </is>
      </c>
      <c r="M1245" s="3">
        <f>IF(H1245="Efectivo",IFERROR((VALUE(RIGHT(I1245,4))-VALUE(RIGHT(E1245,4)))*12+(VALUE(LEFT(I1245,2))-VALUE(LEFT(E1245,2))),""),"")</f>
        <v/>
      </c>
    </row>
    <row r="1246">
      <c r="A1246" t="inlineStr">
        <is>
          <t>VENEGAS MARTINEZ JOSE ANTONIO</t>
        </is>
      </c>
      <c r="B1246" t="inlineStr">
        <is>
          <t>Hombre</t>
        </is>
      </c>
      <c r="C1246" t="inlineStr">
        <is>
          <t>4610AF</t>
        </is>
      </c>
      <c r="D1246" t="inlineStr">
        <is>
          <t>JALISCO</t>
        </is>
      </c>
      <c r="E1246" t="inlineStr">
        <is>
          <t>04-2025</t>
        </is>
      </c>
      <c r="F1246" t="inlineStr">
        <is>
          <t>07-2025</t>
        </is>
      </c>
      <c r="G1246" t="n">
        <v>3</v>
      </c>
      <c r="H1246" t="inlineStr">
        <is>
          <t>Efectivo</t>
        </is>
      </c>
      <c r="I1246" t="inlineStr">
        <is>
          <t>08-2025</t>
        </is>
      </c>
      <c r="J1246" t="inlineStr">
        <is>
          <t>JAW369A</t>
        </is>
      </c>
      <c r="K1246" t="inlineStr">
        <is>
          <t>TOYOTA AVANZA</t>
        </is>
      </c>
      <c r="L1246" t="inlineStr">
        <is>
          <t>UBER</t>
        </is>
      </c>
      <c r="M1246" s="3">
        <f>IF(H1246="Efectivo",IFERROR((VALUE(RIGHT(I1246,4))-VALUE(RIGHT(E1246,4)))*12+(VALUE(LEFT(I1246,2))-VALUE(LEFT(E1246,2))),""),"")</f>
        <v/>
      </c>
    </row>
    <row r="1247">
      <c r="A1247" t="inlineStr">
        <is>
          <t>VENTURA DOMINGUEZ JOSE MARIO</t>
        </is>
      </c>
      <c r="B1247" t="inlineStr">
        <is>
          <t>Hombre</t>
        </is>
      </c>
      <c r="C1247" t="inlineStr">
        <is>
          <t>4658AF</t>
        </is>
      </c>
      <c r="D1247" t="inlineStr">
        <is>
          <t>CDMX Y AREA METROPOLITANA</t>
        </is>
      </c>
      <c r="E1247" t="inlineStr">
        <is>
          <t>04-2025</t>
        </is>
      </c>
      <c r="F1247" t="inlineStr">
        <is>
          <t>07-2025</t>
        </is>
      </c>
      <c r="G1247" t="n">
        <v>3</v>
      </c>
      <c r="H1247" t="inlineStr">
        <is>
          <t>Efectivo</t>
        </is>
      </c>
      <c r="I1247" t="inlineStr">
        <is>
          <t>08-2025</t>
        </is>
      </c>
      <c r="J1247" t="inlineStr">
        <is>
          <t>89F772</t>
        </is>
      </c>
      <c r="K1247" t="inlineStr">
        <is>
          <t>BYD D1</t>
        </is>
      </c>
      <c r="L1247" t="inlineStr">
        <is>
          <t>DIDI</t>
        </is>
      </c>
      <c r="M1247" s="3">
        <f>IF(H1247="Efectivo",IFERROR((VALUE(RIGHT(I1247,4))-VALUE(RIGHT(E1247,4)))*12+(VALUE(LEFT(I1247,2))-VALUE(LEFT(E1247,2))),""),"")</f>
        <v/>
      </c>
    </row>
    <row r="1248">
      <c r="A1248" t="inlineStr">
        <is>
          <t>VERA MANJARREZ RICARDO BARUSH</t>
        </is>
      </c>
      <c r="B1248" t="inlineStr">
        <is>
          <t>Hombre</t>
        </is>
      </c>
      <c r="C1248" t="inlineStr">
        <is>
          <t>2918AF</t>
        </is>
      </c>
      <c r="D1248" t="inlineStr">
        <is>
          <t>BAJA CALIFORNIA</t>
        </is>
      </c>
      <c r="E1248" t="inlineStr">
        <is>
          <t>12-2023</t>
        </is>
      </c>
      <c r="F1248" t="inlineStr">
        <is>
          <t>01-2025</t>
        </is>
      </c>
      <c r="G1248" t="n">
        <v>13</v>
      </c>
      <c r="H1248" t="inlineStr">
        <is>
          <t>Efectivo</t>
        </is>
      </c>
      <c r="I1248" t="inlineStr">
        <is>
          <t>01-2025</t>
        </is>
      </c>
      <c r="J1248" t="inlineStr">
        <is>
          <t>BKS711A</t>
        </is>
      </c>
      <c r="K1248" t="inlineStr">
        <is>
          <t>CHEVROLET AVEO</t>
        </is>
      </c>
      <c r="L1248" t="inlineStr">
        <is>
          <t>UBER</t>
        </is>
      </c>
      <c r="M1248" s="3">
        <f>IF(H1248="Efectivo",IFERROR((VALUE(RIGHT(I1248,4))-VALUE(RIGHT(E1248,4)))*12+(VALUE(LEFT(I1248,2))-VALUE(LEFT(E1248,2))),""),"")</f>
        <v/>
      </c>
    </row>
    <row r="1249">
      <c r="A1249" t="inlineStr">
        <is>
          <t>VERDUGO MASCAREÑO JUAN CARLOS</t>
        </is>
      </c>
      <c r="B1249" t="inlineStr">
        <is>
          <t>Hombre</t>
        </is>
      </c>
      <c r="C1249" t="inlineStr">
        <is>
          <t>4562AF</t>
        </is>
      </c>
      <c r="D1249" t="inlineStr">
        <is>
          <t>BAJA CALIFORNIA</t>
        </is>
      </c>
      <c r="E1249" t="inlineStr">
        <is>
          <t>03-2025</t>
        </is>
      </c>
      <c r="F1249" t="inlineStr">
        <is>
          <t>11-2025</t>
        </is>
      </c>
      <c r="G1249" t="n">
        <v>7</v>
      </c>
      <c r="H1249" t="inlineStr">
        <is>
          <t>Pendiente</t>
        </is>
      </c>
      <c r="J1249" t="inlineStr">
        <is>
          <t>BWX663A</t>
        </is>
      </c>
      <c r="K1249" t="inlineStr">
        <is>
          <t>CHEVROLET AVEO</t>
        </is>
      </c>
      <c r="L1249" t="inlineStr">
        <is>
          <t>UBER</t>
        </is>
      </c>
      <c r="M1249" s="3">
        <f>IF(H1249="Efectivo",IFERROR((VALUE(RIGHT(I1249,4))-VALUE(RIGHT(E1249,4)))*12+(VALUE(LEFT(I1249,2))-VALUE(LEFT(E1249,2))),""),"")</f>
        <v/>
      </c>
    </row>
    <row r="1250">
      <c r="A1250" t="inlineStr">
        <is>
          <t>VICENCIO ARELIS TEODORO DE JESUS</t>
        </is>
      </c>
      <c r="B1250" t="inlineStr">
        <is>
          <t>Hombre</t>
        </is>
      </c>
      <c r="C1250" t="inlineStr">
        <is>
          <t>4010AF</t>
        </is>
      </c>
      <c r="D1250" t="inlineStr">
        <is>
          <t>JALISCO</t>
        </is>
      </c>
      <c r="E1250" t="inlineStr">
        <is>
          <t>11-2024</t>
        </is>
      </c>
      <c r="F1250" t="inlineStr">
        <is>
          <t>04-2026</t>
        </is>
      </c>
      <c r="G1250" t="n">
        <v>17</v>
      </c>
      <c r="H1250" t="inlineStr">
        <is>
          <t>Efectivo</t>
        </is>
      </c>
      <c r="I1250" t="inlineStr">
        <is>
          <t>04-2026</t>
        </is>
      </c>
      <c r="J1250" t="inlineStr">
        <is>
          <t>HWR667A</t>
        </is>
      </c>
      <c r="K1250" t="inlineStr">
        <is>
          <t>TOYOTA AVANZA</t>
        </is>
      </c>
      <c r="L1250" t="inlineStr">
        <is>
          <t>UBER</t>
        </is>
      </c>
      <c r="M1250" s="3">
        <f>IF(H1250="Efectivo",IFERROR((VALUE(RIGHT(I1250,4))-VALUE(RIGHT(E1250,4)))*12+(VALUE(LEFT(I1250,2))-VALUE(LEFT(E1250,2))),""),"")</f>
        <v/>
      </c>
    </row>
    <row r="1251">
      <c r="A1251" t="inlineStr">
        <is>
          <t>VICENTEÑO MORENO MARIO ALBERTO</t>
        </is>
      </c>
      <c r="B1251" t="inlineStr">
        <is>
          <t>Hombre</t>
        </is>
      </c>
      <c r="C1251" t="inlineStr">
        <is>
          <t>5287AF</t>
        </is>
      </c>
      <c r="D1251" t="inlineStr">
        <is>
          <t>BAJA CALIFORNIA</t>
        </is>
      </c>
      <c r="E1251" t="inlineStr">
        <is>
          <t>12-2025</t>
        </is>
      </c>
      <c r="F1251" t="inlineStr">
        <is>
          <t>05-2026</t>
        </is>
      </c>
      <c r="G1251" t="n">
        <v>4</v>
      </c>
      <c r="H1251" t="inlineStr">
        <is>
          <t>Pendiente</t>
        </is>
      </c>
      <c r="J1251" t="inlineStr">
        <is>
          <t>BYZ581A</t>
        </is>
      </c>
      <c r="K1251" t="inlineStr">
        <is>
          <t>CHEVROLET AVEO</t>
        </is>
      </c>
      <c r="L1251" t="inlineStr">
        <is>
          <t>UBER</t>
        </is>
      </c>
      <c r="M1251" s="3">
        <f>IF(H1251="Efectivo",IFERROR((VALUE(RIGHT(I1251,4))-VALUE(RIGHT(E1251,4)))*12+(VALUE(LEFT(I1251,2))-VALUE(LEFT(E1251,2))),""),"")</f>
        <v/>
      </c>
    </row>
    <row r="1252">
      <c r="A1252" t="inlineStr">
        <is>
          <t>VICTORINO OROZCO ISRAEL</t>
        </is>
      </c>
      <c r="B1252" t="inlineStr">
        <is>
          <t>Hombre</t>
        </is>
      </c>
      <c r="C1252" t="inlineStr">
        <is>
          <t>4044AF</t>
        </is>
      </c>
      <c r="D1252" t="inlineStr">
        <is>
          <t>CDMX Y AREA METROPOLITANA</t>
        </is>
      </c>
      <c r="E1252" t="inlineStr">
        <is>
          <t>11-2024</t>
        </is>
      </c>
      <c r="F1252" t="inlineStr">
        <is>
          <t>01-2026</t>
        </is>
      </c>
      <c r="G1252" t="n">
        <v>14</v>
      </c>
      <c r="H1252" t="inlineStr">
        <is>
          <t>Efectivo</t>
        </is>
      </c>
      <c r="I1252" t="inlineStr">
        <is>
          <t>02-2026</t>
        </is>
      </c>
      <c r="J1252" t="inlineStr">
        <is>
          <t>13G839</t>
        </is>
      </c>
      <c r="K1252" t="inlineStr">
        <is>
          <t>BYD D1</t>
        </is>
      </c>
      <c r="L1252" t="inlineStr">
        <is>
          <t>UBER</t>
        </is>
      </c>
      <c r="M1252" s="3">
        <f>IF(H1252="Efectivo",IFERROR((VALUE(RIGHT(I1252,4))-VALUE(RIGHT(E1252,4)))*12+(VALUE(LEFT(I1252,2))-VALUE(LEFT(E1252,2))),""),"")</f>
        <v/>
      </c>
    </row>
    <row r="1253">
      <c r="A1253" t="inlineStr">
        <is>
          <t>VIGUERAS MORALES MANUEL JHOVANNY</t>
        </is>
      </c>
      <c r="B1253" t="inlineStr">
        <is>
          <t>Hombre</t>
        </is>
      </c>
      <c r="C1253" t="inlineStr">
        <is>
          <t>2088AF</t>
        </is>
      </c>
      <c r="D1253" t="inlineStr">
        <is>
          <t>CDMX Y AREA METROPOLITANA</t>
        </is>
      </c>
      <c r="E1253" t="inlineStr">
        <is>
          <t>05-2022</t>
        </is>
      </c>
      <c r="F1253" t="inlineStr">
        <is>
          <t>05-2025</t>
        </is>
      </c>
      <c r="G1253" t="n">
        <v>37</v>
      </c>
      <c r="H1253" t="inlineStr">
        <is>
          <t>Pendiente</t>
        </is>
      </c>
      <c r="J1253" t="inlineStr">
        <is>
          <t>U72BKF</t>
        </is>
      </c>
      <c r="K1253" t="inlineStr">
        <is>
          <t>CHEVROLET AVEO</t>
        </is>
      </c>
      <c r="L1253" t="inlineStr">
        <is>
          <t>UBER</t>
        </is>
      </c>
      <c r="M1253" s="3">
        <f>IF(H1253="Efectivo",IFERROR((VALUE(RIGHT(I1253,4))-VALUE(RIGHT(E1253,4)))*12+(VALUE(LEFT(I1253,2))-VALUE(LEFT(E1253,2))),""),"")</f>
        <v/>
      </c>
    </row>
    <row r="1254">
      <c r="A1254" t="inlineStr">
        <is>
          <t>VILCHIS CAAMAÑO GILBERTO</t>
        </is>
      </c>
      <c r="B1254" t="inlineStr">
        <is>
          <t>Hombre</t>
        </is>
      </c>
      <c r="C1254" t="inlineStr">
        <is>
          <t>5354AF</t>
        </is>
      </c>
      <c r="D1254" t="inlineStr">
        <is>
          <t>CDMX Y AREA METROPOLITANA</t>
        </is>
      </c>
      <c r="E1254" t="inlineStr">
        <is>
          <t>07-2025</t>
        </is>
      </c>
      <c r="F1254" t="inlineStr">
        <is>
          <t>10-2025</t>
        </is>
      </c>
      <c r="G1254" t="n">
        <v>2</v>
      </c>
      <c r="H1254" t="inlineStr">
        <is>
          <t>Pendiente</t>
        </is>
      </c>
      <c r="J1254" t="inlineStr">
        <is>
          <t>43G813</t>
        </is>
      </c>
      <c r="K1254" t="inlineStr">
        <is>
          <t>GAC AION S</t>
        </is>
      </c>
      <c r="L1254" t="inlineStr">
        <is>
          <t>UBER</t>
        </is>
      </c>
      <c r="M1254" s="3">
        <f>IF(H1254="Efectivo",IFERROR((VALUE(RIGHT(I1254,4))-VALUE(RIGHT(E1254,4)))*12+(VALUE(LEFT(I1254,2))-VALUE(LEFT(E1254,2))),""),"")</f>
        <v/>
      </c>
    </row>
    <row r="1255">
      <c r="A1255" t="inlineStr">
        <is>
          <t>VILLAFUERTE SANCHEZ HECTOR</t>
        </is>
      </c>
      <c r="B1255" t="inlineStr">
        <is>
          <t>Hombre</t>
        </is>
      </c>
      <c r="C1255" t="inlineStr">
        <is>
          <t>3900AF</t>
        </is>
      </c>
      <c r="D1255" t="inlineStr">
        <is>
          <t>CDMX Y AREA METROPOLITANA</t>
        </is>
      </c>
      <c r="E1255" t="inlineStr">
        <is>
          <t>10-2024</t>
        </is>
      </c>
      <c r="F1255" t="inlineStr">
        <is>
          <t>02-2026</t>
        </is>
      </c>
      <c r="G1255" t="n">
        <v>15</v>
      </c>
      <c r="H1255" t="inlineStr">
        <is>
          <t>Efectivo</t>
        </is>
      </c>
      <c r="I1255" t="inlineStr">
        <is>
          <t>04-2026</t>
        </is>
      </c>
      <c r="J1255" t="inlineStr">
        <is>
          <t>13G874</t>
        </is>
      </c>
      <c r="K1255" t="inlineStr">
        <is>
          <t>BYD D1</t>
        </is>
      </c>
      <c r="L1255" t="inlineStr">
        <is>
          <t>UBER</t>
        </is>
      </c>
      <c r="M1255" s="3">
        <f>IF(H1255="Efectivo",IFERROR((VALUE(RIGHT(I1255,4))-VALUE(RIGHT(E1255,4)))*12+(VALUE(LEFT(I1255,2))-VALUE(LEFT(E1255,2))),""),"")</f>
        <v/>
      </c>
    </row>
    <row r="1256">
      <c r="A1256" t="inlineStr">
        <is>
          <t>VILLAGOMEZ CASTAÑEDA LUIS EUGENIO</t>
        </is>
      </c>
      <c r="B1256" t="inlineStr">
        <is>
          <t>Hombre</t>
        </is>
      </c>
      <c r="C1256" t="inlineStr">
        <is>
          <t>5807AF</t>
        </is>
      </c>
      <c r="D1256" t="inlineStr">
        <is>
          <t>CDMX Y AREA METROPOLITANA</t>
        </is>
      </c>
      <c r="E1256" t="inlineStr">
        <is>
          <t>09-2025</t>
        </is>
      </c>
      <c r="F1256" t="inlineStr">
        <is>
          <t>01-2026</t>
        </is>
      </c>
      <c r="G1256" t="n">
        <v>3</v>
      </c>
      <c r="H1256" t="inlineStr">
        <is>
          <t>Efectivo</t>
        </is>
      </c>
      <c r="I1256" t="inlineStr">
        <is>
          <t>01-2026</t>
        </is>
      </c>
      <c r="J1256" t="inlineStr">
        <is>
          <t>09K939</t>
        </is>
      </c>
      <c r="K1256" t="inlineStr">
        <is>
          <t>GAC AION S</t>
        </is>
      </c>
      <c r="L1256" t="inlineStr">
        <is>
          <t>UBER</t>
        </is>
      </c>
      <c r="M1256" s="3">
        <f>IF(H1256="Efectivo",IFERROR((VALUE(RIGHT(I1256,4))-VALUE(RIGHT(E1256,4)))*12+(VALUE(LEFT(I1256,2))-VALUE(LEFT(E1256,2))),""),"")</f>
        <v/>
      </c>
    </row>
    <row r="1257">
      <c r="A1257" t="inlineStr">
        <is>
          <t>VILLALOBOS GODOY CANDELARIO</t>
        </is>
      </c>
      <c r="B1257" t="inlineStr">
        <is>
          <t>Hombre</t>
        </is>
      </c>
      <c r="C1257" t="inlineStr">
        <is>
          <t>4564AF</t>
        </is>
      </c>
      <c r="D1257" t="inlineStr">
        <is>
          <t>BAJA CALIFORNIA</t>
        </is>
      </c>
      <c r="E1257" t="inlineStr">
        <is>
          <t>03-2025</t>
        </is>
      </c>
      <c r="F1257" t="inlineStr">
        <is>
          <t>12-2025</t>
        </is>
      </c>
      <c r="G1257" t="n">
        <v>9</v>
      </c>
      <c r="H1257" t="inlineStr">
        <is>
          <t>Efectivo</t>
        </is>
      </c>
      <c r="I1257" t="inlineStr">
        <is>
          <t>01-2026</t>
        </is>
      </c>
      <c r="J1257" t="inlineStr">
        <is>
          <t>BWX661A</t>
        </is>
      </c>
      <c r="K1257" t="inlineStr">
        <is>
          <t>CHEVROLET AVEO</t>
        </is>
      </c>
      <c r="L1257" t="inlineStr">
        <is>
          <t>UBER</t>
        </is>
      </c>
      <c r="M1257" s="3">
        <f>IF(H1257="Efectivo",IFERROR((VALUE(RIGHT(I1257,4))-VALUE(RIGHT(E1257,4)))*12+(VALUE(LEFT(I1257,2))-VALUE(LEFT(E1257,2))),""),"")</f>
        <v/>
      </c>
    </row>
    <row r="1258">
      <c r="A1258" t="inlineStr">
        <is>
          <t>VILLALVAZO FIGUEROA ISMAEL</t>
        </is>
      </c>
      <c r="B1258" t="inlineStr">
        <is>
          <t>Hombre</t>
        </is>
      </c>
      <c r="C1258" t="inlineStr">
        <is>
          <t>3136AF</t>
        </is>
      </c>
      <c r="D1258" t="inlineStr">
        <is>
          <t>BAJA CALIFORNIA</t>
        </is>
      </c>
      <c r="E1258" t="inlineStr">
        <is>
          <t>03-2024</t>
        </is>
      </c>
      <c r="F1258" t="inlineStr">
        <is>
          <t>03-2025</t>
        </is>
      </c>
      <c r="G1258" t="n">
        <v>12</v>
      </c>
      <c r="H1258" t="inlineStr">
        <is>
          <t>Efectivo</t>
        </is>
      </c>
      <c r="I1258" t="inlineStr">
        <is>
          <t>04-2025</t>
        </is>
      </c>
      <c r="J1258" t="inlineStr">
        <is>
          <t>BLX621A</t>
        </is>
      </c>
      <c r="K1258" t="inlineStr">
        <is>
          <t>SUZUKI ERTIGA</t>
        </is>
      </c>
      <c r="L1258" t="inlineStr">
        <is>
          <t>UBER</t>
        </is>
      </c>
      <c r="M1258" s="3">
        <f>IF(H1258="Efectivo",IFERROR((VALUE(RIGHT(I1258,4))-VALUE(RIGHT(E1258,4)))*12+(VALUE(LEFT(I1258,2))-VALUE(LEFT(E1258,2))),""),"")</f>
        <v/>
      </c>
    </row>
    <row r="1259">
      <c r="A1259" t="inlineStr">
        <is>
          <t>VILLANUEVA CERVANTES JOSE RAFAEL</t>
        </is>
      </c>
      <c r="B1259" t="inlineStr">
        <is>
          <t>Hombre</t>
        </is>
      </c>
      <c r="C1259" t="inlineStr">
        <is>
          <t>4178AF</t>
        </is>
      </c>
      <c r="D1259" t="inlineStr">
        <is>
          <t>CDMX Y AREA METROPOLITANA</t>
        </is>
      </c>
      <c r="E1259" t="inlineStr">
        <is>
          <t>01-2025</t>
        </is>
      </c>
      <c r="F1259" t="inlineStr">
        <is>
          <t>09-2025</t>
        </is>
      </c>
      <c r="G1259" t="n">
        <v>8</v>
      </c>
      <c r="H1259" t="inlineStr">
        <is>
          <t>Pendiente</t>
        </is>
      </c>
      <c r="J1259" t="inlineStr">
        <is>
          <t>19G606</t>
        </is>
      </c>
      <c r="K1259" t="inlineStr">
        <is>
          <t>BYD D1</t>
        </is>
      </c>
      <c r="L1259" t="inlineStr">
        <is>
          <t>UBER</t>
        </is>
      </c>
      <c r="M1259" s="3">
        <f>IF(H1259="Efectivo",IFERROR((VALUE(RIGHT(I1259,4))-VALUE(RIGHT(E1259,4)))*12+(VALUE(LEFT(I1259,2))-VALUE(LEFT(E1259,2))),""),"")</f>
        <v/>
      </c>
    </row>
    <row r="1260">
      <c r="A1260" t="inlineStr">
        <is>
          <t>VILLANUEVA ESTRADA CRISTIAN</t>
        </is>
      </c>
      <c r="B1260" t="inlineStr">
        <is>
          <t>Hombre</t>
        </is>
      </c>
      <c r="C1260" t="inlineStr">
        <is>
          <t>3494AF</t>
        </is>
      </c>
      <c r="D1260" t="inlineStr">
        <is>
          <t>BAJA CALIFORNIA</t>
        </is>
      </c>
      <c r="E1260" t="inlineStr">
        <is>
          <t>07-2024</t>
        </is>
      </c>
      <c r="F1260" t="inlineStr">
        <is>
          <t>01-2025</t>
        </is>
      </c>
      <c r="G1260" t="n">
        <v>6</v>
      </c>
      <c r="H1260" t="inlineStr">
        <is>
          <t>Efectivo</t>
        </is>
      </c>
      <c r="I1260" t="inlineStr">
        <is>
          <t>01-2025</t>
        </is>
      </c>
      <c r="J1260" t="inlineStr">
        <is>
          <t>BPW795A</t>
        </is>
      </c>
      <c r="K1260" t="inlineStr">
        <is>
          <t>CHEVROLET AVEO</t>
        </is>
      </c>
      <c r="L1260" t="inlineStr">
        <is>
          <t>UBER</t>
        </is>
      </c>
      <c r="M1260" s="3">
        <f>IF(H1260="Efectivo",IFERROR((VALUE(RIGHT(I1260,4))-VALUE(RIGHT(E1260,4)))*12+(VALUE(LEFT(I1260,2))-VALUE(LEFT(E1260,2))),""),"")</f>
        <v/>
      </c>
    </row>
    <row r="1261">
      <c r="A1261" t="inlineStr">
        <is>
          <t>VILLANUEVA MARCELO HECTOR</t>
        </is>
      </c>
      <c r="B1261" t="inlineStr">
        <is>
          <t>Hombre</t>
        </is>
      </c>
      <c r="C1261" t="inlineStr">
        <is>
          <t>5644AF</t>
        </is>
      </c>
      <c r="D1261" t="inlineStr">
        <is>
          <t>BAJA CALIFORNIA</t>
        </is>
      </c>
      <c r="E1261" t="inlineStr">
        <is>
          <t>08-2025</t>
        </is>
      </c>
      <c r="F1261" t="inlineStr">
        <is>
          <t>03-2026</t>
        </is>
      </c>
      <c r="G1261" t="n">
        <v>6</v>
      </c>
      <c r="H1261" t="inlineStr">
        <is>
          <t>Efectivo</t>
        </is>
      </c>
      <c r="I1261" t="inlineStr">
        <is>
          <t>03-2026</t>
        </is>
      </c>
      <c r="J1261" t="inlineStr">
        <is>
          <t>BZA433A</t>
        </is>
      </c>
      <c r="K1261" t="inlineStr">
        <is>
          <t>CHEVROLET AVEO</t>
        </is>
      </c>
      <c r="L1261" t="inlineStr">
        <is>
          <t>DIDI</t>
        </is>
      </c>
      <c r="M1261" s="3">
        <f>IF(H1261="Efectivo",IFERROR((VALUE(RIGHT(I1261,4))-VALUE(RIGHT(E1261,4)))*12+(VALUE(LEFT(I1261,2))-VALUE(LEFT(E1261,2))),""),"")</f>
        <v/>
      </c>
    </row>
    <row r="1262">
      <c r="A1262" t="inlineStr">
        <is>
          <t>VILLASECA GARCIA JOSE RICARDO</t>
        </is>
      </c>
      <c r="B1262" t="inlineStr">
        <is>
          <t>Hombre</t>
        </is>
      </c>
      <c r="C1262" t="inlineStr">
        <is>
          <t>4087AF</t>
        </is>
      </c>
      <c r="D1262" t="inlineStr">
        <is>
          <t>CDMX Y AREA METROPOLITANA</t>
        </is>
      </c>
      <c r="E1262" t="inlineStr">
        <is>
          <t>12-2024</t>
        </is>
      </c>
      <c r="F1262" t="inlineStr">
        <is>
          <t>03-2025</t>
        </is>
      </c>
      <c r="G1262" t="n">
        <v>3</v>
      </c>
      <c r="H1262" t="inlineStr">
        <is>
          <t>Efectivo</t>
        </is>
      </c>
      <c r="I1262" t="inlineStr">
        <is>
          <t>03-2025</t>
        </is>
      </c>
      <c r="J1262" t="inlineStr">
        <is>
          <t>14G281</t>
        </is>
      </c>
      <c r="K1262" t="inlineStr">
        <is>
          <t>BYD D1</t>
        </is>
      </c>
      <c r="L1262" t="inlineStr">
        <is>
          <t>DIDI</t>
        </is>
      </c>
      <c r="M1262" s="3">
        <f>IF(H1262="Efectivo",IFERROR((VALUE(RIGHT(I1262,4))-VALUE(RIGHT(E1262,4)))*12+(VALUE(LEFT(I1262,2))-VALUE(LEFT(E1262,2))),""),"")</f>
        <v/>
      </c>
    </row>
    <row r="1263">
      <c r="A1263" t="inlineStr">
        <is>
          <t>VILLASEÑOR ARTEAGA HECTOR FRANCISCO</t>
        </is>
      </c>
      <c r="B1263" t="inlineStr">
        <is>
          <t>Hombre</t>
        </is>
      </c>
      <c r="C1263" t="inlineStr">
        <is>
          <t>4585AF</t>
        </is>
      </c>
      <c r="D1263" t="inlineStr">
        <is>
          <t>CDMX Y AREA METROPOLITANA</t>
        </is>
      </c>
      <c r="E1263" t="inlineStr">
        <is>
          <t>04-2025</t>
        </is>
      </c>
      <c r="F1263" t="inlineStr">
        <is>
          <t>02-2026</t>
        </is>
      </c>
      <c r="G1263" t="n">
        <v>11</v>
      </c>
      <c r="H1263" t="inlineStr">
        <is>
          <t>Efectivo</t>
        </is>
      </c>
      <c r="I1263" t="inlineStr">
        <is>
          <t>02-2026</t>
        </is>
      </c>
      <c r="J1263" t="inlineStr">
        <is>
          <t>27G605</t>
        </is>
      </c>
      <c r="K1263" t="inlineStr">
        <is>
          <t>BYD MINIDOLPHIN</t>
        </is>
      </c>
      <c r="L1263" t="inlineStr">
        <is>
          <t>UBER</t>
        </is>
      </c>
      <c r="M1263" s="3">
        <f>IF(H1263="Efectivo",IFERROR((VALUE(RIGHT(I1263,4))-VALUE(RIGHT(E1263,4)))*12+(VALUE(LEFT(I1263,2))-VALUE(LEFT(E1263,2))),""),"")</f>
        <v/>
      </c>
    </row>
    <row r="1264">
      <c r="A1264" t="inlineStr">
        <is>
          <t>VILLASEÑOR CERVANTES JOSE ANDRES</t>
        </is>
      </c>
      <c r="B1264" t="inlineStr">
        <is>
          <t>Hombre</t>
        </is>
      </c>
      <c r="C1264" t="inlineStr">
        <is>
          <t>6069AF</t>
        </is>
      </c>
      <c r="D1264" t="inlineStr">
        <is>
          <t>CDMX Y AREA METROPOLITANA</t>
        </is>
      </c>
      <c r="E1264" t="inlineStr">
        <is>
          <t>11-2025</t>
        </is>
      </c>
      <c r="F1264" t="inlineStr">
        <is>
          <t>05-2026</t>
        </is>
      </c>
      <c r="G1264" t="n">
        <v>6</v>
      </c>
      <c r="H1264" t="inlineStr">
        <is>
          <t>Efectivo</t>
        </is>
      </c>
      <c r="I1264" t="inlineStr">
        <is>
          <t>05-2026</t>
        </is>
      </c>
      <c r="J1264" t="inlineStr">
        <is>
          <t>62G238</t>
        </is>
      </c>
      <c r="K1264" t="inlineStr">
        <is>
          <t>BYD E5</t>
        </is>
      </c>
      <c r="L1264" t="inlineStr">
        <is>
          <t>UBER</t>
        </is>
      </c>
      <c r="M1264" s="3">
        <f>IF(H1264="Efectivo",IFERROR((VALUE(RIGHT(I1264,4))-VALUE(RIGHT(E1264,4)))*12+(VALUE(LEFT(I1264,2))-VALUE(LEFT(E1264,2))),""),"")</f>
        <v/>
      </c>
    </row>
    <row r="1265">
      <c r="A1265" t="inlineStr">
        <is>
          <t>VILLASEÑOR GOMEZ CESAR GUADALUPE</t>
        </is>
      </c>
      <c r="B1265" t="inlineStr">
        <is>
          <t>Hombre</t>
        </is>
      </c>
      <c r="C1265" t="inlineStr">
        <is>
          <t>2824AF</t>
        </is>
      </c>
      <c r="D1265" t="inlineStr">
        <is>
          <t>JALISCO</t>
        </is>
      </c>
      <c r="E1265" t="inlineStr">
        <is>
          <t>10-2023</t>
        </is>
      </c>
      <c r="F1265" t="inlineStr">
        <is>
          <t>06-2025</t>
        </is>
      </c>
      <c r="G1265" t="n">
        <v>20</v>
      </c>
      <c r="H1265" t="inlineStr">
        <is>
          <t>Efectivo</t>
        </is>
      </c>
      <c r="I1265" t="inlineStr">
        <is>
          <t>06-2025</t>
        </is>
      </c>
      <c r="J1265" t="inlineStr">
        <is>
          <t>JTU1506</t>
        </is>
      </c>
      <c r="K1265" t="inlineStr">
        <is>
          <t>CHEVROLET AVEO</t>
        </is>
      </c>
      <c r="L1265" t="inlineStr">
        <is>
          <t>UBER</t>
        </is>
      </c>
      <c r="M1265" s="3">
        <f>IF(H1265="Efectivo",IFERROR((VALUE(RIGHT(I1265,4))-VALUE(RIGHT(E1265,4)))*12+(VALUE(LEFT(I1265,2))-VALUE(LEFT(E1265,2))),""),"")</f>
        <v/>
      </c>
    </row>
    <row r="1266">
      <c r="A1266" t="inlineStr">
        <is>
          <t>VILLEGAS CORONA OMETECUTLI</t>
        </is>
      </c>
      <c r="B1266" t="inlineStr">
        <is>
          <t>Hombre</t>
        </is>
      </c>
      <c r="C1266" t="inlineStr">
        <is>
          <t>3570AF</t>
        </is>
      </c>
      <c r="D1266" t="inlineStr">
        <is>
          <t>CDMX Y AREA METROPOLITANA</t>
        </is>
      </c>
      <c r="E1266" t="inlineStr">
        <is>
          <t>07-2024</t>
        </is>
      </c>
      <c r="F1266" t="inlineStr">
        <is>
          <t>11-2025</t>
        </is>
      </c>
      <c r="G1266" t="n">
        <v>15</v>
      </c>
      <c r="H1266" t="inlineStr">
        <is>
          <t>Efectivo</t>
        </is>
      </c>
      <c r="I1266" t="inlineStr">
        <is>
          <t>11-2025</t>
        </is>
      </c>
      <c r="J1266" t="inlineStr">
        <is>
          <t>89F752</t>
        </is>
      </c>
      <c r="K1266" t="inlineStr">
        <is>
          <t>BYD D1</t>
        </is>
      </c>
      <c r="L1266" t="inlineStr">
        <is>
          <t>DIDI</t>
        </is>
      </c>
      <c r="M1266" s="3">
        <f>IF(H1266="Efectivo",IFERROR((VALUE(RIGHT(I1266,4))-VALUE(RIGHT(E1266,4)))*12+(VALUE(LEFT(I1266,2))-VALUE(LEFT(E1266,2))),""),"")</f>
        <v/>
      </c>
    </row>
    <row r="1267">
      <c r="A1267" t="inlineStr">
        <is>
          <t>VILLEGAS ULLOA REYMUNDO JAVIER</t>
        </is>
      </c>
      <c r="B1267" t="inlineStr">
        <is>
          <t>Hombre</t>
        </is>
      </c>
      <c r="C1267" t="inlineStr">
        <is>
          <t>5392AF</t>
        </is>
      </c>
      <c r="D1267" t="inlineStr">
        <is>
          <t>NUEVO LEON</t>
        </is>
      </c>
      <c r="E1267" t="inlineStr">
        <is>
          <t>07-2025</t>
        </is>
      </c>
      <c r="F1267" t="inlineStr">
        <is>
          <t>11-2025</t>
        </is>
      </c>
      <c r="G1267" t="n">
        <v>4</v>
      </c>
      <c r="H1267" t="inlineStr">
        <is>
          <t>Pendiente</t>
        </is>
      </c>
      <c r="J1267" t="inlineStr">
        <is>
          <t>RWG686C</t>
        </is>
      </c>
      <c r="K1267" t="inlineStr">
        <is>
          <t>TOYOTA AVANZA</t>
        </is>
      </c>
      <c r="L1267" t="inlineStr">
        <is>
          <t>UBER</t>
        </is>
      </c>
      <c r="M1267" s="3">
        <f>IF(H1267="Efectivo",IFERROR((VALUE(RIGHT(I1267,4))-VALUE(RIGHT(E1267,4)))*12+(VALUE(LEFT(I1267,2))-VALUE(LEFT(E1267,2))),""),"")</f>
        <v/>
      </c>
    </row>
    <row r="1268">
      <c r="A1268" t="inlineStr">
        <is>
          <t>VIRGEN JIMENEZ LUIS SANTIAGO</t>
        </is>
      </c>
      <c r="B1268" t="inlineStr">
        <is>
          <t>Hombre</t>
        </is>
      </c>
      <c r="C1268" t="inlineStr">
        <is>
          <t>5892AF</t>
        </is>
      </c>
      <c r="D1268" t="inlineStr">
        <is>
          <t>BAJA CALIFORNIA</t>
        </is>
      </c>
      <c r="E1268" t="inlineStr">
        <is>
          <t>10-2025</t>
        </is>
      </c>
      <c r="F1268" t="inlineStr">
        <is>
          <t>03-2026</t>
        </is>
      </c>
      <c r="G1268" t="n">
        <v>6</v>
      </c>
      <c r="H1268" t="inlineStr">
        <is>
          <t>Efectivo</t>
        </is>
      </c>
      <c r="I1268" t="inlineStr">
        <is>
          <t>03-2026</t>
        </is>
      </c>
      <c r="J1268" t="inlineStr">
        <is>
          <t>CAJ027A</t>
        </is>
      </c>
      <c r="K1268" t="inlineStr">
        <is>
          <t>CHEVROLET AVEO</t>
        </is>
      </c>
      <c r="L1268" t="inlineStr">
        <is>
          <t>UBER</t>
        </is>
      </c>
      <c r="M1268" s="3">
        <f>IF(H1268="Efectivo",IFERROR((VALUE(RIGHT(I1268,4))-VALUE(RIGHT(E1268,4)))*12+(VALUE(LEFT(I1268,2))-VALUE(LEFT(E1268,2))),""),"")</f>
        <v/>
      </c>
    </row>
    <row r="1269">
      <c r="A1269" t="inlineStr">
        <is>
          <t>VIVARA SANTIAGO JORGE</t>
        </is>
      </c>
      <c r="B1269" t="inlineStr">
        <is>
          <t>Hombre</t>
        </is>
      </c>
      <c r="C1269" t="inlineStr">
        <is>
          <t>5324AF</t>
        </is>
      </c>
      <c r="D1269" t="inlineStr">
        <is>
          <t>CDMX Y AREA METROPOLITANA</t>
        </is>
      </c>
      <c r="E1269" t="inlineStr">
        <is>
          <t>07-2025</t>
        </is>
      </c>
      <c r="F1269" t="inlineStr">
        <is>
          <t>03-2026</t>
        </is>
      </c>
      <c r="G1269" t="n">
        <v>8</v>
      </c>
      <c r="H1269" t="inlineStr">
        <is>
          <t>Efectivo</t>
        </is>
      </c>
      <c r="I1269" t="inlineStr">
        <is>
          <t>05-2026</t>
        </is>
      </c>
      <c r="J1269" t="inlineStr">
        <is>
          <t>13G824</t>
        </is>
      </c>
      <c r="K1269" t="inlineStr">
        <is>
          <t>BYD D1</t>
        </is>
      </c>
      <c r="L1269" t="inlineStr">
        <is>
          <t>UBER</t>
        </is>
      </c>
      <c r="M1269" s="3">
        <f>IF(H1269="Efectivo",IFERROR((VALUE(RIGHT(I1269,4))-VALUE(RIGHT(E1269,4)))*12+(VALUE(LEFT(I1269,2))-VALUE(LEFT(E1269,2))),""),"")</f>
        <v/>
      </c>
    </row>
    <row r="1270">
      <c r="A1270" t="inlineStr">
        <is>
          <t>YAÑEZ AZUARA ABELARDO</t>
        </is>
      </c>
      <c r="B1270" t="inlineStr">
        <is>
          <t>Hombre</t>
        </is>
      </c>
      <c r="C1270" t="inlineStr">
        <is>
          <t>6483AF</t>
        </is>
      </c>
      <c r="D1270" t="inlineStr">
        <is>
          <t>CDMX Y AREA METROPOLITANA</t>
        </is>
      </c>
      <c r="E1270" t="inlineStr">
        <is>
          <t>12-2025</t>
        </is>
      </c>
      <c r="F1270" t="inlineStr">
        <is>
          <t>05-2026</t>
        </is>
      </c>
      <c r="G1270" t="n">
        <v>5</v>
      </c>
      <c r="H1270" t="inlineStr">
        <is>
          <t>Pendiente</t>
        </is>
      </c>
      <c r="J1270" t="inlineStr">
        <is>
          <t>15K831</t>
        </is>
      </c>
      <c r="K1270" t="inlineStr">
        <is>
          <t>BYD MINIDOLPHIN</t>
        </is>
      </c>
      <c r="L1270" t="inlineStr">
        <is>
          <t>UBER</t>
        </is>
      </c>
      <c r="M1270" s="3">
        <f>IF(H1270="Efectivo",IFERROR((VALUE(RIGHT(I1270,4))-VALUE(RIGHT(E1270,4)))*12+(VALUE(LEFT(I1270,2))-VALUE(LEFT(E1270,2))),""),"")</f>
        <v/>
      </c>
    </row>
    <row r="1271">
      <c r="A1271" t="inlineStr">
        <is>
          <t>YANEZ GALVEZ MARTIN EDUARDO</t>
        </is>
      </c>
      <c r="B1271" t="inlineStr">
        <is>
          <t>Hombre</t>
        </is>
      </c>
      <c r="C1271" t="inlineStr">
        <is>
          <t>4614AF</t>
        </is>
      </c>
      <c r="D1271" t="inlineStr">
        <is>
          <t>BAJA CALIFORNIA</t>
        </is>
      </c>
      <c r="E1271" t="inlineStr">
        <is>
          <t>04-2025</t>
        </is>
      </c>
      <c r="F1271" t="inlineStr">
        <is>
          <t>04-2026</t>
        </is>
      </c>
      <c r="G1271" t="n">
        <v>13</v>
      </c>
      <c r="H1271" t="inlineStr">
        <is>
          <t>Efectivo</t>
        </is>
      </c>
      <c r="I1271" t="inlineStr">
        <is>
          <t>04-2026</t>
        </is>
      </c>
      <c r="J1271" t="inlineStr">
        <is>
          <t>BWX684A</t>
        </is>
      </c>
      <c r="K1271" t="inlineStr">
        <is>
          <t>CHEVROLET AVEO</t>
        </is>
      </c>
      <c r="L1271" t="inlineStr">
        <is>
          <t>UBER</t>
        </is>
      </c>
      <c r="M1271" s="3">
        <f>IF(H1271="Efectivo",IFERROR((VALUE(RIGHT(I1271,4))-VALUE(RIGHT(E1271,4)))*12+(VALUE(LEFT(I1271,2))-VALUE(LEFT(E1271,2))),""),"")</f>
        <v/>
      </c>
    </row>
    <row r="1272">
      <c r="A1272" t="inlineStr">
        <is>
          <t>YAÑEZ LOPEZ OSCAR FRANCISCO</t>
        </is>
      </c>
      <c r="B1272" t="inlineStr">
        <is>
          <t>Hombre</t>
        </is>
      </c>
      <c r="C1272" t="inlineStr">
        <is>
          <t>4650AF</t>
        </is>
      </c>
      <c r="D1272" t="inlineStr">
        <is>
          <t>CDMX Y AREA METROPOLITANA</t>
        </is>
      </c>
      <c r="E1272" t="inlineStr">
        <is>
          <t>04-2025</t>
        </is>
      </c>
      <c r="F1272" t="inlineStr">
        <is>
          <t>03-2026</t>
        </is>
      </c>
      <c r="G1272" t="n">
        <v>11</v>
      </c>
      <c r="H1272" t="inlineStr">
        <is>
          <t>Efectivo</t>
        </is>
      </c>
      <c r="I1272" t="inlineStr">
        <is>
          <t>03-2026</t>
        </is>
      </c>
      <c r="J1272" t="inlineStr">
        <is>
          <t>38G150</t>
        </is>
      </c>
      <c r="K1272" t="inlineStr">
        <is>
          <t>GAC AION S</t>
        </is>
      </c>
      <c r="L1272" t="inlineStr">
        <is>
          <t>UBER</t>
        </is>
      </c>
      <c r="M1272" s="3">
        <f>IF(H1272="Efectivo",IFERROR((VALUE(RIGHT(I1272,4))-VALUE(RIGHT(E1272,4)))*12+(VALUE(LEFT(I1272,2))-VALUE(LEFT(E1272,2))),""),"")</f>
        <v/>
      </c>
    </row>
    <row r="1273">
      <c r="A1273" t="inlineStr">
        <is>
          <t>YBARRA DIAZ JOSE ENRIQUE</t>
        </is>
      </c>
      <c r="B1273" t="inlineStr">
        <is>
          <t>Hombre</t>
        </is>
      </c>
      <c r="C1273" t="inlineStr">
        <is>
          <t>4477AF</t>
        </is>
      </c>
      <c r="D1273" t="inlineStr">
        <is>
          <t>CDMX Y AREA METROPOLITANA</t>
        </is>
      </c>
      <c r="E1273" t="inlineStr">
        <is>
          <t>03-2025</t>
        </is>
      </c>
      <c r="F1273" t="inlineStr">
        <is>
          <t>11-2025</t>
        </is>
      </c>
      <c r="G1273" t="n">
        <v>8</v>
      </c>
      <c r="H1273" t="inlineStr">
        <is>
          <t>Cancelado</t>
        </is>
      </c>
      <c r="J1273" t="inlineStr">
        <is>
          <t>31G918</t>
        </is>
      </c>
      <c r="K1273" t="inlineStr">
        <is>
          <t>GAC AION S</t>
        </is>
      </c>
      <c r="L1273" t="inlineStr">
        <is>
          <t>UBER</t>
        </is>
      </c>
      <c r="M1273" s="3">
        <f>IF(H1273="Efectivo",IFERROR((VALUE(RIGHT(I1273,4))-VALUE(RIGHT(E1273,4)))*12+(VALUE(LEFT(I1273,2))-VALUE(LEFT(E1273,2))),""),"")</f>
        <v/>
      </c>
    </row>
    <row r="1274">
      <c r="A1274" t="inlineStr">
        <is>
          <t>YBARRA DIAZ JOSE ENRIQUE</t>
        </is>
      </c>
      <c r="B1274" t="inlineStr">
        <is>
          <t>Hombre</t>
        </is>
      </c>
      <c r="C1274" t="inlineStr">
        <is>
          <t>4477AF</t>
        </is>
      </c>
      <c r="D1274" t="inlineStr">
        <is>
          <t>CDMX Y AREA METROPOLITANA</t>
        </is>
      </c>
      <c r="E1274" t="inlineStr">
        <is>
          <t>03-2025</t>
        </is>
      </c>
      <c r="F1274" t="inlineStr">
        <is>
          <t>04-2026</t>
        </is>
      </c>
      <c r="G1274" t="n">
        <v>13</v>
      </c>
      <c r="H1274" t="inlineStr">
        <is>
          <t>Efectivo</t>
        </is>
      </c>
      <c r="I1274" t="inlineStr">
        <is>
          <t>04-2026</t>
        </is>
      </c>
      <c r="J1274" t="inlineStr">
        <is>
          <t>31G918</t>
        </is>
      </c>
      <c r="K1274" t="inlineStr">
        <is>
          <t>GAC AION S</t>
        </is>
      </c>
      <c r="L1274" t="inlineStr">
        <is>
          <t>UBER</t>
        </is>
      </c>
      <c r="M1274" s="3">
        <f>IF(H1274="Efectivo",IFERROR((VALUE(RIGHT(I1274,4))-VALUE(RIGHT(E1274,4)))*12+(VALUE(LEFT(I1274,2))-VALUE(LEFT(E1274,2))),""),"")</f>
        <v/>
      </c>
    </row>
    <row r="1275">
      <c r="A1275" t="inlineStr">
        <is>
          <t>ZACARIAS SORIANO JORGE ARMANDO</t>
        </is>
      </c>
      <c r="B1275" t="inlineStr">
        <is>
          <t>Hombre</t>
        </is>
      </c>
      <c r="C1275" t="inlineStr">
        <is>
          <t>3934AF</t>
        </is>
      </c>
      <c r="D1275" t="inlineStr">
        <is>
          <t>CDMX Y AREA METROPOLITANA</t>
        </is>
      </c>
      <c r="E1275" t="inlineStr">
        <is>
          <t>10-2024</t>
        </is>
      </c>
      <c r="F1275" t="inlineStr">
        <is>
          <t>08-2025</t>
        </is>
      </c>
      <c r="G1275" t="n">
        <v>10</v>
      </c>
      <c r="H1275" t="inlineStr">
        <is>
          <t>Efectivo</t>
        </is>
      </c>
      <c r="I1275" t="inlineStr">
        <is>
          <t>08-2025</t>
        </is>
      </c>
      <c r="J1275" t="inlineStr">
        <is>
          <t>13G624</t>
        </is>
      </c>
      <c r="K1275" t="inlineStr">
        <is>
          <t>BYD MINIDOLPHIN</t>
        </is>
      </c>
      <c r="L1275" t="inlineStr">
        <is>
          <t>UBER</t>
        </is>
      </c>
      <c r="M1275" s="3">
        <f>IF(H1275="Efectivo",IFERROR((VALUE(RIGHT(I1275,4))-VALUE(RIGHT(E1275,4)))*12+(VALUE(LEFT(I1275,2))-VALUE(LEFT(E1275,2))),""),"")</f>
        <v/>
      </c>
    </row>
    <row r="1276">
      <c r="A1276" t="inlineStr">
        <is>
          <t>ZAMARRIPA DIAZ GENARO</t>
        </is>
      </c>
      <c r="B1276" t="inlineStr">
        <is>
          <t>Hombre</t>
        </is>
      </c>
      <c r="C1276" t="inlineStr">
        <is>
          <t>4550AF</t>
        </is>
      </c>
      <c r="D1276" t="inlineStr">
        <is>
          <t>CDMX Y AREA METROPOLITANA</t>
        </is>
      </c>
      <c r="E1276" t="inlineStr">
        <is>
          <t>03-2025</t>
        </is>
      </c>
      <c r="F1276" t="inlineStr">
        <is>
          <t>08-2025</t>
        </is>
      </c>
      <c r="G1276" t="n">
        <v>5</v>
      </c>
      <c r="H1276" t="inlineStr">
        <is>
          <t>Efectivo</t>
        </is>
      </c>
      <c r="I1276" t="inlineStr">
        <is>
          <t>08-2025</t>
        </is>
      </c>
      <c r="J1276" t="inlineStr">
        <is>
          <t>40G154</t>
        </is>
      </c>
      <c r="K1276" t="inlineStr">
        <is>
          <t>GAC AION S</t>
        </is>
      </c>
      <c r="L1276" t="inlineStr">
        <is>
          <t>DIDI</t>
        </is>
      </c>
      <c r="M1276" s="3">
        <f>IF(H1276="Efectivo",IFERROR((VALUE(RIGHT(I1276,4))-VALUE(RIGHT(E1276,4)))*12+(VALUE(LEFT(I1276,2))-VALUE(LEFT(E1276,2))),""),"")</f>
        <v/>
      </c>
    </row>
    <row r="1277">
      <c r="A1277" t="inlineStr">
        <is>
          <t>ZAMBRANO LARA LAZARO</t>
        </is>
      </c>
      <c r="B1277" t="inlineStr">
        <is>
          <t>Hombre</t>
        </is>
      </c>
      <c r="C1277" t="inlineStr">
        <is>
          <t>4551AF</t>
        </is>
      </c>
      <c r="D1277" t="inlineStr">
        <is>
          <t>CDMX Y AREA METROPOLITANA</t>
        </is>
      </c>
      <c r="E1277" t="inlineStr">
        <is>
          <t>03-2025</t>
        </is>
      </c>
      <c r="F1277" t="inlineStr">
        <is>
          <t>07-2025</t>
        </is>
      </c>
      <c r="G1277" t="n">
        <v>3</v>
      </c>
      <c r="H1277" t="inlineStr">
        <is>
          <t>Efectivo</t>
        </is>
      </c>
      <c r="I1277" t="inlineStr">
        <is>
          <t>07-2025</t>
        </is>
      </c>
      <c r="J1277" t="inlineStr">
        <is>
          <t>39G828</t>
        </is>
      </c>
      <c r="K1277" t="inlineStr">
        <is>
          <t>GAC AION S</t>
        </is>
      </c>
      <c r="L1277" t="inlineStr">
        <is>
          <t>DIDI</t>
        </is>
      </c>
      <c r="M1277" s="3">
        <f>IF(H1277="Efectivo",IFERROR((VALUE(RIGHT(I1277,4))-VALUE(RIGHT(E1277,4)))*12+(VALUE(LEFT(I1277,2))-VALUE(LEFT(E1277,2))),""),"")</f>
        <v/>
      </c>
    </row>
    <row r="1278">
      <c r="A1278" t="inlineStr">
        <is>
          <t>ZAMORA CAMPOMANES RAFAEL</t>
        </is>
      </c>
      <c r="B1278" t="inlineStr">
        <is>
          <t>Hombre</t>
        </is>
      </c>
      <c r="C1278" t="inlineStr">
        <is>
          <t>4919AF</t>
        </is>
      </c>
      <c r="D1278" t="inlineStr">
        <is>
          <t>BAJA CALIFORNIA</t>
        </is>
      </c>
      <c r="E1278" t="inlineStr">
        <is>
          <t>05-2025</t>
        </is>
      </c>
      <c r="F1278" t="inlineStr">
        <is>
          <t>10-2025</t>
        </is>
      </c>
      <c r="G1278" t="n">
        <v>4</v>
      </c>
      <c r="H1278" t="inlineStr">
        <is>
          <t>Pendiente</t>
        </is>
      </c>
      <c r="J1278" t="inlineStr">
        <is>
          <t>BYG555A</t>
        </is>
      </c>
      <c r="K1278" t="inlineStr">
        <is>
          <t>CHEVROLET AVEO</t>
        </is>
      </c>
      <c r="L1278" t="inlineStr">
        <is>
          <t>DIDI</t>
        </is>
      </c>
      <c r="M1278" s="3">
        <f>IF(H1278="Efectivo",IFERROR((VALUE(RIGHT(I1278,4))-VALUE(RIGHT(E1278,4)))*12+(VALUE(LEFT(I1278,2))-VALUE(LEFT(E1278,2))),""),"")</f>
        <v/>
      </c>
    </row>
    <row r="1279">
      <c r="A1279" t="inlineStr">
        <is>
          <t>ZAMORA RAMIREZ JOSE ADRIAN</t>
        </is>
      </c>
      <c r="B1279" t="inlineStr">
        <is>
          <t>Hombre</t>
        </is>
      </c>
      <c r="C1279" t="inlineStr">
        <is>
          <t>5476AF</t>
        </is>
      </c>
      <c r="D1279" t="inlineStr">
        <is>
          <t>CDMX Y AREA METROPOLITANA</t>
        </is>
      </c>
      <c r="E1279" t="inlineStr">
        <is>
          <t>08-2025</t>
        </is>
      </c>
      <c r="F1279" t="inlineStr">
        <is>
          <t>12-2025</t>
        </is>
      </c>
      <c r="G1279" t="n">
        <v>4</v>
      </c>
      <c r="H1279" t="inlineStr">
        <is>
          <t>Efectivo</t>
        </is>
      </c>
      <c r="I1279" t="inlineStr">
        <is>
          <t>01-2026</t>
        </is>
      </c>
      <c r="J1279" t="inlineStr">
        <is>
          <t>48G109</t>
        </is>
      </c>
      <c r="K1279" t="inlineStr">
        <is>
          <t>BYD MINIDOLPHIN</t>
        </is>
      </c>
      <c r="L1279" t="inlineStr">
        <is>
          <t>UBER</t>
        </is>
      </c>
      <c r="M1279" s="3">
        <f>IF(H1279="Efectivo",IFERROR((VALUE(RIGHT(I1279,4))-VALUE(RIGHT(E1279,4)))*12+(VALUE(LEFT(I1279,2))-VALUE(LEFT(E1279,2))),""),"")</f>
        <v/>
      </c>
    </row>
    <row r="1280">
      <c r="A1280" t="inlineStr">
        <is>
          <t>ZAMUDIO MARTINEZ JOSE EDUARDO</t>
        </is>
      </c>
      <c r="B1280" t="inlineStr">
        <is>
          <t>Hombre</t>
        </is>
      </c>
      <c r="C1280" t="inlineStr">
        <is>
          <t>4970AF</t>
        </is>
      </c>
      <c r="D1280" t="inlineStr">
        <is>
          <t>CDMX Y AREA METROPOLITANA</t>
        </is>
      </c>
      <c r="E1280" t="inlineStr">
        <is>
          <t>06-2025</t>
        </is>
      </c>
      <c r="F1280" t="inlineStr">
        <is>
          <t>11-2025</t>
        </is>
      </c>
      <c r="G1280" t="n">
        <v>6</v>
      </c>
      <c r="H1280" t="inlineStr">
        <is>
          <t>Efectivo</t>
        </is>
      </c>
      <c r="I1280" t="inlineStr">
        <is>
          <t>12-2025</t>
        </is>
      </c>
      <c r="J1280" t="inlineStr">
        <is>
          <t>F99BRR</t>
        </is>
      </c>
      <c r="K1280" t="inlineStr">
        <is>
          <t>CHEVROLET AVEO</t>
        </is>
      </c>
      <c r="L1280" t="inlineStr">
        <is>
          <t>DIDI</t>
        </is>
      </c>
      <c r="M1280" s="3">
        <f>IF(H1280="Efectivo",IFERROR((VALUE(RIGHT(I1280,4))-VALUE(RIGHT(E1280,4)))*12+(VALUE(LEFT(I1280,2))-VALUE(LEFT(E1280,2))),""),"")</f>
        <v/>
      </c>
    </row>
    <row r="1281">
      <c r="A1281" t="inlineStr">
        <is>
          <t>ZAPARI AVALOS RAUL HUMBERTO</t>
        </is>
      </c>
      <c r="B1281" t="inlineStr">
        <is>
          <t>Hombre</t>
        </is>
      </c>
      <c r="C1281" t="inlineStr">
        <is>
          <t>5162AF</t>
        </is>
      </c>
      <c r="D1281" t="inlineStr">
        <is>
          <t>BAJA CALIFORNIA</t>
        </is>
      </c>
      <c r="E1281" t="inlineStr">
        <is>
          <t>07-2025</t>
        </is>
      </c>
      <c r="F1281" t="inlineStr">
        <is>
          <t>05-2026</t>
        </is>
      </c>
      <c r="G1281" t="n">
        <v>10</v>
      </c>
      <c r="H1281" t="inlineStr">
        <is>
          <t>Pendiente</t>
        </is>
      </c>
      <c r="J1281" t="inlineStr">
        <is>
          <t>BZB779A</t>
        </is>
      </c>
      <c r="K1281" t="inlineStr">
        <is>
          <t>CHEVROLET AVEO</t>
        </is>
      </c>
      <c r="L1281" t="inlineStr">
        <is>
          <t>UBER</t>
        </is>
      </c>
      <c r="M1281" s="3">
        <f>IF(H1281="Efectivo",IFERROR((VALUE(RIGHT(I1281,4))-VALUE(RIGHT(E1281,4)))*12+(VALUE(LEFT(I1281,2))-VALUE(LEFT(E1281,2))),""),"")</f>
        <v/>
      </c>
    </row>
    <row r="1282">
      <c r="A1282" t="inlineStr">
        <is>
          <t>ZAPARI AVALOS VICTOR HUGO</t>
        </is>
      </c>
      <c r="B1282" t="inlineStr">
        <is>
          <t>Hombre</t>
        </is>
      </c>
      <c r="C1282" t="inlineStr">
        <is>
          <t>2481AF</t>
        </is>
      </c>
      <c r="D1282" t="inlineStr">
        <is>
          <t>BAJA CALIFORNIA</t>
        </is>
      </c>
      <c r="E1282" t="inlineStr">
        <is>
          <t>03-2023</t>
        </is>
      </c>
      <c r="F1282" t="inlineStr">
        <is>
          <t>04-2026</t>
        </is>
      </c>
      <c r="G1282" t="n">
        <v>38</v>
      </c>
      <c r="H1282" t="inlineStr">
        <is>
          <t>Pendiente</t>
        </is>
      </c>
      <c r="J1282" t="inlineStr">
        <is>
          <t>BFL920A</t>
        </is>
      </c>
      <c r="K1282" t="inlineStr">
        <is>
          <t>CHEVROLET AVEO</t>
        </is>
      </c>
      <c r="L1282" t="inlineStr">
        <is>
          <t>UBER</t>
        </is>
      </c>
      <c r="M1282" s="3">
        <f>IF(H1282="Efectivo",IFERROR((VALUE(RIGHT(I1282,4))-VALUE(RIGHT(E1282,4)))*12+(VALUE(LEFT(I1282,2))-VALUE(LEFT(E1282,2))),""),"")</f>
        <v/>
      </c>
    </row>
    <row r="1283">
      <c r="A1283" t="inlineStr">
        <is>
          <t>ZARAGOZA HERNANDEZ JOSE ALFREDO</t>
        </is>
      </c>
      <c r="B1283" t="inlineStr">
        <is>
          <t>Hombre</t>
        </is>
      </c>
      <c r="C1283" t="inlineStr">
        <is>
          <t>4130AF</t>
        </is>
      </c>
      <c r="D1283" t="inlineStr">
        <is>
          <t>CDMX Y AREA METROPOLITANA</t>
        </is>
      </c>
      <c r="E1283" t="inlineStr">
        <is>
          <t>12-2024</t>
        </is>
      </c>
      <c r="F1283" t="inlineStr">
        <is>
          <t>01-2025</t>
        </is>
      </c>
      <c r="G1283" t="n">
        <v>1</v>
      </c>
      <c r="H1283" t="inlineStr">
        <is>
          <t>Efectivo</t>
        </is>
      </c>
      <c r="I1283" t="inlineStr">
        <is>
          <t>01-2025</t>
        </is>
      </c>
      <c r="J1283" t="inlineStr">
        <is>
          <t>19G575</t>
        </is>
      </c>
      <c r="K1283" t="inlineStr">
        <is>
          <t>BYD D1</t>
        </is>
      </c>
      <c r="L1283" t="inlineStr">
        <is>
          <t>UBER</t>
        </is>
      </c>
      <c r="M1283" s="3">
        <f>IF(H1283="Efectivo",IFERROR((VALUE(RIGHT(I1283,4))-VALUE(RIGHT(E1283,4)))*12+(VALUE(LEFT(I1283,2))-VALUE(LEFT(E1283,2))),""),"")</f>
        <v/>
      </c>
    </row>
    <row r="1284">
      <c r="A1284" t="inlineStr">
        <is>
          <t>ZARATE SANCHEZ FRANCISCO JAVIER</t>
        </is>
      </c>
      <c r="B1284" t="inlineStr">
        <is>
          <t>Hombre</t>
        </is>
      </c>
      <c r="C1284" t="inlineStr">
        <is>
          <t>4391AF</t>
        </is>
      </c>
      <c r="D1284" t="inlineStr">
        <is>
          <t>CDMX Y AREA METROPOLITANA</t>
        </is>
      </c>
      <c r="E1284" t="inlineStr">
        <is>
          <t>02-2025</t>
        </is>
      </c>
      <c r="F1284" t="inlineStr">
        <is>
          <t>01-2026</t>
        </is>
      </c>
      <c r="G1284" t="n">
        <v>11</v>
      </c>
      <c r="H1284" t="inlineStr">
        <is>
          <t>Efectivo</t>
        </is>
      </c>
      <c r="I1284" t="inlineStr">
        <is>
          <t>01-2026</t>
        </is>
      </c>
      <c r="J1284" t="inlineStr">
        <is>
          <t>V58BRH</t>
        </is>
      </c>
      <c r="K1284" t="inlineStr">
        <is>
          <t>CHEVROLET AVEO</t>
        </is>
      </c>
      <c r="L1284" t="inlineStr">
        <is>
          <t>UBER</t>
        </is>
      </c>
      <c r="M1284" s="3">
        <f>IF(H1284="Efectivo",IFERROR((VALUE(RIGHT(I1284,4))-VALUE(RIGHT(E1284,4)))*12+(VALUE(LEFT(I1284,2))-VALUE(LEFT(E1284,2))),""),"")</f>
        <v/>
      </c>
    </row>
    <row r="1285">
      <c r="A1285" t="inlineStr">
        <is>
          <t>ZARZA RANGEL STEVE</t>
        </is>
      </c>
      <c r="B1285" t="inlineStr">
        <is>
          <t>Hombre</t>
        </is>
      </c>
      <c r="C1285" t="inlineStr">
        <is>
          <t>4707AF</t>
        </is>
      </c>
      <c r="D1285" t="inlineStr">
        <is>
          <t>CDMX Y AREA METROPOLITANA</t>
        </is>
      </c>
      <c r="E1285" t="inlineStr">
        <is>
          <t>04-2025</t>
        </is>
      </c>
      <c r="F1285" t="inlineStr">
        <is>
          <t>08-2025</t>
        </is>
      </c>
      <c r="G1285" t="n">
        <v>4</v>
      </c>
      <c r="H1285" t="inlineStr">
        <is>
          <t>Pendiente</t>
        </is>
      </c>
      <c r="J1285" t="inlineStr">
        <is>
          <t>41G544</t>
        </is>
      </c>
      <c r="K1285" t="inlineStr">
        <is>
          <t>BYD MINIDOLPHIN</t>
        </is>
      </c>
      <c r="L1285" t="inlineStr">
        <is>
          <t>UBER</t>
        </is>
      </c>
      <c r="M1285" s="3">
        <f>IF(H1285="Efectivo",IFERROR((VALUE(RIGHT(I1285,4))-VALUE(RIGHT(E1285,4)))*12+(VALUE(LEFT(I1285,2))-VALUE(LEFT(E1285,2))),""),"")</f>
        <v/>
      </c>
    </row>
    <row r="1286">
      <c r="A1286" t="inlineStr">
        <is>
          <t>ZAVALA MORENO IVAN ARMANDO</t>
        </is>
      </c>
      <c r="B1286" t="inlineStr">
        <is>
          <t>Hombre</t>
        </is>
      </c>
      <c r="C1286" t="inlineStr">
        <is>
          <t>3757AF</t>
        </is>
      </c>
      <c r="D1286" t="inlineStr">
        <is>
          <t>BAJA CALIFORNIA</t>
        </is>
      </c>
      <c r="E1286" t="inlineStr">
        <is>
          <t>09-2024</t>
        </is>
      </c>
      <c r="F1286" t="inlineStr">
        <is>
          <t>04-2026</t>
        </is>
      </c>
      <c r="G1286" t="n">
        <v>19</v>
      </c>
      <c r="H1286" t="inlineStr">
        <is>
          <t>Pendiente</t>
        </is>
      </c>
      <c r="J1286" t="inlineStr">
        <is>
          <t>BSG239A</t>
        </is>
      </c>
      <c r="K1286" t="inlineStr">
        <is>
          <t>CHEVROLET AVEO</t>
        </is>
      </c>
      <c r="L1286" t="inlineStr">
        <is>
          <t>UBER</t>
        </is>
      </c>
      <c r="M1286" s="3">
        <f>IF(H1286="Efectivo",IFERROR((VALUE(RIGHT(I1286,4))-VALUE(RIGHT(E1286,4)))*12+(VALUE(LEFT(I1286,2))-VALUE(LEFT(E1286,2))),""),"")</f>
        <v/>
      </c>
    </row>
    <row r="1287">
      <c r="A1287" t="inlineStr">
        <is>
          <t>ZEPEDA GALLARDO MARCO ANTONIO</t>
        </is>
      </c>
      <c r="B1287" t="inlineStr">
        <is>
          <t>Hombre</t>
        </is>
      </c>
      <c r="C1287" t="inlineStr">
        <is>
          <t>4878AF</t>
        </is>
      </c>
      <c r="D1287" t="inlineStr">
        <is>
          <t>CDMX Y AREA METROPOLITANA</t>
        </is>
      </c>
      <c r="E1287" t="inlineStr">
        <is>
          <t>05-2025</t>
        </is>
      </c>
      <c r="F1287" t="inlineStr">
        <is>
          <t>03-2026</t>
        </is>
      </c>
      <c r="G1287" t="n">
        <v>10</v>
      </c>
      <c r="H1287" t="inlineStr">
        <is>
          <t>Efectivo</t>
        </is>
      </c>
      <c r="I1287" t="inlineStr">
        <is>
          <t>05-2026</t>
        </is>
      </c>
      <c r="J1287" t="inlineStr">
        <is>
          <t>47G564</t>
        </is>
      </c>
      <c r="K1287" t="inlineStr">
        <is>
          <t>BYD MINIDOLPHIN</t>
        </is>
      </c>
      <c r="L1287" t="inlineStr">
        <is>
          <t>UBER</t>
        </is>
      </c>
      <c r="M1287" s="3">
        <f>IF(H1287="Efectivo",IFERROR((VALUE(RIGHT(I1287,4))-VALUE(RIGHT(E1287,4)))*12+(VALUE(LEFT(I1287,2))-VALUE(LEFT(E1287,2))),""),"")</f>
        <v/>
      </c>
    </row>
    <row r="1288">
      <c r="A1288" t="inlineStr">
        <is>
          <t>ZUÑIGA LOPEZ NESTOR UBALDO</t>
        </is>
      </c>
      <c r="B1288" t="inlineStr">
        <is>
          <t>Hombre</t>
        </is>
      </c>
      <c r="C1288" t="inlineStr">
        <is>
          <t>3287AF</t>
        </is>
      </c>
      <c r="D1288" t="inlineStr">
        <is>
          <t>BAJA CALIFORNIA</t>
        </is>
      </c>
      <c r="E1288" t="inlineStr">
        <is>
          <t>05-2024</t>
        </is>
      </c>
      <c r="F1288" t="inlineStr">
        <is>
          <t>09-2025</t>
        </is>
      </c>
      <c r="G1288" t="n">
        <v>16</v>
      </c>
      <c r="H1288" t="inlineStr">
        <is>
          <t>Efectivo</t>
        </is>
      </c>
      <c r="I1288" t="inlineStr">
        <is>
          <t>10-2025</t>
        </is>
      </c>
      <c r="J1288" t="inlineStr">
        <is>
          <t>BPC080A</t>
        </is>
      </c>
      <c r="K1288" t="inlineStr">
        <is>
          <t>CHEVROLET AVEO</t>
        </is>
      </c>
      <c r="L1288" t="inlineStr">
        <is>
          <t>UBER</t>
        </is>
      </c>
      <c r="M1288" s="3">
        <f>IF(H1288="Efectivo",IFERROR((VALUE(RIGHT(I1288,4))-VALUE(RIGHT(E1288,4)))*12+(VALUE(LEFT(I1288,2))-VALUE(LEFT(E1288,2))),""),"")</f>
        <v/>
      </c>
    </row>
    <row r="1289">
      <c r="A1289" t="inlineStr">
        <is>
          <t>ZUÑIGA MARTINEZ RIGOBERTO</t>
        </is>
      </c>
      <c r="B1289" t="inlineStr">
        <is>
          <t>Hombre</t>
        </is>
      </c>
      <c r="C1289" t="inlineStr">
        <is>
          <t>3800AF</t>
        </is>
      </c>
      <c r="D1289" t="inlineStr">
        <is>
          <t>BAJA CALIFORNIA</t>
        </is>
      </c>
      <c r="E1289" t="inlineStr">
        <is>
          <t>10-2024</t>
        </is>
      </c>
      <c r="F1289" t="inlineStr">
        <is>
          <t>09-2025</t>
        </is>
      </c>
      <c r="G1289" t="n">
        <v>12</v>
      </c>
      <c r="H1289" t="inlineStr">
        <is>
          <t>Efectivo</t>
        </is>
      </c>
      <c r="I1289" t="inlineStr">
        <is>
          <t>10-2025</t>
        </is>
      </c>
      <c r="J1289" t="inlineStr">
        <is>
          <t>BSG231A</t>
        </is>
      </c>
      <c r="K1289" t="inlineStr">
        <is>
          <t>CHEVROLET AVEO</t>
        </is>
      </c>
      <c r="L1289" t="inlineStr">
        <is>
          <t>UBER</t>
        </is>
      </c>
      <c r="M1289" s="3">
        <f>IF(H1289="Efectivo",IFERROR((VALUE(RIGHT(I1289,4))-VALUE(RIGHT(E1289,4)))*12+(VALUE(LEFT(I1289,2))-VALUE(LEFT(E1289,2))),""),"")</f>
        <v/>
      </c>
    </row>
    <row r="1290">
      <c r="A1290" t="inlineStr">
        <is>
          <t>ZUÑIGA RODRIGUEZ ABRAHAM ANTARE</t>
        </is>
      </c>
      <c r="B1290" t="inlineStr">
        <is>
          <t>Hombre</t>
        </is>
      </c>
      <c r="C1290" t="inlineStr">
        <is>
          <t>4450AF</t>
        </is>
      </c>
      <c r="D1290" t="inlineStr">
        <is>
          <t>CDMX Y AREA METROPOLITANA</t>
        </is>
      </c>
      <c r="E1290" t="inlineStr">
        <is>
          <t>03-2025</t>
        </is>
      </c>
      <c r="F1290" t="inlineStr">
        <is>
          <t>06-2025</t>
        </is>
      </c>
      <c r="G1290" t="n">
        <v>3</v>
      </c>
      <c r="H1290" t="inlineStr">
        <is>
          <t>Efectivo</t>
        </is>
      </c>
      <c r="I1290" t="inlineStr">
        <is>
          <t>06-2025</t>
        </is>
      </c>
      <c r="J1290" t="inlineStr">
        <is>
          <t>19G506</t>
        </is>
      </c>
      <c r="K1290" t="inlineStr">
        <is>
          <t>BYD D1</t>
        </is>
      </c>
      <c r="L1290" t="inlineStr">
        <is>
          <t>UBER</t>
        </is>
      </c>
      <c r="M1290" s="3">
        <f>IF(H1290="Efectivo",IFERROR((VALUE(RIGHT(I1290,4))-VALUE(RIGHT(E1290,4)))*12+(VALUE(LEFT(I1290,2))-VALUE(LEFT(E1290,2))),""),"")</f>
        <v/>
      </c>
    </row>
    <row r="1291">
      <c r="A1291" t="inlineStr">
        <is>
          <t>ZUÑIGA ROJAS RODRIGO CRYSTIAN</t>
        </is>
      </c>
      <c r="B1291" t="inlineStr">
        <is>
          <t>Hombre</t>
        </is>
      </c>
      <c r="C1291" t="inlineStr">
        <is>
          <t>4766AF</t>
        </is>
      </c>
      <c r="D1291" t="inlineStr">
        <is>
          <t>CDMX Y AREA METROPOLITANA</t>
        </is>
      </c>
      <c r="E1291" t="inlineStr">
        <is>
          <t>05-2025</t>
        </is>
      </c>
      <c r="F1291" t="inlineStr">
        <is>
          <t>10-2025</t>
        </is>
      </c>
      <c r="G1291" t="n">
        <v>5</v>
      </c>
      <c r="H1291" t="inlineStr">
        <is>
          <t>Efectivo</t>
        </is>
      </c>
      <c r="I1291" t="inlineStr">
        <is>
          <t>10-2025</t>
        </is>
      </c>
      <c r="J1291" t="inlineStr">
        <is>
          <t>41G536</t>
        </is>
      </c>
      <c r="K1291" t="inlineStr">
        <is>
          <t>BYD MINIDOLPHIN</t>
        </is>
      </c>
      <c r="L1291" t="inlineStr">
        <is>
          <t>UBER</t>
        </is>
      </c>
      <c r="M1291" s="3">
        <f>IF(H1291="Efectivo",IFERROR((VALUE(RIGHT(I1291,4))-VALUE(RIGHT(E1291,4)))*12+(VALUE(LEFT(I1291,2))-VALUE(LEFT(E1291,2))),""),"")</f>
        <v/>
      </c>
    </row>
    <row r="1292">
      <c r="M1292" s="3">
        <f>IF(H1292="Efectivo",IFERROR((VALUE(RIGHT(I1292,4))-VALUE(RIGHT(E1292,4)))*12+(VALUE(LEFT(I1292,2))-VALUE(LEFT(E1292,2))),""),"")</f>
        <v/>
      </c>
    </row>
    <row r="1293">
      <c r="M1293" s="3">
        <f>IF(H1293="Efectivo",IFERROR((VALUE(RIGHT(I1293,4))-VALUE(RIGHT(E1293,4)))*12+(VALUE(LEFT(I1293,2))-VALUE(LEFT(E1293,2))),""),"")</f>
        <v/>
      </c>
    </row>
    <row r="1294">
      <c r="M1294" s="3">
        <f>IF(H1294="Efectivo",IFERROR((VALUE(RIGHT(I1294,4))-VALUE(RIGHT(E1294,4)))*12+(VALUE(LEFT(I1294,2))-VALUE(LEFT(E1294,2))),""),"")</f>
        <v/>
      </c>
    </row>
    <row r="1295">
      <c r="M1295" s="3">
        <f>IF(H1295="Efectivo",IFERROR((VALUE(RIGHT(I1295,4))-VALUE(RIGHT(E1295,4)))*12+(VALUE(LEFT(I1295,2))-VALUE(LEFT(E1295,2))),""),"")</f>
        <v/>
      </c>
    </row>
    <row r="1296">
      <c r="M1296" s="3">
        <f>IF(H1296="Efectivo",IFERROR((VALUE(RIGHT(I1296,4))-VALUE(RIGHT(E1296,4)))*12+(VALUE(LEFT(I1296,2))-VALUE(LEFT(E1296,2))),""),"")</f>
        <v/>
      </c>
    </row>
    <row r="1297">
      <c r="M1297" s="3">
        <f>IF(H1297="Efectivo",IFERROR((VALUE(RIGHT(I1297,4))-VALUE(RIGHT(E1297,4)))*12+(VALUE(LEFT(I1297,2))-VALUE(LEFT(E1297,2))),""),"")</f>
        <v/>
      </c>
    </row>
    <row r="1298">
      <c r="M1298" s="3">
        <f>IF(H1298="Efectivo",IFERROR((VALUE(RIGHT(I1298,4))-VALUE(RIGHT(E1298,4)))*12+(VALUE(LEFT(I1298,2))-VALUE(LEFT(E1298,2))),""),"")</f>
        <v/>
      </c>
    </row>
    <row r="1299">
      <c r="M1299" s="3">
        <f>IF(H1299="Efectivo",IFERROR((VALUE(RIGHT(I1299,4))-VALUE(RIGHT(E1299,4)))*12+(VALUE(LEFT(I1299,2))-VALUE(LEFT(E1299,2))),""),"")</f>
        <v/>
      </c>
    </row>
    <row r="1300">
      <c r="M1300" s="3">
        <f>IF(H1300="Efectivo",IFERROR((VALUE(RIGHT(I1300,4))-VALUE(RIGHT(E1300,4)))*12+(VALUE(LEFT(I1300,2))-VALUE(LEFT(E1300,2))),""),"")</f>
        <v/>
      </c>
    </row>
    <row r="1301">
      <c r="M1301" s="3">
        <f>IF(H1301="Efectivo",IFERROR((VALUE(RIGHT(I1301,4))-VALUE(RIGHT(E1301,4)))*12+(VALUE(LEFT(I1301,2))-VALUE(LEFT(E1301,2))),""),"")</f>
        <v/>
      </c>
    </row>
    <row r="1302">
      <c r="M1302" s="3">
        <f>IF(H1302="Efectivo",IFERROR((VALUE(RIGHT(I1302,4))-VALUE(RIGHT(E1302,4)))*12+(VALUE(LEFT(I1302,2))-VALUE(LEFT(E1302,2))),""),"")</f>
        <v/>
      </c>
    </row>
    <row r="1303">
      <c r="M1303" s="3">
        <f>IF(H1303="Efectivo",IFERROR((VALUE(RIGHT(I1303,4))-VALUE(RIGHT(E1303,4)))*12+(VALUE(LEFT(I1303,2))-VALUE(LEFT(E1303,2))),""),"")</f>
        <v/>
      </c>
    </row>
    <row r="1304">
      <c r="M1304" s="3">
        <f>IF(H1304="Efectivo",IFERROR((VALUE(RIGHT(I1304,4))-VALUE(RIGHT(E1304,4)))*12+(VALUE(LEFT(I1304,2))-VALUE(LEFT(E1304,2))),""),"")</f>
        <v/>
      </c>
    </row>
    <row r="1305">
      <c r="M1305" s="3">
        <f>IF(H1305="Efectivo",IFERROR((VALUE(RIGHT(I1305,4))-VALUE(RIGHT(E1305,4)))*12+(VALUE(LEFT(I1305,2))-VALUE(LEFT(E1305,2))),""),"")</f>
        <v/>
      </c>
    </row>
    <row r="1306">
      <c r="M1306" s="3">
        <f>IF(H1306="Efectivo",IFERROR((VALUE(RIGHT(I1306,4))-VALUE(RIGHT(E1306,4)))*12+(VALUE(LEFT(I1306,2))-VALUE(LEFT(E1306,2))),""),"")</f>
        <v/>
      </c>
    </row>
    <row r="1307">
      <c r="M1307" s="3">
        <f>IF(H1307="Efectivo",IFERROR((VALUE(RIGHT(I1307,4))-VALUE(RIGHT(E1307,4)))*12+(VALUE(LEFT(I1307,2))-VALUE(LEFT(E1307,2))),""),"")</f>
        <v/>
      </c>
    </row>
    <row r="1308">
      <c r="M1308" s="3">
        <f>IF(H1308="Efectivo",IFERROR((VALUE(RIGHT(I1308,4))-VALUE(RIGHT(E1308,4)))*12+(VALUE(LEFT(I1308,2))-VALUE(LEFT(E1308,2))),""),"")</f>
        <v/>
      </c>
    </row>
    <row r="1309">
      <c r="M1309" s="3">
        <f>IF(H1309="Efectivo",IFERROR((VALUE(RIGHT(I1309,4))-VALUE(RIGHT(E1309,4)))*12+(VALUE(LEFT(I1309,2))-VALUE(LEFT(E1309,2))),""),"")</f>
        <v/>
      </c>
    </row>
    <row r="1310">
      <c r="M1310" s="3">
        <f>IF(H1310="Efectivo",IFERROR((VALUE(RIGHT(I1310,4))-VALUE(RIGHT(E1310,4)))*12+(VALUE(LEFT(I1310,2))-VALUE(LEFT(E1310,2))),""),"")</f>
        <v/>
      </c>
    </row>
    <row r="1311">
      <c r="M1311" s="3">
        <f>IF(H1311="Efectivo",IFERROR((VALUE(RIGHT(I1311,4))-VALUE(RIGHT(E1311,4)))*12+(VALUE(LEFT(I1311,2))-VALUE(LEFT(E1311,2))),""),"")</f>
        <v/>
      </c>
    </row>
    <row r="1312">
      <c r="M1312" s="3">
        <f>IF(H1312="Efectivo",IFERROR((VALUE(RIGHT(I1312,4))-VALUE(RIGHT(E1312,4)))*12+(VALUE(LEFT(I1312,2))-VALUE(LEFT(E1312,2))),""),"")</f>
        <v/>
      </c>
    </row>
    <row r="1313">
      <c r="M1313" s="3">
        <f>IF(H1313="Efectivo",IFERROR((VALUE(RIGHT(I1313,4))-VALUE(RIGHT(E1313,4)))*12+(VALUE(LEFT(I1313,2))-VALUE(LEFT(E1313,2))),""),"")</f>
        <v/>
      </c>
    </row>
    <row r="1314">
      <c r="M1314" s="3">
        <f>IF(H1314="Efectivo",IFERROR((VALUE(RIGHT(I1314,4))-VALUE(RIGHT(E1314,4)))*12+(VALUE(LEFT(I1314,2))-VALUE(LEFT(E1314,2))),""),"")</f>
        <v/>
      </c>
    </row>
    <row r="1315">
      <c r="M1315" s="3">
        <f>IF(H1315="Efectivo",IFERROR((VALUE(RIGHT(I1315,4))-VALUE(RIGHT(E1315,4)))*12+(VALUE(LEFT(I1315,2))-VALUE(LEFT(E1315,2))),""),"")</f>
        <v/>
      </c>
    </row>
    <row r="1316">
      <c r="M1316" s="3">
        <f>IF(H1316="Efectivo",IFERROR((VALUE(RIGHT(I1316,4))-VALUE(RIGHT(E1316,4)))*12+(VALUE(LEFT(I1316,2))-VALUE(LEFT(E1316,2))),""),"")</f>
        <v/>
      </c>
    </row>
    <row r="1317">
      <c r="M1317" s="3">
        <f>IF(H1317="Efectivo",IFERROR((VALUE(RIGHT(I1317,4))-VALUE(RIGHT(E1317,4)))*12+(VALUE(LEFT(I1317,2))-VALUE(LEFT(E1317,2))),""),"")</f>
        <v/>
      </c>
    </row>
    <row r="1318">
      <c r="M1318" s="3">
        <f>IF(H1318="Efectivo",IFERROR((VALUE(RIGHT(I1318,4))-VALUE(RIGHT(E1318,4)))*12+(VALUE(LEFT(I1318,2))-VALUE(LEFT(E1318,2))),""),"")</f>
        <v/>
      </c>
    </row>
    <row r="1319">
      <c r="M1319" s="3">
        <f>IF(H1319="Efectivo",IFERROR((VALUE(RIGHT(I1319,4))-VALUE(RIGHT(E1319,4)))*12+(VALUE(LEFT(I1319,2))-VALUE(LEFT(E1319,2))),""),"")</f>
        <v/>
      </c>
    </row>
    <row r="1320">
      <c r="M1320" s="3">
        <f>IF(H1320="Efectivo",IFERROR((VALUE(RIGHT(I1320,4))-VALUE(RIGHT(E1320,4)))*12+(VALUE(LEFT(I1320,2))-VALUE(LEFT(E1320,2))),""),"")</f>
        <v/>
      </c>
    </row>
    <row r="1321">
      <c r="M1321" s="3">
        <f>IF(H1321="Efectivo",IFERROR((VALUE(RIGHT(I1321,4))-VALUE(RIGHT(E1321,4)))*12+(VALUE(LEFT(I1321,2))-VALUE(LEFT(E1321,2))),""),"")</f>
        <v/>
      </c>
    </row>
    <row r="1322">
      <c r="M1322" s="3">
        <f>IF(H1322="Efectivo",IFERROR((VALUE(RIGHT(I1322,4))-VALUE(RIGHT(E1322,4)))*12+(VALUE(LEFT(I1322,2))-VALUE(LEFT(E1322,2))),""),"")</f>
        <v/>
      </c>
    </row>
    <row r="1323">
      <c r="M1323" s="3">
        <f>IF(H1323="Efectivo",IFERROR((VALUE(RIGHT(I1323,4))-VALUE(RIGHT(E1323,4)))*12+(VALUE(LEFT(I1323,2))-VALUE(LEFT(E1323,2))),""),"")</f>
        <v/>
      </c>
    </row>
    <row r="1324">
      <c r="M1324" s="3">
        <f>IF(H1324="Efectivo",IFERROR((VALUE(RIGHT(I1324,4))-VALUE(RIGHT(E1324,4)))*12+(VALUE(LEFT(I1324,2))-VALUE(LEFT(E1324,2))),""),"")</f>
        <v/>
      </c>
    </row>
    <row r="1325">
      <c r="M1325" s="3">
        <f>IF(H1325="Efectivo",IFERROR((VALUE(RIGHT(I1325,4))-VALUE(RIGHT(E1325,4)))*12+(VALUE(LEFT(I1325,2))-VALUE(LEFT(E1325,2))),""),"")</f>
        <v/>
      </c>
    </row>
    <row r="1326">
      <c r="M1326" s="3">
        <f>IF(H1326="Efectivo",IFERROR((VALUE(RIGHT(I1326,4))-VALUE(RIGHT(E1326,4)))*12+(VALUE(LEFT(I1326,2))-VALUE(LEFT(E1326,2))),""),"")</f>
        <v/>
      </c>
    </row>
    <row r="1327">
      <c r="M1327" s="3">
        <f>IF(H1327="Efectivo",IFERROR((VALUE(RIGHT(I1327,4))-VALUE(RIGHT(E1327,4)))*12+(VALUE(LEFT(I1327,2))-VALUE(LEFT(E1327,2))),""),"")</f>
        <v/>
      </c>
    </row>
    <row r="1328">
      <c r="M1328" s="3">
        <f>IF(H1328="Efectivo",IFERROR((VALUE(RIGHT(I1328,4))-VALUE(RIGHT(E1328,4)))*12+(VALUE(LEFT(I1328,2))-VALUE(LEFT(E1328,2))),""),"")</f>
        <v/>
      </c>
    </row>
    <row r="1329">
      <c r="M1329" s="3">
        <f>IF(H1329="Efectivo",IFERROR((VALUE(RIGHT(I1329,4))-VALUE(RIGHT(E1329,4)))*12+(VALUE(LEFT(I1329,2))-VALUE(LEFT(E1329,2))),""),"")</f>
        <v/>
      </c>
    </row>
    <row r="1330">
      <c r="M1330" s="3">
        <f>IF(H1330="Efectivo",IFERROR((VALUE(RIGHT(I1330,4))-VALUE(RIGHT(E1330,4)))*12+(VALUE(LEFT(I1330,2))-VALUE(LEFT(E1330,2))),""),"")</f>
        <v/>
      </c>
    </row>
    <row r="1331">
      <c r="M1331" s="3">
        <f>IF(H1331="Efectivo",IFERROR((VALUE(RIGHT(I1331,4))-VALUE(RIGHT(E1331,4)))*12+(VALUE(LEFT(I1331,2))-VALUE(LEFT(E1331,2))),""),"")</f>
        <v/>
      </c>
    </row>
    <row r="1332">
      <c r="M1332" s="3">
        <f>IF(H1332="Efectivo",IFERROR((VALUE(RIGHT(I1332,4))-VALUE(RIGHT(E1332,4)))*12+(VALUE(LEFT(I1332,2))-VALUE(LEFT(E1332,2))),""),"")</f>
        <v/>
      </c>
    </row>
    <row r="1333">
      <c r="M1333" s="3">
        <f>IF(H1333="Efectivo",IFERROR((VALUE(RIGHT(I1333,4))-VALUE(RIGHT(E1333,4)))*12+(VALUE(LEFT(I1333,2))-VALUE(LEFT(E1333,2))),""),"")</f>
        <v/>
      </c>
    </row>
    <row r="1334">
      <c r="M1334" s="3">
        <f>IF(H1334="Efectivo",IFERROR((VALUE(RIGHT(I1334,4))-VALUE(RIGHT(E1334,4)))*12+(VALUE(LEFT(I1334,2))-VALUE(LEFT(E1334,2))),""),"")</f>
        <v/>
      </c>
    </row>
    <row r="1335">
      <c r="M1335" s="3">
        <f>IF(H1335="Efectivo",IFERROR((VALUE(RIGHT(I1335,4))-VALUE(RIGHT(E1335,4)))*12+(VALUE(LEFT(I1335,2))-VALUE(LEFT(E1335,2))),""),"")</f>
        <v/>
      </c>
    </row>
    <row r="1336">
      <c r="M1336" s="3">
        <f>IF(H1336="Efectivo",IFERROR((VALUE(RIGHT(I1336,4))-VALUE(RIGHT(E1336,4)))*12+(VALUE(LEFT(I1336,2))-VALUE(LEFT(E1336,2))),""),"")</f>
        <v/>
      </c>
    </row>
    <row r="1337">
      <c r="M1337" s="3">
        <f>IF(H1337="Efectivo",IFERROR((VALUE(RIGHT(I1337,4))-VALUE(RIGHT(E1337,4)))*12+(VALUE(LEFT(I1337,2))-VALUE(LEFT(E1337,2))),""),"")</f>
        <v/>
      </c>
    </row>
    <row r="1338">
      <c r="M1338" s="3">
        <f>IF(H1338="Efectivo",IFERROR((VALUE(RIGHT(I1338,4))-VALUE(RIGHT(E1338,4)))*12+(VALUE(LEFT(I1338,2))-VALUE(LEFT(E1338,2))),""),"")</f>
        <v/>
      </c>
    </row>
    <row r="1339">
      <c r="M1339" s="3">
        <f>IF(H1339="Efectivo",IFERROR((VALUE(RIGHT(I1339,4))-VALUE(RIGHT(E1339,4)))*12+(VALUE(LEFT(I1339,2))-VALUE(LEFT(E1339,2))),""),"")</f>
        <v/>
      </c>
    </row>
    <row r="1340">
      <c r="M1340" s="3">
        <f>IF(H1340="Efectivo",IFERROR((VALUE(RIGHT(I1340,4))-VALUE(RIGHT(E1340,4)))*12+(VALUE(LEFT(I1340,2))-VALUE(LEFT(E1340,2))),""),"")</f>
        <v/>
      </c>
    </row>
    <row r="1341">
      <c r="M1341" s="3">
        <f>IF(H1341="Efectivo",IFERROR((VALUE(RIGHT(I1341,4))-VALUE(RIGHT(E1341,4)))*12+(VALUE(LEFT(I1341,2))-VALUE(LEFT(E1341,2))),""),"")</f>
        <v/>
      </c>
    </row>
    <row r="1342">
      <c r="M1342" s="3">
        <f>IF(H1342="Efectivo",IFERROR((VALUE(RIGHT(I1342,4))-VALUE(RIGHT(E1342,4)))*12+(VALUE(LEFT(I1342,2))-VALUE(LEFT(E1342,2))),""),"")</f>
        <v/>
      </c>
    </row>
    <row r="1343">
      <c r="M1343" s="3">
        <f>IF(H1343="Efectivo",IFERROR((VALUE(RIGHT(I1343,4))-VALUE(RIGHT(E1343,4)))*12+(VALUE(LEFT(I1343,2))-VALUE(LEFT(E1343,2))),""),"")</f>
        <v/>
      </c>
    </row>
    <row r="1344">
      <c r="M1344" s="3">
        <f>IF(H1344="Efectivo",IFERROR((VALUE(RIGHT(I1344,4))-VALUE(RIGHT(E1344,4)))*12+(VALUE(LEFT(I1344,2))-VALUE(LEFT(E1344,2))),""),"")</f>
        <v/>
      </c>
    </row>
    <row r="1345">
      <c r="M1345" s="3">
        <f>IF(H1345="Efectivo",IFERROR((VALUE(RIGHT(I1345,4))-VALUE(RIGHT(E1345,4)))*12+(VALUE(LEFT(I1345,2))-VALUE(LEFT(E1345,2))),""),"")</f>
        <v/>
      </c>
    </row>
    <row r="1346">
      <c r="M1346" s="3">
        <f>IF(H1346="Efectivo",IFERROR((VALUE(RIGHT(I1346,4))-VALUE(RIGHT(E1346,4)))*12+(VALUE(LEFT(I1346,2))-VALUE(LEFT(E1346,2))),""),"")</f>
        <v/>
      </c>
    </row>
    <row r="1347">
      <c r="M1347" s="3">
        <f>IF(H1347="Efectivo",IFERROR((VALUE(RIGHT(I1347,4))-VALUE(RIGHT(E1347,4)))*12+(VALUE(LEFT(I1347,2))-VALUE(LEFT(E1347,2))),""),"")</f>
        <v/>
      </c>
    </row>
    <row r="1348">
      <c r="M1348" s="3">
        <f>IF(H1348="Efectivo",IFERROR((VALUE(RIGHT(I1348,4))-VALUE(RIGHT(E1348,4)))*12+(VALUE(LEFT(I1348,2))-VALUE(LEFT(E1348,2))),""),"")</f>
        <v/>
      </c>
    </row>
    <row r="1349">
      <c r="M1349" s="3">
        <f>IF(H1349="Efectivo",IFERROR((VALUE(RIGHT(I1349,4))-VALUE(RIGHT(E1349,4)))*12+(VALUE(LEFT(I1349,2))-VALUE(LEFT(E1349,2))),""),"")</f>
        <v/>
      </c>
    </row>
    <row r="1350">
      <c r="M1350" s="3">
        <f>IF(H1350="Efectivo",IFERROR((VALUE(RIGHT(I1350,4))-VALUE(RIGHT(E1350,4)))*12+(VALUE(LEFT(I1350,2))-VALUE(LEFT(E1350,2))),""),"")</f>
        <v/>
      </c>
    </row>
    <row r="1351">
      <c r="M1351" s="3">
        <f>IF(H1351="Efectivo",IFERROR((VALUE(RIGHT(I1351,4))-VALUE(RIGHT(E1351,4)))*12+(VALUE(LEFT(I1351,2))-VALUE(LEFT(E1351,2))),""),"")</f>
        <v/>
      </c>
    </row>
    <row r="1352">
      <c r="M1352" s="3">
        <f>IF(H1352="Efectivo",IFERROR((VALUE(RIGHT(I1352,4))-VALUE(RIGHT(E1352,4)))*12+(VALUE(LEFT(I1352,2))-VALUE(LEFT(E1352,2))),""),"")</f>
        <v/>
      </c>
    </row>
    <row r="1353">
      <c r="M1353" s="3">
        <f>IF(H1353="Efectivo",IFERROR((VALUE(RIGHT(I1353,4))-VALUE(RIGHT(E1353,4)))*12+(VALUE(LEFT(I1353,2))-VALUE(LEFT(E1353,2))),""),"")</f>
        <v/>
      </c>
    </row>
    <row r="1354">
      <c r="M1354" s="3">
        <f>IF(H1354="Efectivo",IFERROR((VALUE(RIGHT(I1354,4))-VALUE(RIGHT(E1354,4)))*12+(VALUE(LEFT(I1354,2))-VALUE(LEFT(E1354,2))),""),"")</f>
        <v/>
      </c>
    </row>
    <row r="1355">
      <c r="M1355" s="3">
        <f>IF(H1355="Efectivo",IFERROR((VALUE(RIGHT(I1355,4))-VALUE(RIGHT(E1355,4)))*12+(VALUE(LEFT(I1355,2))-VALUE(LEFT(E1355,2))),""),"")</f>
        <v/>
      </c>
    </row>
    <row r="1356">
      <c r="M1356" s="3">
        <f>IF(H1356="Efectivo",IFERROR((VALUE(RIGHT(I1356,4))-VALUE(RIGHT(E1356,4)))*12+(VALUE(LEFT(I1356,2))-VALUE(LEFT(E1356,2))),""),"")</f>
        <v/>
      </c>
    </row>
    <row r="1357">
      <c r="M1357" s="3">
        <f>IF(H1357="Efectivo",IFERROR((VALUE(RIGHT(I1357,4))-VALUE(RIGHT(E1357,4)))*12+(VALUE(LEFT(I1357,2))-VALUE(LEFT(E1357,2))),""),"")</f>
        <v/>
      </c>
    </row>
    <row r="1358">
      <c r="M1358" s="3">
        <f>IF(H1358="Efectivo",IFERROR((VALUE(RIGHT(I1358,4))-VALUE(RIGHT(E1358,4)))*12+(VALUE(LEFT(I1358,2))-VALUE(LEFT(E1358,2))),""),"")</f>
        <v/>
      </c>
    </row>
    <row r="1359">
      <c r="M1359" s="3">
        <f>IF(H1359="Efectivo",IFERROR((VALUE(RIGHT(I1359,4))-VALUE(RIGHT(E1359,4)))*12+(VALUE(LEFT(I1359,2))-VALUE(LEFT(E1359,2))),""),"")</f>
        <v/>
      </c>
    </row>
    <row r="1360">
      <c r="M1360" s="3">
        <f>IF(H1360="Efectivo",IFERROR((VALUE(RIGHT(I1360,4))-VALUE(RIGHT(E1360,4)))*12+(VALUE(LEFT(I1360,2))-VALUE(LEFT(E1360,2))),""),"")</f>
        <v/>
      </c>
    </row>
    <row r="1361">
      <c r="M1361" s="3">
        <f>IF(H1361="Efectivo",IFERROR((VALUE(RIGHT(I1361,4))-VALUE(RIGHT(E1361,4)))*12+(VALUE(LEFT(I1361,2))-VALUE(LEFT(E1361,2))),""),"")</f>
        <v/>
      </c>
    </row>
    <row r="1362">
      <c r="M1362" s="3">
        <f>IF(H1362="Efectivo",IFERROR((VALUE(RIGHT(I1362,4))-VALUE(RIGHT(E1362,4)))*12+(VALUE(LEFT(I1362,2))-VALUE(LEFT(E1362,2))),""),"")</f>
        <v/>
      </c>
    </row>
    <row r="1363">
      <c r="M1363" s="3">
        <f>IF(H1363="Efectivo",IFERROR((VALUE(RIGHT(I1363,4))-VALUE(RIGHT(E1363,4)))*12+(VALUE(LEFT(I1363,2))-VALUE(LEFT(E1363,2))),""),"")</f>
        <v/>
      </c>
    </row>
    <row r="1364">
      <c r="M1364" s="3">
        <f>IF(H1364="Efectivo",IFERROR((VALUE(RIGHT(I1364,4))-VALUE(RIGHT(E1364,4)))*12+(VALUE(LEFT(I1364,2))-VALUE(LEFT(E1364,2))),""),"")</f>
        <v/>
      </c>
    </row>
    <row r="1365">
      <c r="M1365" s="3">
        <f>IF(H1365="Efectivo",IFERROR((VALUE(RIGHT(I1365,4))-VALUE(RIGHT(E1365,4)))*12+(VALUE(LEFT(I1365,2))-VALUE(LEFT(E1365,2))),""),"")</f>
        <v/>
      </c>
    </row>
    <row r="1366">
      <c r="M1366" s="3">
        <f>IF(H1366="Efectivo",IFERROR((VALUE(RIGHT(I1366,4))-VALUE(RIGHT(E1366,4)))*12+(VALUE(LEFT(I1366,2))-VALUE(LEFT(E1366,2))),""),"")</f>
        <v/>
      </c>
    </row>
    <row r="1367">
      <c r="M1367" s="3">
        <f>IF(H1367="Efectivo",IFERROR((VALUE(RIGHT(I1367,4))-VALUE(RIGHT(E1367,4)))*12+(VALUE(LEFT(I1367,2))-VALUE(LEFT(E1367,2))),""),"")</f>
        <v/>
      </c>
    </row>
    <row r="1368">
      <c r="M1368" s="3">
        <f>IF(H1368="Efectivo",IFERROR((VALUE(RIGHT(I1368,4))-VALUE(RIGHT(E1368,4)))*12+(VALUE(LEFT(I1368,2))-VALUE(LEFT(E1368,2))),""),"")</f>
        <v/>
      </c>
    </row>
    <row r="1369">
      <c r="M1369" s="3">
        <f>IF(H1369="Efectivo",IFERROR((VALUE(RIGHT(I1369,4))-VALUE(RIGHT(E1369,4)))*12+(VALUE(LEFT(I1369,2))-VALUE(LEFT(E1369,2))),""),"")</f>
        <v/>
      </c>
    </row>
    <row r="1370">
      <c r="M1370" s="3">
        <f>IF(H1370="Efectivo",IFERROR((VALUE(RIGHT(I1370,4))-VALUE(RIGHT(E1370,4)))*12+(VALUE(LEFT(I1370,2))-VALUE(LEFT(E1370,2))),""),"")</f>
        <v/>
      </c>
    </row>
    <row r="1371">
      <c r="M1371" s="3">
        <f>IF(H1371="Efectivo",IFERROR((VALUE(RIGHT(I1371,4))-VALUE(RIGHT(E1371,4)))*12+(VALUE(LEFT(I1371,2))-VALUE(LEFT(E1371,2))),""),"")</f>
        <v/>
      </c>
    </row>
    <row r="1372">
      <c r="M1372" s="3">
        <f>IF(H1372="Efectivo",IFERROR((VALUE(RIGHT(I1372,4))-VALUE(RIGHT(E1372,4)))*12+(VALUE(LEFT(I1372,2))-VALUE(LEFT(E1372,2))),""),"")</f>
        <v/>
      </c>
    </row>
    <row r="1373">
      <c r="M1373" s="3">
        <f>IF(H1373="Efectivo",IFERROR((VALUE(RIGHT(I1373,4))-VALUE(RIGHT(E1373,4)))*12+(VALUE(LEFT(I1373,2))-VALUE(LEFT(E1373,2))),""),"")</f>
        <v/>
      </c>
    </row>
    <row r="1374">
      <c r="M1374" s="3">
        <f>IF(H1374="Efectivo",IFERROR((VALUE(RIGHT(I1374,4))-VALUE(RIGHT(E1374,4)))*12+(VALUE(LEFT(I1374,2))-VALUE(LEFT(E1374,2))),""),"")</f>
        <v/>
      </c>
    </row>
    <row r="1375">
      <c r="M1375" s="3">
        <f>IF(H1375="Efectivo",IFERROR((VALUE(RIGHT(I1375,4))-VALUE(RIGHT(E1375,4)))*12+(VALUE(LEFT(I1375,2))-VALUE(LEFT(E1375,2))),""),"")</f>
        <v/>
      </c>
    </row>
    <row r="1376">
      <c r="M1376" s="3">
        <f>IF(H1376="Efectivo",IFERROR((VALUE(RIGHT(I1376,4))-VALUE(RIGHT(E1376,4)))*12+(VALUE(LEFT(I1376,2))-VALUE(LEFT(E1376,2))),""),"")</f>
        <v/>
      </c>
    </row>
    <row r="1377">
      <c r="M1377" s="3">
        <f>IF(H1377="Efectivo",IFERROR((VALUE(RIGHT(I1377,4))-VALUE(RIGHT(E1377,4)))*12+(VALUE(LEFT(I1377,2))-VALUE(LEFT(E1377,2))),""),"")</f>
        <v/>
      </c>
    </row>
    <row r="1378">
      <c r="M1378" s="3">
        <f>IF(H1378="Efectivo",IFERROR((VALUE(RIGHT(I1378,4))-VALUE(RIGHT(E1378,4)))*12+(VALUE(LEFT(I1378,2))-VALUE(LEFT(E1378,2))),""),"")</f>
        <v/>
      </c>
    </row>
    <row r="1379">
      <c r="M1379" s="3">
        <f>IF(H1379="Efectivo",IFERROR((VALUE(RIGHT(I1379,4))-VALUE(RIGHT(E1379,4)))*12+(VALUE(LEFT(I1379,2))-VALUE(LEFT(E1379,2))),""),"")</f>
        <v/>
      </c>
    </row>
    <row r="1380">
      <c r="M1380" s="3">
        <f>IF(H1380="Efectivo",IFERROR((VALUE(RIGHT(I1380,4))-VALUE(RIGHT(E1380,4)))*12+(VALUE(LEFT(I1380,2))-VALUE(LEFT(E1380,2))),""),"")</f>
        <v/>
      </c>
    </row>
    <row r="1381">
      <c r="M1381" s="3">
        <f>IF(H1381="Efectivo",IFERROR((VALUE(RIGHT(I1381,4))-VALUE(RIGHT(E1381,4)))*12+(VALUE(LEFT(I1381,2))-VALUE(LEFT(E1381,2))),""),"")</f>
        <v/>
      </c>
    </row>
    <row r="1382">
      <c r="M1382" s="3">
        <f>IF(H1382="Efectivo",IFERROR((VALUE(RIGHT(I1382,4))-VALUE(RIGHT(E1382,4)))*12+(VALUE(LEFT(I1382,2))-VALUE(LEFT(E1382,2))),""),"")</f>
        <v/>
      </c>
    </row>
    <row r="1383">
      <c r="M1383" s="3">
        <f>IF(H1383="Efectivo",IFERROR((VALUE(RIGHT(I1383,4))-VALUE(RIGHT(E1383,4)))*12+(VALUE(LEFT(I1383,2))-VALUE(LEFT(E1383,2))),""),"")</f>
        <v/>
      </c>
    </row>
    <row r="1384">
      <c r="M1384" s="3">
        <f>IF(H1384="Efectivo",IFERROR((VALUE(RIGHT(I1384,4))-VALUE(RIGHT(E1384,4)))*12+(VALUE(LEFT(I1384,2))-VALUE(LEFT(E1384,2))),""),"")</f>
        <v/>
      </c>
    </row>
    <row r="1385">
      <c r="M1385" s="3">
        <f>IF(H1385="Efectivo",IFERROR((VALUE(RIGHT(I1385,4))-VALUE(RIGHT(E1385,4)))*12+(VALUE(LEFT(I1385,2))-VALUE(LEFT(E1385,2))),""),"")</f>
        <v/>
      </c>
    </row>
    <row r="1386">
      <c r="M1386" s="3">
        <f>IF(H1386="Efectivo",IFERROR((VALUE(RIGHT(I1386,4))-VALUE(RIGHT(E1386,4)))*12+(VALUE(LEFT(I1386,2))-VALUE(LEFT(E1386,2))),""),"")</f>
        <v/>
      </c>
    </row>
    <row r="1387">
      <c r="M1387" s="3">
        <f>IF(H1387="Efectivo",IFERROR((VALUE(RIGHT(I1387,4))-VALUE(RIGHT(E1387,4)))*12+(VALUE(LEFT(I1387,2))-VALUE(LEFT(E1387,2))),""),"")</f>
        <v/>
      </c>
    </row>
    <row r="1388">
      <c r="M1388" s="3">
        <f>IF(H1388="Efectivo",IFERROR((VALUE(RIGHT(I1388,4))-VALUE(RIGHT(E1388,4)))*12+(VALUE(LEFT(I1388,2))-VALUE(LEFT(E1388,2))),""),"")</f>
        <v/>
      </c>
    </row>
    <row r="1389">
      <c r="M1389" s="3">
        <f>IF(H1389="Efectivo",IFERROR((VALUE(RIGHT(I1389,4))-VALUE(RIGHT(E1389,4)))*12+(VALUE(LEFT(I1389,2))-VALUE(LEFT(E1389,2))),""),"")</f>
        <v/>
      </c>
    </row>
    <row r="1390">
      <c r="M1390" s="3">
        <f>IF(H1390="Efectivo",IFERROR((VALUE(RIGHT(I1390,4))-VALUE(RIGHT(E1390,4)))*12+(VALUE(LEFT(I1390,2))-VALUE(LEFT(E1390,2))),""),"")</f>
        <v/>
      </c>
    </row>
    <row r="1391">
      <c r="M1391" s="3">
        <f>IF(H1391="Efectivo",IFERROR((VALUE(RIGHT(I1391,4))-VALUE(RIGHT(E1391,4)))*12+(VALUE(LEFT(I1391,2))-VALUE(LEFT(E1391,2))),""),"")</f>
        <v/>
      </c>
    </row>
    <row r="1392">
      <c r="M1392" s="3">
        <f>IF(H1392="Efectivo",IFERROR((VALUE(RIGHT(I1392,4))-VALUE(RIGHT(E1392,4)))*12+(VALUE(LEFT(I1392,2))-VALUE(LEFT(E1392,2))),""),"")</f>
        <v/>
      </c>
    </row>
    <row r="1393">
      <c r="M1393" s="3">
        <f>IF(H1393="Efectivo",IFERROR((VALUE(RIGHT(I1393,4))-VALUE(RIGHT(E1393,4)))*12+(VALUE(LEFT(I1393,2))-VALUE(LEFT(E1393,2))),""),"")</f>
        <v/>
      </c>
    </row>
    <row r="1394">
      <c r="M1394" s="3">
        <f>IF(H1394="Efectivo",IFERROR((VALUE(RIGHT(I1394,4))-VALUE(RIGHT(E1394,4)))*12+(VALUE(LEFT(I1394,2))-VALUE(LEFT(E1394,2))),""),"")</f>
        <v/>
      </c>
    </row>
    <row r="1395">
      <c r="M1395" s="3">
        <f>IF(H1395="Efectivo",IFERROR((VALUE(RIGHT(I1395,4))-VALUE(RIGHT(E1395,4)))*12+(VALUE(LEFT(I1395,2))-VALUE(LEFT(E1395,2))),""),"")</f>
        <v/>
      </c>
    </row>
    <row r="1396">
      <c r="M1396" s="3">
        <f>IF(H1396="Efectivo",IFERROR((VALUE(RIGHT(I1396,4))-VALUE(RIGHT(E1396,4)))*12+(VALUE(LEFT(I1396,2))-VALUE(LEFT(E1396,2))),""),"")</f>
        <v/>
      </c>
    </row>
    <row r="1397">
      <c r="M1397" s="3">
        <f>IF(H1397="Efectivo",IFERROR((VALUE(RIGHT(I1397,4))-VALUE(RIGHT(E1397,4)))*12+(VALUE(LEFT(I1397,2))-VALUE(LEFT(E1397,2))),""),"")</f>
        <v/>
      </c>
    </row>
    <row r="1398">
      <c r="M1398" s="3">
        <f>IF(H1398="Efectivo",IFERROR((VALUE(RIGHT(I1398,4))-VALUE(RIGHT(E1398,4)))*12+(VALUE(LEFT(I1398,2))-VALUE(LEFT(E1398,2))),""),"")</f>
        <v/>
      </c>
    </row>
    <row r="1399">
      <c r="M1399" s="3">
        <f>IF(H1399="Efectivo",IFERROR((VALUE(RIGHT(I1399,4))-VALUE(RIGHT(E1399,4)))*12+(VALUE(LEFT(I1399,2))-VALUE(LEFT(E1399,2))),""),"")</f>
        <v/>
      </c>
    </row>
    <row r="1400">
      <c r="M1400" s="3">
        <f>IF(H1400="Efectivo",IFERROR((VALUE(RIGHT(I1400,4))-VALUE(RIGHT(E1400,4)))*12+(VALUE(LEFT(I1400,2))-VALUE(LEFT(E1400,2))),""),"")</f>
        <v/>
      </c>
    </row>
    <row r="1401">
      <c r="M1401" s="3">
        <f>IF(H1401="Efectivo",IFERROR((VALUE(RIGHT(I1401,4))-VALUE(RIGHT(E1401,4)))*12+(VALUE(LEFT(I1401,2))-VALUE(LEFT(E1401,2))),""),"")</f>
        <v/>
      </c>
    </row>
    <row r="1402">
      <c r="M1402" s="3">
        <f>IF(H1402="Efectivo",IFERROR((VALUE(RIGHT(I1402,4))-VALUE(RIGHT(E1402,4)))*12+(VALUE(LEFT(I1402,2))-VALUE(LEFT(E1402,2))),""),"")</f>
        <v/>
      </c>
    </row>
    <row r="1403">
      <c r="M1403" s="3">
        <f>IF(H1403="Efectivo",IFERROR((VALUE(RIGHT(I1403,4))-VALUE(RIGHT(E1403,4)))*12+(VALUE(LEFT(I1403,2))-VALUE(LEFT(E1403,2))),""),"")</f>
        <v/>
      </c>
    </row>
    <row r="1404">
      <c r="M1404" s="3">
        <f>IF(H1404="Efectivo",IFERROR((VALUE(RIGHT(I1404,4))-VALUE(RIGHT(E1404,4)))*12+(VALUE(LEFT(I1404,2))-VALUE(LEFT(E1404,2))),""),"")</f>
        <v/>
      </c>
    </row>
    <row r="1405">
      <c r="M1405" s="3">
        <f>IF(H1405="Efectivo",IFERROR((VALUE(RIGHT(I1405,4))-VALUE(RIGHT(E1405,4)))*12+(VALUE(LEFT(I1405,2))-VALUE(LEFT(E1405,2))),""),"")</f>
        <v/>
      </c>
    </row>
    <row r="1406">
      <c r="M1406" s="3">
        <f>IF(H1406="Efectivo",IFERROR((VALUE(RIGHT(I1406,4))-VALUE(RIGHT(E1406,4)))*12+(VALUE(LEFT(I1406,2))-VALUE(LEFT(E1406,2))),""),"")</f>
        <v/>
      </c>
    </row>
    <row r="1407">
      <c r="M1407" s="3">
        <f>IF(H1407="Efectivo",IFERROR((VALUE(RIGHT(I1407,4))-VALUE(RIGHT(E1407,4)))*12+(VALUE(LEFT(I1407,2))-VALUE(LEFT(E1407,2))),""),"")</f>
        <v/>
      </c>
    </row>
    <row r="1408">
      <c r="M1408" s="3">
        <f>IF(H1408="Efectivo",IFERROR((VALUE(RIGHT(I1408,4))-VALUE(RIGHT(E1408,4)))*12+(VALUE(LEFT(I1408,2))-VALUE(LEFT(E1408,2))),""),"")</f>
        <v/>
      </c>
    </row>
    <row r="1409">
      <c r="M1409" s="3">
        <f>IF(H1409="Efectivo",IFERROR((VALUE(RIGHT(I1409,4))-VALUE(RIGHT(E1409,4)))*12+(VALUE(LEFT(I1409,2))-VALUE(LEFT(E1409,2))),""),"")</f>
        <v/>
      </c>
    </row>
    <row r="1410">
      <c r="M1410" s="3">
        <f>IF(H1410="Efectivo",IFERROR((VALUE(RIGHT(I1410,4))-VALUE(RIGHT(E1410,4)))*12+(VALUE(LEFT(I1410,2))-VALUE(LEFT(E1410,2))),""),"")</f>
        <v/>
      </c>
    </row>
    <row r="1411">
      <c r="M1411" s="3">
        <f>IF(H1411="Efectivo",IFERROR((VALUE(RIGHT(I1411,4))-VALUE(RIGHT(E1411,4)))*12+(VALUE(LEFT(I1411,2))-VALUE(LEFT(E1411,2))),""),"")</f>
        <v/>
      </c>
    </row>
    <row r="1412">
      <c r="M1412" s="3">
        <f>IF(H1412="Efectivo",IFERROR((VALUE(RIGHT(I1412,4))-VALUE(RIGHT(E1412,4)))*12+(VALUE(LEFT(I1412,2))-VALUE(LEFT(E1412,2))),""),"")</f>
        <v/>
      </c>
    </row>
    <row r="1413">
      <c r="M1413" s="3">
        <f>IF(H1413="Efectivo",IFERROR((VALUE(RIGHT(I1413,4))-VALUE(RIGHT(E1413,4)))*12+(VALUE(LEFT(I1413,2))-VALUE(LEFT(E1413,2))),""),"")</f>
        <v/>
      </c>
    </row>
    <row r="1414">
      <c r="M1414" s="3">
        <f>IF(H1414="Efectivo",IFERROR((VALUE(RIGHT(I1414,4))-VALUE(RIGHT(E1414,4)))*12+(VALUE(LEFT(I1414,2))-VALUE(LEFT(E1414,2))),""),"")</f>
        <v/>
      </c>
    </row>
    <row r="1415">
      <c r="M1415" s="3">
        <f>IF(H1415="Efectivo",IFERROR((VALUE(RIGHT(I1415,4))-VALUE(RIGHT(E1415,4)))*12+(VALUE(LEFT(I1415,2))-VALUE(LEFT(E1415,2))),""),"")</f>
        <v/>
      </c>
    </row>
    <row r="1416">
      <c r="M1416" s="3">
        <f>IF(H1416="Efectivo",IFERROR((VALUE(RIGHT(I1416,4))-VALUE(RIGHT(E1416,4)))*12+(VALUE(LEFT(I1416,2))-VALUE(LEFT(E1416,2))),""),"")</f>
        <v/>
      </c>
    </row>
    <row r="1417">
      <c r="M1417" s="3">
        <f>IF(H1417="Efectivo",IFERROR((VALUE(RIGHT(I1417,4))-VALUE(RIGHT(E1417,4)))*12+(VALUE(LEFT(I1417,2))-VALUE(LEFT(E1417,2))),""),"")</f>
        <v/>
      </c>
    </row>
    <row r="1418">
      <c r="M1418" s="3">
        <f>IF(H1418="Efectivo",IFERROR((VALUE(RIGHT(I1418,4))-VALUE(RIGHT(E1418,4)))*12+(VALUE(LEFT(I1418,2))-VALUE(LEFT(E1418,2))),""),"")</f>
        <v/>
      </c>
    </row>
    <row r="1419">
      <c r="M1419" s="3">
        <f>IF(H1419="Efectivo",IFERROR((VALUE(RIGHT(I1419,4))-VALUE(RIGHT(E1419,4)))*12+(VALUE(LEFT(I1419,2))-VALUE(LEFT(E1419,2))),""),"")</f>
        <v/>
      </c>
    </row>
    <row r="1420">
      <c r="M1420" s="3">
        <f>IF(H1420="Efectivo",IFERROR((VALUE(RIGHT(I1420,4))-VALUE(RIGHT(E1420,4)))*12+(VALUE(LEFT(I1420,2))-VALUE(LEFT(E1420,2))),""),"")</f>
        <v/>
      </c>
    </row>
    <row r="1421">
      <c r="M1421" s="3">
        <f>IF(H1421="Efectivo",IFERROR((VALUE(RIGHT(I1421,4))-VALUE(RIGHT(E1421,4)))*12+(VALUE(LEFT(I1421,2))-VALUE(LEFT(E1421,2))),""),"")</f>
        <v/>
      </c>
    </row>
    <row r="1422">
      <c r="M1422" s="3">
        <f>IF(H1422="Efectivo",IFERROR((VALUE(RIGHT(I1422,4))-VALUE(RIGHT(E1422,4)))*12+(VALUE(LEFT(I1422,2))-VALUE(LEFT(E1422,2))),""),"")</f>
        <v/>
      </c>
    </row>
    <row r="1423">
      <c r="M1423" s="3">
        <f>IF(H1423="Efectivo",IFERROR((VALUE(RIGHT(I1423,4))-VALUE(RIGHT(E1423,4)))*12+(VALUE(LEFT(I1423,2))-VALUE(LEFT(E1423,2))),""),"")</f>
        <v/>
      </c>
    </row>
    <row r="1424">
      <c r="M1424" s="3">
        <f>IF(H1424="Efectivo",IFERROR((VALUE(RIGHT(I1424,4))-VALUE(RIGHT(E1424,4)))*12+(VALUE(LEFT(I1424,2))-VALUE(LEFT(E1424,2))),""),"")</f>
        <v/>
      </c>
    </row>
    <row r="1425">
      <c r="M1425" s="3">
        <f>IF(H1425="Efectivo",IFERROR((VALUE(RIGHT(I1425,4))-VALUE(RIGHT(E1425,4)))*12+(VALUE(LEFT(I1425,2))-VALUE(LEFT(E1425,2))),""),"")</f>
        <v/>
      </c>
    </row>
    <row r="1426">
      <c r="M1426" s="3">
        <f>IF(H1426="Efectivo",IFERROR((VALUE(RIGHT(I1426,4))-VALUE(RIGHT(E1426,4)))*12+(VALUE(LEFT(I1426,2))-VALUE(LEFT(E1426,2))),""),"")</f>
        <v/>
      </c>
    </row>
    <row r="1427">
      <c r="M1427" s="3">
        <f>IF(H1427="Efectivo",IFERROR((VALUE(RIGHT(I1427,4))-VALUE(RIGHT(E1427,4)))*12+(VALUE(LEFT(I1427,2))-VALUE(LEFT(E1427,2))),""),"")</f>
        <v/>
      </c>
    </row>
    <row r="1428">
      <c r="M1428" s="3">
        <f>IF(H1428="Efectivo",IFERROR((VALUE(RIGHT(I1428,4))-VALUE(RIGHT(E1428,4)))*12+(VALUE(LEFT(I1428,2))-VALUE(LEFT(E1428,2))),""),"")</f>
        <v/>
      </c>
    </row>
    <row r="1429">
      <c r="M1429" s="3">
        <f>IF(H1429="Efectivo",IFERROR((VALUE(RIGHT(I1429,4))-VALUE(RIGHT(E1429,4)))*12+(VALUE(LEFT(I1429,2))-VALUE(LEFT(E1429,2))),""),"")</f>
        <v/>
      </c>
    </row>
    <row r="1430">
      <c r="M1430" s="3">
        <f>IF(H1430="Efectivo",IFERROR((VALUE(RIGHT(I1430,4))-VALUE(RIGHT(E1430,4)))*12+(VALUE(LEFT(I1430,2))-VALUE(LEFT(E1430,2))),""),"")</f>
        <v/>
      </c>
    </row>
    <row r="1431">
      <c r="M1431" s="3">
        <f>IF(H1431="Efectivo",IFERROR((VALUE(RIGHT(I1431,4))-VALUE(RIGHT(E1431,4)))*12+(VALUE(LEFT(I1431,2))-VALUE(LEFT(E1431,2))),""),"")</f>
        <v/>
      </c>
    </row>
    <row r="1432">
      <c r="M1432" s="3">
        <f>IF(H1432="Efectivo",IFERROR((VALUE(RIGHT(I1432,4))-VALUE(RIGHT(E1432,4)))*12+(VALUE(LEFT(I1432,2))-VALUE(LEFT(E1432,2))),""),"")</f>
        <v/>
      </c>
    </row>
    <row r="1433">
      <c r="M1433" s="3">
        <f>IF(H1433="Efectivo",IFERROR((VALUE(RIGHT(I1433,4))-VALUE(RIGHT(E1433,4)))*12+(VALUE(LEFT(I1433,2))-VALUE(LEFT(E1433,2))),""),"")</f>
        <v/>
      </c>
    </row>
    <row r="1434">
      <c r="M1434" s="3">
        <f>IF(H1434="Efectivo",IFERROR((VALUE(RIGHT(I1434,4))-VALUE(RIGHT(E1434,4)))*12+(VALUE(LEFT(I1434,2))-VALUE(LEFT(E1434,2))),""),"")</f>
        <v/>
      </c>
    </row>
    <row r="1435">
      <c r="M1435" s="3">
        <f>IF(H1435="Efectivo",IFERROR((VALUE(RIGHT(I1435,4))-VALUE(RIGHT(E1435,4)))*12+(VALUE(LEFT(I1435,2))-VALUE(LEFT(E1435,2))),""),"")</f>
        <v/>
      </c>
    </row>
    <row r="1436">
      <c r="M1436" s="3">
        <f>IF(H1436="Efectivo",IFERROR((VALUE(RIGHT(I1436,4))-VALUE(RIGHT(E1436,4)))*12+(VALUE(LEFT(I1436,2))-VALUE(LEFT(E1436,2))),""),"")</f>
        <v/>
      </c>
    </row>
    <row r="1437">
      <c r="M1437" s="3">
        <f>IF(H1437="Efectivo",IFERROR((VALUE(RIGHT(I1437,4))-VALUE(RIGHT(E1437,4)))*12+(VALUE(LEFT(I1437,2))-VALUE(LEFT(E1437,2))),""),"")</f>
        <v/>
      </c>
    </row>
    <row r="1438">
      <c r="M1438" s="3">
        <f>IF(H1438="Efectivo",IFERROR((VALUE(RIGHT(I1438,4))-VALUE(RIGHT(E1438,4)))*12+(VALUE(LEFT(I1438,2))-VALUE(LEFT(E1438,2))),""),"")</f>
        <v/>
      </c>
    </row>
    <row r="1439">
      <c r="M1439" s="3">
        <f>IF(H1439="Efectivo",IFERROR((VALUE(RIGHT(I1439,4))-VALUE(RIGHT(E1439,4)))*12+(VALUE(LEFT(I1439,2))-VALUE(LEFT(E1439,2))),""),"")</f>
        <v/>
      </c>
    </row>
    <row r="1440">
      <c r="M1440" s="3">
        <f>IF(H1440="Efectivo",IFERROR((VALUE(RIGHT(I1440,4))-VALUE(RIGHT(E1440,4)))*12+(VALUE(LEFT(I1440,2))-VALUE(LEFT(E1440,2))),""),"")</f>
        <v/>
      </c>
    </row>
    <row r="1441">
      <c r="M1441" s="3">
        <f>IF(H1441="Efectivo",IFERROR((VALUE(RIGHT(I1441,4))-VALUE(RIGHT(E1441,4)))*12+(VALUE(LEFT(I1441,2))-VALUE(LEFT(E1441,2))),""),"")</f>
        <v/>
      </c>
    </row>
    <row r="1442">
      <c r="M1442" s="3">
        <f>IF(H1442="Efectivo",IFERROR((VALUE(RIGHT(I1442,4))-VALUE(RIGHT(E1442,4)))*12+(VALUE(LEFT(I1442,2))-VALUE(LEFT(E1442,2))),""),"")</f>
        <v/>
      </c>
    </row>
    <row r="1443">
      <c r="M1443" s="3">
        <f>IF(H1443="Efectivo",IFERROR((VALUE(RIGHT(I1443,4))-VALUE(RIGHT(E1443,4)))*12+(VALUE(LEFT(I1443,2))-VALUE(LEFT(E1443,2))),""),"")</f>
        <v/>
      </c>
    </row>
    <row r="1444">
      <c r="M1444" s="3">
        <f>IF(H1444="Efectivo",IFERROR((VALUE(RIGHT(I1444,4))-VALUE(RIGHT(E1444,4)))*12+(VALUE(LEFT(I1444,2))-VALUE(LEFT(E1444,2))),""),"")</f>
        <v/>
      </c>
    </row>
    <row r="1445">
      <c r="M1445" s="3">
        <f>IF(H1445="Efectivo",IFERROR((VALUE(RIGHT(I1445,4))-VALUE(RIGHT(E1445,4)))*12+(VALUE(LEFT(I1445,2))-VALUE(LEFT(E1445,2))),""),"")</f>
        <v/>
      </c>
    </row>
    <row r="1446">
      <c r="M1446" s="3">
        <f>IF(H1446="Efectivo",IFERROR((VALUE(RIGHT(I1446,4))-VALUE(RIGHT(E1446,4)))*12+(VALUE(LEFT(I1446,2))-VALUE(LEFT(E1446,2))),""),"")</f>
        <v/>
      </c>
    </row>
    <row r="1447">
      <c r="M1447" s="3">
        <f>IF(H1447="Efectivo",IFERROR((VALUE(RIGHT(I1447,4))-VALUE(RIGHT(E1447,4)))*12+(VALUE(LEFT(I1447,2))-VALUE(LEFT(E1447,2))),""),"")</f>
        <v/>
      </c>
    </row>
    <row r="1448">
      <c r="M1448" s="3">
        <f>IF(H1448="Efectivo",IFERROR((VALUE(RIGHT(I1448,4))-VALUE(RIGHT(E1448,4)))*12+(VALUE(LEFT(I1448,2))-VALUE(LEFT(E1448,2))),""),"")</f>
        <v/>
      </c>
    </row>
    <row r="1449">
      <c r="M1449" s="3">
        <f>IF(H1449="Efectivo",IFERROR((VALUE(RIGHT(I1449,4))-VALUE(RIGHT(E1449,4)))*12+(VALUE(LEFT(I1449,2))-VALUE(LEFT(E1449,2))),""),"")</f>
        <v/>
      </c>
    </row>
    <row r="1450">
      <c r="M1450" s="3">
        <f>IF(H1450="Efectivo",IFERROR((VALUE(RIGHT(I1450,4))-VALUE(RIGHT(E1450,4)))*12+(VALUE(LEFT(I1450,2))-VALUE(LEFT(E1450,2))),""),"")</f>
        <v/>
      </c>
    </row>
    <row r="1451">
      <c r="M1451" s="3">
        <f>IF(H1451="Efectivo",IFERROR((VALUE(RIGHT(I1451,4))-VALUE(RIGHT(E1451,4)))*12+(VALUE(LEFT(I1451,2))-VALUE(LEFT(E1451,2))),""),"")</f>
        <v/>
      </c>
    </row>
    <row r="1452">
      <c r="M1452" s="3">
        <f>IF(H1452="Efectivo",IFERROR((VALUE(RIGHT(I1452,4))-VALUE(RIGHT(E1452,4)))*12+(VALUE(LEFT(I1452,2))-VALUE(LEFT(E1452,2))),""),"")</f>
        <v/>
      </c>
    </row>
    <row r="1453">
      <c r="M1453" s="3">
        <f>IF(H1453="Efectivo",IFERROR((VALUE(RIGHT(I1453,4))-VALUE(RIGHT(E1453,4)))*12+(VALUE(LEFT(I1453,2))-VALUE(LEFT(E1453,2))),""),"")</f>
        <v/>
      </c>
    </row>
    <row r="1454">
      <c r="M1454" s="3">
        <f>IF(H1454="Efectivo",IFERROR((VALUE(RIGHT(I1454,4))-VALUE(RIGHT(E1454,4)))*12+(VALUE(LEFT(I1454,2))-VALUE(LEFT(E1454,2))),""),"")</f>
        <v/>
      </c>
    </row>
    <row r="1455">
      <c r="M1455" s="3">
        <f>IF(H1455="Efectivo",IFERROR((VALUE(RIGHT(I1455,4))-VALUE(RIGHT(E1455,4)))*12+(VALUE(LEFT(I1455,2))-VALUE(LEFT(E1455,2))),""),"")</f>
        <v/>
      </c>
    </row>
    <row r="1456">
      <c r="M1456" s="3">
        <f>IF(H1456="Efectivo",IFERROR((VALUE(RIGHT(I1456,4))-VALUE(RIGHT(E1456,4)))*12+(VALUE(LEFT(I1456,2))-VALUE(LEFT(E1456,2))),""),"")</f>
        <v/>
      </c>
    </row>
    <row r="1457">
      <c r="M1457" s="3">
        <f>IF(H1457="Efectivo",IFERROR((VALUE(RIGHT(I1457,4))-VALUE(RIGHT(E1457,4)))*12+(VALUE(LEFT(I1457,2))-VALUE(LEFT(E1457,2))),""),"")</f>
        <v/>
      </c>
    </row>
    <row r="1458">
      <c r="M1458" s="3">
        <f>IF(H1458="Efectivo",IFERROR((VALUE(RIGHT(I1458,4))-VALUE(RIGHT(E1458,4)))*12+(VALUE(LEFT(I1458,2))-VALUE(LEFT(E1458,2))),""),"")</f>
        <v/>
      </c>
    </row>
    <row r="1459">
      <c r="M1459" s="3">
        <f>IF(H1459="Efectivo",IFERROR((VALUE(RIGHT(I1459,4))-VALUE(RIGHT(E1459,4)))*12+(VALUE(LEFT(I1459,2))-VALUE(LEFT(E1459,2))),""),"")</f>
        <v/>
      </c>
    </row>
    <row r="1460">
      <c r="M1460" s="3">
        <f>IF(H1460="Efectivo",IFERROR((VALUE(RIGHT(I1460,4))-VALUE(RIGHT(E1460,4)))*12+(VALUE(LEFT(I1460,2))-VALUE(LEFT(E1460,2))),""),"")</f>
        <v/>
      </c>
    </row>
    <row r="1461">
      <c r="M1461" s="3">
        <f>IF(H1461="Efectivo",IFERROR((VALUE(RIGHT(I1461,4))-VALUE(RIGHT(E1461,4)))*12+(VALUE(LEFT(I1461,2))-VALUE(LEFT(E1461,2))),""),"")</f>
        <v/>
      </c>
    </row>
    <row r="1462">
      <c r="M1462" s="3">
        <f>IF(H1462="Efectivo",IFERROR((VALUE(RIGHT(I1462,4))-VALUE(RIGHT(E1462,4)))*12+(VALUE(LEFT(I1462,2))-VALUE(LEFT(E1462,2))),""),"")</f>
        <v/>
      </c>
    </row>
    <row r="1463">
      <c r="M1463" s="3">
        <f>IF(H1463="Efectivo",IFERROR((VALUE(RIGHT(I1463,4))-VALUE(RIGHT(E1463,4)))*12+(VALUE(LEFT(I1463,2))-VALUE(LEFT(E1463,2))),""),"")</f>
        <v/>
      </c>
    </row>
    <row r="1464">
      <c r="M1464" s="3">
        <f>IF(H1464="Efectivo",IFERROR((VALUE(RIGHT(I1464,4))-VALUE(RIGHT(E1464,4)))*12+(VALUE(LEFT(I1464,2))-VALUE(LEFT(E1464,2))),""),"")</f>
        <v/>
      </c>
    </row>
    <row r="1465">
      <c r="M1465" s="3">
        <f>IF(H1465="Efectivo",IFERROR((VALUE(RIGHT(I1465,4))-VALUE(RIGHT(E1465,4)))*12+(VALUE(LEFT(I1465,2))-VALUE(LEFT(E1465,2))),""),"")</f>
        <v/>
      </c>
    </row>
    <row r="1466">
      <c r="M1466" s="3">
        <f>IF(H1466="Efectivo",IFERROR((VALUE(RIGHT(I1466,4))-VALUE(RIGHT(E1466,4)))*12+(VALUE(LEFT(I1466,2))-VALUE(LEFT(E1466,2))),""),"")</f>
        <v/>
      </c>
    </row>
    <row r="1467">
      <c r="M1467" s="3">
        <f>IF(H1467="Efectivo",IFERROR((VALUE(RIGHT(I1467,4))-VALUE(RIGHT(E1467,4)))*12+(VALUE(LEFT(I1467,2))-VALUE(LEFT(E1467,2))),""),"")</f>
        <v/>
      </c>
    </row>
    <row r="1468">
      <c r="M1468" s="3">
        <f>IF(H1468="Efectivo",IFERROR((VALUE(RIGHT(I1468,4))-VALUE(RIGHT(E1468,4)))*12+(VALUE(LEFT(I1468,2))-VALUE(LEFT(E1468,2))),""),"")</f>
        <v/>
      </c>
    </row>
    <row r="1469">
      <c r="M1469" s="3">
        <f>IF(H1469="Efectivo",IFERROR((VALUE(RIGHT(I1469,4))-VALUE(RIGHT(E1469,4)))*12+(VALUE(LEFT(I1469,2))-VALUE(LEFT(E1469,2))),""),"")</f>
        <v/>
      </c>
    </row>
    <row r="1470">
      <c r="M1470" s="3">
        <f>IF(H1470="Efectivo",IFERROR((VALUE(RIGHT(I1470,4))-VALUE(RIGHT(E1470,4)))*12+(VALUE(LEFT(I1470,2))-VALUE(LEFT(E1470,2))),""),"")</f>
        <v/>
      </c>
    </row>
    <row r="1471">
      <c r="M1471" s="3">
        <f>IF(H1471="Efectivo",IFERROR((VALUE(RIGHT(I1471,4))-VALUE(RIGHT(E1471,4)))*12+(VALUE(LEFT(I1471,2))-VALUE(LEFT(E1471,2))),""),"")</f>
        <v/>
      </c>
    </row>
    <row r="1472">
      <c r="M1472" s="3">
        <f>IF(H1472="Efectivo",IFERROR((VALUE(RIGHT(I1472,4))-VALUE(RIGHT(E1472,4)))*12+(VALUE(LEFT(I1472,2))-VALUE(LEFT(E1472,2))),""),"")</f>
        <v/>
      </c>
    </row>
    <row r="1473">
      <c r="M1473" s="3">
        <f>IF(H1473="Efectivo",IFERROR((VALUE(RIGHT(I1473,4))-VALUE(RIGHT(E1473,4)))*12+(VALUE(LEFT(I1473,2))-VALUE(LEFT(E1473,2))),""),"")</f>
        <v/>
      </c>
    </row>
    <row r="1474">
      <c r="M1474" s="3">
        <f>IF(H1474="Efectivo",IFERROR((VALUE(RIGHT(I1474,4))-VALUE(RIGHT(E1474,4)))*12+(VALUE(LEFT(I1474,2))-VALUE(LEFT(E1474,2))),""),"")</f>
        <v/>
      </c>
    </row>
    <row r="1475">
      <c r="M1475" s="3">
        <f>IF(H1475="Efectivo",IFERROR((VALUE(RIGHT(I1475,4))-VALUE(RIGHT(E1475,4)))*12+(VALUE(LEFT(I1475,2))-VALUE(LEFT(E1475,2))),""),"")</f>
        <v/>
      </c>
    </row>
    <row r="1476">
      <c r="M1476" s="3">
        <f>IF(H1476="Efectivo",IFERROR((VALUE(RIGHT(I1476,4))-VALUE(RIGHT(E1476,4)))*12+(VALUE(LEFT(I1476,2))-VALUE(LEFT(E1476,2))),""),"")</f>
        <v/>
      </c>
    </row>
    <row r="1477">
      <c r="M1477" s="3">
        <f>IF(H1477="Efectivo",IFERROR((VALUE(RIGHT(I1477,4))-VALUE(RIGHT(E1477,4)))*12+(VALUE(LEFT(I1477,2))-VALUE(LEFT(E1477,2))),""),"")</f>
        <v/>
      </c>
    </row>
    <row r="1478">
      <c r="M1478" s="3">
        <f>IF(H1478="Efectivo",IFERROR((VALUE(RIGHT(I1478,4))-VALUE(RIGHT(E1478,4)))*12+(VALUE(LEFT(I1478,2))-VALUE(LEFT(E1478,2))),""),"")</f>
        <v/>
      </c>
    </row>
    <row r="1479">
      <c r="M1479" s="3">
        <f>IF(H1479="Efectivo",IFERROR((VALUE(RIGHT(I1479,4))-VALUE(RIGHT(E1479,4)))*12+(VALUE(LEFT(I1479,2))-VALUE(LEFT(E1479,2))),""),"")</f>
        <v/>
      </c>
    </row>
    <row r="1480">
      <c r="M1480" s="3">
        <f>IF(H1480="Efectivo",IFERROR((VALUE(RIGHT(I1480,4))-VALUE(RIGHT(E1480,4)))*12+(VALUE(LEFT(I1480,2))-VALUE(LEFT(E1480,2))),""),"")</f>
        <v/>
      </c>
    </row>
    <row r="1481">
      <c r="M1481" s="3">
        <f>IF(H1481="Efectivo",IFERROR((VALUE(RIGHT(I1481,4))-VALUE(RIGHT(E1481,4)))*12+(VALUE(LEFT(I1481,2))-VALUE(LEFT(E1481,2))),""),"")</f>
        <v/>
      </c>
    </row>
    <row r="1482">
      <c r="M1482" s="3">
        <f>IF(H1482="Efectivo",IFERROR((VALUE(RIGHT(I1482,4))-VALUE(RIGHT(E1482,4)))*12+(VALUE(LEFT(I1482,2))-VALUE(LEFT(E1482,2))),""),"")</f>
        <v/>
      </c>
    </row>
    <row r="1483">
      <c r="M1483" s="3">
        <f>IF(H1483="Efectivo",IFERROR((VALUE(RIGHT(I1483,4))-VALUE(RIGHT(E1483,4)))*12+(VALUE(LEFT(I1483,2))-VALUE(LEFT(E1483,2))),""),"")</f>
        <v/>
      </c>
    </row>
    <row r="1484">
      <c r="M1484" s="3">
        <f>IF(H1484="Efectivo",IFERROR((VALUE(RIGHT(I1484,4))-VALUE(RIGHT(E1484,4)))*12+(VALUE(LEFT(I1484,2))-VALUE(LEFT(E1484,2))),""),"")</f>
        <v/>
      </c>
    </row>
    <row r="1485">
      <c r="M1485" s="3">
        <f>IF(H1485="Efectivo",IFERROR((VALUE(RIGHT(I1485,4))-VALUE(RIGHT(E1485,4)))*12+(VALUE(LEFT(I1485,2))-VALUE(LEFT(E1485,2))),""),"")</f>
        <v/>
      </c>
    </row>
    <row r="1486">
      <c r="M1486" s="3">
        <f>IF(H1486="Efectivo",IFERROR((VALUE(RIGHT(I1486,4))-VALUE(RIGHT(E1486,4)))*12+(VALUE(LEFT(I1486,2))-VALUE(LEFT(E1486,2))),""),"")</f>
        <v/>
      </c>
    </row>
    <row r="1487">
      <c r="M1487" s="3">
        <f>IF(H1487="Efectivo",IFERROR((VALUE(RIGHT(I1487,4))-VALUE(RIGHT(E1487,4)))*12+(VALUE(LEFT(I1487,2))-VALUE(LEFT(E1487,2))),""),"")</f>
        <v/>
      </c>
    </row>
    <row r="1488">
      <c r="M1488" s="3">
        <f>IF(H1488="Efectivo",IFERROR((VALUE(RIGHT(I1488,4))-VALUE(RIGHT(E1488,4)))*12+(VALUE(LEFT(I1488,2))-VALUE(LEFT(E1488,2))),""),"")</f>
        <v/>
      </c>
    </row>
    <row r="1489">
      <c r="M1489" s="3">
        <f>IF(H1489="Efectivo",IFERROR((VALUE(RIGHT(I1489,4))-VALUE(RIGHT(E1489,4)))*12+(VALUE(LEFT(I1489,2))-VALUE(LEFT(E1489,2))),""),"")</f>
        <v/>
      </c>
    </row>
    <row r="1490">
      <c r="M1490" s="3">
        <f>IF(H1490="Efectivo",IFERROR((VALUE(RIGHT(I1490,4))-VALUE(RIGHT(E1490,4)))*12+(VALUE(LEFT(I1490,2))-VALUE(LEFT(E1490,2))),""),"")</f>
        <v/>
      </c>
    </row>
    <row r="1491">
      <c r="M1491" s="3">
        <f>IF(H1491="Efectivo",IFERROR((VALUE(RIGHT(I1491,4))-VALUE(RIGHT(E1491,4)))*12+(VALUE(LEFT(I1491,2))-VALUE(LEFT(E1491,2))),""),"")</f>
        <v/>
      </c>
    </row>
    <row r="1492">
      <c r="M1492" s="3">
        <f>IF(H1492="Efectivo",IFERROR((VALUE(RIGHT(I1492,4))-VALUE(RIGHT(E1492,4)))*12+(VALUE(LEFT(I1492,2))-VALUE(LEFT(E1492,2))),""),"")</f>
        <v/>
      </c>
    </row>
    <row r="1493">
      <c r="M1493" s="3">
        <f>IF(H1493="Efectivo",IFERROR((VALUE(RIGHT(I1493,4))-VALUE(RIGHT(E1493,4)))*12+(VALUE(LEFT(I1493,2))-VALUE(LEFT(E1493,2))),""),"")</f>
        <v/>
      </c>
    </row>
    <row r="1494">
      <c r="M1494" s="3">
        <f>IF(H1494="Efectivo",IFERROR((VALUE(RIGHT(I1494,4))-VALUE(RIGHT(E1494,4)))*12+(VALUE(LEFT(I1494,2))-VALUE(LEFT(E1494,2))),""),"")</f>
        <v/>
      </c>
    </row>
    <row r="1495">
      <c r="M1495" s="3">
        <f>IF(H1495="Efectivo",IFERROR((VALUE(RIGHT(I1495,4))-VALUE(RIGHT(E1495,4)))*12+(VALUE(LEFT(I1495,2))-VALUE(LEFT(E1495,2))),""),"")</f>
        <v/>
      </c>
    </row>
    <row r="1496">
      <c r="M1496" s="3">
        <f>IF(H1496="Efectivo",IFERROR((VALUE(RIGHT(I1496,4))-VALUE(RIGHT(E1496,4)))*12+(VALUE(LEFT(I1496,2))-VALUE(LEFT(E1496,2))),""),"")</f>
        <v/>
      </c>
    </row>
    <row r="1497">
      <c r="M1497" s="3">
        <f>IF(H1497="Efectivo",IFERROR((VALUE(RIGHT(I1497,4))-VALUE(RIGHT(E1497,4)))*12+(VALUE(LEFT(I1497,2))-VALUE(LEFT(E1497,2))),""),"")</f>
        <v/>
      </c>
    </row>
    <row r="1498">
      <c r="M1498" s="3">
        <f>IF(H1498="Efectivo",IFERROR((VALUE(RIGHT(I1498,4))-VALUE(RIGHT(E1498,4)))*12+(VALUE(LEFT(I1498,2))-VALUE(LEFT(E1498,2))),""),"")</f>
        <v/>
      </c>
    </row>
    <row r="1499">
      <c r="M1499" s="3">
        <f>IF(H1499="Efectivo",IFERROR((VALUE(RIGHT(I1499,4))-VALUE(RIGHT(E1499,4)))*12+(VALUE(LEFT(I1499,2))-VALUE(LEFT(E1499,2))),""),"")</f>
        <v/>
      </c>
    </row>
    <row r="1500">
      <c r="M1500" s="3">
        <f>IF(H1500="Efectivo",IFERROR((VALUE(RIGHT(I1500,4))-VALUE(RIGHT(E1500,4)))*12+(VALUE(LEFT(I1500,2))-VALUE(LEFT(E1500,2))),""),"")</f>
        <v/>
      </c>
    </row>
    <row r="1501">
      <c r="M1501" s="3">
        <f>IF(H1501="Efectivo",IFERROR((VALUE(RIGHT(I1501,4))-VALUE(RIGHT(E1501,4)))*12+(VALUE(LEFT(I1501,2))-VALUE(LEFT(E1501,2))),""),"")</f>
        <v/>
      </c>
    </row>
    <row r="1502">
      <c r="M1502" s="3">
        <f>IF(H1502="Efectivo",IFERROR((VALUE(RIGHT(I1502,4))-VALUE(RIGHT(E1502,4)))*12+(VALUE(LEFT(I1502,2))-VALUE(LEFT(E1502,2))),""),"")</f>
        <v/>
      </c>
    </row>
    <row r="1503">
      <c r="M1503" s="3">
        <f>IF(H1503="Efectivo",IFERROR((VALUE(RIGHT(I1503,4))-VALUE(RIGHT(E1503,4)))*12+(VALUE(LEFT(I1503,2))-VALUE(LEFT(E1503,2))),""),"")</f>
        <v/>
      </c>
    </row>
    <row r="1504">
      <c r="M1504" s="3">
        <f>IF(H1504="Efectivo",IFERROR((VALUE(RIGHT(I1504,4))-VALUE(RIGHT(E1504,4)))*12+(VALUE(LEFT(I1504,2))-VALUE(LEFT(E1504,2))),""),"")</f>
        <v/>
      </c>
    </row>
    <row r="1505">
      <c r="M1505" s="3">
        <f>IF(H1505="Efectivo",IFERROR((VALUE(RIGHT(I1505,4))-VALUE(RIGHT(E1505,4)))*12+(VALUE(LEFT(I1505,2))-VALUE(LEFT(E1505,2))),""),"")</f>
        <v/>
      </c>
    </row>
    <row r="1506">
      <c r="M1506" s="3">
        <f>IF(H1506="Efectivo",IFERROR((VALUE(RIGHT(I1506,4))-VALUE(RIGHT(E1506,4)))*12+(VALUE(LEFT(I1506,2))-VALUE(LEFT(E1506,2))),""),"")</f>
        <v/>
      </c>
    </row>
    <row r="1507">
      <c r="M1507" s="3">
        <f>IF(H1507="Efectivo",IFERROR((VALUE(RIGHT(I1507,4))-VALUE(RIGHT(E1507,4)))*12+(VALUE(LEFT(I1507,2))-VALUE(LEFT(E1507,2))),""),"")</f>
        <v/>
      </c>
    </row>
    <row r="1508">
      <c r="M1508" s="3">
        <f>IF(H1508="Efectivo",IFERROR((VALUE(RIGHT(I1508,4))-VALUE(RIGHT(E1508,4)))*12+(VALUE(LEFT(I1508,2))-VALUE(LEFT(E1508,2))),""),"")</f>
        <v/>
      </c>
    </row>
    <row r="1509">
      <c r="M1509" s="3">
        <f>IF(H1509="Efectivo",IFERROR((VALUE(RIGHT(I1509,4))-VALUE(RIGHT(E1509,4)))*12+(VALUE(LEFT(I1509,2))-VALUE(LEFT(E1509,2))),""),"")</f>
        <v/>
      </c>
    </row>
    <row r="1510">
      <c r="M1510" s="3">
        <f>IF(H1510="Efectivo",IFERROR((VALUE(RIGHT(I1510,4))-VALUE(RIGHT(E1510,4)))*12+(VALUE(LEFT(I1510,2))-VALUE(LEFT(E1510,2))),""),"")</f>
        <v/>
      </c>
    </row>
    <row r="1511">
      <c r="M1511" s="3">
        <f>IF(H1511="Efectivo",IFERROR((VALUE(RIGHT(I1511,4))-VALUE(RIGHT(E1511,4)))*12+(VALUE(LEFT(I1511,2))-VALUE(LEFT(E1511,2))),""),"")</f>
        <v/>
      </c>
    </row>
    <row r="1512">
      <c r="M1512" s="3">
        <f>IF(H1512="Efectivo",IFERROR((VALUE(RIGHT(I1512,4))-VALUE(RIGHT(E1512,4)))*12+(VALUE(LEFT(I1512,2))-VALUE(LEFT(E1512,2))),""),"")</f>
        <v/>
      </c>
    </row>
    <row r="1513">
      <c r="M1513" s="3">
        <f>IF(H1513="Efectivo",IFERROR((VALUE(RIGHT(I1513,4))-VALUE(RIGHT(E1513,4)))*12+(VALUE(LEFT(I1513,2))-VALUE(LEFT(E1513,2))),""),"")</f>
        <v/>
      </c>
    </row>
    <row r="1514">
      <c r="M1514" s="3">
        <f>IF(H1514="Efectivo",IFERROR((VALUE(RIGHT(I1514,4))-VALUE(RIGHT(E1514,4)))*12+(VALUE(LEFT(I1514,2))-VALUE(LEFT(E1514,2))),""),"")</f>
        <v/>
      </c>
    </row>
    <row r="1515">
      <c r="M1515" s="3">
        <f>IF(H1515="Efectivo",IFERROR((VALUE(RIGHT(I1515,4))-VALUE(RIGHT(E1515,4)))*12+(VALUE(LEFT(I1515,2))-VALUE(LEFT(E1515,2))),""),"")</f>
        <v/>
      </c>
    </row>
    <row r="1516">
      <c r="M1516" s="3">
        <f>IF(H1516="Efectivo",IFERROR((VALUE(RIGHT(I1516,4))-VALUE(RIGHT(E1516,4)))*12+(VALUE(LEFT(I1516,2))-VALUE(LEFT(E1516,2))),""),"")</f>
        <v/>
      </c>
    </row>
    <row r="1517">
      <c r="M1517" s="3">
        <f>IF(H1517="Efectivo",IFERROR((VALUE(RIGHT(I1517,4))-VALUE(RIGHT(E1517,4)))*12+(VALUE(LEFT(I1517,2))-VALUE(LEFT(E1517,2))),""),"")</f>
        <v/>
      </c>
    </row>
    <row r="1518">
      <c r="M1518" s="3">
        <f>IF(H1518="Efectivo",IFERROR((VALUE(RIGHT(I1518,4))-VALUE(RIGHT(E1518,4)))*12+(VALUE(LEFT(I1518,2))-VALUE(LEFT(E1518,2))),""),"")</f>
        <v/>
      </c>
    </row>
    <row r="1519">
      <c r="M1519" s="3">
        <f>IF(H1519="Efectivo",IFERROR((VALUE(RIGHT(I1519,4))-VALUE(RIGHT(E1519,4)))*12+(VALUE(LEFT(I1519,2))-VALUE(LEFT(E1519,2))),""),"")</f>
        <v/>
      </c>
    </row>
    <row r="1520">
      <c r="M1520" s="3">
        <f>IF(H1520="Efectivo",IFERROR((VALUE(RIGHT(I1520,4))-VALUE(RIGHT(E1520,4)))*12+(VALUE(LEFT(I1520,2))-VALUE(LEFT(E1520,2))),""),"")</f>
        <v/>
      </c>
    </row>
    <row r="1521">
      <c r="M1521" s="3">
        <f>IF(H1521="Efectivo",IFERROR((VALUE(RIGHT(I1521,4))-VALUE(RIGHT(E1521,4)))*12+(VALUE(LEFT(I1521,2))-VALUE(LEFT(E1521,2))),""),"")</f>
        <v/>
      </c>
    </row>
    <row r="1522">
      <c r="M1522" s="3">
        <f>IF(H1522="Efectivo",IFERROR((VALUE(RIGHT(I1522,4))-VALUE(RIGHT(E1522,4)))*12+(VALUE(LEFT(I1522,2))-VALUE(LEFT(E1522,2))),""),"")</f>
        <v/>
      </c>
    </row>
    <row r="1523">
      <c r="M1523" s="3">
        <f>IF(H1523="Efectivo",IFERROR((VALUE(RIGHT(I1523,4))-VALUE(RIGHT(E1523,4)))*12+(VALUE(LEFT(I1523,2))-VALUE(LEFT(E1523,2))),""),"")</f>
        <v/>
      </c>
    </row>
    <row r="1524">
      <c r="M1524" s="3">
        <f>IF(H1524="Efectivo",IFERROR((VALUE(RIGHT(I1524,4))-VALUE(RIGHT(E1524,4)))*12+(VALUE(LEFT(I1524,2))-VALUE(LEFT(E1524,2))),""),"")</f>
        <v/>
      </c>
    </row>
    <row r="1525">
      <c r="M1525" s="3">
        <f>IF(H1525="Efectivo",IFERROR((VALUE(RIGHT(I1525,4))-VALUE(RIGHT(E1525,4)))*12+(VALUE(LEFT(I1525,2))-VALUE(LEFT(E1525,2))),""),"")</f>
        <v/>
      </c>
    </row>
    <row r="1526">
      <c r="M1526" s="3">
        <f>IF(H1526="Efectivo",IFERROR((VALUE(RIGHT(I1526,4))-VALUE(RIGHT(E1526,4)))*12+(VALUE(LEFT(I1526,2))-VALUE(LEFT(E1526,2))),""),"")</f>
        <v/>
      </c>
    </row>
    <row r="1527">
      <c r="M1527" s="3">
        <f>IF(H1527="Efectivo",IFERROR((VALUE(RIGHT(I1527,4))-VALUE(RIGHT(E1527,4)))*12+(VALUE(LEFT(I1527,2))-VALUE(LEFT(E1527,2))),""),"")</f>
        <v/>
      </c>
    </row>
    <row r="1528">
      <c r="M1528" s="3">
        <f>IF(H1528="Efectivo",IFERROR((VALUE(RIGHT(I1528,4))-VALUE(RIGHT(E1528,4)))*12+(VALUE(LEFT(I1528,2))-VALUE(LEFT(E1528,2))),""),"")</f>
        <v/>
      </c>
    </row>
    <row r="1529">
      <c r="M1529" s="3">
        <f>IF(H1529="Efectivo",IFERROR((VALUE(RIGHT(I1529,4))-VALUE(RIGHT(E1529,4)))*12+(VALUE(LEFT(I1529,2))-VALUE(LEFT(E1529,2))),""),"")</f>
        <v/>
      </c>
    </row>
    <row r="1530">
      <c r="M1530" s="3">
        <f>IF(H1530="Efectivo",IFERROR((VALUE(RIGHT(I1530,4))-VALUE(RIGHT(E1530,4)))*12+(VALUE(LEFT(I1530,2))-VALUE(LEFT(E1530,2))),""),"")</f>
        <v/>
      </c>
    </row>
    <row r="1531">
      <c r="M1531" s="3">
        <f>IF(H1531="Efectivo",IFERROR((VALUE(RIGHT(I1531,4))-VALUE(RIGHT(E1531,4)))*12+(VALUE(LEFT(I1531,2))-VALUE(LEFT(E1531,2))),""),"")</f>
        <v/>
      </c>
    </row>
    <row r="1532">
      <c r="M1532" s="3">
        <f>IF(H1532="Efectivo",IFERROR((VALUE(RIGHT(I1532,4))-VALUE(RIGHT(E1532,4)))*12+(VALUE(LEFT(I1532,2))-VALUE(LEFT(E1532,2))),""),"")</f>
        <v/>
      </c>
    </row>
    <row r="1533">
      <c r="M1533" s="3">
        <f>IF(H1533="Efectivo",IFERROR((VALUE(RIGHT(I1533,4))-VALUE(RIGHT(E1533,4)))*12+(VALUE(LEFT(I1533,2))-VALUE(LEFT(E1533,2))),""),"")</f>
        <v/>
      </c>
    </row>
    <row r="1534">
      <c r="M1534" s="3">
        <f>IF(H1534="Efectivo",IFERROR((VALUE(RIGHT(I1534,4))-VALUE(RIGHT(E1534,4)))*12+(VALUE(LEFT(I1534,2))-VALUE(LEFT(E1534,2))),""),"")</f>
        <v/>
      </c>
    </row>
    <row r="1535">
      <c r="M1535" s="3">
        <f>IF(H1535="Efectivo",IFERROR((VALUE(RIGHT(I1535,4))-VALUE(RIGHT(E1535,4)))*12+(VALUE(LEFT(I1535,2))-VALUE(LEFT(E1535,2))),""),"")</f>
        <v/>
      </c>
    </row>
    <row r="1536">
      <c r="M1536" s="3">
        <f>IF(H1536="Efectivo",IFERROR((VALUE(RIGHT(I1536,4))-VALUE(RIGHT(E1536,4)))*12+(VALUE(LEFT(I1536,2))-VALUE(LEFT(E1536,2))),""),"")</f>
        <v/>
      </c>
    </row>
    <row r="1537">
      <c r="M1537" s="3">
        <f>IF(H1537="Efectivo",IFERROR((VALUE(RIGHT(I1537,4))-VALUE(RIGHT(E1537,4)))*12+(VALUE(LEFT(I1537,2))-VALUE(LEFT(E1537,2))),""),"")</f>
        <v/>
      </c>
    </row>
    <row r="1538">
      <c r="M1538" s="3">
        <f>IF(H1538="Efectivo",IFERROR((VALUE(RIGHT(I1538,4))-VALUE(RIGHT(E1538,4)))*12+(VALUE(LEFT(I1538,2))-VALUE(LEFT(E1538,2))),""),"")</f>
        <v/>
      </c>
    </row>
    <row r="1539">
      <c r="M1539" s="3">
        <f>IF(H1539="Efectivo",IFERROR((VALUE(RIGHT(I1539,4))-VALUE(RIGHT(E1539,4)))*12+(VALUE(LEFT(I1539,2))-VALUE(LEFT(E1539,2))),""),"")</f>
        <v/>
      </c>
    </row>
    <row r="1540">
      <c r="M1540" s="3">
        <f>IF(H1540="Efectivo",IFERROR((VALUE(RIGHT(I1540,4))-VALUE(RIGHT(E1540,4)))*12+(VALUE(LEFT(I1540,2))-VALUE(LEFT(E1540,2))),""),"")</f>
        <v/>
      </c>
    </row>
    <row r="1541">
      <c r="M1541" s="3">
        <f>IF(H1541="Efectivo",IFERROR((VALUE(RIGHT(I1541,4))-VALUE(RIGHT(E1541,4)))*12+(VALUE(LEFT(I1541,2))-VALUE(LEFT(E1541,2))),""),"")</f>
        <v/>
      </c>
    </row>
    <row r="1542">
      <c r="M1542" s="3">
        <f>IF(H1542="Efectivo",IFERROR((VALUE(RIGHT(I1542,4))-VALUE(RIGHT(E1542,4)))*12+(VALUE(LEFT(I1542,2))-VALUE(LEFT(E1542,2))),""),"")</f>
        <v/>
      </c>
    </row>
    <row r="1543">
      <c r="M1543" s="3">
        <f>IF(H1543="Efectivo",IFERROR((VALUE(RIGHT(I1543,4))-VALUE(RIGHT(E1543,4)))*12+(VALUE(LEFT(I1543,2))-VALUE(LEFT(E1543,2))),""),"")</f>
        <v/>
      </c>
    </row>
    <row r="1544">
      <c r="M1544" s="3">
        <f>IF(H1544="Efectivo",IFERROR((VALUE(RIGHT(I1544,4))-VALUE(RIGHT(E1544,4)))*12+(VALUE(LEFT(I1544,2))-VALUE(LEFT(E1544,2))),""),"")</f>
        <v/>
      </c>
    </row>
    <row r="1545">
      <c r="M1545" s="3">
        <f>IF(H1545="Efectivo",IFERROR((VALUE(RIGHT(I1545,4))-VALUE(RIGHT(E1545,4)))*12+(VALUE(LEFT(I1545,2))-VALUE(LEFT(E1545,2))),""),"")</f>
        <v/>
      </c>
    </row>
    <row r="1546">
      <c r="M1546" s="3">
        <f>IF(H1546="Efectivo",IFERROR((VALUE(RIGHT(I1546,4))-VALUE(RIGHT(E1546,4)))*12+(VALUE(LEFT(I1546,2))-VALUE(LEFT(E1546,2))),""),"")</f>
        <v/>
      </c>
    </row>
    <row r="1547">
      <c r="M1547" s="3">
        <f>IF(H1547="Efectivo",IFERROR((VALUE(RIGHT(I1547,4))-VALUE(RIGHT(E1547,4)))*12+(VALUE(LEFT(I1547,2))-VALUE(LEFT(E1547,2))),""),"")</f>
        <v/>
      </c>
    </row>
    <row r="1548">
      <c r="M1548" s="3">
        <f>IF(H1548="Efectivo",IFERROR((VALUE(RIGHT(I1548,4))-VALUE(RIGHT(E1548,4)))*12+(VALUE(LEFT(I1548,2))-VALUE(LEFT(E1548,2))),""),"")</f>
        <v/>
      </c>
    </row>
    <row r="1549">
      <c r="M1549" s="3">
        <f>IF(H1549="Efectivo",IFERROR((VALUE(RIGHT(I1549,4))-VALUE(RIGHT(E1549,4)))*12+(VALUE(LEFT(I1549,2))-VALUE(LEFT(E1549,2))),""),"")</f>
        <v/>
      </c>
    </row>
    <row r="1550">
      <c r="M1550" s="3">
        <f>IF(H1550="Efectivo",IFERROR((VALUE(RIGHT(I1550,4))-VALUE(RIGHT(E1550,4)))*12+(VALUE(LEFT(I1550,2))-VALUE(LEFT(E1550,2))),""),"")</f>
        <v/>
      </c>
    </row>
    <row r="1551">
      <c r="M1551" s="3">
        <f>IF(H1551="Efectivo",IFERROR((VALUE(RIGHT(I1551,4))-VALUE(RIGHT(E1551,4)))*12+(VALUE(LEFT(I1551,2))-VALUE(LEFT(E1551,2))),""),"")</f>
        <v/>
      </c>
    </row>
    <row r="1552">
      <c r="M1552" s="3">
        <f>IF(H1552="Efectivo",IFERROR((VALUE(RIGHT(I1552,4))-VALUE(RIGHT(E1552,4)))*12+(VALUE(LEFT(I1552,2))-VALUE(LEFT(E1552,2))),""),"")</f>
        <v/>
      </c>
    </row>
    <row r="1553">
      <c r="M1553" s="3">
        <f>IF(H1553="Efectivo",IFERROR((VALUE(RIGHT(I1553,4))-VALUE(RIGHT(E1553,4)))*12+(VALUE(LEFT(I1553,2))-VALUE(LEFT(E1553,2))),""),"")</f>
        <v/>
      </c>
    </row>
    <row r="1554">
      <c r="M1554" s="3">
        <f>IF(H1554="Efectivo",IFERROR((VALUE(RIGHT(I1554,4))-VALUE(RIGHT(E1554,4)))*12+(VALUE(LEFT(I1554,2))-VALUE(LEFT(E1554,2))),""),"")</f>
        <v/>
      </c>
    </row>
    <row r="1555">
      <c r="M1555" s="3">
        <f>IF(H1555="Efectivo",IFERROR((VALUE(RIGHT(I1555,4))-VALUE(RIGHT(E1555,4)))*12+(VALUE(LEFT(I1555,2))-VALUE(LEFT(E1555,2))),""),"")</f>
        <v/>
      </c>
    </row>
    <row r="1556">
      <c r="M1556" s="3">
        <f>IF(H1556="Efectivo",IFERROR((VALUE(RIGHT(I1556,4))-VALUE(RIGHT(E1556,4)))*12+(VALUE(LEFT(I1556,2))-VALUE(LEFT(E1556,2))),""),"")</f>
        <v/>
      </c>
    </row>
    <row r="1557">
      <c r="M1557" s="3">
        <f>IF(H1557="Efectivo",IFERROR((VALUE(RIGHT(I1557,4))-VALUE(RIGHT(E1557,4)))*12+(VALUE(LEFT(I1557,2))-VALUE(LEFT(E1557,2))),""),"")</f>
        <v/>
      </c>
    </row>
    <row r="1558">
      <c r="M1558" s="3">
        <f>IF(H1558="Efectivo",IFERROR((VALUE(RIGHT(I1558,4))-VALUE(RIGHT(E1558,4)))*12+(VALUE(LEFT(I1558,2))-VALUE(LEFT(E1558,2))),""),"")</f>
        <v/>
      </c>
    </row>
    <row r="1559">
      <c r="M1559" s="3">
        <f>IF(H1559="Efectivo",IFERROR((VALUE(RIGHT(I1559,4))-VALUE(RIGHT(E1559,4)))*12+(VALUE(LEFT(I1559,2))-VALUE(LEFT(E1559,2))),""),"")</f>
        <v/>
      </c>
    </row>
    <row r="1560">
      <c r="M1560" s="3">
        <f>IF(H1560="Efectivo",IFERROR((VALUE(RIGHT(I1560,4))-VALUE(RIGHT(E1560,4)))*12+(VALUE(LEFT(I1560,2))-VALUE(LEFT(E1560,2))),""),"")</f>
        <v/>
      </c>
    </row>
    <row r="1561">
      <c r="M1561" s="3">
        <f>IF(H1561="Efectivo",IFERROR((VALUE(RIGHT(I1561,4))-VALUE(RIGHT(E1561,4)))*12+(VALUE(LEFT(I1561,2))-VALUE(LEFT(E1561,2))),""),"")</f>
        <v/>
      </c>
    </row>
    <row r="1562">
      <c r="M1562" s="3">
        <f>IF(H1562="Efectivo",IFERROR((VALUE(RIGHT(I1562,4))-VALUE(RIGHT(E1562,4)))*12+(VALUE(LEFT(I1562,2))-VALUE(LEFT(E1562,2))),""),"")</f>
        <v/>
      </c>
    </row>
    <row r="1563">
      <c r="M1563" s="3">
        <f>IF(H1563="Efectivo",IFERROR((VALUE(RIGHT(I1563,4))-VALUE(RIGHT(E1563,4)))*12+(VALUE(LEFT(I1563,2))-VALUE(LEFT(E1563,2))),""),"")</f>
        <v/>
      </c>
    </row>
    <row r="1564">
      <c r="M1564" s="3">
        <f>IF(H1564="Efectivo",IFERROR((VALUE(RIGHT(I1564,4))-VALUE(RIGHT(E1564,4)))*12+(VALUE(LEFT(I1564,2))-VALUE(LEFT(E1564,2))),""),"")</f>
        <v/>
      </c>
    </row>
    <row r="1565">
      <c r="M1565" s="3">
        <f>IF(H1565="Efectivo",IFERROR((VALUE(RIGHT(I1565,4))-VALUE(RIGHT(E1565,4)))*12+(VALUE(LEFT(I1565,2))-VALUE(LEFT(E1565,2))),""),"")</f>
        <v/>
      </c>
    </row>
    <row r="1566">
      <c r="M1566" s="3">
        <f>IF(H1566="Efectivo",IFERROR((VALUE(RIGHT(I1566,4))-VALUE(RIGHT(E1566,4)))*12+(VALUE(LEFT(I1566,2))-VALUE(LEFT(E1566,2))),""),"")</f>
        <v/>
      </c>
    </row>
    <row r="1567">
      <c r="M1567" s="3">
        <f>IF(H1567="Efectivo",IFERROR((VALUE(RIGHT(I1567,4))-VALUE(RIGHT(E1567,4)))*12+(VALUE(LEFT(I1567,2))-VALUE(LEFT(E1567,2))),""),"")</f>
        <v/>
      </c>
    </row>
    <row r="1568">
      <c r="M1568" s="3">
        <f>IF(H1568="Efectivo",IFERROR((VALUE(RIGHT(I1568,4))-VALUE(RIGHT(E1568,4)))*12+(VALUE(LEFT(I1568,2))-VALUE(LEFT(E1568,2))),""),"")</f>
        <v/>
      </c>
    </row>
    <row r="1569">
      <c r="M1569" s="3">
        <f>IF(H1569="Efectivo",IFERROR((VALUE(RIGHT(I1569,4))-VALUE(RIGHT(E1569,4)))*12+(VALUE(LEFT(I1569,2))-VALUE(LEFT(E1569,2))),""),"")</f>
        <v/>
      </c>
    </row>
    <row r="1570">
      <c r="M1570" s="3">
        <f>IF(H1570="Efectivo",IFERROR((VALUE(RIGHT(I1570,4))-VALUE(RIGHT(E1570,4)))*12+(VALUE(LEFT(I1570,2))-VALUE(LEFT(E1570,2))),""),"")</f>
        <v/>
      </c>
    </row>
    <row r="1571">
      <c r="M1571" s="3">
        <f>IF(H1571="Efectivo",IFERROR((VALUE(RIGHT(I1571,4))-VALUE(RIGHT(E1571,4)))*12+(VALUE(LEFT(I1571,2))-VALUE(LEFT(E1571,2))),""),"")</f>
        <v/>
      </c>
    </row>
    <row r="1572">
      <c r="M1572" s="3">
        <f>IF(H1572="Efectivo",IFERROR((VALUE(RIGHT(I1572,4))-VALUE(RIGHT(E1572,4)))*12+(VALUE(LEFT(I1572,2))-VALUE(LEFT(E1572,2))),""),"")</f>
        <v/>
      </c>
    </row>
    <row r="1573">
      <c r="M1573" s="3">
        <f>IF(H1573="Efectivo",IFERROR((VALUE(RIGHT(I1573,4))-VALUE(RIGHT(E1573,4)))*12+(VALUE(LEFT(I1573,2))-VALUE(LEFT(E1573,2))),""),"")</f>
        <v/>
      </c>
    </row>
    <row r="1574">
      <c r="M1574" s="3">
        <f>IF(H1574="Efectivo",IFERROR((VALUE(RIGHT(I1574,4))-VALUE(RIGHT(E1574,4)))*12+(VALUE(LEFT(I1574,2))-VALUE(LEFT(E1574,2))),""),"")</f>
        <v/>
      </c>
    </row>
    <row r="1575">
      <c r="M1575" s="3">
        <f>IF(H1575="Efectivo",IFERROR((VALUE(RIGHT(I1575,4))-VALUE(RIGHT(E1575,4)))*12+(VALUE(LEFT(I1575,2))-VALUE(LEFT(E1575,2))),""),"")</f>
        <v/>
      </c>
    </row>
    <row r="1576">
      <c r="M1576" s="3">
        <f>IF(H1576="Efectivo",IFERROR((VALUE(RIGHT(I1576,4))-VALUE(RIGHT(E1576,4)))*12+(VALUE(LEFT(I1576,2))-VALUE(LEFT(E1576,2))),""),"")</f>
        <v/>
      </c>
    </row>
    <row r="1577">
      <c r="M1577" s="3">
        <f>IF(H1577="Efectivo",IFERROR((VALUE(RIGHT(I1577,4))-VALUE(RIGHT(E1577,4)))*12+(VALUE(LEFT(I1577,2))-VALUE(LEFT(E1577,2))),""),"")</f>
        <v/>
      </c>
    </row>
    <row r="1578">
      <c r="M1578" s="3">
        <f>IF(H1578="Efectivo",IFERROR((VALUE(RIGHT(I1578,4))-VALUE(RIGHT(E1578,4)))*12+(VALUE(LEFT(I1578,2))-VALUE(LEFT(E1578,2))),""),"")</f>
        <v/>
      </c>
    </row>
    <row r="1579">
      <c r="M1579" s="3">
        <f>IF(H1579="Efectivo",IFERROR((VALUE(RIGHT(I1579,4))-VALUE(RIGHT(E1579,4)))*12+(VALUE(LEFT(I1579,2))-VALUE(LEFT(E1579,2))),""),"")</f>
        <v/>
      </c>
    </row>
    <row r="1580">
      <c r="M1580" s="3">
        <f>IF(H1580="Efectivo",IFERROR((VALUE(RIGHT(I1580,4))-VALUE(RIGHT(E1580,4)))*12+(VALUE(LEFT(I1580,2))-VALUE(LEFT(E1580,2))),""),"")</f>
        <v/>
      </c>
    </row>
    <row r="1581">
      <c r="M1581" s="3">
        <f>IF(H1581="Efectivo",IFERROR((VALUE(RIGHT(I1581,4))-VALUE(RIGHT(E1581,4)))*12+(VALUE(LEFT(I1581,2))-VALUE(LEFT(E1581,2))),""),"")</f>
        <v/>
      </c>
    </row>
    <row r="1582">
      <c r="M1582" s="3">
        <f>IF(H1582="Efectivo",IFERROR((VALUE(RIGHT(I1582,4))-VALUE(RIGHT(E1582,4)))*12+(VALUE(LEFT(I1582,2))-VALUE(LEFT(E1582,2))),""),"")</f>
        <v/>
      </c>
    </row>
    <row r="1583">
      <c r="M1583" s="3">
        <f>IF(H1583="Efectivo",IFERROR((VALUE(RIGHT(I1583,4))-VALUE(RIGHT(E1583,4)))*12+(VALUE(LEFT(I1583,2))-VALUE(LEFT(E1583,2))),""),"")</f>
        <v/>
      </c>
    </row>
    <row r="1584">
      <c r="M1584" s="3">
        <f>IF(H1584="Efectivo",IFERROR((VALUE(RIGHT(I1584,4))-VALUE(RIGHT(E1584,4)))*12+(VALUE(LEFT(I1584,2))-VALUE(LEFT(E1584,2))),""),"")</f>
        <v/>
      </c>
    </row>
    <row r="1585">
      <c r="M1585" s="3">
        <f>IF(H1585="Efectivo",IFERROR((VALUE(RIGHT(I1585,4))-VALUE(RIGHT(E1585,4)))*12+(VALUE(LEFT(I1585,2))-VALUE(LEFT(E1585,2))),""),"")</f>
        <v/>
      </c>
    </row>
    <row r="1586">
      <c r="M1586" s="3">
        <f>IF(H1586="Efectivo",IFERROR((VALUE(RIGHT(I1586,4))-VALUE(RIGHT(E1586,4)))*12+(VALUE(LEFT(I1586,2))-VALUE(LEFT(E1586,2))),""),"")</f>
        <v/>
      </c>
    </row>
    <row r="1587">
      <c r="M1587" s="3">
        <f>IF(H1587="Efectivo",IFERROR((VALUE(RIGHT(I1587,4))-VALUE(RIGHT(E1587,4)))*12+(VALUE(LEFT(I1587,2))-VALUE(LEFT(E1587,2))),""),"")</f>
        <v/>
      </c>
    </row>
    <row r="1588">
      <c r="M1588" s="3">
        <f>IF(H1588="Efectivo",IFERROR((VALUE(RIGHT(I1588,4))-VALUE(RIGHT(E1588,4)))*12+(VALUE(LEFT(I1588,2))-VALUE(LEFT(E1588,2))),""),"")</f>
        <v/>
      </c>
    </row>
    <row r="1589">
      <c r="M1589" s="3">
        <f>IF(H1589="Efectivo",IFERROR((VALUE(RIGHT(I1589,4))-VALUE(RIGHT(E1589,4)))*12+(VALUE(LEFT(I1589,2))-VALUE(LEFT(E1589,2))),""),"")</f>
        <v/>
      </c>
    </row>
    <row r="1590">
      <c r="M1590" s="3">
        <f>IF(H1590="Efectivo",IFERROR((VALUE(RIGHT(I1590,4))-VALUE(RIGHT(E1590,4)))*12+(VALUE(LEFT(I1590,2))-VALUE(LEFT(E1590,2))),""),"")</f>
        <v/>
      </c>
    </row>
    <row r="1591">
      <c r="M1591" s="3">
        <f>IF(H1591="Efectivo",IFERROR((VALUE(RIGHT(I1591,4))-VALUE(RIGHT(E1591,4)))*12+(VALUE(LEFT(I1591,2))-VALUE(LEFT(E1591,2))),""),"")</f>
        <v/>
      </c>
    </row>
    <row r="1592">
      <c r="M1592" s="3">
        <f>IF(H1592="Efectivo",IFERROR((VALUE(RIGHT(I1592,4))-VALUE(RIGHT(E1592,4)))*12+(VALUE(LEFT(I1592,2))-VALUE(LEFT(E1592,2))),""),"")</f>
        <v/>
      </c>
    </row>
    <row r="1593">
      <c r="M1593" s="3">
        <f>IF(H1593="Efectivo",IFERROR((VALUE(RIGHT(I1593,4))-VALUE(RIGHT(E1593,4)))*12+(VALUE(LEFT(I1593,2))-VALUE(LEFT(E1593,2))),""),"")</f>
        <v/>
      </c>
    </row>
    <row r="1594">
      <c r="M1594" s="3">
        <f>IF(H1594="Efectivo",IFERROR((VALUE(RIGHT(I1594,4))-VALUE(RIGHT(E1594,4)))*12+(VALUE(LEFT(I1594,2))-VALUE(LEFT(E1594,2))),""),"")</f>
        <v/>
      </c>
    </row>
    <row r="1595">
      <c r="M1595" s="3">
        <f>IF(H1595="Efectivo",IFERROR((VALUE(RIGHT(I1595,4))-VALUE(RIGHT(E1595,4)))*12+(VALUE(LEFT(I1595,2))-VALUE(LEFT(E1595,2))),""),"")</f>
        <v/>
      </c>
    </row>
    <row r="1596">
      <c r="M1596" s="3">
        <f>IF(H1596="Efectivo",IFERROR((VALUE(RIGHT(I1596,4))-VALUE(RIGHT(E1596,4)))*12+(VALUE(LEFT(I1596,2))-VALUE(LEFT(E1596,2))),""),"")</f>
        <v/>
      </c>
    </row>
    <row r="1597">
      <c r="M1597" s="3">
        <f>IF(H1597="Efectivo",IFERROR((VALUE(RIGHT(I1597,4))-VALUE(RIGHT(E1597,4)))*12+(VALUE(LEFT(I1597,2))-VALUE(LEFT(E1597,2))),""),"")</f>
        <v/>
      </c>
    </row>
    <row r="1598">
      <c r="M1598" s="3">
        <f>IF(H1598="Efectivo",IFERROR((VALUE(RIGHT(I1598,4))-VALUE(RIGHT(E1598,4)))*12+(VALUE(LEFT(I1598,2))-VALUE(LEFT(E1598,2))),""),"")</f>
        <v/>
      </c>
    </row>
    <row r="1599">
      <c r="M1599" s="3">
        <f>IF(H1599="Efectivo",IFERROR((VALUE(RIGHT(I1599,4))-VALUE(RIGHT(E1599,4)))*12+(VALUE(LEFT(I1599,2))-VALUE(LEFT(E1599,2))),""),"")</f>
        <v/>
      </c>
    </row>
    <row r="1600">
      <c r="M1600" s="3">
        <f>IF(H1600="Efectivo",IFERROR((VALUE(RIGHT(I1600,4))-VALUE(RIGHT(E1600,4)))*12+(VALUE(LEFT(I1600,2))-VALUE(LEFT(E1600,2))),""),"")</f>
        <v/>
      </c>
    </row>
    <row r="1601">
      <c r="M1601" s="3">
        <f>IF(H1601="Efectivo",IFERROR((VALUE(RIGHT(I1601,4))-VALUE(RIGHT(E1601,4)))*12+(VALUE(LEFT(I1601,2))-VALUE(LEFT(E1601,2))),""),"")</f>
        <v/>
      </c>
    </row>
    <row r="1602">
      <c r="M1602" s="3">
        <f>IF(H1602="Efectivo",IFERROR((VALUE(RIGHT(I1602,4))-VALUE(RIGHT(E1602,4)))*12+(VALUE(LEFT(I1602,2))-VALUE(LEFT(E1602,2))),""),"")</f>
        <v/>
      </c>
    </row>
    <row r="1603">
      <c r="M1603" s="3">
        <f>IF(H1603="Efectivo",IFERROR((VALUE(RIGHT(I1603,4))-VALUE(RIGHT(E1603,4)))*12+(VALUE(LEFT(I1603,2))-VALUE(LEFT(E1603,2))),""),"")</f>
        <v/>
      </c>
    </row>
    <row r="1604">
      <c r="M1604" s="3">
        <f>IF(H1604="Efectivo",IFERROR((VALUE(RIGHT(I1604,4))-VALUE(RIGHT(E1604,4)))*12+(VALUE(LEFT(I1604,2))-VALUE(LEFT(E1604,2))),""),"")</f>
        <v/>
      </c>
    </row>
    <row r="1605">
      <c r="M1605" s="3">
        <f>IF(H1605="Efectivo",IFERROR((VALUE(RIGHT(I1605,4))-VALUE(RIGHT(E1605,4)))*12+(VALUE(LEFT(I1605,2))-VALUE(LEFT(E1605,2))),""),"")</f>
        <v/>
      </c>
    </row>
    <row r="1606">
      <c r="M1606" s="3">
        <f>IF(H1606="Efectivo",IFERROR((VALUE(RIGHT(I1606,4))-VALUE(RIGHT(E1606,4)))*12+(VALUE(LEFT(I1606,2))-VALUE(LEFT(E1606,2))),""),"")</f>
        <v/>
      </c>
    </row>
    <row r="1607">
      <c r="M1607" s="3">
        <f>IF(H1607="Efectivo",IFERROR((VALUE(RIGHT(I1607,4))-VALUE(RIGHT(E1607,4)))*12+(VALUE(LEFT(I1607,2))-VALUE(LEFT(E1607,2))),""),"")</f>
        <v/>
      </c>
    </row>
    <row r="1608">
      <c r="M1608" s="3">
        <f>IF(H1608="Efectivo",IFERROR((VALUE(RIGHT(I1608,4))-VALUE(RIGHT(E1608,4)))*12+(VALUE(LEFT(I1608,2))-VALUE(LEFT(E1608,2))),""),"")</f>
        <v/>
      </c>
    </row>
    <row r="1609">
      <c r="M1609" s="3">
        <f>IF(H1609="Efectivo",IFERROR((VALUE(RIGHT(I1609,4))-VALUE(RIGHT(E1609,4)))*12+(VALUE(LEFT(I1609,2))-VALUE(LEFT(E1609,2))),""),"")</f>
        <v/>
      </c>
    </row>
    <row r="1610">
      <c r="M1610" s="3">
        <f>IF(H1610="Efectivo",IFERROR((VALUE(RIGHT(I1610,4))-VALUE(RIGHT(E1610,4)))*12+(VALUE(LEFT(I1610,2))-VALUE(LEFT(E1610,2))),""),"")</f>
        <v/>
      </c>
    </row>
    <row r="1611">
      <c r="M1611" s="3">
        <f>IF(H1611="Efectivo",IFERROR((VALUE(RIGHT(I1611,4))-VALUE(RIGHT(E1611,4)))*12+(VALUE(LEFT(I1611,2))-VALUE(LEFT(E1611,2))),""),"")</f>
        <v/>
      </c>
    </row>
    <row r="1612">
      <c r="M1612" s="3">
        <f>IF(H1612="Efectivo",IFERROR((VALUE(RIGHT(I1612,4))-VALUE(RIGHT(E1612,4)))*12+(VALUE(LEFT(I1612,2))-VALUE(LEFT(E1612,2))),""),"")</f>
        <v/>
      </c>
    </row>
    <row r="1613">
      <c r="M1613" s="3">
        <f>IF(H1613="Efectivo",IFERROR((VALUE(RIGHT(I1613,4))-VALUE(RIGHT(E1613,4)))*12+(VALUE(LEFT(I1613,2))-VALUE(LEFT(E1613,2))),""),"")</f>
        <v/>
      </c>
    </row>
    <row r="1614">
      <c r="M1614" s="3">
        <f>IF(H1614="Efectivo",IFERROR((VALUE(RIGHT(I1614,4))-VALUE(RIGHT(E1614,4)))*12+(VALUE(LEFT(I1614,2))-VALUE(LEFT(E1614,2))),""),"")</f>
        <v/>
      </c>
    </row>
    <row r="1615">
      <c r="M1615" s="3">
        <f>IF(H1615="Efectivo",IFERROR((VALUE(RIGHT(I1615,4))-VALUE(RIGHT(E1615,4)))*12+(VALUE(LEFT(I1615,2))-VALUE(LEFT(E1615,2))),""),"")</f>
        <v/>
      </c>
    </row>
    <row r="1616">
      <c r="M1616" s="3">
        <f>IF(H1616="Efectivo",IFERROR((VALUE(RIGHT(I1616,4))-VALUE(RIGHT(E1616,4)))*12+(VALUE(LEFT(I1616,2))-VALUE(LEFT(E1616,2))),""),"")</f>
        <v/>
      </c>
    </row>
    <row r="1617">
      <c r="M1617" s="3">
        <f>IF(H1617="Efectivo",IFERROR((VALUE(RIGHT(I1617,4))-VALUE(RIGHT(E1617,4)))*12+(VALUE(LEFT(I1617,2))-VALUE(LEFT(E1617,2))),""),"")</f>
        <v/>
      </c>
    </row>
    <row r="1618">
      <c r="M1618" s="3">
        <f>IF(H1618="Efectivo",IFERROR((VALUE(RIGHT(I1618,4))-VALUE(RIGHT(E1618,4)))*12+(VALUE(LEFT(I1618,2))-VALUE(LEFT(E1618,2))),""),"")</f>
        <v/>
      </c>
    </row>
    <row r="1619">
      <c r="M1619" s="3">
        <f>IF(H1619="Efectivo",IFERROR((VALUE(RIGHT(I1619,4))-VALUE(RIGHT(E1619,4)))*12+(VALUE(LEFT(I1619,2))-VALUE(LEFT(E1619,2))),""),"")</f>
        <v/>
      </c>
    </row>
    <row r="1620">
      <c r="M1620" s="3">
        <f>IF(H1620="Efectivo",IFERROR((VALUE(RIGHT(I1620,4))-VALUE(RIGHT(E1620,4)))*12+(VALUE(LEFT(I1620,2))-VALUE(LEFT(E1620,2))),""),"")</f>
        <v/>
      </c>
    </row>
    <row r="1621">
      <c r="M1621" s="3">
        <f>IF(H1621="Efectivo",IFERROR((VALUE(RIGHT(I1621,4))-VALUE(RIGHT(E1621,4)))*12+(VALUE(LEFT(I1621,2))-VALUE(LEFT(E1621,2))),""),"")</f>
        <v/>
      </c>
    </row>
    <row r="1622">
      <c r="M1622" s="3">
        <f>IF(H1622="Efectivo",IFERROR((VALUE(RIGHT(I1622,4))-VALUE(RIGHT(E1622,4)))*12+(VALUE(LEFT(I1622,2))-VALUE(LEFT(E1622,2))),""),"")</f>
        <v/>
      </c>
    </row>
    <row r="1623">
      <c r="M1623" s="3">
        <f>IF(H1623="Efectivo",IFERROR((VALUE(RIGHT(I1623,4))-VALUE(RIGHT(E1623,4)))*12+(VALUE(LEFT(I1623,2))-VALUE(LEFT(E1623,2))),""),"")</f>
        <v/>
      </c>
    </row>
    <row r="1624">
      <c r="M1624" s="3">
        <f>IF(H1624="Efectivo",IFERROR((VALUE(RIGHT(I1624,4))-VALUE(RIGHT(E1624,4)))*12+(VALUE(LEFT(I1624,2))-VALUE(LEFT(E1624,2))),""),"")</f>
        <v/>
      </c>
    </row>
    <row r="1625">
      <c r="M1625" s="3">
        <f>IF(H1625="Efectivo",IFERROR((VALUE(RIGHT(I1625,4))-VALUE(RIGHT(E1625,4)))*12+(VALUE(LEFT(I1625,2))-VALUE(LEFT(E1625,2))),""),"")</f>
        <v/>
      </c>
    </row>
    <row r="1626">
      <c r="M1626" s="3">
        <f>IF(H1626="Efectivo",IFERROR((VALUE(RIGHT(I1626,4))-VALUE(RIGHT(E1626,4)))*12+(VALUE(LEFT(I1626,2))-VALUE(LEFT(E1626,2))),""),"")</f>
        <v/>
      </c>
    </row>
    <row r="1627">
      <c r="M1627" s="3">
        <f>IF(H1627="Efectivo",IFERROR((VALUE(RIGHT(I1627,4))-VALUE(RIGHT(E1627,4)))*12+(VALUE(LEFT(I1627,2))-VALUE(LEFT(E1627,2))),""),"")</f>
        <v/>
      </c>
    </row>
    <row r="1628">
      <c r="M1628" s="3">
        <f>IF(H1628="Efectivo",IFERROR((VALUE(RIGHT(I1628,4))-VALUE(RIGHT(E1628,4)))*12+(VALUE(LEFT(I1628,2))-VALUE(LEFT(E1628,2))),""),"")</f>
        <v/>
      </c>
    </row>
    <row r="1629">
      <c r="M1629" s="3">
        <f>IF(H1629="Efectivo",IFERROR((VALUE(RIGHT(I1629,4))-VALUE(RIGHT(E1629,4)))*12+(VALUE(LEFT(I1629,2))-VALUE(LEFT(E1629,2))),""),"")</f>
        <v/>
      </c>
    </row>
    <row r="1630">
      <c r="M1630" s="3">
        <f>IF(H1630="Efectivo",IFERROR((VALUE(RIGHT(I1630,4))-VALUE(RIGHT(E1630,4)))*12+(VALUE(LEFT(I1630,2))-VALUE(LEFT(E1630,2))),""),"")</f>
        <v/>
      </c>
    </row>
    <row r="1631">
      <c r="M1631" s="3">
        <f>IF(H1631="Efectivo",IFERROR((VALUE(RIGHT(I1631,4))-VALUE(RIGHT(E1631,4)))*12+(VALUE(LEFT(I1631,2))-VALUE(LEFT(E1631,2))),""),"")</f>
        <v/>
      </c>
    </row>
    <row r="1632">
      <c r="M1632" s="3">
        <f>IF(H1632="Efectivo",IFERROR((VALUE(RIGHT(I1632,4))-VALUE(RIGHT(E1632,4)))*12+(VALUE(LEFT(I1632,2))-VALUE(LEFT(E1632,2))),""),"")</f>
        <v/>
      </c>
    </row>
    <row r="1633">
      <c r="M1633" s="3">
        <f>IF(H1633="Efectivo",IFERROR((VALUE(RIGHT(I1633,4))-VALUE(RIGHT(E1633,4)))*12+(VALUE(LEFT(I1633,2))-VALUE(LEFT(E1633,2))),""),"")</f>
        <v/>
      </c>
    </row>
    <row r="1634">
      <c r="M1634" s="3">
        <f>IF(H1634="Efectivo",IFERROR((VALUE(RIGHT(I1634,4))-VALUE(RIGHT(E1634,4)))*12+(VALUE(LEFT(I1634,2))-VALUE(LEFT(E1634,2))),""),"")</f>
        <v/>
      </c>
    </row>
    <row r="1635">
      <c r="M1635" s="3">
        <f>IF(H1635="Efectivo",IFERROR((VALUE(RIGHT(I1635,4))-VALUE(RIGHT(E1635,4)))*12+(VALUE(LEFT(I1635,2))-VALUE(LEFT(E1635,2))),""),"")</f>
        <v/>
      </c>
    </row>
    <row r="1636">
      <c r="M1636" s="3">
        <f>IF(H1636="Efectivo",IFERROR((VALUE(RIGHT(I1636,4))-VALUE(RIGHT(E1636,4)))*12+(VALUE(LEFT(I1636,2))-VALUE(LEFT(E1636,2))),""),"")</f>
        <v/>
      </c>
    </row>
    <row r="1637">
      <c r="M1637" s="3">
        <f>IF(H1637="Efectivo",IFERROR((VALUE(RIGHT(I1637,4))-VALUE(RIGHT(E1637,4)))*12+(VALUE(LEFT(I1637,2))-VALUE(LEFT(E1637,2))),""),"")</f>
        <v/>
      </c>
    </row>
    <row r="1638">
      <c r="M1638" s="3">
        <f>IF(H1638="Efectivo",IFERROR((VALUE(RIGHT(I1638,4))-VALUE(RIGHT(E1638,4)))*12+(VALUE(LEFT(I1638,2))-VALUE(LEFT(E1638,2))),""),"")</f>
        <v/>
      </c>
    </row>
    <row r="1639">
      <c r="M1639" s="3">
        <f>IF(H1639="Efectivo",IFERROR((VALUE(RIGHT(I1639,4))-VALUE(RIGHT(E1639,4)))*12+(VALUE(LEFT(I1639,2))-VALUE(LEFT(E1639,2))),""),"")</f>
        <v/>
      </c>
    </row>
    <row r="1640">
      <c r="M1640" s="3">
        <f>IF(H1640="Efectivo",IFERROR((VALUE(RIGHT(I1640,4))-VALUE(RIGHT(E1640,4)))*12+(VALUE(LEFT(I1640,2))-VALUE(LEFT(E1640,2))),""),"")</f>
        <v/>
      </c>
    </row>
    <row r="1641">
      <c r="M1641" s="3">
        <f>IF(H1641="Efectivo",IFERROR((VALUE(RIGHT(I1641,4))-VALUE(RIGHT(E1641,4)))*12+(VALUE(LEFT(I1641,2))-VALUE(LEFT(E1641,2))),""),"")</f>
        <v/>
      </c>
    </row>
    <row r="1642">
      <c r="M1642" s="3">
        <f>IF(H1642="Efectivo",IFERROR((VALUE(RIGHT(I1642,4))-VALUE(RIGHT(E1642,4)))*12+(VALUE(LEFT(I1642,2))-VALUE(LEFT(E1642,2))),""),"")</f>
        <v/>
      </c>
    </row>
    <row r="1643">
      <c r="M1643" s="3">
        <f>IF(H1643="Efectivo",IFERROR((VALUE(RIGHT(I1643,4))-VALUE(RIGHT(E1643,4)))*12+(VALUE(LEFT(I1643,2))-VALUE(LEFT(E1643,2))),""),"")</f>
        <v/>
      </c>
    </row>
    <row r="1644">
      <c r="M1644" s="3">
        <f>IF(H1644="Efectivo",IFERROR((VALUE(RIGHT(I1644,4))-VALUE(RIGHT(E1644,4)))*12+(VALUE(LEFT(I1644,2))-VALUE(LEFT(E1644,2))),""),"")</f>
        <v/>
      </c>
    </row>
    <row r="1645">
      <c r="M1645" s="3">
        <f>IF(H1645="Efectivo",IFERROR((VALUE(RIGHT(I1645,4))-VALUE(RIGHT(E1645,4)))*12+(VALUE(LEFT(I1645,2))-VALUE(LEFT(E1645,2))),""),"")</f>
        <v/>
      </c>
    </row>
    <row r="1646">
      <c r="M1646" s="3">
        <f>IF(H1646="Efectivo",IFERROR((VALUE(RIGHT(I1646,4))-VALUE(RIGHT(E1646,4)))*12+(VALUE(LEFT(I1646,2))-VALUE(LEFT(E1646,2))),""),"")</f>
        <v/>
      </c>
    </row>
    <row r="1647">
      <c r="M1647" s="3">
        <f>IF(H1647="Efectivo",IFERROR((VALUE(RIGHT(I1647,4))-VALUE(RIGHT(E1647,4)))*12+(VALUE(LEFT(I1647,2))-VALUE(LEFT(E1647,2))),""),"")</f>
        <v/>
      </c>
    </row>
    <row r="1648">
      <c r="M1648" s="3">
        <f>IF(H1648="Efectivo",IFERROR((VALUE(RIGHT(I1648,4))-VALUE(RIGHT(E1648,4)))*12+(VALUE(LEFT(I1648,2))-VALUE(LEFT(E1648,2))),""),"")</f>
        <v/>
      </c>
    </row>
    <row r="1649">
      <c r="M1649" s="3">
        <f>IF(H1649="Efectivo",IFERROR((VALUE(RIGHT(I1649,4))-VALUE(RIGHT(E1649,4)))*12+(VALUE(LEFT(I1649,2))-VALUE(LEFT(E1649,2))),""),"")</f>
        <v/>
      </c>
    </row>
    <row r="1650">
      <c r="M1650" s="3">
        <f>IF(H1650="Efectivo",IFERROR((VALUE(RIGHT(I1650,4))-VALUE(RIGHT(E1650,4)))*12+(VALUE(LEFT(I1650,2))-VALUE(LEFT(E1650,2))),""),"")</f>
        <v/>
      </c>
    </row>
    <row r="1651">
      <c r="M1651" s="3">
        <f>IF(H1651="Efectivo",IFERROR((VALUE(RIGHT(I1651,4))-VALUE(RIGHT(E1651,4)))*12+(VALUE(LEFT(I1651,2))-VALUE(LEFT(E1651,2))),""),"")</f>
        <v/>
      </c>
    </row>
    <row r="1652">
      <c r="M1652" s="3">
        <f>IF(H1652="Efectivo",IFERROR((VALUE(RIGHT(I1652,4))-VALUE(RIGHT(E1652,4)))*12+(VALUE(LEFT(I1652,2))-VALUE(LEFT(E1652,2))),""),"")</f>
        <v/>
      </c>
    </row>
    <row r="1653">
      <c r="M1653" s="3">
        <f>IF(H1653="Efectivo",IFERROR((VALUE(RIGHT(I1653,4))-VALUE(RIGHT(E1653,4)))*12+(VALUE(LEFT(I1653,2))-VALUE(LEFT(E1653,2))),""),"")</f>
        <v/>
      </c>
    </row>
    <row r="1654">
      <c r="M1654" s="3">
        <f>IF(H1654="Efectivo",IFERROR((VALUE(RIGHT(I1654,4))-VALUE(RIGHT(E1654,4)))*12+(VALUE(LEFT(I1654,2))-VALUE(LEFT(E1654,2))),""),"")</f>
        <v/>
      </c>
    </row>
    <row r="1655">
      <c r="M1655" s="3">
        <f>IF(H1655="Efectivo",IFERROR((VALUE(RIGHT(I1655,4))-VALUE(RIGHT(E1655,4)))*12+(VALUE(LEFT(I1655,2))-VALUE(LEFT(E1655,2))),""),"")</f>
        <v/>
      </c>
    </row>
    <row r="1656">
      <c r="M1656" s="3">
        <f>IF(H1656="Efectivo",IFERROR((VALUE(RIGHT(I1656,4))-VALUE(RIGHT(E1656,4)))*12+(VALUE(LEFT(I1656,2))-VALUE(LEFT(E1656,2))),""),"")</f>
        <v/>
      </c>
    </row>
    <row r="1657">
      <c r="M1657" s="3">
        <f>IF(H1657="Efectivo",IFERROR((VALUE(RIGHT(I1657,4))-VALUE(RIGHT(E1657,4)))*12+(VALUE(LEFT(I1657,2))-VALUE(LEFT(E1657,2))),""),"")</f>
        <v/>
      </c>
    </row>
    <row r="1658">
      <c r="M1658" s="3">
        <f>IF(H1658="Efectivo",IFERROR((VALUE(RIGHT(I1658,4))-VALUE(RIGHT(E1658,4)))*12+(VALUE(LEFT(I1658,2))-VALUE(LEFT(E1658,2))),""),"")</f>
        <v/>
      </c>
    </row>
    <row r="1659">
      <c r="M1659" s="3">
        <f>IF(H1659="Efectivo",IFERROR((VALUE(RIGHT(I1659,4))-VALUE(RIGHT(E1659,4)))*12+(VALUE(LEFT(I1659,2))-VALUE(LEFT(E1659,2))),""),"")</f>
        <v/>
      </c>
    </row>
    <row r="1660">
      <c r="M1660" s="3">
        <f>IF(H1660="Efectivo",IFERROR((VALUE(RIGHT(I1660,4))-VALUE(RIGHT(E1660,4)))*12+(VALUE(LEFT(I1660,2))-VALUE(LEFT(E1660,2))),""),"")</f>
        <v/>
      </c>
    </row>
    <row r="1661">
      <c r="M1661" s="3">
        <f>IF(H1661="Efectivo",IFERROR((VALUE(RIGHT(I1661,4))-VALUE(RIGHT(E1661,4)))*12+(VALUE(LEFT(I1661,2))-VALUE(LEFT(E1661,2))),""),"")</f>
        <v/>
      </c>
    </row>
    <row r="1662">
      <c r="M1662" s="3">
        <f>IF(H1662="Efectivo",IFERROR((VALUE(RIGHT(I1662,4))-VALUE(RIGHT(E1662,4)))*12+(VALUE(LEFT(I1662,2))-VALUE(LEFT(E1662,2))),""),"")</f>
        <v/>
      </c>
    </row>
    <row r="1663">
      <c r="M1663" s="3">
        <f>IF(H1663="Efectivo",IFERROR((VALUE(RIGHT(I1663,4))-VALUE(RIGHT(E1663,4)))*12+(VALUE(LEFT(I1663,2))-VALUE(LEFT(E1663,2))),""),"")</f>
        <v/>
      </c>
    </row>
    <row r="1664">
      <c r="M1664" s="3">
        <f>IF(H1664="Efectivo",IFERROR((VALUE(RIGHT(I1664,4))-VALUE(RIGHT(E1664,4)))*12+(VALUE(LEFT(I1664,2))-VALUE(LEFT(E1664,2))),""),"")</f>
        <v/>
      </c>
    </row>
    <row r="1665">
      <c r="M1665" s="3">
        <f>IF(H1665="Efectivo",IFERROR((VALUE(RIGHT(I1665,4))-VALUE(RIGHT(E1665,4)))*12+(VALUE(LEFT(I1665,2))-VALUE(LEFT(E1665,2))),""),"")</f>
        <v/>
      </c>
    </row>
    <row r="1666">
      <c r="M1666" s="3">
        <f>IF(H1666="Efectivo",IFERROR((VALUE(RIGHT(I1666,4))-VALUE(RIGHT(E1666,4)))*12+(VALUE(LEFT(I1666,2))-VALUE(LEFT(E1666,2))),""),"")</f>
        <v/>
      </c>
    </row>
    <row r="1667">
      <c r="M1667" s="3">
        <f>IF(H1667="Efectivo",IFERROR((VALUE(RIGHT(I1667,4))-VALUE(RIGHT(E1667,4)))*12+(VALUE(LEFT(I1667,2))-VALUE(LEFT(E1667,2))),""),"")</f>
        <v/>
      </c>
    </row>
    <row r="1668">
      <c r="M1668" s="3">
        <f>IF(H1668="Efectivo",IFERROR((VALUE(RIGHT(I1668,4))-VALUE(RIGHT(E1668,4)))*12+(VALUE(LEFT(I1668,2))-VALUE(LEFT(E1668,2))),""),"")</f>
        <v/>
      </c>
    </row>
    <row r="1669">
      <c r="M1669" s="3">
        <f>IF(H1669="Efectivo",IFERROR((VALUE(RIGHT(I1669,4))-VALUE(RIGHT(E1669,4)))*12+(VALUE(LEFT(I1669,2))-VALUE(LEFT(E1669,2))),""),"")</f>
        <v/>
      </c>
    </row>
    <row r="1670">
      <c r="M1670" s="3">
        <f>IF(H1670="Efectivo",IFERROR((VALUE(RIGHT(I1670,4))-VALUE(RIGHT(E1670,4)))*12+(VALUE(LEFT(I1670,2))-VALUE(LEFT(E1670,2))),""),"")</f>
        <v/>
      </c>
    </row>
    <row r="1671">
      <c r="M1671" s="3">
        <f>IF(H1671="Efectivo",IFERROR((VALUE(RIGHT(I1671,4))-VALUE(RIGHT(E1671,4)))*12+(VALUE(LEFT(I1671,2))-VALUE(LEFT(E1671,2))),""),"")</f>
        <v/>
      </c>
    </row>
    <row r="1672">
      <c r="M1672" s="3">
        <f>IF(H1672="Efectivo",IFERROR((VALUE(RIGHT(I1672,4))-VALUE(RIGHT(E1672,4)))*12+(VALUE(LEFT(I1672,2))-VALUE(LEFT(E1672,2))),""),"")</f>
        <v/>
      </c>
    </row>
    <row r="1673">
      <c r="M1673" s="3">
        <f>IF(H1673="Efectivo",IFERROR((VALUE(RIGHT(I1673,4))-VALUE(RIGHT(E1673,4)))*12+(VALUE(LEFT(I1673,2))-VALUE(LEFT(E1673,2))),""),"")</f>
        <v/>
      </c>
    </row>
    <row r="1674">
      <c r="M1674" s="3">
        <f>IF(H1674="Efectivo",IFERROR((VALUE(RIGHT(I1674,4))-VALUE(RIGHT(E1674,4)))*12+(VALUE(LEFT(I1674,2))-VALUE(LEFT(E1674,2))),""),"")</f>
        <v/>
      </c>
    </row>
    <row r="1675">
      <c r="M1675" s="3">
        <f>IF(H1675="Efectivo",IFERROR((VALUE(RIGHT(I1675,4))-VALUE(RIGHT(E1675,4)))*12+(VALUE(LEFT(I1675,2))-VALUE(LEFT(E1675,2))),""),"")</f>
        <v/>
      </c>
    </row>
    <row r="1676">
      <c r="M1676" s="3">
        <f>IF(H1676="Efectivo",IFERROR((VALUE(RIGHT(I1676,4))-VALUE(RIGHT(E1676,4)))*12+(VALUE(LEFT(I1676,2))-VALUE(LEFT(E1676,2))),""),"")</f>
        <v/>
      </c>
    </row>
    <row r="1677">
      <c r="M1677" s="3">
        <f>IF(H1677="Efectivo",IFERROR((VALUE(RIGHT(I1677,4))-VALUE(RIGHT(E1677,4)))*12+(VALUE(LEFT(I1677,2))-VALUE(LEFT(E1677,2))),""),"")</f>
        <v/>
      </c>
    </row>
    <row r="1678">
      <c r="M1678" s="3">
        <f>IF(H1678="Efectivo",IFERROR((VALUE(RIGHT(I1678,4))-VALUE(RIGHT(E1678,4)))*12+(VALUE(LEFT(I1678,2))-VALUE(LEFT(E1678,2))),""),"")</f>
        <v/>
      </c>
    </row>
    <row r="1679">
      <c r="M1679" s="3">
        <f>IF(H1679="Efectivo",IFERROR((VALUE(RIGHT(I1679,4))-VALUE(RIGHT(E1679,4)))*12+(VALUE(LEFT(I1679,2))-VALUE(LEFT(E1679,2))),""),"")</f>
        <v/>
      </c>
    </row>
    <row r="1680">
      <c r="M1680" s="3">
        <f>IF(H1680="Efectivo",IFERROR((VALUE(RIGHT(I1680,4))-VALUE(RIGHT(E1680,4)))*12+(VALUE(LEFT(I1680,2))-VALUE(LEFT(E1680,2))),""),"")</f>
        <v/>
      </c>
    </row>
    <row r="1681">
      <c r="M1681" s="3">
        <f>IF(H1681="Efectivo",IFERROR((VALUE(RIGHT(I1681,4))-VALUE(RIGHT(E1681,4)))*12+(VALUE(LEFT(I1681,2))-VALUE(LEFT(E1681,2))),""),"")</f>
        <v/>
      </c>
    </row>
    <row r="1682">
      <c r="M1682" s="3">
        <f>IF(H1682="Efectivo",IFERROR((VALUE(RIGHT(I1682,4))-VALUE(RIGHT(E1682,4)))*12+(VALUE(LEFT(I1682,2))-VALUE(LEFT(E1682,2))),""),"")</f>
        <v/>
      </c>
    </row>
    <row r="1683">
      <c r="M1683" s="3">
        <f>IF(H1683="Efectivo",IFERROR((VALUE(RIGHT(I1683,4))-VALUE(RIGHT(E1683,4)))*12+(VALUE(LEFT(I1683,2))-VALUE(LEFT(E1683,2))),""),"")</f>
        <v/>
      </c>
    </row>
    <row r="1684">
      <c r="M1684" s="3">
        <f>IF(H1684="Efectivo",IFERROR((VALUE(RIGHT(I1684,4))-VALUE(RIGHT(E1684,4)))*12+(VALUE(LEFT(I1684,2))-VALUE(LEFT(E1684,2))),""),"")</f>
        <v/>
      </c>
    </row>
    <row r="1685">
      <c r="M1685" s="3">
        <f>IF(H1685="Efectivo",IFERROR((VALUE(RIGHT(I1685,4))-VALUE(RIGHT(E1685,4)))*12+(VALUE(LEFT(I1685,2))-VALUE(LEFT(E1685,2))),""),"")</f>
        <v/>
      </c>
    </row>
    <row r="1686">
      <c r="M1686" s="3">
        <f>IF(H1686="Efectivo",IFERROR((VALUE(RIGHT(I1686,4))-VALUE(RIGHT(E1686,4)))*12+(VALUE(LEFT(I1686,2))-VALUE(LEFT(E1686,2))),""),"")</f>
        <v/>
      </c>
    </row>
    <row r="1687">
      <c r="M1687" s="3">
        <f>IF(H1687="Efectivo",IFERROR((VALUE(RIGHT(I1687,4))-VALUE(RIGHT(E1687,4)))*12+(VALUE(LEFT(I1687,2))-VALUE(LEFT(E1687,2))),""),"")</f>
        <v/>
      </c>
    </row>
    <row r="1688">
      <c r="M1688" s="3">
        <f>IF(H1688="Efectivo",IFERROR((VALUE(RIGHT(I1688,4))-VALUE(RIGHT(E1688,4)))*12+(VALUE(LEFT(I1688,2))-VALUE(LEFT(E1688,2))),""),"")</f>
        <v/>
      </c>
    </row>
    <row r="1689">
      <c r="M1689" s="3">
        <f>IF(H1689="Efectivo",IFERROR((VALUE(RIGHT(I1689,4))-VALUE(RIGHT(E1689,4)))*12+(VALUE(LEFT(I1689,2))-VALUE(LEFT(E1689,2))),""),"")</f>
        <v/>
      </c>
    </row>
    <row r="1690">
      <c r="M1690" s="3">
        <f>IF(H1690="Efectivo",IFERROR((VALUE(RIGHT(I1690,4))-VALUE(RIGHT(E1690,4)))*12+(VALUE(LEFT(I1690,2))-VALUE(LEFT(E1690,2))),""),"")</f>
        <v/>
      </c>
    </row>
    <row r="1691">
      <c r="M1691" s="3">
        <f>IF(H1691="Efectivo",IFERROR((VALUE(RIGHT(I1691,4))-VALUE(RIGHT(E1691,4)))*12+(VALUE(LEFT(I1691,2))-VALUE(LEFT(E1691,2))),""),"")</f>
        <v/>
      </c>
    </row>
    <row r="1692">
      <c r="M1692" s="3">
        <f>IF(H1692="Efectivo",IFERROR((VALUE(RIGHT(I1692,4))-VALUE(RIGHT(E1692,4)))*12+(VALUE(LEFT(I1692,2))-VALUE(LEFT(E1692,2))),""),"")</f>
        <v/>
      </c>
    </row>
    <row r="1693">
      <c r="M1693" s="3">
        <f>IF(H1693="Efectivo",IFERROR((VALUE(RIGHT(I1693,4))-VALUE(RIGHT(E1693,4)))*12+(VALUE(LEFT(I1693,2))-VALUE(LEFT(E1693,2))),""),"")</f>
        <v/>
      </c>
    </row>
    <row r="1694">
      <c r="M1694" s="3">
        <f>IF(H1694="Efectivo",IFERROR((VALUE(RIGHT(I1694,4))-VALUE(RIGHT(E1694,4)))*12+(VALUE(LEFT(I1694,2))-VALUE(LEFT(E1694,2))),""),"")</f>
        <v/>
      </c>
    </row>
    <row r="1695">
      <c r="M1695" s="3">
        <f>IF(H1695="Efectivo",IFERROR((VALUE(RIGHT(I1695,4))-VALUE(RIGHT(E1695,4)))*12+(VALUE(LEFT(I1695,2))-VALUE(LEFT(E1695,2))),""),"")</f>
        <v/>
      </c>
    </row>
    <row r="1696">
      <c r="M1696" s="3">
        <f>IF(H1696="Efectivo",IFERROR((VALUE(RIGHT(I1696,4))-VALUE(RIGHT(E1696,4)))*12+(VALUE(LEFT(I1696,2))-VALUE(LEFT(E1696,2))),""),"")</f>
        <v/>
      </c>
    </row>
    <row r="1697">
      <c r="M1697" s="3">
        <f>IF(H1697="Efectivo",IFERROR((VALUE(RIGHT(I1697,4))-VALUE(RIGHT(E1697,4)))*12+(VALUE(LEFT(I1697,2))-VALUE(LEFT(E1697,2))),""),"")</f>
        <v/>
      </c>
    </row>
    <row r="1698">
      <c r="M1698" s="3">
        <f>IF(H1698="Efectivo",IFERROR((VALUE(RIGHT(I1698,4))-VALUE(RIGHT(E1698,4)))*12+(VALUE(LEFT(I1698,2))-VALUE(LEFT(E1698,2))),""),"")</f>
        <v/>
      </c>
    </row>
    <row r="1699">
      <c r="M1699" s="3">
        <f>IF(H1699="Efectivo",IFERROR((VALUE(RIGHT(I1699,4))-VALUE(RIGHT(E1699,4)))*12+(VALUE(LEFT(I1699,2))-VALUE(LEFT(E1699,2))),""),"")</f>
        <v/>
      </c>
    </row>
    <row r="1700">
      <c r="M1700" s="3">
        <f>IF(H1700="Efectivo",IFERROR((VALUE(RIGHT(I1700,4))-VALUE(RIGHT(E1700,4)))*12+(VALUE(LEFT(I1700,2))-VALUE(LEFT(E1700,2))),""),"")</f>
        <v/>
      </c>
    </row>
    <row r="1701">
      <c r="M1701" s="3">
        <f>IF(H1701="Efectivo",IFERROR((VALUE(RIGHT(I1701,4))-VALUE(RIGHT(E1701,4)))*12+(VALUE(LEFT(I1701,2))-VALUE(LEFT(E1701,2))),""),"")</f>
        <v/>
      </c>
    </row>
    <row r="1702">
      <c r="M1702" s="3">
        <f>IF(H1702="Efectivo",IFERROR((VALUE(RIGHT(I1702,4))-VALUE(RIGHT(E1702,4)))*12+(VALUE(LEFT(I1702,2))-VALUE(LEFT(E1702,2))),""),"")</f>
        <v/>
      </c>
    </row>
    <row r="1703">
      <c r="M1703" s="3">
        <f>IF(H1703="Efectivo",IFERROR((VALUE(RIGHT(I1703,4))-VALUE(RIGHT(E1703,4)))*12+(VALUE(LEFT(I1703,2))-VALUE(LEFT(E1703,2))),""),"")</f>
        <v/>
      </c>
    </row>
    <row r="1704">
      <c r="M1704" s="3">
        <f>IF(H1704="Efectivo",IFERROR((VALUE(RIGHT(I1704,4))-VALUE(RIGHT(E1704,4)))*12+(VALUE(LEFT(I1704,2))-VALUE(LEFT(E1704,2))),""),"")</f>
        <v/>
      </c>
    </row>
    <row r="1705">
      <c r="M1705" s="3">
        <f>IF(H1705="Efectivo",IFERROR((VALUE(RIGHT(I1705,4))-VALUE(RIGHT(E1705,4)))*12+(VALUE(LEFT(I1705,2))-VALUE(LEFT(E1705,2))),""),"")</f>
        <v/>
      </c>
    </row>
    <row r="1706">
      <c r="M1706" s="3">
        <f>IF(H1706="Efectivo",IFERROR((VALUE(RIGHT(I1706,4))-VALUE(RIGHT(E1706,4)))*12+(VALUE(LEFT(I1706,2))-VALUE(LEFT(E1706,2))),""),"")</f>
        <v/>
      </c>
    </row>
    <row r="1707">
      <c r="M1707" s="3">
        <f>IF(H1707="Efectivo",IFERROR((VALUE(RIGHT(I1707,4))-VALUE(RIGHT(E1707,4)))*12+(VALUE(LEFT(I1707,2))-VALUE(LEFT(E1707,2))),""),"")</f>
        <v/>
      </c>
    </row>
    <row r="1708">
      <c r="M1708" s="3">
        <f>IF(H1708="Efectivo",IFERROR((VALUE(RIGHT(I1708,4))-VALUE(RIGHT(E1708,4)))*12+(VALUE(LEFT(I1708,2))-VALUE(LEFT(E1708,2))),""),"")</f>
        <v/>
      </c>
    </row>
    <row r="1709">
      <c r="M1709" s="3">
        <f>IF(H1709="Efectivo",IFERROR((VALUE(RIGHT(I1709,4))-VALUE(RIGHT(E1709,4)))*12+(VALUE(LEFT(I1709,2))-VALUE(LEFT(E1709,2))),""),"")</f>
        <v/>
      </c>
    </row>
    <row r="1710">
      <c r="M1710" s="3">
        <f>IF(H1710="Efectivo",IFERROR((VALUE(RIGHT(I1710,4))-VALUE(RIGHT(E1710,4)))*12+(VALUE(LEFT(I1710,2))-VALUE(LEFT(E1710,2))),""),"")</f>
        <v/>
      </c>
    </row>
    <row r="1711">
      <c r="M1711" s="3">
        <f>IF(H1711="Efectivo",IFERROR((VALUE(RIGHT(I1711,4))-VALUE(RIGHT(E1711,4)))*12+(VALUE(LEFT(I1711,2))-VALUE(LEFT(E1711,2))),""),"")</f>
        <v/>
      </c>
    </row>
    <row r="1712">
      <c r="M1712" s="3">
        <f>IF(H1712="Efectivo",IFERROR((VALUE(RIGHT(I1712,4))-VALUE(RIGHT(E1712,4)))*12+(VALUE(LEFT(I1712,2))-VALUE(LEFT(E1712,2))),""),"")</f>
        <v/>
      </c>
    </row>
    <row r="1713">
      <c r="M1713" s="3">
        <f>IF(H1713="Efectivo",IFERROR((VALUE(RIGHT(I1713,4))-VALUE(RIGHT(E1713,4)))*12+(VALUE(LEFT(I1713,2))-VALUE(LEFT(E1713,2))),""),"")</f>
        <v/>
      </c>
    </row>
    <row r="1714">
      <c r="M1714" s="3">
        <f>IF(H1714="Efectivo",IFERROR((VALUE(RIGHT(I1714,4))-VALUE(RIGHT(E1714,4)))*12+(VALUE(LEFT(I1714,2))-VALUE(LEFT(E1714,2))),""),"")</f>
        <v/>
      </c>
    </row>
    <row r="1715">
      <c r="M1715" s="3">
        <f>IF(H1715="Efectivo",IFERROR((VALUE(RIGHT(I1715,4))-VALUE(RIGHT(E1715,4)))*12+(VALUE(LEFT(I1715,2))-VALUE(LEFT(E1715,2))),""),"")</f>
        <v/>
      </c>
    </row>
    <row r="1716">
      <c r="M1716" s="3">
        <f>IF(H1716="Efectivo",IFERROR((VALUE(RIGHT(I1716,4))-VALUE(RIGHT(E1716,4)))*12+(VALUE(LEFT(I1716,2))-VALUE(LEFT(E1716,2))),""),"")</f>
        <v/>
      </c>
    </row>
    <row r="1717">
      <c r="M1717" s="3">
        <f>IF(H1717="Efectivo",IFERROR((VALUE(RIGHT(I1717,4))-VALUE(RIGHT(E1717,4)))*12+(VALUE(LEFT(I1717,2))-VALUE(LEFT(E1717,2))),""),"")</f>
        <v/>
      </c>
    </row>
    <row r="1718">
      <c r="M1718" s="3">
        <f>IF(H1718="Efectivo",IFERROR((VALUE(RIGHT(I1718,4))-VALUE(RIGHT(E1718,4)))*12+(VALUE(LEFT(I1718,2))-VALUE(LEFT(E1718,2))),""),"")</f>
        <v/>
      </c>
    </row>
    <row r="1719">
      <c r="M1719" s="3">
        <f>IF(H1719="Efectivo",IFERROR((VALUE(RIGHT(I1719,4))-VALUE(RIGHT(E1719,4)))*12+(VALUE(LEFT(I1719,2))-VALUE(LEFT(E1719,2))),""),"")</f>
        <v/>
      </c>
    </row>
    <row r="1720">
      <c r="M1720" s="3">
        <f>IF(H1720="Efectivo",IFERROR((VALUE(RIGHT(I1720,4))-VALUE(RIGHT(E1720,4)))*12+(VALUE(LEFT(I1720,2))-VALUE(LEFT(E1720,2))),""),"")</f>
        <v/>
      </c>
    </row>
    <row r="1721">
      <c r="M1721" s="3">
        <f>IF(H1721="Efectivo",IFERROR((VALUE(RIGHT(I1721,4))-VALUE(RIGHT(E1721,4)))*12+(VALUE(LEFT(I1721,2))-VALUE(LEFT(E1721,2))),""),"")</f>
        <v/>
      </c>
    </row>
    <row r="1722">
      <c r="M1722" s="3">
        <f>IF(H1722="Efectivo",IFERROR((VALUE(RIGHT(I1722,4))-VALUE(RIGHT(E1722,4)))*12+(VALUE(LEFT(I1722,2))-VALUE(LEFT(E1722,2))),""),"")</f>
        <v/>
      </c>
    </row>
    <row r="1723">
      <c r="M1723" s="3">
        <f>IF(H1723="Efectivo",IFERROR((VALUE(RIGHT(I1723,4))-VALUE(RIGHT(E1723,4)))*12+(VALUE(LEFT(I1723,2))-VALUE(LEFT(E1723,2))),""),"")</f>
        <v/>
      </c>
    </row>
    <row r="1724">
      <c r="M1724" s="3">
        <f>IF(H1724="Efectivo",IFERROR((VALUE(RIGHT(I1724,4))-VALUE(RIGHT(E1724,4)))*12+(VALUE(LEFT(I1724,2))-VALUE(LEFT(E1724,2))),""),"")</f>
        <v/>
      </c>
    </row>
    <row r="1725">
      <c r="M1725" s="3">
        <f>IF(H1725="Efectivo",IFERROR((VALUE(RIGHT(I1725,4))-VALUE(RIGHT(E1725,4)))*12+(VALUE(LEFT(I1725,2))-VALUE(LEFT(E1725,2))),""),"")</f>
        <v/>
      </c>
    </row>
    <row r="1726">
      <c r="M1726" s="3">
        <f>IF(H1726="Efectivo",IFERROR((VALUE(RIGHT(I1726,4))-VALUE(RIGHT(E1726,4)))*12+(VALUE(LEFT(I1726,2))-VALUE(LEFT(E1726,2))),""),"")</f>
        <v/>
      </c>
    </row>
    <row r="1727">
      <c r="M1727" s="3">
        <f>IF(H1727="Efectivo",IFERROR((VALUE(RIGHT(I1727,4))-VALUE(RIGHT(E1727,4)))*12+(VALUE(LEFT(I1727,2))-VALUE(LEFT(E1727,2))),""),"")</f>
        <v/>
      </c>
    </row>
    <row r="1728">
      <c r="M1728" s="3">
        <f>IF(H1728="Efectivo",IFERROR((VALUE(RIGHT(I1728,4))-VALUE(RIGHT(E1728,4)))*12+(VALUE(LEFT(I1728,2))-VALUE(LEFT(E1728,2))),""),"")</f>
        <v/>
      </c>
    </row>
    <row r="1729">
      <c r="M1729" s="3">
        <f>IF(H1729="Efectivo",IFERROR((VALUE(RIGHT(I1729,4))-VALUE(RIGHT(E1729,4)))*12+(VALUE(LEFT(I1729,2))-VALUE(LEFT(E1729,2))),""),"")</f>
        <v/>
      </c>
    </row>
    <row r="1730">
      <c r="M1730" s="3">
        <f>IF(H1730="Efectivo",IFERROR((VALUE(RIGHT(I1730,4))-VALUE(RIGHT(E1730,4)))*12+(VALUE(LEFT(I1730,2))-VALUE(LEFT(E1730,2))),""),"")</f>
        <v/>
      </c>
    </row>
    <row r="1731">
      <c r="M1731" s="3">
        <f>IF(H1731="Efectivo",IFERROR((VALUE(RIGHT(I1731,4))-VALUE(RIGHT(E1731,4)))*12+(VALUE(LEFT(I1731,2))-VALUE(LEFT(E1731,2))),""),"")</f>
        <v/>
      </c>
    </row>
    <row r="1732">
      <c r="M1732" s="3">
        <f>IF(H1732="Efectivo",IFERROR((VALUE(RIGHT(I1732,4))-VALUE(RIGHT(E1732,4)))*12+(VALUE(LEFT(I1732,2))-VALUE(LEFT(E1732,2))),""),"")</f>
        <v/>
      </c>
    </row>
    <row r="1733">
      <c r="M1733" s="3">
        <f>IF(H1733="Efectivo",IFERROR((VALUE(RIGHT(I1733,4))-VALUE(RIGHT(E1733,4)))*12+(VALUE(LEFT(I1733,2))-VALUE(LEFT(E1733,2))),""),"")</f>
        <v/>
      </c>
    </row>
    <row r="1734">
      <c r="M1734" s="3">
        <f>IF(H1734="Efectivo",IFERROR((VALUE(RIGHT(I1734,4))-VALUE(RIGHT(E1734,4)))*12+(VALUE(LEFT(I1734,2))-VALUE(LEFT(E1734,2))),""),"")</f>
        <v/>
      </c>
    </row>
    <row r="1735">
      <c r="M1735" s="3">
        <f>IF(H1735="Efectivo",IFERROR((VALUE(RIGHT(I1735,4))-VALUE(RIGHT(E1735,4)))*12+(VALUE(LEFT(I1735,2))-VALUE(LEFT(E1735,2))),""),"")</f>
        <v/>
      </c>
    </row>
    <row r="1736">
      <c r="M1736" s="3">
        <f>IF(H1736="Efectivo",IFERROR((VALUE(RIGHT(I1736,4))-VALUE(RIGHT(E1736,4)))*12+(VALUE(LEFT(I1736,2))-VALUE(LEFT(E1736,2))),""),"")</f>
        <v/>
      </c>
    </row>
    <row r="1737">
      <c r="M1737" s="3">
        <f>IF(H1737="Efectivo",IFERROR((VALUE(RIGHT(I1737,4))-VALUE(RIGHT(E1737,4)))*12+(VALUE(LEFT(I1737,2))-VALUE(LEFT(E1737,2))),""),"")</f>
        <v/>
      </c>
    </row>
    <row r="1738">
      <c r="M1738" s="3">
        <f>IF(H1738="Efectivo",IFERROR((VALUE(RIGHT(I1738,4))-VALUE(RIGHT(E1738,4)))*12+(VALUE(LEFT(I1738,2))-VALUE(LEFT(E1738,2))),""),"")</f>
        <v/>
      </c>
    </row>
    <row r="1739">
      <c r="M1739" s="3">
        <f>IF(H1739="Efectivo",IFERROR((VALUE(RIGHT(I1739,4))-VALUE(RIGHT(E1739,4)))*12+(VALUE(LEFT(I1739,2))-VALUE(LEFT(E1739,2))),""),"")</f>
        <v/>
      </c>
    </row>
    <row r="1740">
      <c r="M1740" s="3">
        <f>IF(H1740="Efectivo",IFERROR((VALUE(RIGHT(I1740,4))-VALUE(RIGHT(E1740,4)))*12+(VALUE(LEFT(I1740,2))-VALUE(LEFT(E1740,2))),""),"")</f>
        <v/>
      </c>
    </row>
    <row r="1741">
      <c r="M1741" s="3">
        <f>IF(H1741="Efectivo",IFERROR((VALUE(RIGHT(I1741,4))-VALUE(RIGHT(E1741,4)))*12+(VALUE(LEFT(I1741,2))-VALUE(LEFT(E1741,2))),""),"")</f>
        <v/>
      </c>
    </row>
    <row r="1742">
      <c r="M1742" s="3">
        <f>IF(H1742="Efectivo",IFERROR((VALUE(RIGHT(I1742,4))-VALUE(RIGHT(E1742,4)))*12+(VALUE(LEFT(I1742,2))-VALUE(LEFT(E1742,2))),""),"")</f>
        <v/>
      </c>
    </row>
    <row r="1743">
      <c r="M1743" s="3">
        <f>IF(H1743="Efectivo",IFERROR((VALUE(RIGHT(I1743,4))-VALUE(RIGHT(E1743,4)))*12+(VALUE(LEFT(I1743,2))-VALUE(LEFT(E1743,2))),""),"")</f>
        <v/>
      </c>
    </row>
    <row r="1744">
      <c r="M1744" s="3">
        <f>IF(H1744="Efectivo",IFERROR((VALUE(RIGHT(I1744,4))-VALUE(RIGHT(E1744,4)))*12+(VALUE(LEFT(I1744,2))-VALUE(LEFT(E1744,2))),""),"")</f>
        <v/>
      </c>
    </row>
    <row r="1745">
      <c r="M1745" s="3">
        <f>IF(H1745="Efectivo",IFERROR((VALUE(RIGHT(I1745,4))-VALUE(RIGHT(E1745,4)))*12+(VALUE(LEFT(I1745,2))-VALUE(LEFT(E1745,2))),""),"")</f>
        <v/>
      </c>
    </row>
    <row r="1746">
      <c r="M1746" s="3">
        <f>IF(H1746="Efectivo",IFERROR((VALUE(RIGHT(I1746,4))-VALUE(RIGHT(E1746,4)))*12+(VALUE(LEFT(I1746,2))-VALUE(LEFT(E1746,2))),""),"")</f>
        <v/>
      </c>
    </row>
    <row r="1747">
      <c r="M1747" s="3">
        <f>IF(H1747="Efectivo",IFERROR((VALUE(RIGHT(I1747,4))-VALUE(RIGHT(E1747,4)))*12+(VALUE(LEFT(I1747,2))-VALUE(LEFT(E1747,2))),""),"")</f>
        <v/>
      </c>
    </row>
    <row r="1748">
      <c r="M1748" s="3">
        <f>IF(H1748="Efectivo",IFERROR((VALUE(RIGHT(I1748,4))-VALUE(RIGHT(E1748,4)))*12+(VALUE(LEFT(I1748,2))-VALUE(LEFT(E1748,2))),""),"")</f>
        <v/>
      </c>
    </row>
    <row r="1749">
      <c r="M1749" s="3">
        <f>IF(H1749="Efectivo",IFERROR((VALUE(RIGHT(I1749,4))-VALUE(RIGHT(E1749,4)))*12+(VALUE(LEFT(I1749,2))-VALUE(LEFT(E1749,2))),""),"")</f>
        <v/>
      </c>
    </row>
    <row r="1750">
      <c r="M1750" s="3">
        <f>IF(H1750="Efectivo",IFERROR((VALUE(RIGHT(I1750,4))-VALUE(RIGHT(E1750,4)))*12+(VALUE(LEFT(I1750,2))-VALUE(LEFT(E1750,2))),""),"")</f>
        <v/>
      </c>
    </row>
    <row r="1751">
      <c r="M1751" s="3">
        <f>IF(H1751="Efectivo",IFERROR((VALUE(RIGHT(I1751,4))-VALUE(RIGHT(E1751,4)))*12+(VALUE(LEFT(I1751,2))-VALUE(LEFT(E1751,2))),""),"")</f>
        <v/>
      </c>
    </row>
    <row r="1752">
      <c r="M1752" s="3">
        <f>IF(H1752="Efectivo",IFERROR((VALUE(RIGHT(I1752,4))-VALUE(RIGHT(E1752,4)))*12+(VALUE(LEFT(I1752,2))-VALUE(LEFT(E1752,2))),""),"")</f>
        <v/>
      </c>
    </row>
    <row r="1753">
      <c r="M1753" s="3">
        <f>IF(H1753="Efectivo",IFERROR((VALUE(RIGHT(I1753,4))-VALUE(RIGHT(E1753,4)))*12+(VALUE(LEFT(I1753,2))-VALUE(LEFT(E1753,2))),""),"")</f>
        <v/>
      </c>
    </row>
    <row r="1754">
      <c r="M1754" s="3">
        <f>IF(H1754="Efectivo",IFERROR((VALUE(RIGHT(I1754,4))-VALUE(RIGHT(E1754,4)))*12+(VALUE(LEFT(I1754,2))-VALUE(LEFT(E1754,2))),""),"")</f>
        <v/>
      </c>
    </row>
    <row r="1755">
      <c r="M1755" s="3">
        <f>IF(H1755="Efectivo",IFERROR((VALUE(RIGHT(I1755,4))-VALUE(RIGHT(E1755,4)))*12+(VALUE(LEFT(I1755,2))-VALUE(LEFT(E1755,2))),""),"")</f>
        <v/>
      </c>
    </row>
    <row r="1756">
      <c r="M1756" s="3">
        <f>IF(H1756="Efectivo",IFERROR((VALUE(RIGHT(I1756,4))-VALUE(RIGHT(E1756,4)))*12+(VALUE(LEFT(I1756,2))-VALUE(LEFT(E1756,2))),""),"")</f>
        <v/>
      </c>
    </row>
    <row r="1757">
      <c r="M1757" s="3">
        <f>IF(H1757="Efectivo",IFERROR((VALUE(RIGHT(I1757,4))-VALUE(RIGHT(E1757,4)))*12+(VALUE(LEFT(I1757,2))-VALUE(LEFT(E1757,2))),""),"")</f>
        <v/>
      </c>
    </row>
    <row r="1758">
      <c r="M1758" s="3">
        <f>IF(H1758="Efectivo",IFERROR((VALUE(RIGHT(I1758,4))-VALUE(RIGHT(E1758,4)))*12+(VALUE(LEFT(I1758,2))-VALUE(LEFT(E1758,2))),""),"")</f>
        <v/>
      </c>
    </row>
    <row r="1759">
      <c r="M1759" s="3">
        <f>IF(H1759="Efectivo",IFERROR((VALUE(RIGHT(I1759,4))-VALUE(RIGHT(E1759,4)))*12+(VALUE(LEFT(I1759,2))-VALUE(LEFT(E1759,2))),""),"")</f>
        <v/>
      </c>
    </row>
    <row r="1760">
      <c r="M1760" s="3">
        <f>IF(H1760="Efectivo",IFERROR((VALUE(RIGHT(I1760,4))-VALUE(RIGHT(E1760,4)))*12+(VALUE(LEFT(I1760,2))-VALUE(LEFT(E1760,2))),""),"")</f>
        <v/>
      </c>
    </row>
    <row r="1761">
      <c r="M1761" s="3">
        <f>IF(H1761="Efectivo",IFERROR((VALUE(RIGHT(I1761,4))-VALUE(RIGHT(E1761,4)))*12+(VALUE(LEFT(I1761,2))-VALUE(LEFT(E1761,2))),""),"")</f>
        <v/>
      </c>
    </row>
    <row r="1762">
      <c r="M1762" s="3">
        <f>IF(H1762="Efectivo",IFERROR((VALUE(RIGHT(I1762,4))-VALUE(RIGHT(E1762,4)))*12+(VALUE(LEFT(I1762,2))-VALUE(LEFT(E1762,2))),""),"")</f>
        <v/>
      </c>
    </row>
    <row r="1763">
      <c r="M1763" s="3">
        <f>IF(H1763="Efectivo",IFERROR((VALUE(RIGHT(I1763,4))-VALUE(RIGHT(E1763,4)))*12+(VALUE(LEFT(I1763,2))-VALUE(LEFT(E1763,2))),""),"")</f>
        <v/>
      </c>
    </row>
    <row r="1764">
      <c r="M1764" s="3">
        <f>IF(H1764="Efectivo",IFERROR((VALUE(RIGHT(I1764,4))-VALUE(RIGHT(E1764,4)))*12+(VALUE(LEFT(I1764,2))-VALUE(LEFT(E1764,2))),""),"")</f>
        <v/>
      </c>
    </row>
    <row r="1765">
      <c r="M1765" s="3">
        <f>IF(H1765="Efectivo",IFERROR((VALUE(RIGHT(I1765,4))-VALUE(RIGHT(E1765,4)))*12+(VALUE(LEFT(I1765,2))-VALUE(LEFT(E1765,2))),""),"")</f>
        <v/>
      </c>
    </row>
    <row r="1766">
      <c r="M1766" s="3">
        <f>IF(H1766="Efectivo",IFERROR((VALUE(RIGHT(I1766,4))-VALUE(RIGHT(E1766,4)))*12+(VALUE(LEFT(I1766,2))-VALUE(LEFT(E1766,2))),""),"")</f>
        <v/>
      </c>
    </row>
    <row r="1767">
      <c r="M1767" s="3">
        <f>IF(H1767="Efectivo",IFERROR((VALUE(RIGHT(I1767,4))-VALUE(RIGHT(E1767,4)))*12+(VALUE(LEFT(I1767,2))-VALUE(LEFT(E1767,2))),""),"")</f>
        <v/>
      </c>
    </row>
    <row r="1768">
      <c r="M1768" s="3">
        <f>IF(H1768="Efectivo",IFERROR((VALUE(RIGHT(I1768,4))-VALUE(RIGHT(E1768,4)))*12+(VALUE(LEFT(I1768,2))-VALUE(LEFT(E1768,2))),""),"")</f>
        <v/>
      </c>
    </row>
    <row r="1769">
      <c r="M1769" s="3">
        <f>IF(H1769="Efectivo",IFERROR((VALUE(RIGHT(I1769,4))-VALUE(RIGHT(E1769,4)))*12+(VALUE(LEFT(I1769,2))-VALUE(LEFT(E1769,2))),""),"")</f>
        <v/>
      </c>
    </row>
    <row r="1770">
      <c r="M1770" s="3">
        <f>IF(H1770="Efectivo",IFERROR((VALUE(RIGHT(I1770,4))-VALUE(RIGHT(E1770,4)))*12+(VALUE(LEFT(I1770,2))-VALUE(LEFT(E1770,2))),""),"")</f>
        <v/>
      </c>
    </row>
    <row r="1771">
      <c r="M1771" s="3">
        <f>IF(H1771="Efectivo",IFERROR((VALUE(RIGHT(I1771,4))-VALUE(RIGHT(E1771,4)))*12+(VALUE(LEFT(I1771,2))-VALUE(LEFT(E1771,2))),""),"")</f>
        <v/>
      </c>
    </row>
    <row r="1772">
      <c r="M1772" s="3">
        <f>IF(H1772="Efectivo",IFERROR((VALUE(RIGHT(I1772,4))-VALUE(RIGHT(E1772,4)))*12+(VALUE(LEFT(I1772,2))-VALUE(LEFT(E1772,2))),""),"")</f>
        <v/>
      </c>
    </row>
    <row r="1773">
      <c r="M1773" s="3">
        <f>IF(H1773="Efectivo",IFERROR((VALUE(RIGHT(I1773,4))-VALUE(RIGHT(E1773,4)))*12+(VALUE(LEFT(I1773,2))-VALUE(LEFT(E1773,2))),""),"")</f>
        <v/>
      </c>
    </row>
    <row r="1774">
      <c r="M1774" s="3">
        <f>IF(H1774="Efectivo",IFERROR((VALUE(RIGHT(I1774,4))-VALUE(RIGHT(E1774,4)))*12+(VALUE(LEFT(I1774,2))-VALUE(LEFT(E1774,2))),""),"")</f>
        <v/>
      </c>
    </row>
    <row r="1775">
      <c r="M1775" s="3">
        <f>IF(H1775="Efectivo",IFERROR((VALUE(RIGHT(I1775,4))-VALUE(RIGHT(E1775,4)))*12+(VALUE(LEFT(I1775,2))-VALUE(LEFT(E1775,2))),""),"")</f>
        <v/>
      </c>
    </row>
    <row r="1776">
      <c r="M1776" s="3">
        <f>IF(H1776="Efectivo",IFERROR((VALUE(RIGHT(I1776,4))-VALUE(RIGHT(E1776,4)))*12+(VALUE(LEFT(I1776,2))-VALUE(LEFT(E1776,2))),""),"")</f>
        <v/>
      </c>
    </row>
    <row r="1777">
      <c r="M1777" s="3">
        <f>IF(H1777="Efectivo",IFERROR((VALUE(RIGHT(I1777,4))-VALUE(RIGHT(E1777,4)))*12+(VALUE(LEFT(I1777,2))-VALUE(LEFT(E1777,2))),""),"")</f>
        <v/>
      </c>
    </row>
    <row r="1778">
      <c r="M1778" s="3">
        <f>IF(H1778="Efectivo",IFERROR((VALUE(RIGHT(I1778,4))-VALUE(RIGHT(E1778,4)))*12+(VALUE(LEFT(I1778,2))-VALUE(LEFT(E1778,2))),""),"")</f>
        <v/>
      </c>
    </row>
    <row r="1779">
      <c r="M1779" s="3">
        <f>IF(H1779="Efectivo",IFERROR((VALUE(RIGHT(I1779,4))-VALUE(RIGHT(E1779,4)))*12+(VALUE(LEFT(I1779,2))-VALUE(LEFT(E1779,2))),""),"")</f>
        <v/>
      </c>
    </row>
    <row r="1780">
      <c r="M1780" s="3">
        <f>IF(H1780="Efectivo",IFERROR((VALUE(RIGHT(I1780,4))-VALUE(RIGHT(E1780,4)))*12+(VALUE(LEFT(I1780,2))-VALUE(LEFT(E1780,2))),""),"")</f>
        <v/>
      </c>
    </row>
    <row r="1781">
      <c r="M1781" s="3">
        <f>IF(H1781="Efectivo",IFERROR((VALUE(RIGHT(I1781,4))-VALUE(RIGHT(E1781,4)))*12+(VALUE(LEFT(I1781,2))-VALUE(LEFT(E1781,2))),""),"")</f>
        <v/>
      </c>
    </row>
    <row r="1782">
      <c r="M1782" s="3">
        <f>IF(H1782="Efectivo",IFERROR((VALUE(RIGHT(I1782,4))-VALUE(RIGHT(E1782,4)))*12+(VALUE(LEFT(I1782,2))-VALUE(LEFT(E1782,2))),""),"")</f>
        <v/>
      </c>
    </row>
    <row r="1783">
      <c r="M1783" s="3">
        <f>IF(H1783="Efectivo",IFERROR((VALUE(RIGHT(I1783,4))-VALUE(RIGHT(E1783,4)))*12+(VALUE(LEFT(I1783,2))-VALUE(LEFT(E1783,2))),""),"")</f>
        <v/>
      </c>
    </row>
    <row r="1784">
      <c r="M1784" s="3">
        <f>IF(H1784="Efectivo",IFERROR((VALUE(RIGHT(I1784,4))-VALUE(RIGHT(E1784,4)))*12+(VALUE(LEFT(I1784,2))-VALUE(LEFT(E1784,2))),""),"")</f>
        <v/>
      </c>
    </row>
    <row r="1785">
      <c r="M1785" s="3">
        <f>IF(H1785="Efectivo",IFERROR((VALUE(RIGHT(I1785,4))-VALUE(RIGHT(E1785,4)))*12+(VALUE(LEFT(I1785,2))-VALUE(LEFT(E1785,2))),""),"")</f>
        <v/>
      </c>
    </row>
    <row r="1786">
      <c r="M1786" s="3">
        <f>IF(H1786="Efectivo",IFERROR((VALUE(RIGHT(I1786,4))-VALUE(RIGHT(E1786,4)))*12+(VALUE(LEFT(I1786,2))-VALUE(LEFT(E1786,2))),""),"")</f>
        <v/>
      </c>
    </row>
    <row r="1787">
      <c r="M1787" s="3">
        <f>IF(H1787="Efectivo",IFERROR((VALUE(RIGHT(I1787,4))-VALUE(RIGHT(E1787,4)))*12+(VALUE(LEFT(I1787,2))-VALUE(LEFT(E1787,2))),""),"")</f>
        <v/>
      </c>
    </row>
    <row r="1788">
      <c r="M1788" s="3">
        <f>IF(H1788="Efectivo",IFERROR((VALUE(RIGHT(I1788,4))-VALUE(RIGHT(E1788,4)))*12+(VALUE(LEFT(I1788,2))-VALUE(LEFT(E1788,2))),""),"")</f>
        <v/>
      </c>
    </row>
    <row r="1789">
      <c r="M1789" s="3">
        <f>IF(H1789="Efectivo",IFERROR((VALUE(RIGHT(I1789,4))-VALUE(RIGHT(E1789,4)))*12+(VALUE(LEFT(I1789,2))-VALUE(LEFT(E1789,2))),""),"")</f>
        <v/>
      </c>
    </row>
    <row r="1790">
      <c r="M1790" s="3">
        <f>IF(H1790="Efectivo",IFERROR((VALUE(RIGHT(I1790,4))-VALUE(RIGHT(E1790,4)))*12+(VALUE(LEFT(I1790,2))-VALUE(LEFT(E1790,2))),""),"")</f>
        <v/>
      </c>
    </row>
    <row r="1791">
      <c r="M1791" s="3">
        <f>IF(H1791="Efectivo",IFERROR((VALUE(RIGHT(I1791,4))-VALUE(RIGHT(E1791,4)))*12+(VALUE(LEFT(I1791,2))-VALUE(LEFT(E1791,2))),""),"")</f>
        <v/>
      </c>
    </row>
    <row r="1792">
      <c r="M1792" s="3">
        <f>IF(H1792="Efectivo",IFERROR((VALUE(RIGHT(I1792,4))-VALUE(RIGHT(E1792,4)))*12+(VALUE(LEFT(I1792,2))-VALUE(LEFT(E1792,2))),""),"")</f>
        <v/>
      </c>
    </row>
    <row r="1793">
      <c r="M1793" s="3">
        <f>IF(H1793="Efectivo",IFERROR((VALUE(RIGHT(I1793,4))-VALUE(RIGHT(E1793,4)))*12+(VALUE(LEFT(I1793,2))-VALUE(LEFT(E1793,2))),""),"")</f>
        <v/>
      </c>
    </row>
    <row r="1794">
      <c r="M1794" s="3">
        <f>IF(H1794="Efectivo",IFERROR((VALUE(RIGHT(I1794,4))-VALUE(RIGHT(E1794,4)))*12+(VALUE(LEFT(I1794,2))-VALUE(LEFT(E1794,2))),""),"")</f>
        <v/>
      </c>
    </row>
    <row r="1795">
      <c r="M1795" s="3">
        <f>IF(H1795="Efectivo",IFERROR((VALUE(RIGHT(I1795,4))-VALUE(RIGHT(E1795,4)))*12+(VALUE(LEFT(I1795,2))-VALUE(LEFT(E1795,2))),""),"")</f>
        <v/>
      </c>
    </row>
    <row r="1796">
      <c r="M1796" s="3">
        <f>IF(H1796="Efectivo",IFERROR((VALUE(RIGHT(I1796,4))-VALUE(RIGHT(E1796,4)))*12+(VALUE(LEFT(I1796,2))-VALUE(LEFT(E1796,2))),""),"")</f>
        <v/>
      </c>
    </row>
    <row r="1797">
      <c r="M1797" s="3">
        <f>IF(H1797="Efectivo",IFERROR((VALUE(RIGHT(I1797,4))-VALUE(RIGHT(E1797,4)))*12+(VALUE(LEFT(I1797,2))-VALUE(LEFT(E1797,2))),""),"")</f>
        <v/>
      </c>
    </row>
    <row r="1798">
      <c r="M1798" s="3">
        <f>IF(H1798="Efectivo",IFERROR((VALUE(RIGHT(I1798,4))-VALUE(RIGHT(E1798,4)))*12+(VALUE(LEFT(I1798,2))-VALUE(LEFT(E1798,2))),""),"")</f>
        <v/>
      </c>
    </row>
    <row r="1799">
      <c r="M1799" s="3">
        <f>IF(H1799="Efectivo",IFERROR((VALUE(RIGHT(I1799,4))-VALUE(RIGHT(E1799,4)))*12+(VALUE(LEFT(I1799,2))-VALUE(LEFT(E1799,2))),""),"")</f>
        <v/>
      </c>
    </row>
    <row r="1800">
      <c r="M1800" s="3">
        <f>IF(H1800="Efectivo",IFERROR((VALUE(RIGHT(I1800,4))-VALUE(RIGHT(E1800,4)))*12+(VALUE(LEFT(I1800,2))-VALUE(LEFT(E1800,2))),""),"")</f>
        <v/>
      </c>
    </row>
    <row r="1801">
      <c r="M1801" s="3">
        <f>IF(H1801="Efectivo",IFERROR((VALUE(RIGHT(I1801,4))-VALUE(RIGHT(E1801,4)))*12+(VALUE(LEFT(I1801,2))-VALUE(LEFT(E1801,2))),""),"")</f>
        <v/>
      </c>
    </row>
    <row r="1802">
      <c r="M1802" s="3">
        <f>IF(H1802="Efectivo",IFERROR((VALUE(RIGHT(I1802,4))-VALUE(RIGHT(E1802,4)))*12+(VALUE(LEFT(I1802,2))-VALUE(LEFT(E1802,2))),""),"")</f>
        <v/>
      </c>
    </row>
    <row r="1803">
      <c r="M1803" s="3">
        <f>IF(H1803="Efectivo",IFERROR((VALUE(RIGHT(I1803,4))-VALUE(RIGHT(E1803,4)))*12+(VALUE(LEFT(I1803,2))-VALUE(LEFT(E1803,2))),""),"")</f>
        <v/>
      </c>
    </row>
    <row r="1804">
      <c r="M1804" s="3">
        <f>IF(H1804="Efectivo",IFERROR((VALUE(RIGHT(I1804,4))-VALUE(RIGHT(E1804,4)))*12+(VALUE(LEFT(I1804,2))-VALUE(LEFT(E1804,2))),""),"")</f>
        <v/>
      </c>
    </row>
    <row r="1805">
      <c r="M1805" s="3">
        <f>IF(H1805="Efectivo",IFERROR((VALUE(RIGHT(I1805,4))-VALUE(RIGHT(E1805,4)))*12+(VALUE(LEFT(I1805,2))-VALUE(LEFT(E1805,2))),""),"")</f>
        <v/>
      </c>
    </row>
    <row r="1806">
      <c r="M1806" s="3">
        <f>IF(H1806="Efectivo",IFERROR((VALUE(RIGHT(I1806,4))-VALUE(RIGHT(E1806,4)))*12+(VALUE(LEFT(I1806,2))-VALUE(LEFT(E1806,2))),""),"")</f>
        <v/>
      </c>
    </row>
    <row r="1807">
      <c r="M1807" s="3">
        <f>IF(H1807="Efectivo",IFERROR((VALUE(RIGHT(I1807,4))-VALUE(RIGHT(E1807,4)))*12+(VALUE(LEFT(I1807,2))-VALUE(LEFT(E1807,2))),""),"")</f>
        <v/>
      </c>
    </row>
    <row r="1808">
      <c r="M1808" s="3">
        <f>IF(H1808="Efectivo",IFERROR((VALUE(RIGHT(I1808,4))-VALUE(RIGHT(E1808,4)))*12+(VALUE(LEFT(I1808,2))-VALUE(LEFT(E1808,2))),""),"")</f>
        <v/>
      </c>
    </row>
    <row r="1809">
      <c r="M1809" s="3">
        <f>IF(H1809="Efectivo",IFERROR((VALUE(RIGHT(I1809,4))-VALUE(RIGHT(E1809,4)))*12+(VALUE(LEFT(I1809,2))-VALUE(LEFT(E1809,2))),""),"")</f>
        <v/>
      </c>
    </row>
    <row r="1810">
      <c r="M1810" s="3">
        <f>IF(H1810="Efectivo",IFERROR((VALUE(RIGHT(I1810,4))-VALUE(RIGHT(E1810,4)))*12+(VALUE(LEFT(I1810,2))-VALUE(LEFT(E1810,2))),""),"")</f>
        <v/>
      </c>
    </row>
    <row r="1811">
      <c r="M1811" s="3">
        <f>IF(H1811="Efectivo",IFERROR((VALUE(RIGHT(I1811,4))-VALUE(RIGHT(E1811,4)))*12+(VALUE(LEFT(I1811,2))-VALUE(LEFT(E1811,2))),""),"")</f>
        <v/>
      </c>
    </row>
    <row r="1812">
      <c r="M1812" s="3">
        <f>IF(H1812="Efectivo",IFERROR((VALUE(RIGHT(I1812,4))-VALUE(RIGHT(E1812,4)))*12+(VALUE(LEFT(I1812,2))-VALUE(LEFT(E1812,2))),""),"")</f>
        <v/>
      </c>
    </row>
    <row r="1813">
      <c r="M1813" s="3">
        <f>IF(H1813="Efectivo",IFERROR((VALUE(RIGHT(I1813,4))-VALUE(RIGHT(E1813,4)))*12+(VALUE(LEFT(I1813,2))-VALUE(LEFT(E1813,2))),""),"")</f>
        <v/>
      </c>
    </row>
    <row r="1814">
      <c r="M1814" s="3">
        <f>IF(H1814="Efectivo",IFERROR((VALUE(RIGHT(I1814,4))-VALUE(RIGHT(E1814,4)))*12+(VALUE(LEFT(I1814,2))-VALUE(LEFT(E1814,2))),""),"")</f>
        <v/>
      </c>
    </row>
    <row r="1815">
      <c r="M1815" s="3">
        <f>IF(H1815="Efectivo",IFERROR((VALUE(RIGHT(I1815,4))-VALUE(RIGHT(E1815,4)))*12+(VALUE(LEFT(I1815,2))-VALUE(LEFT(E1815,2))),""),"")</f>
        <v/>
      </c>
    </row>
    <row r="1816">
      <c r="M1816" s="3">
        <f>IF(H1816="Efectivo",IFERROR((VALUE(RIGHT(I1816,4))-VALUE(RIGHT(E1816,4)))*12+(VALUE(LEFT(I1816,2))-VALUE(LEFT(E1816,2))),""),"")</f>
        <v/>
      </c>
    </row>
    <row r="1817">
      <c r="M1817" s="3">
        <f>IF(H1817="Efectivo",IFERROR((VALUE(RIGHT(I1817,4))-VALUE(RIGHT(E1817,4)))*12+(VALUE(LEFT(I1817,2))-VALUE(LEFT(E1817,2))),""),"")</f>
        <v/>
      </c>
    </row>
    <row r="1818">
      <c r="M1818" s="3">
        <f>IF(H1818="Efectivo",IFERROR((VALUE(RIGHT(I1818,4))-VALUE(RIGHT(E1818,4)))*12+(VALUE(LEFT(I1818,2))-VALUE(LEFT(E1818,2))),""),"")</f>
        <v/>
      </c>
    </row>
    <row r="1819">
      <c r="M1819" s="3">
        <f>IF(H1819="Efectivo",IFERROR((VALUE(RIGHT(I1819,4))-VALUE(RIGHT(E1819,4)))*12+(VALUE(LEFT(I1819,2))-VALUE(LEFT(E1819,2))),""),"")</f>
        <v/>
      </c>
    </row>
    <row r="1820">
      <c r="M1820" s="3">
        <f>IF(H1820="Efectivo",IFERROR((VALUE(RIGHT(I1820,4))-VALUE(RIGHT(E1820,4)))*12+(VALUE(LEFT(I1820,2))-VALUE(LEFT(E1820,2))),""),"")</f>
        <v/>
      </c>
    </row>
    <row r="1821">
      <c r="M1821" s="3">
        <f>IF(H1821="Efectivo",IFERROR((VALUE(RIGHT(I1821,4))-VALUE(RIGHT(E1821,4)))*12+(VALUE(LEFT(I1821,2))-VALUE(LEFT(E1821,2))),""),"")</f>
        <v/>
      </c>
    </row>
    <row r="1822">
      <c r="M1822" s="3">
        <f>IF(H1822="Efectivo",IFERROR((VALUE(RIGHT(I1822,4))-VALUE(RIGHT(E1822,4)))*12+(VALUE(LEFT(I1822,2))-VALUE(LEFT(E1822,2))),""),"")</f>
        <v/>
      </c>
    </row>
    <row r="1823">
      <c r="M1823" s="3">
        <f>IF(H1823="Efectivo",IFERROR((VALUE(RIGHT(I1823,4))-VALUE(RIGHT(E1823,4)))*12+(VALUE(LEFT(I1823,2))-VALUE(LEFT(E1823,2))),""),"")</f>
        <v/>
      </c>
    </row>
    <row r="1824">
      <c r="M1824" s="3">
        <f>IF(H1824="Efectivo",IFERROR((VALUE(RIGHT(I1824,4))-VALUE(RIGHT(E1824,4)))*12+(VALUE(LEFT(I1824,2))-VALUE(LEFT(E1824,2))),""),"")</f>
        <v/>
      </c>
    </row>
    <row r="1825">
      <c r="M1825" s="3">
        <f>IF(H1825="Efectivo",IFERROR((VALUE(RIGHT(I1825,4))-VALUE(RIGHT(E1825,4)))*12+(VALUE(LEFT(I1825,2))-VALUE(LEFT(E1825,2))),""),"")</f>
        <v/>
      </c>
    </row>
    <row r="1826">
      <c r="M1826" s="3">
        <f>IF(H1826="Efectivo",IFERROR((VALUE(RIGHT(I1826,4))-VALUE(RIGHT(E1826,4)))*12+(VALUE(LEFT(I1826,2))-VALUE(LEFT(E1826,2))),""),"")</f>
        <v/>
      </c>
    </row>
    <row r="1827">
      <c r="M1827" s="3">
        <f>IF(H1827="Efectivo",IFERROR((VALUE(RIGHT(I1827,4))-VALUE(RIGHT(E1827,4)))*12+(VALUE(LEFT(I1827,2))-VALUE(LEFT(E1827,2))),""),"")</f>
        <v/>
      </c>
    </row>
    <row r="1828">
      <c r="M1828" s="3">
        <f>IF(H1828="Efectivo",IFERROR((VALUE(RIGHT(I1828,4))-VALUE(RIGHT(E1828,4)))*12+(VALUE(LEFT(I1828,2))-VALUE(LEFT(E1828,2))),""),"")</f>
        <v/>
      </c>
    </row>
    <row r="1829">
      <c r="M1829" s="3">
        <f>IF(H1829="Efectivo",IFERROR((VALUE(RIGHT(I1829,4))-VALUE(RIGHT(E1829,4)))*12+(VALUE(LEFT(I1829,2))-VALUE(LEFT(E1829,2))),""),"")</f>
        <v/>
      </c>
    </row>
    <row r="1830">
      <c r="M1830" s="3">
        <f>IF(H1830="Efectivo",IFERROR((VALUE(RIGHT(I1830,4))-VALUE(RIGHT(E1830,4)))*12+(VALUE(LEFT(I1830,2))-VALUE(LEFT(E1830,2))),""),"")</f>
        <v/>
      </c>
    </row>
    <row r="1831">
      <c r="M1831" s="3">
        <f>IF(H1831="Efectivo",IFERROR((VALUE(RIGHT(I1831,4))-VALUE(RIGHT(E1831,4)))*12+(VALUE(LEFT(I1831,2))-VALUE(LEFT(E1831,2))),""),"")</f>
        <v/>
      </c>
    </row>
    <row r="1832">
      <c r="M1832" s="3">
        <f>IF(H1832="Efectivo",IFERROR((VALUE(RIGHT(I1832,4))-VALUE(RIGHT(E1832,4)))*12+(VALUE(LEFT(I1832,2))-VALUE(LEFT(E1832,2))),""),"")</f>
        <v/>
      </c>
    </row>
    <row r="1833">
      <c r="M1833" s="3">
        <f>IF(H1833="Efectivo",IFERROR((VALUE(RIGHT(I1833,4))-VALUE(RIGHT(E1833,4)))*12+(VALUE(LEFT(I1833,2))-VALUE(LEFT(E1833,2))),""),"")</f>
        <v/>
      </c>
    </row>
    <row r="1834">
      <c r="M1834" s="3">
        <f>IF(H1834="Efectivo",IFERROR((VALUE(RIGHT(I1834,4))-VALUE(RIGHT(E1834,4)))*12+(VALUE(LEFT(I1834,2))-VALUE(LEFT(E1834,2))),""),"")</f>
        <v/>
      </c>
    </row>
    <row r="1835">
      <c r="M1835" s="3">
        <f>IF(H1835="Efectivo",IFERROR((VALUE(RIGHT(I1835,4))-VALUE(RIGHT(E1835,4)))*12+(VALUE(LEFT(I1835,2))-VALUE(LEFT(E1835,2))),""),"")</f>
        <v/>
      </c>
    </row>
    <row r="1836">
      <c r="M1836" s="3">
        <f>IF(H1836="Efectivo",IFERROR((VALUE(RIGHT(I1836,4))-VALUE(RIGHT(E1836,4)))*12+(VALUE(LEFT(I1836,2))-VALUE(LEFT(E1836,2))),""),"")</f>
        <v/>
      </c>
    </row>
    <row r="1837">
      <c r="M1837" s="3">
        <f>IF(H1837="Efectivo",IFERROR((VALUE(RIGHT(I1837,4))-VALUE(RIGHT(E1837,4)))*12+(VALUE(LEFT(I1837,2))-VALUE(LEFT(E1837,2))),""),"")</f>
        <v/>
      </c>
    </row>
    <row r="1838">
      <c r="M1838" s="3">
        <f>IF(H1838="Efectivo",IFERROR((VALUE(RIGHT(I1838,4))-VALUE(RIGHT(E1838,4)))*12+(VALUE(LEFT(I1838,2))-VALUE(LEFT(E1838,2))),""),"")</f>
        <v/>
      </c>
    </row>
    <row r="1839">
      <c r="M1839" s="3">
        <f>IF(H1839="Efectivo",IFERROR((VALUE(RIGHT(I1839,4))-VALUE(RIGHT(E1839,4)))*12+(VALUE(LEFT(I1839,2))-VALUE(LEFT(E1839,2))),""),"")</f>
        <v/>
      </c>
    </row>
    <row r="1840">
      <c r="M1840" s="3">
        <f>IF(H1840="Efectivo",IFERROR((VALUE(RIGHT(I1840,4))-VALUE(RIGHT(E1840,4)))*12+(VALUE(LEFT(I1840,2))-VALUE(LEFT(E1840,2))),""),"")</f>
        <v/>
      </c>
    </row>
    <row r="1841">
      <c r="M1841" s="3">
        <f>IF(H1841="Efectivo",IFERROR((VALUE(RIGHT(I1841,4))-VALUE(RIGHT(E1841,4)))*12+(VALUE(LEFT(I1841,2))-VALUE(LEFT(E1841,2))),""),"")</f>
        <v/>
      </c>
    </row>
    <row r="1842">
      <c r="M1842" s="3">
        <f>IF(H1842="Efectivo",IFERROR((VALUE(RIGHT(I1842,4))-VALUE(RIGHT(E1842,4)))*12+(VALUE(LEFT(I1842,2))-VALUE(LEFT(E1842,2))),""),"")</f>
        <v/>
      </c>
    </row>
    <row r="1843">
      <c r="M1843" s="3">
        <f>IF(H1843="Efectivo",IFERROR((VALUE(RIGHT(I1843,4))-VALUE(RIGHT(E1843,4)))*12+(VALUE(LEFT(I1843,2))-VALUE(LEFT(E1843,2))),""),"")</f>
        <v/>
      </c>
    </row>
    <row r="1844">
      <c r="M1844" s="3">
        <f>IF(H1844="Efectivo",IFERROR((VALUE(RIGHT(I1844,4))-VALUE(RIGHT(E1844,4)))*12+(VALUE(LEFT(I1844,2))-VALUE(LEFT(E1844,2))),""),"")</f>
        <v/>
      </c>
    </row>
    <row r="1845">
      <c r="M1845" s="3">
        <f>IF(H1845="Efectivo",IFERROR((VALUE(RIGHT(I1845,4))-VALUE(RIGHT(E1845,4)))*12+(VALUE(LEFT(I1845,2))-VALUE(LEFT(E1845,2))),""),"")</f>
        <v/>
      </c>
    </row>
    <row r="1846">
      <c r="M1846" s="3">
        <f>IF(H1846="Efectivo",IFERROR((VALUE(RIGHT(I1846,4))-VALUE(RIGHT(E1846,4)))*12+(VALUE(LEFT(I1846,2))-VALUE(LEFT(E1846,2))),""),"")</f>
        <v/>
      </c>
    </row>
    <row r="1847">
      <c r="M1847" s="3">
        <f>IF(H1847="Efectivo",IFERROR((VALUE(RIGHT(I1847,4))-VALUE(RIGHT(E1847,4)))*12+(VALUE(LEFT(I1847,2))-VALUE(LEFT(E1847,2))),""),"")</f>
        <v/>
      </c>
    </row>
    <row r="1848">
      <c r="M1848" s="3">
        <f>IF(H1848="Efectivo",IFERROR((VALUE(RIGHT(I1848,4))-VALUE(RIGHT(E1848,4)))*12+(VALUE(LEFT(I1848,2))-VALUE(LEFT(E1848,2))),""),"")</f>
        <v/>
      </c>
    </row>
    <row r="1849">
      <c r="M1849" s="3">
        <f>IF(H1849="Efectivo",IFERROR((VALUE(RIGHT(I1849,4))-VALUE(RIGHT(E1849,4)))*12+(VALUE(LEFT(I1849,2))-VALUE(LEFT(E1849,2))),""),"")</f>
        <v/>
      </c>
    </row>
    <row r="1850">
      <c r="M1850" s="3">
        <f>IF(H1850="Efectivo",IFERROR((VALUE(RIGHT(I1850,4))-VALUE(RIGHT(E1850,4)))*12+(VALUE(LEFT(I1850,2))-VALUE(LEFT(E1850,2))),""),"")</f>
        <v/>
      </c>
    </row>
    <row r="1851">
      <c r="M1851" s="3">
        <f>IF(H1851="Efectivo",IFERROR((VALUE(RIGHT(I1851,4))-VALUE(RIGHT(E1851,4)))*12+(VALUE(LEFT(I1851,2))-VALUE(LEFT(E1851,2))),""),"")</f>
        <v/>
      </c>
    </row>
    <row r="1852">
      <c r="M1852" s="3">
        <f>IF(H1852="Efectivo",IFERROR((VALUE(RIGHT(I1852,4))-VALUE(RIGHT(E1852,4)))*12+(VALUE(LEFT(I1852,2))-VALUE(LEFT(E1852,2))),""),"")</f>
        <v/>
      </c>
    </row>
    <row r="1853">
      <c r="M1853" s="3">
        <f>IF(H1853="Efectivo",IFERROR((VALUE(RIGHT(I1853,4))-VALUE(RIGHT(E1853,4)))*12+(VALUE(LEFT(I1853,2))-VALUE(LEFT(E1853,2))),""),"")</f>
        <v/>
      </c>
    </row>
    <row r="1854">
      <c r="M1854" s="3">
        <f>IF(H1854="Efectivo",IFERROR((VALUE(RIGHT(I1854,4))-VALUE(RIGHT(E1854,4)))*12+(VALUE(LEFT(I1854,2))-VALUE(LEFT(E1854,2))),""),"")</f>
        <v/>
      </c>
    </row>
    <row r="1855">
      <c r="M1855" s="3">
        <f>IF(H1855="Efectivo",IFERROR((VALUE(RIGHT(I1855,4))-VALUE(RIGHT(E1855,4)))*12+(VALUE(LEFT(I1855,2))-VALUE(LEFT(E1855,2))),""),"")</f>
        <v/>
      </c>
    </row>
    <row r="1856">
      <c r="M1856" s="3">
        <f>IF(H1856="Efectivo",IFERROR((VALUE(RIGHT(I1856,4))-VALUE(RIGHT(E1856,4)))*12+(VALUE(LEFT(I1856,2))-VALUE(LEFT(E1856,2))),""),"")</f>
        <v/>
      </c>
    </row>
    <row r="1857">
      <c r="M1857" s="3">
        <f>IF(H1857="Efectivo",IFERROR((VALUE(RIGHT(I1857,4))-VALUE(RIGHT(E1857,4)))*12+(VALUE(LEFT(I1857,2))-VALUE(LEFT(E1857,2))),""),"")</f>
        <v/>
      </c>
    </row>
    <row r="1858">
      <c r="M1858" s="3">
        <f>IF(H1858="Efectivo",IFERROR((VALUE(RIGHT(I1858,4))-VALUE(RIGHT(E1858,4)))*12+(VALUE(LEFT(I1858,2))-VALUE(LEFT(E1858,2))),""),"")</f>
        <v/>
      </c>
    </row>
    <row r="1859">
      <c r="M1859" s="3">
        <f>IF(H1859="Efectivo",IFERROR((VALUE(RIGHT(I1859,4))-VALUE(RIGHT(E1859,4)))*12+(VALUE(LEFT(I1859,2))-VALUE(LEFT(E1859,2))),""),"")</f>
        <v/>
      </c>
    </row>
    <row r="1860">
      <c r="M1860" s="3">
        <f>IF(H1860="Efectivo",IFERROR((VALUE(RIGHT(I1860,4))-VALUE(RIGHT(E1860,4)))*12+(VALUE(LEFT(I1860,2))-VALUE(LEFT(E1860,2))),""),"")</f>
        <v/>
      </c>
    </row>
    <row r="1861">
      <c r="M1861" s="3">
        <f>IF(H1861="Efectivo",IFERROR((VALUE(RIGHT(I1861,4))-VALUE(RIGHT(E1861,4)))*12+(VALUE(LEFT(I1861,2))-VALUE(LEFT(E1861,2))),""),"")</f>
        <v/>
      </c>
    </row>
    <row r="1862">
      <c r="M1862" s="3">
        <f>IF(H1862="Efectivo",IFERROR((VALUE(RIGHT(I1862,4))-VALUE(RIGHT(E1862,4)))*12+(VALUE(LEFT(I1862,2))-VALUE(LEFT(E1862,2))),""),"")</f>
        <v/>
      </c>
    </row>
    <row r="1863">
      <c r="M1863" s="3">
        <f>IF(H1863="Efectivo",IFERROR((VALUE(RIGHT(I1863,4))-VALUE(RIGHT(E1863,4)))*12+(VALUE(LEFT(I1863,2))-VALUE(LEFT(E1863,2))),""),"")</f>
        <v/>
      </c>
    </row>
    <row r="1864">
      <c r="M1864" s="3">
        <f>IF(H1864="Efectivo",IFERROR((VALUE(RIGHT(I1864,4))-VALUE(RIGHT(E1864,4)))*12+(VALUE(LEFT(I1864,2))-VALUE(LEFT(E1864,2))),""),"")</f>
        <v/>
      </c>
    </row>
    <row r="1865">
      <c r="M1865" s="3">
        <f>IF(H1865="Efectivo",IFERROR((VALUE(RIGHT(I1865,4))-VALUE(RIGHT(E1865,4)))*12+(VALUE(LEFT(I1865,2))-VALUE(LEFT(E1865,2))),""),"")</f>
        <v/>
      </c>
    </row>
    <row r="1866">
      <c r="M1866" s="3">
        <f>IF(H1866="Efectivo",IFERROR((VALUE(RIGHT(I1866,4))-VALUE(RIGHT(E1866,4)))*12+(VALUE(LEFT(I1866,2))-VALUE(LEFT(E1866,2))),""),"")</f>
        <v/>
      </c>
    </row>
    <row r="1867">
      <c r="M1867" s="3">
        <f>IF(H1867="Efectivo",IFERROR((VALUE(RIGHT(I1867,4))-VALUE(RIGHT(E1867,4)))*12+(VALUE(LEFT(I1867,2))-VALUE(LEFT(E1867,2))),""),"")</f>
        <v/>
      </c>
    </row>
    <row r="1868">
      <c r="M1868" s="3">
        <f>IF(H1868="Efectivo",IFERROR((VALUE(RIGHT(I1868,4))-VALUE(RIGHT(E1868,4)))*12+(VALUE(LEFT(I1868,2))-VALUE(LEFT(E1868,2))),""),"")</f>
        <v/>
      </c>
    </row>
    <row r="1869">
      <c r="M1869" s="3">
        <f>IF(H1869="Efectivo",IFERROR((VALUE(RIGHT(I1869,4))-VALUE(RIGHT(E1869,4)))*12+(VALUE(LEFT(I1869,2))-VALUE(LEFT(E1869,2))),""),"")</f>
        <v/>
      </c>
    </row>
    <row r="1870">
      <c r="M1870" s="3">
        <f>IF(H1870="Efectivo",IFERROR((VALUE(RIGHT(I1870,4))-VALUE(RIGHT(E1870,4)))*12+(VALUE(LEFT(I1870,2))-VALUE(LEFT(E1870,2))),""),"")</f>
        <v/>
      </c>
    </row>
    <row r="1871">
      <c r="M1871" s="3">
        <f>IF(H1871="Efectivo",IFERROR((VALUE(RIGHT(I1871,4))-VALUE(RIGHT(E1871,4)))*12+(VALUE(LEFT(I1871,2))-VALUE(LEFT(E1871,2))),""),"")</f>
        <v/>
      </c>
    </row>
    <row r="1872">
      <c r="M1872" s="3">
        <f>IF(H1872="Efectivo",IFERROR((VALUE(RIGHT(I1872,4))-VALUE(RIGHT(E1872,4)))*12+(VALUE(LEFT(I1872,2))-VALUE(LEFT(E1872,2))),""),"")</f>
        <v/>
      </c>
    </row>
    <row r="1873">
      <c r="M1873" s="3">
        <f>IF(H1873="Efectivo",IFERROR((VALUE(RIGHT(I1873,4))-VALUE(RIGHT(E1873,4)))*12+(VALUE(LEFT(I1873,2))-VALUE(LEFT(E1873,2))),""),"")</f>
        <v/>
      </c>
    </row>
    <row r="1874">
      <c r="M1874" s="3">
        <f>IF(H1874="Efectivo",IFERROR((VALUE(RIGHT(I1874,4))-VALUE(RIGHT(E1874,4)))*12+(VALUE(LEFT(I1874,2))-VALUE(LEFT(E1874,2))),""),"")</f>
        <v/>
      </c>
    </row>
    <row r="1875">
      <c r="M1875" s="3">
        <f>IF(H1875="Efectivo",IFERROR((VALUE(RIGHT(I1875,4))-VALUE(RIGHT(E1875,4)))*12+(VALUE(LEFT(I1875,2))-VALUE(LEFT(E1875,2))),""),"")</f>
        <v/>
      </c>
    </row>
    <row r="1876">
      <c r="M1876" s="3">
        <f>IF(H1876="Efectivo",IFERROR((VALUE(RIGHT(I1876,4))-VALUE(RIGHT(E1876,4)))*12+(VALUE(LEFT(I1876,2))-VALUE(LEFT(E1876,2))),""),"")</f>
        <v/>
      </c>
    </row>
    <row r="1877">
      <c r="M1877" s="3">
        <f>IF(H1877="Efectivo",IFERROR((VALUE(RIGHT(I1877,4))-VALUE(RIGHT(E1877,4)))*12+(VALUE(LEFT(I1877,2))-VALUE(LEFT(E1877,2))),""),"")</f>
        <v/>
      </c>
    </row>
    <row r="1878">
      <c r="M1878" s="3">
        <f>IF(H1878="Efectivo",IFERROR((VALUE(RIGHT(I1878,4))-VALUE(RIGHT(E1878,4)))*12+(VALUE(LEFT(I1878,2))-VALUE(LEFT(E1878,2))),""),"")</f>
        <v/>
      </c>
    </row>
    <row r="1879">
      <c r="M1879" s="3">
        <f>IF(H1879="Efectivo",IFERROR((VALUE(RIGHT(I1879,4))-VALUE(RIGHT(E1879,4)))*12+(VALUE(LEFT(I1879,2))-VALUE(LEFT(E1879,2))),""),"")</f>
        <v/>
      </c>
    </row>
    <row r="1880">
      <c r="M1880" s="3">
        <f>IF(H1880="Efectivo",IFERROR((VALUE(RIGHT(I1880,4))-VALUE(RIGHT(E1880,4)))*12+(VALUE(LEFT(I1880,2))-VALUE(LEFT(E1880,2))),""),"")</f>
        <v/>
      </c>
    </row>
    <row r="1881">
      <c r="M1881" s="3">
        <f>IF(H1881="Efectivo",IFERROR((VALUE(RIGHT(I1881,4))-VALUE(RIGHT(E1881,4)))*12+(VALUE(LEFT(I1881,2))-VALUE(LEFT(E1881,2))),""),"")</f>
        <v/>
      </c>
    </row>
    <row r="1882">
      <c r="M1882" s="3">
        <f>IF(H1882="Efectivo",IFERROR((VALUE(RIGHT(I1882,4))-VALUE(RIGHT(E1882,4)))*12+(VALUE(LEFT(I1882,2))-VALUE(LEFT(E1882,2))),""),"")</f>
        <v/>
      </c>
    </row>
    <row r="1883">
      <c r="M1883" s="3">
        <f>IF(H1883="Efectivo",IFERROR((VALUE(RIGHT(I1883,4))-VALUE(RIGHT(E1883,4)))*12+(VALUE(LEFT(I1883,2))-VALUE(LEFT(E1883,2))),""),"")</f>
        <v/>
      </c>
    </row>
    <row r="1884">
      <c r="M1884" s="3">
        <f>IF(H1884="Efectivo",IFERROR((VALUE(RIGHT(I1884,4))-VALUE(RIGHT(E1884,4)))*12+(VALUE(LEFT(I1884,2))-VALUE(LEFT(E1884,2))),""),"")</f>
        <v/>
      </c>
    </row>
    <row r="1885">
      <c r="M1885" s="3">
        <f>IF(H1885="Efectivo",IFERROR((VALUE(RIGHT(I1885,4))-VALUE(RIGHT(E1885,4)))*12+(VALUE(LEFT(I1885,2))-VALUE(LEFT(E1885,2))),""),"")</f>
        <v/>
      </c>
    </row>
    <row r="1886">
      <c r="M1886" s="3">
        <f>IF(H1886="Efectivo",IFERROR((VALUE(RIGHT(I1886,4))-VALUE(RIGHT(E1886,4)))*12+(VALUE(LEFT(I1886,2))-VALUE(LEFT(E1886,2))),""),"")</f>
        <v/>
      </c>
    </row>
    <row r="1887">
      <c r="M1887" s="3">
        <f>IF(H1887="Efectivo",IFERROR((VALUE(RIGHT(I1887,4))-VALUE(RIGHT(E1887,4)))*12+(VALUE(LEFT(I1887,2))-VALUE(LEFT(E1887,2))),""),"")</f>
        <v/>
      </c>
    </row>
    <row r="1888">
      <c r="M1888" s="3">
        <f>IF(H1888="Efectivo",IFERROR((VALUE(RIGHT(I1888,4))-VALUE(RIGHT(E1888,4)))*12+(VALUE(LEFT(I1888,2))-VALUE(LEFT(E1888,2))),""),"")</f>
        <v/>
      </c>
    </row>
    <row r="1889">
      <c r="M1889" s="3">
        <f>IF(H1889="Efectivo",IFERROR((VALUE(RIGHT(I1889,4))-VALUE(RIGHT(E1889,4)))*12+(VALUE(LEFT(I1889,2))-VALUE(LEFT(E1889,2))),""),"")</f>
        <v/>
      </c>
    </row>
    <row r="1890">
      <c r="M1890" s="3">
        <f>IF(H1890="Efectivo",IFERROR((VALUE(RIGHT(I1890,4))-VALUE(RIGHT(E1890,4)))*12+(VALUE(LEFT(I1890,2))-VALUE(LEFT(E1890,2))),""),"")</f>
        <v/>
      </c>
    </row>
    <row r="1891">
      <c r="M1891" s="3">
        <f>IF(H1891="Efectivo",IFERROR((VALUE(RIGHT(I1891,4))-VALUE(RIGHT(E1891,4)))*12+(VALUE(LEFT(I1891,2))-VALUE(LEFT(E1891,2))),""),"")</f>
        <v/>
      </c>
    </row>
    <row r="1892">
      <c r="M1892" s="3">
        <f>IF(H1892="Efectivo",IFERROR((VALUE(RIGHT(I1892,4))-VALUE(RIGHT(E1892,4)))*12+(VALUE(LEFT(I1892,2))-VALUE(LEFT(E1892,2))),""),"")</f>
        <v/>
      </c>
    </row>
    <row r="1893">
      <c r="M1893" s="3">
        <f>IF(H1893="Efectivo",IFERROR((VALUE(RIGHT(I1893,4))-VALUE(RIGHT(E1893,4)))*12+(VALUE(LEFT(I1893,2))-VALUE(LEFT(E1893,2))),""),"")</f>
        <v/>
      </c>
    </row>
    <row r="1894">
      <c r="M1894" s="3">
        <f>IF(H1894="Efectivo",IFERROR((VALUE(RIGHT(I1894,4))-VALUE(RIGHT(E1894,4)))*12+(VALUE(LEFT(I1894,2))-VALUE(LEFT(E1894,2))),""),"")</f>
        <v/>
      </c>
    </row>
    <row r="1895">
      <c r="M1895" s="3">
        <f>IF(H1895="Efectivo",IFERROR((VALUE(RIGHT(I1895,4))-VALUE(RIGHT(E1895,4)))*12+(VALUE(LEFT(I1895,2))-VALUE(LEFT(E1895,2))),""),"")</f>
        <v/>
      </c>
    </row>
    <row r="1896">
      <c r="M1896" s="3">
        <f>IF(H1896="Efectivo",IFERROR((VALUE(RIGHT(I1896,4))-VALUE(RIGHT(E1896,4)))*12+(VALUE(LEFT(I1896,2))-VALUE(LEFT(E1896,2))),""),"")</f>
        <v/>
      </c>
    </row>
    <row r="1897">
      <c r="M1897" s="3">
        <f>IF(H1897="Efectivo",IFERROR((VALUE(RIGHT(I1897,4))-VALUE(RIGHT(E1897,4)))*12+(VALUE(LEFT(I1897,2))-VALUE(LEFT(E1897,2))),""),"")</f>
        <v/>
      </c>
    </row>
    <row r="1898">
      <c r="M1898" s="3">
        <f>IF(H1898="Efectivo",IFERROR((VALUE(RIGHT(I1898,4))-VALUE(RIGHT(E1898,4)))*12+(VALUE(LEFT(I1898,2))-VALUE(LEFT(E1898,2))),""),"")</f>
        <v/>
      </c>
    </row>
    <row r="1899">
      <c r="M1899" s="3">
        <f>IF(H1899="Efectivo",IFERROR((VALUE(RIGHT(I1899,4))-VALUE(RIGHT(E1899,4)))*12+(VALUE(LEFT(I1899,2))-VALUE(LEFT(E1899,2))),""),"")</f>
        <v/>
      </c>
    </row>
    <row r="1900">
      <c r="M1900" s="3">
        <f>IF(H1900="Efectivo",IFERROR((VALUE(RIGHT(I1900,4))-VALUE(RIGHT(E1900,4)))*12+(VALUE(LEFT(I1900,2))-VALUE(LEFT(E1900,2))),""),"")</f>
        <v/>
      </c>
    </row>
    <row r="1901">
      <c r="M1901" s="3">
        <f>IF(H1901="Efectivo",IFERROR((VALUE(RIGHT(I1901,4))-VALUE(RIGHT(E1901,4)))*12+(VALUE(LEFT(I1901,2))-VALUE(LEFT(E1901,2))),""),"")</f>
        <v/>
      </c>
    </row>
    <row r="1902">
      <c r="M1902" s="3">
        <f>IF(H1902="Efectivo",IFERROR((VALUE(RIGHT(I1902,4))-VALUE(RIGHT(E1902,4)))*12+(VALUE(LEFT(I1902,2))-VALUE(LEFT(E1902,2))),""),"")</f>
        <v/>
      </c>
    </row>
    <row r="1903">
      <c r="M1903" s="3">
        <f>IF(H1903="Efectivo",IFERROR((VALUE(RIGHT(I1903,4))-VALUE(RIGHT(E1903,4)))*12+(VALUE(LEFT(I1903,2))-VALUE(LEFT(E1903,2))),""),"")</f>
        <v/>
      </c>
    </row>
    <row r="1904">
      <c r="M1904" s="3">
        <f>IF(H1904="Efectivo",IFERROR((VALUE(RIGHT(I1904,4))-VALUE(RIGHT(E1904,4)))*12+(VALUE(LEFT(I1904,2))-VALUE(LEFT(E1904,2))),""),"")</f>
        <v/>
      </c>
    </row>
    <row r="1905">
      <c r="M1905" s="3">
        <f>IF(H1905="Efectivo",IFERROR((VALUE(RIGHT(I1905,4))-VALUE(RIGHT(E1905,4)))*12+(VALUE(LEFT(I1905,2))-VALUE(LEFT(E1905,2))),""),"")</f>
        <v/>
      </c>
    </row>
    <row r="1906">
      <c r="M1906" s="3">
        <f>IF(H1906="Efectivo",IFERROR((VALUE(RIGHT(I1906,4))-VALUE(RIGHT(E1906,4)))*12+(VALUE(LEFT(I1906,2))-VALUE(LEFT(E1906,2))),""),"")</f>
        <v/>
      </c>
    </row>
    <row r="1907">
      <c r="M1907" s="3">
        <f>IF(H1907="Efectivo",IFERROR((VALUE(RIGHT(I1907,4))-VALUE(RIGHT(E1907,4)))*12+(VALUE(LEFT(I1907,2))-VALUE(LEFT(E1907,2))),""),"")</f>
        <v/>
      </c>
    </row>
    <row r="1908">
      <c r="M1908" s="3">
        <f>IF(H1908="Efectivo",IFERROR((VALUE(RIGHT(I1908,4))-VALUE(RIGHT(E1908,4)))*12+(VALUE(LEFT(I1908,2))-VALUE(LEFT(E1908,2))),""),"")</f>
        <v/>
      </c>
    </row>
    <row r="1909">
      <c r="M1909" s="3">
        <f>IF(H1909="Efectivo",IFERROR((VALUE(RIGHT(I1909,4))-VALUE(RIGHT(E1909,4)))*12+(VALUE(LEFT(I1909,2))-VALUE(LEFT(E1909,2))),""),"")</f>
        <v/>
      </c>
    </row>
    <row r="1910">
      <c r="M1910" s="3">
        <f>IF(H1910="Efectivo",IFERROR((VALUE(RIGHT(I1910,4))-VALUE(RIGHT(E1910,4)))*12+(VALUE(LEFT(I1910,2))-VALUE(LEFT(E1910,2))),""),"")</f>
        <v/>
      </c>
    </row>
    <row r="1911">
      <c r="M1911" s="3">
        <f>IF(H1911="Efectivo",IFERROR((VALUE(RIGHT(I1911,4))-VALUE(RIGHT(E1911,4)))*12+(VALUE(LEFT(I1911,2))-VALUE(LEFT(E1911,2))),""),"")</f>
        <v/>
      </c>
    </row>
    <row r="1912">
      <c r="M1912" s="3">
        <f>IF(H1912="Efectivo",IFERROR((VALUE(RIGHT(I1912,4))-VALUE(RIGHT(E1912,4)))*12+(VALUE(LEFT(I1912,2))-VALUE(LEFT(E1912,2))),""),"")</f>
        <v/>
      </c>
    </row>
    <row r="1913">
      <c r="M1913" s="3">
        <f>IF(H1913="Efectivo",IFERROR((VALUE(RIGHT(I1913,4))-VALUE(RIGHT(E1913,4)))*12+(VALUE(LEFT(I1913,2))-VALUE(LEFT(E1913,2))),""),"")</f>
        <v/>
      </c>
    </row>
    <row r="1914">
      <c r="M1914" s="3">
        <f>IF(H1914="Efectivo",IFERROR((VALUE(RIGHT(I1914,4))-VALUE(RIGHT(E1914,4)))*12+(VALUE(LEFT(I1914,2))-VALUE(LEFT(E1914,2))),""),"")</f>
        <v/>
      </c>
    </row>
    <row r="1915">
      <c r="M1915" s="3">
        <f>IF(H1915="Efectivo",IFERROR((VALUE(RIGHT(I1915,4))-VALUE(RIGHT(E1915,4)))*12+(VALUE(LEFT(I1915,2))-VALUE(LEFT(E1915,2))),""),"")</f>
        <v/>
      </c>
    </row>
    <row r="1916">
      <c r="M1916" s="3">
        <f>IF(H1916="Efectivo",IFERROR((VALUE(RIGHT(I1916,4))-VALUE(RIGHT(E1916,4)))*12+(VALUE(LEFT(I1916,2))-VALUE(LEFT(E1916,2))),""),"")</f>
        <v/>
      </c>
    </row>
    <row r="1917">
      <c r="M1917" s="3">
        <f>IF(H1917="Efectivo",IFERROR((VALUE(RIGHT(I1917,4))-VALUE(RIGHT(E1917,4)))*12+(VALUE(LEFT(I1917,2))-VALUE(LEFT(E1917,2))),""),"")</f>
        <v/>
      </c>
    </row>
    <row r="1918">
      <c r="M1918" s="3">
        <f>IF(H1918="Efectivo",IFERROR((VALUE(RIGHT(I1918,4))-VALUE(RIGHT(E1918,4)))*12+(VALUE(LEFT(I1918,2))-VALUE(LEFT(E1918,2))),""),"")</f>
        <v/>
      </c>
    </row>
    <row r="1919">
      <c r="M1919" s="3">
        <f>IF(H1919="Efectivo",IFERROR((VALUE(RIGHT(I1919,4))-VALUE(RIGHT(E1919,4)))*12+(VALUE(LEFT(I1919,2))-VALUE(LEFT(E1919,2))),""),"")</f>
        <v/>
      </c>
    </row>
    <row r="1920">
      <c r="M1920" s="3">
        <f>IF(H1920="Efectivo",IFERROR((VALUE(RIGHT(I1920,4))-VALUE(RIGHT(E1920,4)))*12+(VALUE(LEFT(I1920,2))-VALUE(LEFT(E1920,2))),""),"")</f>
        <v/>
      </c>
    </row>
    <row r="1921">
      <c r="M1921" s="3">
        <f>IF(H1921="Efectivo",IFERROR((VALUE(RIGHT(I1921,4))-VALUE(RIGHT(E1921,4)))*12+(VALUE(LEFT(I1921,2))-VALUE(LEFT(E1921,2))),""),"")</f>
        <v/>
      </c>
    </row>
    <row r="1922">
      <c r="M1922" s="3">
        <f>IF(H1922="Efectivo",IFERROR((VALUE(RIGHT(I1922,4))-VALUE(RIGHT(E1922,4)))*12+(VALUE(LEFT(I1922,2))-VALUE(LEFT(E1922,2))),""),"")</f>
        <v/>
      </c>
    </row>
    <row r="1923">
      <c r="M1923" s="3">
        <f>IF(H1923="Efectivo",IFERROR((VALUE(RIGHT(I1923,4))-VALUE(RIGHT(E1923,4)))*12+(VALUE(LEFT(I1923,2))-VALUE(LEFT(E1923,2))),""),"")</f>
        <v/>
      </c>
    </row>
    <row r="1924">
      <c r="M1924" s="3">
        <f>IF(H1924="Efectivo",IFERROR((VALUE(RIGHT(I1924,4))-VALUE(RIGHT(E1924,4)))*12+(VALUE(LEFT(I1924,2))-VALUE(LEFT(E1924,2))),""),"")</f>
        <v/>
      </c>
    </row>
    <row r="1925">
      <c r="M1925" s="3">
        <f>IF(H1925="Efectivo",IFERROR((VALUE(RIGHT(I1925,4))-VALUE(RIGHT(E1925,4)))*12+(VALUE(LEFT(I1925,2))-VALUE(LEFT(E1925,2))),""),"")</f>
        <v/>
      </c>
    </row>
    <row r="1926">
      <c r="M1926" s="3">
        <f>IF(H1926="Efectivo",IFERROR((VALUE(RIGHT(I1926,4))-VALUE(RIGHT(E1926,4)))*12+(VALUE(LEFT(I1926,2))-VALUE(LEFT(E1926,2))),""),"")</f>
        <v/>
      </c>
    </row>
    <row r="1927">
      <c r="M1927" s="3">
        <f>IF(H1927="Efectivo",IFERROR((VALUE(RIGHT(I1927,4))-VALUE(RIGHT(E1927,4)))*12+(VALUE(LEFT(I1927,2))-VALUE(LEFT(E1927,2))),""),"")</f>
        <v/>
      </c>
    </row>
    <row r="1928">
      <c r="M1928" s="3">
        <f>IF(H1928="Efectivo",IFERROR((VALUE(RIGHT(I1928,4))-VALUE(RIGHT(E1928,4)))*12+(VALUE(LEFT(I1928,2))-VALUE(LEFT(E1928,2))),""),"")</f>
        <v/>
      </c>
    </row>
    <row r="1929">
      <c r="M1929" s="3">
        <f>IF(H1929="Efectivo",IFERROR((VALUE(RIGHT(I1929,4))-VALUE(RIGHT(E1929,4)))*12+(VALUE(LEFT(I1929,2))-VALUE(LEFT(E1929,2))),""),"")</f>
        <v/>
      </c>
    </row>
    <row r="1930">
      <c r="M1930" s="3">
        <f>IF(H1930="Efectivo",IFERROR((VALUE(RIGHT(I1930,4))-VALUE(RIGHT(E1930,4)))*12+(VALUE(LEFT(I1930,2))-VALUE(LEFT(E1930,2))),""),"")</f>
        <v/>
      </c>
    </row>
    <row r="1931">
      <c r="M1931" s="3">
        <f>IF(H1931="Efectivo",IFERROR((VALUE(RIGHT(I1931,4))-VALUE(RIGHT(E1931,4)))*12+(VALUE(LEFT(I1931,2))-VALUE(LEFT(E1931,2))),""),"")</f>
        <v/>
      </c>
    </row>
    <row r="1932">
      <c r="M1932" s="3">
        <f>IF(H1932="Efectivo",IFERROR((VALUE(RIGHT(I1932,4))-VALUE(RIGHT(E1932,4)))*12+(VALUE(LEFT(I1932,2))-VALUE(LEFT(E1932,2))),""),"")</f>
        <v/>
      </c>
    </row>
    <row r="1933">
      <c r="M1933" s="3">
        <f>IF(H1933="Efectivo",IFERROR((VALUE(RIGHT(I1933,4))-VALUE(RIGHT(E1933,4)))*12+(VALUE(LEFT(I1933,2))-VALUE(LEFT(E1933,2))),""),"")</f>
        <v/>
      </c>
    </row>
    <row r="1934">
      <c r="M1934" s="3">
        <f>IF(H1934="Efectivo",IFERROR((VALUE(RIGHT(I1934,4))-VALUE(RIGHT(E1934,4)))*12+(VALUE(LEFT(I1934,2))-VALUE(LEFT(E1934,2))),""),"")</f>
        <v/>
      </c>
    </row>
    <row r="1935">
      <c r="M1935" s="3">
        <f>IF(H1935="Efectivo",IFERROR((VALUE(RIGHT(I1935,4))-VALUE(RIGHT(E1935,4)))*12+(VALUE(LEFT(I1935,2))-VALUE(LEFT(E1935,2))),""),"")</f>
        <v/>
      </c>
    </row>
    <row r="1936">
      <c r="M1936" s="3">
        <f>IF(H1936="Efectivo",IFERROR((VALUE(RIGHT(I1936,4))-VALUE(RIGHT(E1936,4)))*12+(VALUE(LEFT(I1936,2))-VALUE(LEFT(E1936,2))),""),"")</f>
        <v/>
      </c>
    </row>
    <row r="1937">
      <c r="M1937" s="3">
        <f>IF(H1937="Efectivo",IFERROR((VALUE(RIGHT(I1937,4))-VALUE(RIGHT(E1937,4)))*12+(VALUE(LEFT(I1937,2))-VALUE(LEFT(E1937,2))),""),"")</f>
        <v/>
      </c>
    </row>
    <row r="1938">
      <c r="M1938" s="3">
        <f>IF(H1938="Efectivo",IFERROR((VALUE(RIGHT(I1938,4))-VALUE(RIGHT(E1938,4)))*12+(VALUE(LEFT(I1938,2))-VALUE(LEFT(E1938,2))),""),"")</f>
        <v/>
      </c>
    </row>
    <row r="1939">
      <c r="M1939" s="3">
        <f>IF(H1939="Efectivo",IFERROR((VALUE(RIGHT(I1939,4))-VALUE(RIGHT(E1939,4)))*12+(VALUE(LEFT(I1939,2))-VALUE(LEFT(E1939,2))),""),"")</f>
        <v/>
      </c>
    </row>
    <row r="1940">
      <c r="M1940" s="3">
        <f>IF(H1940="Efectivo",IFERROR((VALUE(RIGHT(I1940,4))-VALUE(RIGHT(E1940,4)))*12+(VALUE(LEFT(I1940,2))-VALUE(LEFT(E1940,2))),""),"")</f>
        <v/>
      </c>
    </row>
    <row r="1941">
      <c r="M1941" s="3">
        <f>IF(H1941="Efectivo",IFERROR((VALUE(RIGHT(I1941,4))-VALUE(RIGHT(E1941,4)))*12+(VALUE(LEFT(I1941,2))-VALUE(LEFT(E1941,2))),""),"")</f>
        <v/>
      </c>
    </row>
    <row r="1942">
      <c r="M1942" s="3">
        <f>IF(H1942="Efectivo",IFERROR((VALUE(RIGHT(I1942,4))-VALUE(RIGHT(E1942,4)))*12+(VALUE(LEFT(I1942,2))-VALUE(LEFT(E1942,2))),""),"")</f>
        <v/>
      </c>
    </row>
    <row r="1943">
      <c r="M1943" s="3">
        <f>IF(H1943="Efectivo",IFERROR((VALUE(RIGHT(I1943,4))-VALUE(RIGHT(E1943,4)))*12+(VALUE(LEFT(I1943,2))-VALUE(LEFT(E1943,2))),""),"")</f>
        <v/>
      </c>
    </row>
    <row r="1944">
      <c r="M1944" s="3">
        <f>IF(H1944="Efectivo",IFERROR((VALUE(RIGHT(I1944,4))-VALUE(RIGHT(E1944,4)))*12+(VALUE(LEFT(I1944,2))-VALUE(LEFT(E1944,2))),""),"")</f>
        <v/>
      </c>
    </row>
    <row r="1945">
      <c r="M1945" s="3">
        <f>IF(H1945="Efectivo",IFERROR((VALUE(RIGHT(I1945,4))-VALUE(RIGHT(E1945,4)))*12+(VALUE(LEFT(I1945,2))-VALUE(LEFT(E1945,2))),""),"")</f>
        <v/>
      </c>
    </row>
    <row r="1946">
      <c r="M1946" s="3">
        <f>IF(H1946="Efectivo",IFERROR((VALUE(RIGHT(I1946,4))-VALUE(RIGHT(E1946,4)))*12+(VALUE(LEFT(I1946,2))-VALUE(LEFT(E1946,2))),""),"")</f>
        <v/>
      </c>
    </row>
    <row r="1947">
      <c r="M1947" s="3">
        <f>IF(H1947="Efectivo",IFERROR((VALUE(RIGHT(I1947,4))-VALUE(RIGHT(E1947,4)))*12+(VALUE(LEFT(I1947,2))-VALUE(LEFT(E1947,2))),""),"")</f>
        <v/>
      </c>
    </row>
    <row r="1948">
      <c r="M1948" s="3">
        <f>IF(H1948="Efectivo",IFERROR((VALUE(RIGHT(I1948,4))-VALUE(RIGHT(E1948,4)))*12+(VALUE(LEFT(I1948,2))-VALUE(LEFT(E1948,2))),""),"")</f>
        <v/>
      </c>
    </row>
    <row r="1949">
      <c r="M1949" s="3">
        <f>IF(H1949="Efectivo",IFERROR((VALUE(RIGHT(I1949,4))-VALUE(RIGHT(E1949,4)))*12+(VALUE(LEFT(I1949,2))-VALUE(LEFT(E1949,2))),""),"")</f>
        <v/>
      </c>
    </row>
    <row r="1950">
      <c r="M1950" s="3">
        <f>IF(H1950="Efectivo",IFERROR((VALUE(RIGHT(I1950,4))-VALUE(RIGHT(E1950,4)))*12+(VALUE(LEFT(I1950,2))-VALUE(LEFT(E1950,2))),""),"")</f>
        <v/>
      </c>
    </row>
    <row r="1951">
      <c r="M1951" s="3">
        <f>IF(H1951="Efectivo",IFERROR((VALUE(RIGHT(I1951,4))-VALUE(RIGHT(E1951,4)))*12+(VALUE(LEFT(I1951,2))-VALUE(LEFT(E1951,2))),""),"")</f>
        <v/>
      </c>
    </row>
    <row r="1952">
      <c r="M1952" s="3">
        <f>IF(H1952="Efectivo",IFERROR((VALUE(RIGHT(I1952,4))-VALUE(RIGHT(E1952,4)))*12+(VALUE(LEFT(I1952,2))-VALUE(LEFT(E1952,2))),""),"")</f>
        <v/>
      </c>
    </row>
    <row r="1953">
      <c r="M1953" s="3">
        <f>IF(H1953="Efectivo",IFERROR((VALUE(RIGHT(I1953,4))-VALUE(RIGHT(E1953,4)))*12+(VALUE(LEFT(I1953,2))-VALUE(LEFT(E1953,2))),""),"")</f>
        <v/>
      </c>
    </row>
    <row r="1954">
      <c r="M1954" s="3">
        <f>IF(H1954="Efectivo",IFERROR((VALUE(RIGHT(I1954,4))-VALUE(RIGHT(E1954,4)))*12+(VALUE(LEFT(I1954,2))-VALUE(LEFT(E1954,2))),""),"")</f>
        <v/>
      </c>
    </row>
    <row r="1955">
      <c r="M1955" s="3">
        <f>IF(H1955="Efectivo",IFERROR((VALUE(RIGHT(I1955,4))-VALUE(RIGHT(E1955,4)))*12+(VALUE(LEFT(I1955,2))-VALUE(LEFT(E1955,2))),""),"")</f>
        <v/>
      </c>
    </row>
    <row r="1956">
      <c r="M1956" s="3">
        <f>IF(H1956="Efectivo",IFERROR((VALUE(RIGHT(I1956,4))-VALUE(RIGHT(E1956,4)))*12+(VALUE(LEFT(I1956,2))-VALUE(LEFT(E1956,2))),""),"")</f>
        <v/>
      </c>
    </row>
    <row r="1957">
      <c r="M1957" s="3">
        <f>IF(H1957="Efectivo",IFERROR((VALUE(RIGHT(I1957,4))-VALUE(RIGHT(E1957,4)))*12+(VALUE(LEFT(I1957,2))-VALUE(LEFT(E1957,2))),""),"")</f>
        <v/>
      </c>
    </row>
    <row r="1958">
      <c r="M1958" s="3">
        <f>IF(H1958="Efectivo",IFERROR((VALUE(RIGHT(I1958,4))-VALUE(RIGHT(E1958,4)))*12+(VALUE(LEFT(I1958,2))-VALUE(LEFT(E1958,2))),""),"")</f>
        <v/>
      </c>
    </row>
    <row r="1959">
      <c r="M1959" s="3">
        <f>IF(H1959="Efectivo",IFERROR((VALUE(RIGHT(I1959,4))-VALUE(RIGHT(E1959,4)))*12+(VALUE(LEFT(I1959,2))-VALUE(LEFT(E1959,2))),""),"")</f>
        <v/>
      </c>
    </row>
    <row r="1960">
      <c r="M1960" s="3">
        <f>IF(H1960="Efectivo",IFERROR((VALUE(RIGHT(I1960,4))-VALUE(RIGHT(E1960,4)))*12+(VALUE(LEFT(I1960,2))-VALUE(LEFT(E1960,2))),""),"")</f>
        <v/>
      </c>
    </row>
    <row r="1961">
      <c r="M1961" s="3">
        <f>IF(H1961="Efectivo",IFERROR((VALUE(RIGHT(I1961,4))-VALUE(RIGHT(E1961,4)))*12+(VALUE(LEFT(I1961,2))-VALUE(LEFT(E1961,2))),""),"")</f>
        <v/>
      </c>
    </row>
    <row r="1962">
      <c r="M1962" s="3">
        <f>IF(H1962="Efectivo",IFERROR((VALUE(RIGHT(I1962,4))-VALUE(RIGHT(E1962,4)))*12+(VALUE(LEFT(I1962,2))-VALUE(LEFT(E1962,2))),""),"")</f>
        <v/>
      </c>
    </row>
    <row r="1963">
      <c r="M1963" s="3">
        <f>IF(H1963="Efectivo",IFERROR((VALUE(RIGHT(I1963,4))-VALUE(RIGHT(E1963,4)))*12+(VALUE(LEFT(I1963,2))-VALUE(LEFT(E1963,2))),""),"")</f>
        <v/>
      </c>
    </row>
    <row r="1964">
      <c r="M1964" s="3">
        <f>IF(H1964="Efectivo",IFERROR((VALUE(RIGHT(I1964,4))-VALUE(RIGHT(E1964,4)))*12+(VALUE(LEFT(I1964,2))-VALUE(LEFT(E1964,2))),""),"")</f>
        <v/>
      </c>
    </row>
    <row r="1965">
      <c r="M1965" s="3">
        <f>IF(H1965="Efectivo",IFERROR((VALUE(RIGHT(I1965,4))-VALUE(RIGHT(E1965,4)))*12+(VALUE(LEFT(I1965,2))-VALUE(LEFT(E1965,2))),""),"")</f>
        <v/>
      </c>
    </row>
    <row r="1966">
      <c r="M1966" s="3">
        <f>IF(H1966="Efectivo",IFERROR((VALUE(RIGHT(I1966,4))-VALUE(RIGHT(E1966,4)))*12+(VALUE(LEFT(I1966,2))-VALUE(LEFT(E1966,2))),""),"")</f>
        <v/>
      </c>
    </row>
    <row r="1967">
      <c r="M1967" s="3">
        <f>IF(H1967="Efectivo",IFERROR((VALUE(RIGHT(I1967,4))-VALUE(RIGHT(E1967,4)))*12+(VALUE(LEFT(I1967,2))-VALUE(LEFT(E1967,2))),""),"")</f>
        <v/>
      </c>
    </row>
    <row r="1968">
      <c r="M1968" s="3">
        <f>IF(H1968="Efectivo",IFERROR((VALUE(RIGHT(I1968,4))-VALUE(RIGHT(E1968,4)))*12+(VALUE(LEFT(I1968,2))-VALUE(LEFT(E1968,2))),""),"")</f>
        <v/>
      </c>
    </row>
    <row r="1969">
      <c r="M1969" s="3">
        <f>IF(H1969="Efectivo",IFERROR((VALUE(RIGHT(I1969,4))-VALUE(RIGHT(E1969,4)))*12+(VALUE(LEFT(I1969,2))-VALUE(LEFT(E1969,2))),""),"")</f>
        <v/>
      </c>
    </row>
    <row r="1970">
      <c r="M1970" s="3">
        <f>IF(H1970="Efectivo",IFERROR((VALUE(RIGHT(I1970,4))-VALUE(RIGHT(E1970,4)))*12+(VALUE(LEFT(I1970,2))-VALUE(LEFT(E1970,2))),""),"")</f>
        <v/>
      </c>
    </row>
    <row r="1971">
      <c r="M1971" s="3">
        <f>IF(H1971="Efectivo",IFERROR((VALUE(RIGHT(I1971,4))-VALUE(RIGHT(E1971,4)))*12+(VALUE(LEFT(I1971,2))-VALUE(LEFT(E1971,2))),""),"")</f>
        <v/>
      </c>
    </row>
    <row r="1972">
      <c r="M1972" s="3">
        <f>IF(H1972="Efectivo",IFERROR((VALUE(RIGHT(I1972,4))-VALUE(RIGHT(E1972,4)))*12+(VALUE(LEFT(I1972,2))-VALUE(LEFT(E1972,2))),""),"")</f>
        <v/>
      </c>
    </row>
    <row r="1973">
      <c r="M1973" s="3">
        <f>IF(H1973="Efectivo",IFERROR((VALUE(RIGHT(I1973,4))-VALUE(RIGHT(E1973,4)))*12+(VALUE(LEFT(I1973,2))-VALUE(LEFT(E1973,2))),""),"")</f>
        <v/>
      </c>
    </row>
    <row r="1974">
      <c r="M1974" s="3">
        <f>IF(H1974="Efectivo",IFERROR((VALUE(RIGHT(I1974,4))-VALUE(RIGHT(E1974,4)))*12+(VALUE(LEFT(I1974,2))-VALUE(LEFT(E1974,2))),""),"")</f>
        <v/>
      </c>
    </row>
    <row r="1975">
      <c r="M1975" s="3">
        <f>IF(H1975="Efectivo",IFERROR((VALUE(RIGHT(I1975,4))-VALUE(RIGHT(E1975,4)))*12+(VALUE(LEFT(I1975,2))-VALUE(LEFT(E1975,2))),""),"")</f>
        <v/>
      </c>
    </row>
    <row r="1976">
      <c r="M1976" s="3">
        <f>IF(H1976="Efectivo",IFERROR((VALUE(RIGHT(I1976,4))-VALUE(RIGHT(E1976,4)))*12+(VALUE(LEFT(I1976,2))-VALUE(LEFT(E1976,2))),""),"")</f>
        <v/>
      </c>
    </row>
    <row r="1977">
      <c r="M1977" s="3">
        <f>IF(H1977="Efectivo",IFERROR((VALUE(RIGHT(I1977,4))-VALUE(RIGHT(E1977,4)))*12+(VALUE(LEFT(I1977,2))-VALUE(LEFT(E1977,2))),""),"")</f>
        <v/>
      </c>
    </row>
    <row r="1978">
      <c r="M1978" s="3">
        <f>IF(H1978="Efectivo",IFERROR((VALUE(RIGHT(I1978,4))-VALUE(RIGHT(E1978,4)))*12+(VALUE(LEFT(I1978,2))-VALUE(LEFT(E1978,2))),""),"")</f>
        <v/>
      </c>
    </row>
    <row r="1979">
      <c r="M1979" s="3">
        <f>IF(H1979="Efectivo",IFERROR((VALUE(RIGHT(I1979,4))-VALUE(RIGHT(E1979,4)))*12+(VALUE(LEFT(I1979,2))-VALUE(LEFT(E1979,2))),""),"")</f>
        <v/>
      </c>
    </row>
    <row r="1980">
      <c r="M1980" s="3">
        <f>IF(H1980="Efectivo",IFERROR((VALUE(RIGHT(I1980,4))-VALUE(RIGHT(E1980,4)))*12+(VALUE(LEFT(I1980,2))-VALUE(LEFT(E1980,2))),""),"")</f>
        <v/>
      </c>
    </row>
    <row r="1981">
      <c r="M1981" s="3">
        <f>IF(H1981="Efectivo",IFERROR((VALUE(RIGHT(I1981,4))-VALUE(RIGHT(E1981,4)))*12+(VALUE(LEFT(I1981,2))-VALUE(LEFT(E1981,2))),""),"")</f>
        <v/>
      </c>
    </row>
    <row r="1982">
      <c r="M1982" s="3">
        <f>IF(H1982="Efectivo",IFERROR((VALUE(RIGHT(I1982,4))-VALUE(RIGHT(E1982,4)))*12+(VALUE(LEFT(I1982,2))-VALUE(LEFT(E1982,2))),""),"")</f>
        <v/>
      </c>
    </row>
    <row r="1983">
      <c r="M1983" s="3">
        <f>IF(H1983="Efectivo",IFERROR((VALUE(RIGHT(I1983,4))-VALUE(RIGHT(E1983,4)))*12+(VALUE(LEFT(I1983,2))-VALUE(LEFT(E1983,2))),""),"")</f>
        <v/>
      </c>
    </row>
    <row r="1984">
      <c r="M1984" s="3">
        <f>IF(H1984="Efectivo",IFERROR((VALUE(RIGHT(I1984,4))-VALUE(RIGHT(E1984,4)))*12+(VALUE(LEFT(I1984,2))-VALUE(LEFT(E1984,2))),""),"")</f>
        <v/>
      </c>
    </row>
    <row r="1985">
      <c r="M1985" s="3">
        <f>IF(H1985="Efectivo",IFERROR((VALUE(RIGHT(I1985,4))-VALUE(RIGHT(E1985,4)))*12+(VALUE(LEFT(I1985,2))-VALUE(LEFT(E1985,2))),""),"")</f>
        <v/>
      </c>
    </row>
    <row r="1986">
      <c r="M1986" s="3">
        <f>IF(H1986="Efectivo",IFERROR((VALUE(RIGHT(I1986,4))-VALUE(RIGHT(E1986,4)))*12+(VALUE(LEFT(I1986,2))-VALUE(LEFT(E1986,2))),""),"")</f>
        <v/>
      </c>
    </row>
    <row r="1987">
      <c r="M1987" s="3">
        <f>IF(H1987="Efectivo",IFERROR((VALUE(RIGHT(I1987,4))-VALUE(RIGHT(E1987,4)))*12+(VALUE(LEFT(I1987,2))-VALUE(LEFT(E1987,2))),""),"")</f>
        <v/>
      </c>
    </row>
    <row r="1988">
      <c r="M1988" s="3">
        <f>IF(H1988="Efectivo",IFERROR((VALUE(RIGHT(I1988,4))-VALUE(RIGHT(E1988,4)))*12+(VALUE(LEFT(I1988,2))-VALUE(LEFT(E1988,2))),""),"")</f>
        <v/>
      </c>
    </row>
    <row r="1989">
      <c r="M1989" s="3">
        <f>IF(H1989="Efectivo",IFERROR((VALUE(RIGHT(I1989,4))-VALUE(RIGHT(E1989,4)))*12+(VALUE(LEFT(I1989,2))-VALUE(LEFT(E1989,2))),""),"")</f>
        <v/>
      </c>
    </row>
    <row r="1990">
      <c r="M1990" s="3">
        <f>IF(H1990="Efectivo",IFERROR((VALUE(RIGHT(I1990,4))-VALUE(RIGHT(E1990,4)))*12+(VALUE(LEFT(I1990,2))-VALUE(LEFT(E1990,2))),""),"")</f>
        <v/>
      </c>
    </row>
    <row r="1991">
      <c r="M1991" s="3">
        <f>IF(H1991="Efectivo",IFERROR((VALUE(RIGHT(I1991,4))-VALUE(RIGHT(E1991,4)))*12+(VALUE(LEFT(I1991,2))-VALUE(LEFT(E1991,2))),""),"")</f>
        <v/>
      </c>
    </row>
    <row r="1992">
      <c r="M1992" s="3">
        <f>IF(H1992="Efectivo",IFERROR((VALUE(RIGHT(I1992,4))-VALUE(RIGHT(E1992,4)))*12+(VALUE(LEFT(I1992,2))-VALUE(LEFT(E1992,2))),""),"")</f>
        <v/>
      </c>
    </row>
    <row r="1993">
      <c r="M1993" s="3">
        <f>IF(H1993="Efectivo",IFERROR((VALUE(RIGHT(I1993,4))-VALUE(RIGHT(E1993,4)))*12+(VALUE(LEFT(I1993,2))-VALUE(LEFT(E1993,2))),""),"")</f>
        <v/>
      </c>
    </row>
    <row r="1994">
      <c r="M1994" s="3">
        <f>IF(H1994="Efectivo",IFERROR((VALUE(RIGHT(I1994,4))-VALUE(RIGHT(E1994,4)))*12+(VALUE(LEFT(I1994,2))-VALUE(LEFT(E1994,2))),""),"")</f>
        <v/>
      </c>
    </row>
    <row r="1995">
      <c r="M1995" s="3">
        <f>IF(H1995="Efectivo",IFERROR((VALUE(RIGHT(I1995,4))-VALUE(RIGHT(E1995,4)))*12+(VALUE(LEFT(I1995,2))-VALUE(LEFT(E1995,2))),""),"")</f>
        <v/>
      </c>
    </row>
    <row r="1996">
      <c r="M1996" s="3">
        <f>IF(H1996="Efectivo",IFERROR((VALUE(RIGHT(I1996,4))-VALUE(RIGHT(E1996,4)))*12+(VALUE(LEFT(I1996,2))-VALUE(LEFT(E1996,2))),""),"")</f>
        <v/>
      </c>
    </row>
    <row r="1997">
      <c r="M1997" s="3">
        <f>IF(H1997="Efectivo",IFERROR((VALUE(RIGHT(I1997,4))-VALUE(RIGHT(E1997,4)))*12+(VALUE(LEFT(I1997,2))-VALUE(LEFT(E1997,2))),""),"")</f>
        <v/>
      </c>
    </row>
    <row r="1998">
      <c r="M1998" s="3">
        <f>IF(H1998="Efectivo",IFERROR((VALUE(RIGHT(I1998,4))-VALUE(RIGHT(E1998,4)))*12+(VALUE(LEFT(I1998,2))-VALUE(LEFT(E1998,2))),""),"")</f>
        <v/>
      </c>
    </row>
    <row r="1999">
      <c r="M1999" s="3">
        <f>IF(H1999="Efectivo",IFERROR((VALUE(RIGHT(I1999,4))-VALUE(RIGHT(E1999,4)))*12+(VALUE(LEFT(I1999,2))-VALUE(LEFT(E1999,2))),""),"")</f>
        <v/>
      </c>
    </row>
    <row r="2000">
      <c r="M2000" s="3">
        <f>IF(H2000="Efectivo",IFERROR((VALUE(RIGHT(I2000,4))-VALUE(RIGHT(E2000,4)))*12+(VALUE(LEFT(I2000,2))-VALUE(LEFT(E2000,2))),""),"")</f>
        <v/>
      </c>
    </row>
    <row r="2001">
      <c r="M2001" s="3">
        <f>IF(H2001="Efectivo",IFERROR((VALUE(RIGHT(I2001,4))-VALUE(RIGHT(E2001,4)))*12+(VALUE(LEFT(I2001,2))-VALUE(LEFT(E2001,2))),""),"")</f>
        <v/>
      </c>
    </row>
  </sheetData>
  <mergeCells count="1">
    <mergeCell ref="A1:M1"/>
  </mergeCells>
  <dataValidations count="2">
    <dataValidation sqref="H3:H2001" showDropDown="0" showInputMessage="0" showErrorMessage="0" allowBlank="1" type="list">
      <formula1>"Efectivo,Pendiente,Cancelado"</formula1>
    </dataValidation>
    <dataValidation sqref="L3:L2001" showDropDown="0" showInputMessage="0" showErrorMessage="0" allowBlank="1" type="list">
      <formula1>"UBER,DIDI"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5556"/>
    <outlinePr summaryBelow="1" summaryRight="1"/>
    <pageSetUpPr/>
  </sheetPr>
  <dimension ref="A1:D62"/>
  <sheetViews>
    <sheetView workbookViewId="0">
      <pane ySplit="2" topLeftCell="A32" activePane="bottomLeft" state="frozen"/>
      <selection pane="bottomLeft" activeCell="A1" sqref="A1:D1048576"/>
    </sheetView>
  </sheetViews>
  <sheetFormatPr baseColWidth="10" defaultColWidth="8.7265625" defaultRowHeight="14.5"/>
  <cols>
    <col width="16" customWidth="1" style="65" min="1" max="1"/>
    <col width="18" customWidth="1" style="65" min="2" max="2"/>
    <col width="30" customWidth="1" style="65" min="3" max="4"/>
    <col width="8.54296875" customWidth="1" style="65" min="5" max="5"/>
  </cols>
  <sheetData>
    <row r="1" ht="22" customHeight="1" s="65">
      <c r="A1" s="63" t="inlineStr">
        <is>
          <t xml:space="preserve">  ② ORIGINACIONES POR COHORTE — agrega filas nuevas al final</t>
        </is>
      </c>
    </row>
    <row r="2" ht="28" customHeight="1" s="65">
      <c r="A2" s="1" t="inlineStr">
        <is>
          <t>Cosecha
(MM-YYYY)</t>
        </is>
      </c>
      <c r="B2" s="1" t="inlineStr">
        <is>
          <t>N Originaciones</t>
        </is>
      </c>
      <c r="C2" s="1" t="inlineStr">
        <is>
          <t>UBER</t>
        </is>
      </c>
      <c r="D2" s="57" t="inlineStr">
        <is>
          <t>DIDI</t>
        </is>
      </c>
    </row>
    <row r="3">
      <c r="A3" s="4" t="inlineStr">
        <is>
          <t>01-2023</t>
        </is>
      </c>
      <c r="B3" s="5" t="n">
        <v>36</v>
      </c>
      <c r="C3" s="6" t="n">
        <v>36</v>
      </c>
      <c r="D3" s="58" t="n">
        <v>0</v>
      </c>
    </row>
    <row r="4">
      <c r="A4" s="4" t="inlineStr">
        <is>
          <t>02-2023</t>
        </is>
      </c>
      <c r="B4" s="5" t="n">
        <v>31</v>
      </c>
      <c r="C4" s="6" t="n">
        <v>31</v>
      </c>
      <c r="D4" s="58" t="n">
        <v>0</v>
      </c>
    </row>
    <row r="5">
      <c r="A5" s="4" t="inlineStr">
        <is>
          <t>03-2023</t>
        </is>
      </c>
      <c r="B5" s="5" t="n">
        <v>30</v>
      </c>
      <c r="C5" s="6" t="n">
        <v>30</v>
      </c>
      <c r="D5" s="58" t="n">
        <v>0</v>
      </c>
    </row>
    <row r="6">
      <c r="A6" s="4" t="inlineStr">
        <is>
          <t>04-2023</t>
        </is>
      </c>
      <c r="B6" s="5" t="n">
        <v>27</v>
      </c>
      <c r="C6" s="6" t="n">
        <v>27</v>
      </c>
      <c r="D6" s="58" t="n">
        <v>0</v>
      </c>
    </row>
    <row r="7">
      <c r="A7" s="4" t="inlineStr">
        <is>
          <t>05-2023</t>
        </is>
      </c>
      <c r="B7" s="5" t="n">
        <v>28</v>
      </c>
      <c r="C7" s="6" t="n">
        <v>28</v>
      </c>
      <c r="D7" s="58" t="n">
        <v>0</v>
      </c>
    </row>
    <row r="8">
      <c r="A8" s="4" t="inlineStr">
        <is>
          <t>06-2023</t>
        </is>
      </c>
      <c r="B8" s="5" t="n">
        <v>44</v>
      </c>
      <c r="C8" s="6" t="n">
        <v>44</v>
      </c>
      <c r="D8" s="58" t="n">
        <v>0</v>
      </c>
    </row>
    <row r="9">
      <c r="A9" s="4" t="inlineStr">
        <is>
          <t>07-2023</t>
        </is>
      </c>
      <c r="B9" s="5" t="n">
        <v>43</v>
      </c>
      <c r="C9" s="6" t="n">
        <v>43</v>
      </c>
      <c r="D9" s="58" t="n">
        <v>0</v>
      </c>
    </row>
    <row r="10">
      <c r="A10" s="4" t="inlineStr">
        <is>
          <t>08-2023</t>
        </is>
      </c>
      <c r="B10" s="5" t="n">
        <v>50</v>
      </c>
      <c r="C10" s="6" t="n">
        <v>50</v>
      </c>
      <c r="D10" s="58" t="n">
        <v>0</v>
      </c>
    </row>
    <row r="11">
      <c r="A11" s="4" t="inlineStr">
        <is>
          <t>09-2023</t>
        </is>
      </c>
      <c r="B11" s="5" t="n">
        <v>55</v>
      </c>
      <c r="C11" s="6" t="n">
        <v>55</v>
      </c>
      <c r="D11" s="58" t="n">
        <v>0</v>
      </c>
    </row>
    <row r="12">
      <c r="A12" s="4" t="inlineStr">
        <is>
          <t>10-2023</t>
        </is>
      </c>
      <c r="B12" s="5" t="n">
        <v>51</v>
      </c>
      <c r="C12" s="6" t="n">
        <v>51</v>
      </c>
      <c r="D12" s="58" t="n">
        <v>0</v>
      </c>
    </row>
    <row r="13">
      <c r="A13" s="4" t="inlineStr">
        <is>
          <t>11-2023</t>
        </is>
      </c>
      <c r="B13" s="5" t="n">
        <v>58</v>
      </c>
      <c r="C13" s="6" t="n">
        <v>58</v>
      </c>
      <c r="D13" s="58" t="n">
        <v>0</v>
      </c>
    </row>
    <row r="14">
      <c r="A14" s="4" t="inlineStr">
        <is>
          <t>12-2023</t>
        </is>
      </c>
      <c r="B14" s="5" t="n">
        <v>36</v>
      </c>
      <c r="C14" s="6" t="n">
        <v>36</v>
      </c>
      <c r="D14" s="58" t="n">
        <v>0</v>
      </c>
    </row>
    <row r="15">
      <c r="A15" s="7" t="inlineStr">
        <is>
          <t>01-2024</t>
        </is>
      </c>
      <c r="B15" s="8" t="n">
        <v>63</v>
      </c>
      <c r="C15" s="9" t="n">
        <v>63</v>
      </c>
      <c r="D15" s="59" t="n">
        <v>0</v>
      </c>
    </row>
    <row r="16">
      <c r="A16" s="7" t="inlineStr">
        <is>
          <t>02-2024</t>
        </is>
      </c>
      <c r="B16" s="8" t="n">
        <v>68</v>
      </c>
      <c r="C16" s="9" t="n">
        <v>68</v>
      </c>
      <c r="D16" s="59" t="n">
        <v>0</v>
      </c>
    </row>
    <row r="17">
      <c r="A17" s="7" t="inlineStr">
        <is>
          <t>03-2024</t>
        </is>
      </c>
      <c r="B17" s="8" t="n">
        <v>60</v>
      </c>
      <c r="C17" s="9" t="n">
        <v>59</v>
      </c>
      <c r="D17" s="59" t="n">
        <v>0</v>
      </c>
    </row>
    <row r="18">
      <c r="A18" s="7" t="inlineStr">
        <is>
          <t>04-2024</t>
        </is>
      </c>
      <c r="B18" s="8" t="n">
        <v>73</v>
      </c>
      <c r="C18" s="9" t="n">
        <v>72</v>
      </c>
      <c r="D18" s="59" t="n">
        <v>0</v>
      </c>
    </row>
    <row r="19">
      <c r="A19" s="7" t="inlineStr">
        <is>
          <t>05-2024</t>
        </is>
      </c>
      <c r="B19" s="8" t="n">
        <v>94</v>
      </c>
      <c r="C19" s="9" t="n">
        <v>93</v>
      </c>
      <c r="D19" s="59" t="n">
        <v>0</v>
      </c>
    </row>
    <row r="20">
      <c r="A20" s="7" t="inlineStr">
        <is>
          <t>06-2024</t>
        </is>
      </c>
      <c r="B20" s="8" t="n">
        <v>103</v>
      </c>
      <c r="C20" s="9" t="n">
        <v>103</v>
      </c>
      <c r="D20" s="59" t="n">
        <v>0</v>
      </c>
    </row>
    <row r="21">
      <c r="A21" s="7" t="inlineStr">
        <is>
          <t>07-2024</t>
        </is>
      </c>
      <c r="B21" s="8" t="n">
        <v>119</v>
      </c>
      <c r="C21" s="9" t="n">
        <v>117</v>
      </c>
      <c r="D21" s="59" t="n">
        <v>0</v>
      </c>
    </row>
    <row r="22">
      <c r="A22" s="7" t="inlineStr">
        <is>
          <t>08-2024</t>
        </is>
      </c>
      <c r="B22" s="8" t="n">
        <v>114</v>
      </c>
      <c r="C22" s="9" t="n">
        <v>98</v>
      </c>
      <c r="D22" s="59" t="n">
        <v>0</v>
      </c>
    </row>
    <row r="23">
      <c r="A23" s="7" t="inlineStr">
        <is>
          <t>09-2024</t>
        </is>
      </c>
      <c r="B23" s="8" t="n">
        <v>112</v>
      </c>
      <c r="C23" s="9" t="n">
        <v>93</v>
      </c>
      <c r="D23" s="59" t="n">
        <v>0</v>
      </c>
    </row>
    <row r="24">
      <c r="A24" s="7" t="inlineStr">
        <is>
          <t>10-2024</t>
        </is>
      </c>
      <c r="B24" s="8" t="n">
        <v>120</v>
      </c>
      <c r="C24" s="9" t="n">
        <v>100</v>
      </c>
      <c r="D24" s="59" t="n">
        <v>0</v>
      </c>
    </row>
    <row r="25">
      <c r="A25" s="7" t="inlineStr">
        <is>
          <t>11-2024</t>
        </is>
      </c>
      <c r="B25" s="8" t="n">
        <v>95</v>
      </c>
      <c r="C25" s="9" t="n">
        <v>78</v>
      </c>
      <c r="D25" s="59" t="n">
        <v>0</v>
      </c>
    </row>
    <row r="26">
      <c r="A26" s="7" t="inlineStr">
        <is>
          <t>12-2024</t>
        </is>
      </c>
      <c r="B26" s="8" t="n">
        <v>105</v>
      </c>
      <c r="C26" s="9" t="n">
        <v>89</v>
      </c>
      <c r="D26" s="59" t="n">
        <v>16</v>
      </c>
    </row>
    <row r="27">
      <c r="A27" s="10" t="inlineStr">
        <is>
          <t>01-2025</t>
        </is>
      </c>
      <c r="B27" s="11" t="n">
        <v>97</v>
      </c>
      <c r="C27" s="12" t="n">
        <v>74</v>
      </c>
      <c r="D27" s="60" t="n">
        <v>23</v>
      </c>
    </row>
    <row r="28">
      <c r="A28" s="10" t="inlineStr">
        <is>
          <t>02-2025</t>
        </is>
      </c>
      <c r="B28" s="11" t="n">
        <v>99</v>
      </c>
      <c r="C28" s="12" t="n">
        <v>75</v>
      </c>
      <c r="D28" s="60" t="n">
        <v>24</v>
      </c>
    </row>
    <row r="29">
      <c r="A29" s="10" t="inlineStr">
        <is>
          <t>03-2025</t>
        </is>
      </c>
      <c r="B29" s="11" t="n">
        <v>136</v>
      </c>
      <c r="C29" s="12" t="n">
        <v>121</v>
      </c>
      <c r="D29" s="60" t="n">
        <v>15</v>
      </c>
    </row>
    <row r="30">
      <c r="A30" s="10" t="inlineStr">
        <is>
          <t>04-2025</t>
        </is>
      </c>
      <c r="B30" s="11" t="n">
        <v>161</v>
      </c>
      <c r="C30" s="12" t="n">
        <v>124</v>
      </c>
      <c r="D30" s="60" t="n">
        <v>37</v>
      </c>
    </row>
    <row r="31">
      <c r="A31" s="10" t="inlineStr">
        <is>
          <t>05-2025</t>
        </is>
      </c>
      <c r="B31" s="11" t="n">
        <v>157</v>
      </c>
      <c r="C31" s="12" t="n">
        <v>97</v>
      </c>
      <c r="D31" s="60" t="n">
        <v>60</v>
      </c>
    </row>
    <row r="32">
      <c r="A32" s="10" t="inlineStr">
        <is>
          <t>06-2025</t>
        </is>
      </c>
      <c r="B32" s="11" t="n">
        <v>195</v>
      </c>
      <c r="C32" s="12" t="n">
        <v>153</v>
      </c>
      <c r="D32" s="60" t="n">
        <v>42</v>
      </c>
    </row>
    <row r="33">
      <c r="A33" s="10" t="inlineStr">
        <is>
          <t>07-2025</t>
        </is>
      </c>
      <c r="B33" s="11" t="n">
        <v>199</v>
      </c>
      <c r="C33" s="12" t="n">
        <v>147</v>
      </c>
      <c r="D33" s="60" t="n">
        <v>52</v>
      </c>
    </row>
    <row r="34">
      <c r="A34" s="10" t="inlineStr">
        <is>
          <t>08-2025</t>
        </is>
      </c>
      <c r="B34" s="11" t="n">
        <v>166</v>
      </c>
      <c r="C34" s="12" t="n">
        <v>133</v>
      </c>
      <c r="D34" s="60" t="n">
        <v>33</v>
      </c>
    </row>
    <row r="35">
      <c r="A35" s="10" t="inlineStr">
        <is>
          <t>09-2025</t>
        </is>
      </c>
      <c r="B35" s="11" t="n">
        <v>180</v>
      </c>
      <c r="C35" s="12" t="n">
        <v>134</v>
      </c>
      <c r="D35" s="60" t="n">
        <v>46</v>
      </c>
    </row>
    <row r="36">
      <c r="A36" s="10" t="inlineStr">
        <is>
          <t>10-2025</t>
        </is>
      </c>
      <c r="B36" s="11" t="n">
        <v>206</v>
      </c>
      <c r="C36" s="12" t="n">
        <v>154</v>
      </c>
      <c r="D36" s="60" t="n">
        <v>52</v>
      </c>
    </row>
    <row r="37">
      <c r="A37" s="10" t="inlineStr">
        <is>
          <t>11-2025</t>
        </is>
      </c>
      <c r="B37" s="11" t="n">
        <v>211</v>
      </c>
      <c r="C37" s="12" t="n">
        <v>161</v>
      </c>
      <c r="D37" s="60" t="n">
        <v>50</v>
      </c>
    </row>
    <row r="38">
      <c r="A38" s="10" t="inlineStr">
        <is>
          <t>12-2025</t>
        </is>
      </c>
      <c r="B38" s="11" t="n">
        <v>215</v>
      </c>
      <c r="C38" s="12" t="n">
        <v>166</v>
      </c>
      <c r="D38" s="60" t="n">
        <v>49</v>
      </c>
    </row>
    <row r="39">
      <c r="A39" s="13" t="inlineStr">
        <is>
          <t>01-2026</t>
        </is>
      </c>
      <c r="B39" s="14" t="n">
        <v>175</v>
      </c>
      <c r="C39" s="15" t="n">
        <v>121</v>
      </c>
      <c r="D39" s="61" t="n">
        <v>54</v>
      </c>
    </row>
    <row r="40">
      <c r="A40" s="13" t="inlineStr">
        <is>
          <t>02-2026</t>
        </is>
      </c>
      <c r="B40" s="14" t="n">
        <v>201</v>
      </c>
      <c r="C40" s="15" t="n">
        <v>157</v>
      </c>
      <c r="D40" s="61" t="n">
        <v>44</v>
      </c>
    </row>
    <row r="41">
      <c r="A41" s="13" t="inlineStr">
        <is>
          <t>03-2026</t>
        </is>
      </c>
      <c r="B41" s="14" t="n">
        <v>177</v>
      </c>
      <c r="C41" s="15" t="n">
        <v>124</v>
      </c>
      <c r="D41" s="61" t="n">
        <v>53</v>
      </c>
    </row>
    <row r="42">
      <c r="A42" s="13" t="inlineStr">
        <is>
          <t>04-2026</t>
        </is>
      </c>
      <c r="B42" s="14" t="n">
        <v>218</v>
      </c>
      <c r="C42" s="15" t="n">
        <v>165</v>
      </c>
      <c r="D42" s="61" t="n">
        <v>53</v>
      </c>
    </row>
    <row r="43">
      <c r="A43" s="13" t="inlineStr">
        <is>
          <t>05-2026</t>
        </is>
      </c>
      <c r="B43" s="16" t="n"/>
      <c r="C43" s="15" t="n"/>
      <c r="D43" s="61" t="n"/>
    </row>
    <row r="44">
      <c r="A44" s="13" t="inlineStr">
        <is>
          <t>06-2026</t>
        </is>
      </c>
      <c r="B44" s="16" t="n"/>
      <c r="C44" s="15" t="n"/>
      <c r="D44" s="61" t="n"/>
    </row>
    <row r="45">
      <c r="A45" s="13" t="inlineStr">
        <is>
          <t>07-2026</t>
        </is>
      </c>
      <c r="B45" s="16" t="n"/>
      <c r="C45" s="15" t="n"/>
      <c r="D45" s="61" t="n"/>
    </row>
    <row r="46">
      <c r="A46" s="13" t="inlineStr">
        <is>
          <t>08-2026</t>
        </is>
      </c>
      <c r="B46" s="16" t="n"/>
      <c r="C46" s="15" t="n"/>
      <c r="D46" s="61" t="n"/>
    </row>
    <row r="47">
      <c r="A47" s="13" t="inlineStr">
        <is>
          <t>09-2026</t>
        </is>
      </c>
      <c r="B47" s="16" t="n"/>
      <c r="C47" s="15" t="n"/>
      <c r="D47" s="61" t="n"/>
    </row>
    <row r="48">
      <c r="A48" s="13" t="inlineStr">
        <is>
          <t>10-2026</t>
        </is>
      </c>
      <c r="B48" s="16" t="n"/>
      <c r="C48" s="15" t="n"/>
      <c r="D48" s="61" t="n"/>
    </row>
    <row r="49">
      <c r="A49" s="13" t="inlineStr">
        <is>
          <t>11-2026</t>
        </is>
      </c>
      <c r="B49" s="16" t="n"/>
      <c r="C49" s="15" t="n"/>
      <c r="D49" s="61" t="n"/>
    </row>
    <row r="50">
      <c r="A50" s="13" t="inlineStr">
        <is>
          <t>12-2026</t>
        </is>
      </c>
      <c r="B50" s="16" t="n"/>
      <c r="C50" s="15" t="n"/>
      <c r="D50" s="61" t="n"/>
    </row>
    <row r="51">
      <c r="A51" s="17" t="n"/>
      <c r="B51" s="18" t="n"/>
      <c r="C51" s="18" t="n"/>
      <c r="D51" s="62" t="n"/>
    </row>
    <row r="52">
      <c r="A52" s="17" t="n"/>
      <c r="B52" s="18" t="n"/>
      <c r="C52" s="18" t="n"/>
      <c r="D52" s="62" t="n"/>
    </row>
    <row r="53">
      <c r="A53" s="17" t="n"/>
      <c r="B53" s="18" t="n"/>
      <c r="C53" s="18" t="n"/>
      <c r="D53" s="62" t="n"/>
    </row>
    <row r="54">
      <c r="A54" s="17" t="n"/>
      <c r="B54" s="18" t="n"/>
      <c r="C54" s="18" t="n"/>
      <c r="D54" s="62" t="n"/>
    </row>
    <row r="55">
      <c r="A55" s="17" t="n"/>
      <c r="B55" s="18" t="n"/>
      <c r="C55" s="18" t="n"/>
      <c r="D55" s="62" t="n"/>
    </row>
    <row r="56">
      <c r="A56" s="17" t="n"/>
      <c r="B56" s="18" t="n"/>
      <c r="C56" s="18" t="n"/>
      <c r="D56" s="62" t="n"/>
    </row>
    <row r="57">
      <c r="A57" s="17" t="n"/>
      <c r="B57" s="18" t="n"/>
      <c r="C57" s="18" t="n"/>
      <c r="D57" s="62" t="n"/>
    </row>
    <row r="58">
      <c r="A58" s="17" t="n"/>
      <c r="B58" s="18" t="n"/>
      <c r="C58" s="18" t="n"/>
      <c r="D58" s="62" t="n"/>
    </row>
    <row r="59">
      <c r="A59" s="17" t="n"/>
      <c r="B59" s="18" t="n"/>
      <c r="C59" s="18" t="n"/>
      <c r="D59" s="62" t="n"/>
    </row>
    <row r="60">
      <c r="A60" s="17" t="n"/>
      <c r="B60" s="18" t="n"/>
      <c r="C60" s="18" t="n"/>
      <c r="D60" s="62" t="n"/>
    </row>
    <row r="61">
      <c r="A61" s="17" t="n"/>
      <c r="B61" s="18" t="n"/>
      <c r="C61" s="18" t="n"/>
      <c r="D61" s="62" t="n"/>
    </row>
    <row r="62">
      <c r="A62" s="17" t="n"/>
      <c r="B62" s="18" t="n"/>
      <c r="C62" s="18" t="n"/>
      <c r="D62" s="62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B62"/>
  <sheetViews>
    <sheetView tabSelected="1" topLeftCell="A9" workbookViewId="0">
      <selection activeCell="D14" sqref="D14"/>
    </sheetView>
  </sheetViews>
  <sheetFormatPr baseColWidth="10" defaultRowHeight="14.5"/>
  <cols>
    <col width="16" customWidth="1" style="65" min="1" max="1"/>
    <col width="18" customWidth="1" style="65" min="2" max="2"/>
  </cols>
  <sheetData>
    <row r="1">
      <c r="A1" s="63" t="inlineStr">
        <is>
          <t>Flota Activa por mes</t>
        </is>
      </c>
    </row>
    <row r="2" ht="26" customHeight="1" s="65">
      <c r="A2" s="1" t="inlineStr">
        <is>
          <t>Cosecha
(MM-YYYY)</t>
        </is>
      </c>
      <c r="B2" s="1" t="inlineStr">
        <is>
          <t>Flota Activa</t>
        </is>
      </c>
    </row>
    <row r="3">
      <c r="A3" s="4" t="inlineStr">
        <is>
          <t>01-2023</t>
        </is>
      </c>
      <c r="B3" s="5" t="n">
        <v>1339</v>
      </c>
    </row>
    <row r="4">
      <c r="A4" s="4" t="inlineStr">
        <is>
          <t>02-2023</t>
        </is>
      </c>
      <c r="B4" s="5" t="n">
        <v>1345</v>
      </c>
    </row>
    <row r="5">
      <c r="A5" s="4" t="inlineStr">
        <is>
          <t>03-2023</t>
        </is>
      </c>
      <c r="B5" s="5" t="n">
        <v>1337</v>
      </c>
    </row>
    <row r="6">
      <c r="A6" s="4" t="inlineStr">
        <is>
          <t>04-2023</t>
        </is>
      </c>
      <c r="B6" s="5" t="n">
        <v>1331</v>
      </c>
    </row>
    <row r="7">
      <c r="A7" s="4" t="inlineStr">
        <is>
          <t>05-2023</t>
        </is>
      </c>
      <c r="B7" s="5" t="n">
        <v>1307</v>
      </c>
    </row>
    <row r="8">
      <c r="A8" s="4" t="inlineStr">
        <is>
          <t>06-2023</t>
        </is>
      </c>
      <c r="B8" s="5" t="n">
        <v>1302</v>
      </c>
    </row>
    <row r="9">
      <c r="A9" s="4" t="inlineStr">
        <is>
          <t>07-2023</t>
        </is>
      </c>
      <c r="B9" s="5" t="n">
        <v>1313</v>
      </c>
    </row>
    <row r="10">
      <c r="A10" s="4" t="inlineStr">
        <is>
          <t>08-2023</t>
        </is>
      </c>
      <c r="B10" s="5" t="n">
        <v>1311</v>
      </c>
    </row>
    <row r="11">
      <c r="A11" s="4" t="inlineStr">
        <is>
          <t>09-2023</t>
        </is>
      </c>
      <c r="B11" s="5" t="n">
        <v>1322</v>
      </c>
    </row>
    <row r="12">
      <c r="A12" s="4" t="inlineStr">
        <is>
          <t>10-2023</t>
        </is>
      </c>
      <c r="B12" s="5" t="n">
        <v>1321</v>
      </c>
    </row>
    <row r="13">
      <c r="A13" s="4" t="inlineStr">
        <is>
          <t>11-2023</t>
        </is>
      </c>
      <c r="B13" s="5" t="n">
        <v>1336</v>
      </c>
    </row>
    <row r="14">
      <c r="A14" s="4" t="inlineStr">
        <is>
          <t>12-2023</t>
        </is>
      </c>
      <c r="B14" s="5" t="n">
        <v>1327</v>
      </c>
    </row>
    <row r="15">
      <c r="A15" s="7" t="inlineStr">
        <is>
          <t>01-2024</t>
        </is>
      </c>
      <c r="B15" s="8" t="n">
        <v>1363</v>
      </c>
    </row>
    <row r="16">
      <c r="A16" s="7" t="inlineStr">
        <is>
          <t>02-2024</t>
        </is>
      </c>
      <c r="B16" s="8" t="n">
        <v>1312</v>
      </c>
    </row>
    <row r="17">
      <c r="A17" s="7" t="inlineStr">
        <is>
          <t>03-2024</t>
        </is>
      </c>
      <c r="B17" s="8" t="n">
        <v>1349</v>
      </c>
    </row>
    <row r="18">
      <c r="A18" s="7" t="inlineStr">
        <is>
          <t>04-2024</t>
        </is>
      </c>
      <c r="B18" s="8" t="n">
        <v>1372</v>
      </c>
    </row>
    <row r="19">
      <c r="A19" s="7" t="inlineStr">
        <is>
          <t>05-2024</t>
        </is>
      </c>
      <c r="B19" s="8" t="n">
        <v>1401</v>
      </c>
    </row>
    <row r="20">
      <c r="A20" s="7" t="inlineStr">
        <is>
          <t>06-2024</t>
        </is>
      </c>
      <c r="B20" s="8" t="n">
        <v>1436</v>
      </c>
    </row>
    <row r="21">
      <c r="A21" s="7" t="inlineStr">
        <is>
          <t>07-2024</t>
        </is>
      </c>
      <c r="B21" s="8" t="n">
        <v>1497</v>
      </c>
    </row>
    <row r="22">
      <c r="A22" s="7" t="inlineStr">
        <is>
          <t>08-2024</t>
        </is>
      </c>
      <c r="B22" s="8" t="n">
        <v>1580</v>
      </c>
    </row>
    <row r="23">
      <c r="A23" s="7" t="inlineStr">
        <is>
          <t>09-2024</t>
        </is>
      </c>
      <c r="B23" s="8" t="n">
        <v>1633</v>
      </c>
    </row>
    <row r="24">
      <c r="A24" s="7" t="inlineStr">
        <is>
          <t>10-2024</t>
        </is>
      </c>
      <c r="B24" s="8" t="n">
        <v>1663</v>
      </c>
    </row>
    <row r="25">
      <c r="A25" s="7" t="inlineStr">
        <is>
          <t>11-2024</t>
        </is>
      </c>
      <c r="B25" s="8" t="n">
        <v>1740</v>
      </c>
    </row>
    <row r="26">
      <c r="A26" s="7" t="inlineStr">
        <is>
          <t>12-2024</t>
        </is>
      </c>
      <c r="B26" s="8" t="n">
        <v>1820</v>
      </c>
    </row>
    <row r="27">
      <c r="A27" s="10" t="inlineStr">
        <is>
          <t>01-2025</t>
        </is>
      </c>
      <c r="B27" s="11" t="n">
        <v>1878</v>
      </c>
    </row>
    <row r="28">
      <c r="A28" s="10" t="inlineStr">
        <is>
          <t>02-2025</t>
        </is>
      </c>
      <c r="B28" s="11" t="n">
        <v>1942</v>
      </c>
    </row>
    <row r="29">
      <c r="A29" s="10" t="inlineStr">
        <is>
          <t>03-2025</t>
        </is>
      </c>
      <c r="B29" s="11" t="n">
        <v>2030</v>
      </c>
    </row>
    <row r="30">
      <c r="A30" s="10" t="inlineStr">
        <is>
          <t>04-2025</t>
        </is>
      </c>
      <c r="B30" s="11" t="n">
        <v>2165</v>
      </c>
    </row>
    <row r="31">
      <c r="A31" s="10" t="inlineStr">
        <is>
          <t>05-2025</t>
        </is>
      </c>
      <c r="B31" s="11" t="n">
        <v>2254</v>
      </c>
    </row>
    <row r="32">
      <c r="A32" s="10" t="inlineStr">
        <is>
          <t>06-2025</t>
        </is>
      </c>
      <c r="B32" s="11" t="n">
        <v>2375</v>
      </c>
    </row>
    <row r="33">
      <c r="A33" s="10" t="inlineStr">
        <is>
          <t>07-2025</t>
        </is>
      </c>
      <c r="B33" s="11" t="n">
        <v>2504</v>
      </c>
    </row>
    <row r="34">
      <c r="A34" s="10" t="inlineStr">
        <is>
          <t>08-2025</t>
        </is>
      </c>
      <c r="B34" s="11" t="n">
        <v>2623</v>
      </c>
    </row>
    <row r="35">
      <c r="A35" s="10" t="inlineStr">
        <is>
          <t>09-2025</t>
        </is>
      </c>
      <c r="B35" s="11" t="n">
        <v>2730</v>
      </c>
    </row>
    <row r="36">
      <c r="A36" s="10" t="inlineStr">
        <is>
          <t>10-2025</t>
        </is>
      </c>
      <c r="B36" s="11" t="n">
        <v>2802</v>
      </c>
    </row>
    <row r="37">
      <c r="A37" s="10" t="inlineStr">
        <is>
          <t>11-2025</t>
        </is>
      </c>
      <c r="B37" s="11" t="n">
        <v>2966</v>
      </c>
    </row>
    <row r="38">
      <c r="A38" s="10" t="inlineStr">
        <is>
          <t>12-2025</t>
        </is>
      </c>
      <c r="B38" s="11" t="n">
        <v>3051</v>
      </c>
    </row>
    <row r="39">
      <c r="A39" s="13" t="inlineStr">
        <is>
          <t>01-2026</t>
        </is>
      </c>
      <c r="B39" s="14" t="n">
        <v>3111</v>
      </c>
    </row>
    <row r="40">
      <c r="A40" s="13" t="inlineStr">
        <is>
          <t>02-2026</t>
        </is>
      </c>
      <c r="B40" s="14" t="n">
        <v>3215</v>
      </c>
    </row>
    <row r="41">
      <c r="A41" s="13" t="inlineStr">
        <is>
          <t>03-2026</t>
        </is>
      </c>
      <c r="B41" s="14" t="n">
        <v>3300</v>
      </c>
    </row>
    <row r="42">
      <c r="A42" s="13" t="inlineStr">
        <is>
          <t>04-2026</t>
        </is>
      </c>
      <c r="B42" s="14" t="n">
        <v>3384</v>
      </c>
    </row>
    <row r="43">
      <c r="A43" s="13" t="inlineStr">
        <is>
          <t>05-2026</t>
        </is>
      </c>
      <c r="B43" s="16" t="n"/>
    </row>
    <row r="44">
      <c r="A44" s="13" t="inlineStr">
        <is>
          <t>06-2026</t>
        </is>
      </c>
      <c r="B44" s="16" t="n"/>
    </row>
    <row r="45">
      <c r="A45" s="13" t="inlineStr">
        <is>
          <t>07-2026</t>
        </is>
      </c>
      <c r="B45" s="16" t="n"/>
    </row>
    <row r="46">
      <c r="A46" s="13" t="inlineStr">
        <is>
          <t>08-2026</t>
        </is>
      </c>
      <c r="B46" s="16" t="n"/>
    </row>
    <row r="47">
      <c r="A47" s="13" t="inlineStr">
        <is>
          <t>09-2026</t>
        </is>
      </c>
      <c r="B47" s="16" t="n"/>
    </row>
    <row r="48">
      <c r="A48" s="13" t="inlineStr">
        <is>
          <t>10-2026</t>
        </is>
      </c>
      <c r="B48" s="16" t="n"/>
    </row>
    <row r="49">
      <c r="A49" s="13" t="inlineStr">
        <is>
          <t>11-2026</t>
        </is>
      </c>
      <c r="B49" s="16" t="n"/>
    </row>
    <row r="50">
      <c r="A50" s="13" t="inlineStr">
        <is>
          <t>12-2026</t>
        </is>
      </c>
      <c r="B50" s="16" t="n"/>
    </row>
    <row r="51">
      <c r="A51" s="17" t="n"/>
      <c r="B51" s="18" t="n"/>
    </row>
    <row r="52">
      <c r="A52" s="17" t="n"/>
      <c r="B52" s="18" t="n"/>
    </row>
    <row r="53">
      <c r="A53" s="17" t="n"/>
      <c r="B53" s="18" t="n"/>
    </row>
    <row r="54">
      <c r="A54" s="17" t="n"/>
      <c r="B54" s="18" t="n"/>
    </row>
    <row r="55">
      <c r="A55" s="17" t="n"/>
      <c r="B55" s="18" t="n"/>
    </row>
    <row r="56">
      <c r="A56" s="17" t="n"/>
      <c r="B56" s="18" t="n"/>
    </row>
    <row r="57">
      <c r="A57" s="17" t="n"/>
      <c r="B57" s="18" t="n"/>
    </row>
    <row r="58">
      <c r="A58" s="17" t="n"/>
      <c r="B58" s="18" t="n"/>
    </row>
    <row r="59">
      <c r="A59" s="17" t="n"/>
      <c r="B59" s="18" t="n"/>
    </row>
    <row r="60">
      <c r="A60" s="17" t="n"/>
      <c r="B60" s="18" t="n"/>
    </row>
    <row r="61">
      <c r="A61" s="17" t="n"/>
      <c r="B61" s="18" t="n"/>
    </row>
    <row r="62">
      <c r="A62" s="17" t="n"/>
      <c r="B62" s="18" t="n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ECC71"/>
    <outlinePr summaryBelow="1" summaryRight="1"/>
    <pageSetUpPr/>
  </sheetPr>
  <dimension ref="A1:D10"/>
  <sheetViews>
    <sheetView workbookViewId="0">
      <selection activeCell="B3" sqref="B3:B10"/>
    </sheetView>
  </sheetViews>
  <sheetFormatPr baseColWidth="10" defaultColWidth="8.7265625" defaultRowHeight="14.5"/>
  <cols>
    <col width="30" customWidth="1" style="65" min="1" max="1"/>
    <col width="18" customWidth="1" style="65" min="2" max="2"/>
    <col width="30" customWidth="1" style="65" min="3" max="3"/>
    <col width="18" customWidth="1" style="65" min="4" max="4"/>
  </cols>
  <sheetData>
    <row r="1" ht="22" customHeight="1" s="65">
      <c r="A1" s="64" t="inlineStr">
        <is>
          <t xml:space="preserve">  RESUMEN GENERAL — se recalcula automáticamente con el Export</t>
        </is>
      </c>
    </row>
    <row r="2" ht="26" customHeight="1" s="65">
      <c r="A2" s="1" t="inlineStr">
        <is>
          <t>KPI</t>
        </is>
      </c>
      <c r="B2" s="1" t="inlineStr">
        <is>
          <t>Valor</t>
        </is>
      </c>
      <c r="C2" s="1" t="inlineStr">
        <is>
          <t>Descripción</t>
        </is>
      </c>
    </row>
    <row r="3">
      <c r="A3" s="19" t="inlineStr">
        <is>
          <t>Total enviados a recuperación</t>
        </is>
      </c>
      <c r="B3" s="20">
        <f>COUNTA(Export!C3:C4000)</f>
        <v/>
      </c>
      <c r="C3" s="21" t="inlineStr">
        <is>
          <t>Contratos únicos en Export</t>
        </is>
      </c>
    </row>
    <row r="4">
      <c r="A4" s="22" t="inlineStr">
        <is>
          <t>Total recuperados (Efectivo)</t>
        </is>
      </c>
      <c r="B4" s="20">
        <f>COUNTIF(Export!H3:H4000,"Efectivo")</f>
        <v/>
      </c>
      <c r="C4" s="23" t="inlineStr">
        <is>
          <t>Estatus = Efectivo</t>
        </is>
      </c>
    </row>
    <row r="5">
      <c r="A5" s="24" t="inlineStr">
        <is>
          <t>Total pendientes</t>
        </is>
      </c>
      <c r="B5" s="20">
        <f>COUNTIF(Export!H3:H4000,"Pendiente")</f>
        <v/>
      </c>
      <c r="C5" s="25" t="inlineStr">
        <is>
          <t>Estatus = Pendiente</t>
        </is>
      </c>
    </row>
    <row r="6">
      <c r="A6" s="26" t="inlineStr">
        <is>
          <t>Total cancelados</t>
        </is>
      </c>
      <c r="B6" s="20">
        <f>COUNTIF(Export!H3:H4000,"Cancelado")</f>
        <v/>
      </c>
      <c r="C6" s="27" t="inlineStr">
        <is>
          <t>Estatus = Cancelado</t>
        </is>
      </c>
    </row>
    <row r="7">
      <c r="A7" s="19" t="inlineStr">
        <is>
          <t>Tasa de recuperación (%)</t>
        </is>
      </c>
      <c r="B7" s="28">
        <f>IFERROR(COUNTIF(Export!H3:H4000,"Efectivo")/COUNTA(Export!C3:C4000)*100,0)</f>
        <v/>
      </c>
      <c r="C7" s="21" t="inlineStr">
        <is>
          <t>Efectivo / Total enviados</t>
        </is>
      </c>
    </row>
    <row r="8">
      <c r="A8" s="29" t="inlineStr">
        <is>
          <t>UBER — total</t>
        </is>
      </c>
      <c r="B8" s="20">
        <f>COUNTIF(Export!L3:L4000,"UBER")</f>
        <v/>
      </c>
      <c r="C8" s="30" t="inlineStr">
        <is>
          <t>Plataforma = UBER</t>
        </is>
      </c>
    </row>
    <row r="9">
      <c r="A9" s="29" t="inlineStr">
        <is>
          <t>DIDI — total</t>
        </is>
      </c>
      <c r="B9" s="20">
        <f>COUNTIF(Export!L3:L4000,"DIDI")</f>
        <v/>
      </c>
      <c r="C9" s="30" t="inlineStr">
        <is>
          <t>Plataforma = DIDI</t>
        </is>
      </c>
    </row>
    <row r="10">
      <c r="A10" s="31" t="inlineStr">
        <is>
          <t>Cohortes activas (2024+)</t>
        </is>
      </c>
      <c r="B10" s="20">
        <f t="array" ref="B10">SUMPRODUCT((LEN(Export!E3:E4000)&gt;0)*(--ISNUMBER(VALUE(RIGHT(Export!E3:E4000,4))))*(VALUE(RIGHT(Export!E3:E4000,4))&gt;=2024)/1)</f>
        <v/>
      </c>
      <c r="C10" s="32" t="inlineStr">
        <is>
          <t>Cohortes únicas con datos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39C12"/>
    <outlinePr summaryBelow="1" summaryRight="1"/>
    <pageSetUpPr/>
  </sheetPr>
  <dimension ref="A1:L51"/>
  <sheetViews>
    <sheetView workbookViewId="0">
      <pane ySplit="2" topLeftCell="A3" activePane="bottomLeft" state="frozen"/>
      <selection pane="bottomLeft" activeCell="A1" sqref="A1:I1"/>
    </sheetView>
  </sheetViews>
  <sheetFormatPr baseColWidth="10" defaultColWidth="8.7265625" defaultRowHeight="14.5"/>
  <cols>
    <col width="14" customWidth="1" style="65" min="1" max="2"/>
    <col width="16" customWidth="1" style="65" min="3" max="3"/>
    <col width="14" customWidth="1" style="65" min="4" max="4"/>
    <col width="12" customWidth="1" style="65" min="5" max="5"/>
    <col width="15" customWidth="1" style="65" min="6" max="8"/>
    <col width="12" customWidth="1" style="65" min="9" max="9"/>
  </cols>
  <sheetData>
    <row r="1" ht="22" customHeight="1" s="65">
      <c r="A1" s="66" t="inlineStr">
        <is>
          <t xml:space="preserve">  COHORT DETAIL — COUNTIFS sobre Export + Originaciones</t>
        </is>
      </c>
    </row>
    <row r="2" ht="28" customHeight="1" s="65">
      <c r="A2" s="1" t="inlineStr">
        <is>
          <t>Cosecha</t>
        </is>
      </c>
      <c r="B2" s="1" t="inlineStr">
        <is>
          <t>N Orig</t>
        </is>
      </c>
      <c r="C2" s="1" t="inlineStr">
        <is>
          <t>Sent to Recovery</t>
        </is>
      </c>
      <c r="D2" s="1" t="inlineStr">
        <is>
          <t>Repossessed</t>
        </is>
      </c>
      <c r="E2" s="1" t="inlineStr">
        <is>
          <t>Pending</t>
        </is>
      </c>
      <c r="F2" s="1" t="inlineStr">
        <is>
          <t>% Repossessed</t>
        </is>
      </c>
      <c r="G2" s="1" t="inlineStr">
        <is>
          <t>% Sent / Orig</t>
        </is>
      </c>
      <c r="H2" s="1" t="inlineStr">
        <is>
          <t>% Reposs / Orig</t>
        </is>
      </c>
      <c r="I2" s="1" t="inlineStr">
        <is>
          <t>Cancelados</t>
        </is>
      </c>
      <c r="J2" s="67" t="inlineStr">
        <is>
          <t>Flota Activa</t>
        </is>
      </c>
      <c r="K2" s="67" t="inlineStr">
        <is>
          <t>% Sent / Activa</t>
        </is>
      </c>
      <c r="L2" s="67" t="inlineStr">
        <is>
          <t>% Reposs / Activa</t>
        </is>
      </c>
    </row>
    <row r="3">
      <c r="A3" s="7" t="inlineStr">
        <is>
          <t>01-2024</t>
        </is>
      </c>
      <c r="B3" s="33">
        <f>IFERROR(VLOOKUP(A3,Originaciones!$A:$B,2,0),"")</f>
        <v/>
      </c>
      <c r="C3" s="34">
        <f>IFERROR(COUNTIF(Export!$E:$E,A3),0)</f>
        <v/>
      </c>
      <c r="D3" s="35">
        <f>IFERROR(COUNTIFS(Export!$E:$E,A3,Export!$H:$H,"Efectivo"),0)</f>
        <v/>
      </c>
      <c r="E3" s="36">
        <f>IFERROR(COUNTIFS(Export!$E:$E,A3,Export!$H:$H,"Pendiente"),0)</f>
        <v/>
      </c>
      <c r="F3" s="37">
        <f>IFERROR(D3/C3,"")</f>
        <v/>
      </c>
      <c r="G3" s="38">
        <f>IFERROR(C3/B3,"")</f>
        <v/>
      </c>
      <c r="H3" s="38">
        <f>IFERROR(D3/B3,"")</f>
        <v/>
      </c>
      <c r="I3" s="39">
        <f>IFERROR(COUNTIFS(Export!$E:$E,A3,Export!$H:$H,"Cancelado"),0)</f>
        <v/>
      </c>
      <c r="J3">
        <f>IFERROR(VLOOKUP(A3,'Flota Activa'!$A:$B,2,0),"")</f>
        <v/>
      </c>
      <c r="K3" s="68">
        <f>IFERROR(C3/J3,"")</f>
        <v/>
      </c>
      <c r="L3" s="68">
        <f>IFERROR(D3/J3,"")</f>
        <v/>
      </c>
    </row>
    <row r="4">
      <c r="A4" s="7" t="inlineStr">
        <is>
          <t>02-2024</t>
        </is>
      </c>
      <c r="B4" s="33">
        <f>IFERROR(VLOOKUP(A4,Originaciones!$A:$B,2,0),"")</f>
        <v/>
      </c>
      <c r="C4" s="34">
        <f>IFERROR(COUNTIF(Export!$E:$E,A4),0)</f>
        <v/>
      </c>
      <c r="D4" s="35">
        <f>IFERROR(COUNTIFS(Export!$E:$E,A4,Export!$H:$H,"Efectivo"),0)</f>
        <v/>
      </c>
      <c r="E4" s="36">
        <f>IFERROR(COUNTIFS(Export!$E:$E,A4,Export!$H:$H,"Pendiente"),0)</f>
        <v/>
      </c>
      <c r="F4" s="37">
        <f>IFERROR(D4/C4,"")</f>
        <v/>
      </c>
      <c r="G4" s="38">
        <f>IFERROR(C4/B4,"")</f>
        <v/>
      </c>
      <c r="H4" s="38">
        <f>IFERROR(D4/B4,"")</f>
        <v/>
      </c>
      <c r="I4" s="39">
        <f>IFERROR(COUNTIFS(Export!$E:$E,A4,Export!$H:$H,"Cancelado"),0)</f>
        <v/>
      </c>
      <c r="J4">
        <f>IFERROR(VLOOKUP(A4,'Flota Activa'!$A:$B,2,0),"")</f>
        <v/>
      </c>
      <c r="K4" s="68">
        <f>IFERROR(C4/J4,"")</f>
        <v/>
      </c>
      <c r="L4" s="68">
        <f>IFERROR(D4/J4,"")</f>
        <v/>
      </c>
    </row>
    <row r="5">
      <c r="A5" s="7" t="inlineStr">
        <is>
          <t>03-2024</t>
        </is>
      </c>
      <c r="B5" s="33">
        <f>IFERROR(VLOOKUP(A5,Originaciones!$A:$B,2,0),"")</f>
        <v/>
      </c>
      <c r="C5" s="34">
        <f>IFERROR(COUNTIF(Export!$E:$E,A5),0)</f>
        <v/>
      </c>
      <c r="D5" s="35">
        <f>IFERROR(COUNTIFS(Export!$E:$E,A5,Export!$H:$H,"Efectivo"),0)</f>
        <v/>
      </c>
      <c r="E5" s="36">
        <f>IFERROR(COUNTIFS(Export!$E:$E,A5,Export!$H:$H,"Pendiente"),0)</f>
        <v/>
      </c>
      <c r="F5" s="37">
        <f>IFERROR(D5/C5,"")</f>
        <v/>
      </c>
      <c r="G5" s="38">
        <f>IFERROR(C5/B5,"")</f>
        <v/>
      </c>
      <c r="H5" s="38">
        <f>IFERROR(D5/B5,"")</f>
        <v/>
      </c>
      <c r="I5" s="39">
        <f>IFERROR(COUNTIFS(Export!$E:$E,A5,Export!$H:$H,"Cancelado"),0)</f>
        <v/>
      </c>
      <c r="J5">
        <f>IFERROR(VLOOKUP(A5,'Flota Activa'!$A:$B,2,0),"")</f>
        <v/>
      </c>
      <c r="K5" s="68">
        <f>IFERROR(C5/J5,"")</f>
        <v/>
      </c>
      <c r="L5" s="68">
        <f>IFERROR(D5/J5,"")</f>
        <v/>
      </c>
    </row>
    <row r="6">
      <c r="A6" s="7" t="inlineStr">
        <is>
          <t>04-2024</t>
        </is>
      </c>
      <c r="B6" s="33">
        <f>IFERROR(VLOOKUP(A6,Originaciones!$A:$B,2,0),"")</f>
        <v/>
      </c>
      <c r="C6" s="34">
        <f>IFERROR(COUNTIF(Export!$E:$E,A6),0)</f>
        <v/>
      </c>
      <c r="D6" s="35">
        <f>IFERROR(COUNTIFS(Export!$E:$E,A6,Export!$H:$H,"Efectivo"),0)</f>
        <v/>
      </c>
      <c r="E6" s="36">
        <f>IFERROR(COUNTIFS(Export!$E:$E,A6,Export!$H:$H,"Pendiente"),0)</f>
        <v/>
      </c>
      <c r="F6" s="37">
        <f>IFERROR(D6/C6,"")</f>
        <v/>
      </c>
      <c r="G6" s="38">
        <f>IFERROR(C6/B6,"")</f>
        <v/>
      </c>
      <c r="H6" s="38">
        <f>IFERROR(D6/B6,"")</f>
        <v/>
      </c>
      <c r="I6" s="39">
        <f>IFERROR(COUNTIFS(Export!$E:$E,A6,Export!$H:$H,"Cancelado"),0)</f>
        <v/>
      </c>
      <c r="J6">
        <f>IFERROR(VLOOKUP(A6,'Flota Activa'!$A:$B,2,0),"")</f>
        <v/>
      </c>
      <c r="K6" s="68">
        <f>IFERROR(C6/J6,"")</f>
        <v/>
      </c>
      <c r="L6" s="68">
        <f>IFERROR(D6/J6,"")</f>
        <v/>
      </c>
    </row>
    <row r="7">
      <c r="A7" s="7" t="inlineStr">
        <is>
          <t>05-2024</t>
        </is>
      </c>
      <c r="B7" s="33">
        <f>IFERROR(VLOOKUP(A7,Originaciones!$A:$B,2,0),"")</f>
        <v/>
      </c>
      <c r="C7" s="34">
        <f>IFERROR(COUNTIF(Export!$E:$E,A7),0)</f>
        <v/>
      </c>
      <c r="D7" s="35">
        <f>IFERROR(COUNTIFS(Export!$E:$E,A7,Export!$H:$H,"Efectivo"),0)</f>
        <v/>
      </c>
      <c r="E7" s="36">
        <f>IFERROR(COUNTIFS(Export!$E:$E,A7,Export!$H:$H,"Pendiente"),0)</f>
        <v/>
      </c>
      <c r="F7" s="37">
        <f>IFERROR(D7/C7,"")</f>
        <v/>
      </c>
      <c r="G7" s="38">
        <f>IFERROR(C7/B7,"")</f>
        <v/>
      </c>
      <c r="H7" s="38">
        <f>IFERROR(D7/B7,"")</f>
        <v/>
      </c>
      <c r="I7" s="39">
        <f>IFERROR(COUNTIFS(Export!$E:$E,A7,Export!$H:$H,"Cancelado"),0)</f>
        <v/>
      </c>
      <c r="J7">
        <f>IFERROR(VLOOKUP(A7,'Flota Activa'!$A:$B,2,0),"")</f>
        <v/>
      </c>
      <c r="K7" s="68">
        <f>IFERROR(C7/J7,"")</f>
        <v/>
      </c>
      <c r="L7" s="68">
        <f>IFERROR(D7/J7,"")</f>
        <v/>
      </c>
    </row>
    <row r="8">
      <c r="A8" s="7" t="inlineStr">
        <is>
          <t>06-2024</t>
        </is>
      </c>
      <c r="B8" s="33">
        <f>IFERROR(VLOOKUP(A8,Originaciones!$A:$B,2,0),"")</f>
        <v/>
      </c>
      <c r="C8" s="34">
        <f>IFERROR(COUNTIF(Export!$E:$E,A8),0)</f>
        <v/>
      </c>
      <c r="D8" s="35">
        <f>IFERROR(COUNTIFS(Export!$E:$E,A8,Export!$H:$H,"Efectivo"),0)</f>
        <v/>
      </c>
      <c r="E8" s="36">
        <f>IFERROR(COUNTIFS(Export!$E:$E,A8,Export!$H:$H,"Pendiente"),0)</f>
        <v/>
      </c>
      <c r="F8" s="37">
        <f>IFERROR(D8/C8,"")</f>
        <v/>
      </c>
      <c r="G8" s="38">
        <f>IFERROR(C8/B8,"")</f>
        <v/>
      </c>
      <c r="H8" s="38">
        <f>IFERROR(D8/B8,"")</f>
        <v/>
      </c>
      <c r="I8" s="39">
        <f>IFERROR(COUNTIFS(Export!$E:$E,A8,Export!$H:$H,"Cancelado"),0)</f>
        <v/>
      </c>
      <c r="J8">
        <f>IFERROR(VLOOKUP(A8,'Flota Activa'!$A:$B,2,0),"")</f>
        <v/>
      </c>
      <c r="K8" s="68">
        <f>IFERROR(C8/J8,"")</f>
        <v/>
      </c>
      <c r="L8" s="68">
        <f>IFERROR(D8/J8,"")</f>
        <v/>
      </c>
    </row>
    <row r="9">
      <c r="A9" s="7" t="inlineStr">
        <is>
          <t>07-2024</t>
        </is>
      </c>
      <c r="B9" s="33">
        <f>IFERROR(VLOOKUP(A9,Originaciones!$A:$B,2,0),"")</f>
        <v/>
      </c>
      <c r="C9" s="34">
        <f>IFERROR(COUNTIF(Export!$E:$E,A9),0)</f>
        <v/>
      </c>
      <c r="D9" s="35">
        <f>IFERROR(COUNTIFS(Export!$E:$E,A9,Export!$H:$H,"Efectivo"),0)</f>
        <v/>
      </c>
      <c r="E9" s="36">
        <f>IFERROR(COUNTIFS(Export!$E:$E,A9,Export!$H:$H,"Pendiente"),0)</f>
        <v/>
      </c>
      <c r="F9" s="37">
        <f>IFERROR(D9/C9,"")</f>
        <v/>
      </c>
      <c r="G9" s="38">
        <f>IFERROR(C9/B9,"")</f>
        <v/>
      </c>
      <c r="H9" s="38">
        <f>IFERROR(D9/B9,"")</f>
        <v/>
      </c>
      <c r="I9" s="39">
        <f>IFERROR(COUNTIFS(Export!$E:$E,A9,Export!$H:$H,"Cancelado"),0)</f>
        <v/>
      </c>
      <c r="J9">
        <f>IFERROR(VLOOKUP(A9,'Flota Activa'!$A:$B,2,0),"")</f>
        <v/>
      </c>
      <c r="K9" s="68">
        <f>IFERROR(C9/J9,"")</f>
        <v/>
      </c>
      <c r="L9" s="68">
        <f>IFERROR(D9/J9,"")</f>
        <v/>
      </c>
    </row>
    <row r="10">
      <c r="A10" s="7" t="inlineStr">
        <is>
          <t>08-2024</t>
        </is>
      </c>
      <c r="B10" s="33">
        <f>IFERROR(VLOOKUP(A10,Originaciones!$A:$B,2,0),"")</f>
        <v/>
      </c>
      <c r="C10" s="34">
        <f>IFERROR(COUNTIF(Export!$E:$E,A10),0)</f>
        <v/>
      </c>
      <c r="D10" s="35">
        <f>IFERROR(COUNTIFS(Export!$E:$E,A10,Export!$H:$H,"Efectivo"),0)</f>
        <v/>
      </c>
      <c r="E10" s="36">
        <f>IFERROR(COUNTIFS(Export!$E:$E,A10,Export!$H:$H,"Pendiente"),0)</f>
        <v/>
      </c>
      <c r="F10" s="37">
        <f>IFERROR(D10/C10,"")</f>
        <v/>
      </c>
      <c r="G10" s="38">
        <f>IFERROR(C10/B10,"")</f>
        <v/>
      </c>
      <c r="H10" s="38">
        <f>IFERROR(D10/B10,"")</f>
        <v/>
      </c>
      <c r="I10" s="39">
        <f>IFERROR(COUNTIFS(Export!$E:$E,A10,Export!$H:$H,"Cancelado"),0)</f>
        <v/>
      </c>
      <c r="J10">
        <f>IFERROR(VLOOKUP(A10,'Flota Activa'!$A:$B,2,0),"")</f>
        <v/>
      </c>
      <c r="K10" s="68">
        <f>IFERROR(C10/J10,"")</f>
        <v/>
      </c>
      <c r="L10" s="68">
        <f>IFERROR(D10/J10,"")</f>
        <v/>
      </c>
    </row>
    <row r="11">
      <c r="A11" s="7" t="inlineStr">
        <is>
          <t>09-2024</t>
        </is>
      </c>
      <c r="B11" s="33">
        <f>IFERROR(VLOOKUP(A11,Originaciones!$A:$B,2,0),"")</f>
        <v/>
      </c>
      <c r="C11" s="34">
        <f>IFERROR(COUNTIF(Export!$E:$E,A11),0)</f>
        <v/>
      </c>
      <c r="D11" s="35">
        <f>IFERROR(COUNTIFS(Export!$E:$E,A11,Export!$H:$H,"Efectivo"),0)</f>
        <v/>
      </c>
      <c r="E11" s="36">
        <f>IFERROR(COUNTIFS(Export!$E:$E,A11,Export!$H:$H,"Pendiente"),0)</f>
        <v/>
      </c>
      <c r="F11" s="37">
        <f>IFERROR(D11/C11,"")</f>
        <v/>
      </c>
      <c r="G11" s="38">
        <f>IFERROR(C11/B11,"")</f>
        <v/>
      </c>
      <c r="H11" s="38">
        <f>IFERROR(D11/B11,"")</f>
        <v/>
      </c>
      <c r="I11" s="39">
        <f>IFERROR(COUNTIFS(Export!$E:$E,A11,Export!$H:$H,"Cancelado"),0)</f>
        <v/>
      </c>
      <c r="J11">
        <f>IFERROR(VLOOKUP(A11,'Flota Activa'!$A:$B,2,0),"")</f>
        <v/>
      </c>
      <c r="K11" s="68">
        <f>IFERROR(C11/J11,"")</f>
        <v/>
      </c>
      <c r="L11" s="68">
        <f>IFERROR(D11/J11,"")</f>
        <v/>
      </c>
    </row>
    <row r="12">
      <c r="A12" s="7" t="inlineStr">
        <is>
          <t>10-2024</t>
        </is>
      </c>
      <c r="B12" s="33">
        <f>IFERROR(VLOOKUP(A12,Originaciones!$A:$B,2,0),"")</f>
        <v/>
      </c>
      <c r="C12" s="34">
        <f>IFERROR(COUNTIF(Export!$E:$E,A12),0)</f>
        <v/>
      </c>
      <c r="D12" s="35">
        <f>IFERROR(COUNTIFS(Export!$E:$E,A12,Export!$H:$H,"Efectivo"),0)</f>
        <v/>
      </c>
      <c r="E12" s="36">
        <f>IFERROR(COUNTIFS(Export!$E:$E,A12,Export!$H:$H,"Pendiente"),0)</f>
        <v/>
      </c>
      <c r="F12" s="37">
        <f>IFERROR(D12/C12,"")</f>
        <v/>
      </c>
      <c r="G12" s="38">
        <f>IFERROR(C12/B12,"")</f>
        <v/>
      </c>
      <c r="H12" s="38">
        <f>IFERROR(D12/B12,"")</f>
        <v/>
      </c>
      <c r="I12" s="39">
        <f>IFERROR(COUNTIFS(Export!$E:$E,A12,Export!$H:$H,"Cancelado"),0)</f>
        <v/>
      </c>
      <c r="J12">
        <f>IFERROR(VLOOKUP(A12,'Flota Activa'!$A:$B,2,0),"")</f>
        <v/>
      </c>
      <c r="K12" s="68">
        <f>IFERROR(C12/J12,"")</f>
        <v/>
      </c>
      <c r="L12" s="68">
        <f>IFERROR(D12/J12,"")</f>
        <v/>
      </c>
    </row>
    <row r="13">
      <c r="A13" s="7" t="inlineStr">
        <is>
          <t>11-2024</t>
        </is>
      </c>
      <c r="B13" s="33">
        <f>IFERROR(VLOOKUP(A13,Originaciones!$A:$B,2,0),"")</f>
        <v/>
      </c>
      <c r="C13" s="34">
        <f>IFERROR(COUNTIF(Export!$E:$E,A13),0)</f>
        <v/>
      </c>
      <c r="D13" s="35">
        <f>IFERROR(COUNTIFS(Export!$E:$E,A13,Export!$H:$H,"Efectivo"),0)</f>
        <v/>
      </c>
      <c r="E13" s="36">
        <f>IFERROR(COUNTIFS(Export!$E:$E,A13,Export!$H:$H,"Pendiente"),0)</f>
        <v/>
      </c>
      <c r="F13" s="37">
        <f>IFERROR(D13/C13,"")</f>
        <v/>
      </c>
      <c r="G13" s="38">
        <f>IFERROR(C13/B13,"")</f>
        <v/>
      </c>
      <c r="H13" s="38">
        <f>IFERROR(D13/B13,"")</f>
        <v/>
      </c>
      <c r="I13" s="39">
        <f>IFERROR(COUNTIFS(Export!$E:$E,A13,Export!$H:$H,"Cancelado"),0)</f>
        <v/>
      </c>
      <c r="J13">
        <f>IFERROR(VLOOKUP(A13,'Flota Activa'!$A:$B,2,0),"")</f>
        <v/>
      </c>
      <c r="K13" s="68">
        <f>IFERROR(C13/J13,"")</f>
        <v/>
      </c>
      <c r="L13" s="68">
        <f>IFERROR(D13/J13,"")</f>
        <v/>
      </c>
    </row>
    <row r="14">
      <c r="A14" s="7" t="inlineStr">
        <is>
          <t>12-2024</t>
        </is>
      </c>
      <c r="B14" s="33">
        <f>IFERROR(VLOOKUP(A14,Originaciones!$A:$B,2,0),"")</f>
        <v/>
      </c>
      <c r="C14" s="34">
        <f>IFERROR(COUNTIF(Export!$E:$E,A14),0)</f>
        <v/>
      </c>
      <c r="D14" s="35">
        <f>IFERROR(COUNTIFS(Export!$E:$E,A14,Export!$H:$H,"Efectivo"),0)</f>
        <v/>
      </c>
      <c r="E14" s="36">
        <f>IFERROR(COUNTIFS(Export!$E:$E,A14,Export!$H:$H,"Pendiente"),0)</f>
        <v/>
      </c>
      <c r="F14" s="37">
        <f>IFERROR(D14/C14,"")</f>
        <v/>
      </c>
      <c r="G14" s="38">
        <f>IFERROR(C14/B14,"")</f>
        <v/>
      </c>
      <c r="H14" s="38">
        <f>IFERROR(D14/B14,"")</f>
        <v/>
      </c>
      <c r="I14" s="39">
        <f>IFERROR(COUNTIFS(Export!$E:$E,A14,Export!$H:$H,"Cancelado"),0)</f>
        <v/>
      </c>
      <c r="J14">
        <f>IFERROR(VLOOKUP(A14,'Flota Activa'!$A:$B,2,0),"")</f>
        <v/>
      </c>
      <c r="K14" s="68">
        <f>IFERROR(C14/J14,"")</f>
        <v/>
      </c>
      <c r="L14" s="68">
        <f>IFERROR(D14/J14,"")</f>
        <v/>
      </c>
    </row>
    <row r="15">
      <c r="A15" s="10" t="inlineStr">
        <is>
          <t>01-2025</t>
        </is>
      </c>
      <c r="B15" s="33">
        <f>IFERROR(VLOOKUP(A15,Originaciones!$A:$B,2,0),"")</f>
        <v/>
      </c>
      <c r="C15" s="34">
        <f>IFERROR(COUNTIF(Export!$E:$E,A15),0)</f>
        <v/>
      </c>
      <c r="D15" s="35">
        <f>IFERROR(COUNTIFS(Export!$E:$E,A15,Export!$H:$H,"Efectivo"),0)</f>
        <v/>
      </c>
      <c r="E15" s="36">
        <f>IFERROR(COUNTIFS(Export!$E:$E,A15,Export!$H:$H,"Pendiente"),0)</f>
        <v/>
      </c>
      <c r="F15" s="37">
        <f>IFERROR(D15/C15,"")</f>
        <v/>
      </c>
      <c r="G15" s="38">
        <f>IFERROR(C15/B15,"")</f>
        <v/>
      </c>
      <c r="H15" s="38">
        <f>IFERROR(D15/B15,"")</f>
        <v/>
      </c>
      <c r="I15" s="39">
        <f>IFERROR(COUNTIFS(Export!$E:$E,A15,Export!$H:$H,"Cancelado"),0)</f>
        <v/>
      </c>
      <c r="J15">
        <f>IFERROR(VLOOKUP(A15,'Flota Activa'!$A:$B,2,0),"")</f>
        <v/>
      </c>
      <c r="K15" s="68">
        <f>IFERROR(C15/J15,"")</f>
        <v/>
      </c>
      <c r="L15" s="68">
        <f>IFERROR(D15/J15,"")</f>
        <v/>
      </c>
    </row>
    <row r="16">
      <c r="A16" s="10" t="inlineStr">
        <is>
          <t>02-2025</t>
        </is>
      </c>
      <c r="B16" s="33">
        <f>IFERROR(VLOOKUP(A16,Originaciones!$A:$B,2,0),"")</f>
        <v/>
      </c>
      <c r="C16" s="34">
        <f>IFERROR(COUNTIF(Export!$E:$E,A16),0)</f>
        <v/>
      </c>
      <c r="D16" s="35">
        <f>IFERROR(COUNTIFS(Export!$E:$E,A16,Export!$H:$H,"Efectivo"),0)</f>
        <v/>
      </c>
      <c r="E16" s="36">
        <f>IFERROR(COUNTIFS(Export!$E:$E,A16,Export!$H:$H,"Pendiente"),0)</f>
        <v/>
      </c>
      <c r="F16" s="37">
        <f>IFERROR(D16/C16,"")</f>
        <v/>
      </c>
      <c r="G16" s="38">
        <f>IFERROR(C16/B16,"")</f>
        <v/>
      </c>
      <c r="H16" s="38">
        <f>IFERROR(D16/B16,"")</f>
        <v/>
      </c>
      <c r="I16" s="39">
        <f>IFERROR(COUNTIFS(Export!$E:$E,A16,Export!$H:$H,"Cancelado"),0)</f>
        <v/>
      </c>
      <c r="J16">
        <f>IFERROR(VLOOKUP(A16,'Flota Activa'!$A:$B,2,0),"")</f>
        <v/>
      </c>
      <c r="K16" s="68">
        <f>IFERROR(C16/J16,"")</f>
        <v/>
      </c>
      <c r="L16" s="68">
        <f>IFERROR(D16/J16,"")</f>
        <v/>
      </c>
    </row>
    <row r="17">
      <c r="A17" s="10" t="inlineStr">
        <is>
          <t>03-2025</t>
        </is>
      </c>
      <c r="B17" s="33">
        <f>IFERROR(VLOOKUP(A17,Originaciones!$A:$B,2,0),"")</f>
        <v/>
      </c>
      <c r="C17" s="34">
        <f>IFERROR(COUNTIF(Export!$E:$E,A17),0)</f>
        <v/>
      </c>
      <c r="D17" s="35">
        <f>IFERROR(COUNTIFS(Export!$E:$E,A17,Export!$H:$H,"Efectivo"),0)</f>
        <v/>
      </c>
      <c r="E17" s="36">
        <f>IFERROR(COUNTIFS(Export!$E:$E,A17,Export!$H:$H,"Pendiente"),0)</f>
        <v/>
      </c>
      <c r="F17" s="37">
        <f>IFERROR(D17/C17,"")</f>
        <v/>
      </c>
      <c r="G17" s="38">
        <f>IFERROR(C17/B17,"")</f>
        <v/>
      </c>
      <c r="H17" s="38">
        <f>IFERROR(D17/B17,"")</f>
        <v/>
      </c>
      <c r="I17" s="39">
        <f>IFERROR(COUNTIFS(Export!$E:$E,A17,Export!$H:$H,"Cancelado"),0)</f>
        <v/>
      </c>
      <c r="J17">
        <f>IFERROR(VLOOKUP(A17,'Flota Activa'!$A:$B,2,0),"")</f>
        <v/>
      </c>
      <c r="K17" s="68">
        <f>IFERROR(C17/J17,"")</f>
        <v/>
      </c>
      <c r="L17" s="68">
        <f>IFERROR(D17/J17,"")</f>
        <v/>
      </c>
    </row>
    <row r="18">
      <c r="A18" s="10" t="inlineStr">
        <is>
          <t>04-2025</t>
        </is>
      </c>
      <c r="B18" s="33">
        <f>IFERROR(VLOOKUP(A18,Originaciones!$A:$B,2,0),"")</f>
        <v/>
      </c>
      <c r="C18" s="34">
        <f>IFERROR(COUNTIF(Export!$E:$E,A18),0)</f>
        <v/>
      </c>
      <c r="D18" s="35">
        <f>IFERROR(COUNTIFS(Export!$E:$E,A18,Export!$H:$H,"Efectivo"),0)</f>
        <v/>
      </c>
      <c r="E18" s="36">
        <f>IFERROR(COUNTIFS(Export!$E:$E,A18,Export!$H:$H,"Pendiente"),0)</f>
        <v/>
      </c>
      <c r="F18" s="37">
        <f>IFERROR(D18/C18,"")</f>
        <v/>
      </c>
      <c r="G18" s="38">
        <f>IFERROR(C18/B18,"")</f>
        <v/>
      </c>
      <c r="H18" s="38">
        <f>IFERROR(D18/B18,"")</f>
        <v/>
      </c>
      <c r="I18" s="39">
        <f>IFERROR(COUNTIFS(Export!$E:$E,A18,Export!$H:$H,"Cancelado"),0)</f>
        <v/>
      </c>
      <c r="J18">
        <f>IFERROR(VLOOKUP(A18,'Flota Activa'!$A:$B,2,0),"")</f>
        <v/>
      </c>
      <c r="K18" s="68">
        <f>IFERROR(C18/J18,"")</f>
        <v/>
      </c>
      <c r="L18" s="68">
        <f>IFERROR(D18/J18,"")</f>
        <v/>
      </c>
    </row>
    <row r="19">
      <c r="A19" s="10" t="inlineStr">
        <is>
          <t>05-2025</t>
        </is>
      </c>
      <c r="B19" s="33">
        <f>IFERROR(VLOOKUP(A19,Originaciones!$A:$B,2,0),"")</f>
        <v/>
      </c>
      <c r="C19" s="34">
        <f>IFERROR(COUNTIF(Export!$E:$E,A19),0)</f>
        <v/>
      </c>
      <c r="D19" s="35">
        <f>IFERROR(COUNTIFS(Export!$E:$E,A19,Export!$H:$H,"Efectivo"),0)</f>
        <v/>
      </c>
      <c r="E19" s="36">
        <f>IFERROR(COUNTIFS(Export!$E:$E,A19,Export!$H:$H,"Pendiente"),0)</f>
        <v/>
      </c>
      <c r="F19" s="37">
        <f>IFERROR(D19/C19,"")</f>
        <v/>
      </c>
      <c r="G19" s="38">
        <f>IFERROR(C19/B19,"")</f>
        <v/>
      </c>
      <c r="H19" s="38">
        <f>IFERROR(D19/B19,"")</f>
        <v/>
      </c>
      <c r="I19" s="39">
        <f>IFERROR(COUNTIFS(Export!$E:$E,A19,Export!$H:$H,"Cancelado"),0)</f>
        <v/>
      </c>
      <c r="J19">
        <f>IFERROR(VLOOKUP(A19,'Flota Activa'!$A:$B,2,0),"")</f>
        <v/>
      </c>
      <c r="K19" s="68">
        <f>IFERROR(C19/J19,"")</f>
        <v/>
      </c>
      <c r="L19" s="68">
        <f>IFERROR(D19/J19,"")</f>
        <v/>
      </c>
    </row>
    <row r="20">
      <c r="A20" s="10" t="inlineStr">
        <is>
          <t>06-2025</t>
        </is>
      </c>
      <c r="B20" s="33">
        <f>IFERROR(VLOOKUP(A20,Originaciones!$A:$B,2,0),"")</f>
        <v/>
      </c>
      <c r="C20" s="34">
        <f>IFERROR(COUNTIF(Export!$E:$E,A20),0)</f>
        <v/>
      </c>
      <c r="D20" s="35">
        <f>IFERROR(COUNTIFS(Export!$E:$E,A20,Export!$H:$H,"Efectivo"),0)</f>
        <v/>
      </c>
      <c r="E20" s="36">
        <f>IFERROR(COUNTIFS(Export!$E:$E,A20,Export!$H:$H,"Pendiente"),0)</f>
        <v/>
      </c>
      <c r="F20" s="37">
        <f>IFERROR(D20/C20,"")</f>
        <v/>
      </c>
      <c r="G20" s="38">
        <f>IFERROR(C20/B20,"")</f>
        <v/>
      </c>
      <c r="H20" s="38">
        <f>IFERROR(D20/B20,"")</f>
        <v/>
      </c>
      <c r="I20" s="39">
        <f>IFERROR(COUNTIFS(Export!$E:$E,A20,Export!$H:$H,"Cancelado"),0)</f>
        <v/>
      </c>
      <c r="J20">
        <f>IFERROR(VLOOKUP(A20,'Flota Activa'!$A:$B,2,0),"")</f>
        <v/>
      </c>
      <c r="K20" s="68">
        <f>IFERROR(C20/J20,"")</f>
        <v/>
      </c>
      <c r="L20" s="68">
        <f>IFERROR(D20/J20,"")</f>
        <v/>
      </c>
    </row>
    <row r="21">
      <c r="A21" s="10" t="inlineStr">
        <is>
          <t>07-2025</t>
        </is>
      </c>
      <c r="B21" s="33">
        <f>IFERROR(VLOOKUP(A21,Originaciones!$A:$B,2,0),"")</f>
        <v/>
      </c>
      <c r="C21" s="34">
        <f>IFERROR(COUNTIF(Export!$E:$E,A21),0)</f>
        <v/>
      </c>
      <c r="D21" s="35">
        <f>IFERROR(COUNTIFS(Export!$E:$E,A21,Export!$H:$H,"Efectivo"),0)</f>
        <v/>
      </c>
      <c r="E21" s="36">
        <f>IFERROR(COUNTIFS(Export!$E:$E,A21,Export!$H:$H,"Pendiente"),0)</f>
        <v/>
      </c>
      <c r="F21" s="37">
        <f>IFERROR(D21/C21,"")</f>
        <v/>
      </c>
      <c r="G21" s="38">
        <f>IFERROR(C21/B21,"")</f>
        <v/>
      </c>
      <c r="H21" s="38">
        <f>IFERROR(D21/B21,"")</f>
        <v/>
      </c>
      <c r="I21" s="39">
        <f>IFERROR(COUNTIFS(Export!$E:$E,A21,Export!$H:$H,"Cancelado"),0)</f>
        <v/>
      </c>
      <c r="J21">
        <f>IFERROR(VLOOKUP(A21,'Flota Activa'!$A:$B,2,0),"")</f>
        <v/>
      </c>
      <c r="K21" s="68">
        <f>IFERROR(C21/J21,"")</f>
        <v/>
      </c>
      <c r="L21" s="68">
        <f>IFERROR(D21/J21,"")</f>
        <v/>
      </c>
    </row>
    <row r="22">
      <c r="A22" s="10" t="inlineStr">
        <is>
          <t>08-2025</t>
        </is>
      </c>
      <c r="B22" s="33">
        <f>IFERROR(VLOOKUP(A22,Originaciones!$A:$B,2,0),"")</f>
        <v/>
      </c>
      <c r="C22" s="34">
        <f>IFERROR(COUNTIF(Export!$E:$E,A22),0)</f>
        <v/>
      </c>
      <c r="D22" s="35">
        <f>IFERROR(COUNTIFS(Export!$E:$E,A22,Export!$H:$H,"Efectivo"),0)</f>
        <v/>
      </c>
      <c r="E22" s="36">
        <f>IFERROR(COUNTIFS(Export!$E:$E,A22,Export!$H:$H,"Pendiente"),0)</f>
        <v/>
      </c>
      <c r="F22" s="37">
        <f>IFERROR(D22/C22,"")</f>
        <v/>
      </c>
      <c r="G22" s="38">
        <f>IFERROR(C22/B22,"")</f>
        <v/>
      </c>
      <c r="H22" s="38">
        <f>IFERROR(D22/B22,"")</f>
        <v/>
      </c>
      <c r="I22" s="39">
        <f>IFERROR(COUNTIFS(Export!$E:$E,A22,Export!$H:$H,"Cancelado"),0)</f>
        <v/>
      </c>
      <c r="J22">
        <f>IFERROR(VLOOKUP(A22,'Flota Activa'!$A:$B,2,0),"")</f>
        <v/>
      </c>
      <c r="K22" s="68">
        <f>IFERROR(C22/J22,"")</f>
        <v/>
      </c>
      <c r="L22" s="68">
        <f>IFERROR(D22/J22,"")</f>
        <v/>
      </c>
    </row>
    <row r="23">
      <c r="A23" s="10" t="inlineStr">
        <is>
          <t>09-2025</t>
        </is>
      </c>
      <c r="B23" s="33">
        <f>IFERROR(VLOOKUP(A23,Originaciones!$A:$B,2,0),"")</f>
        <v/>
      </c>
      <c r="C23" s="34">
        <f>IFERROR(COUNTIF(Export!$E:$E,A23),0)</f>
        <v/>
      </c>
      <c r="D23" s="35">
        <f>IFERROR(COUNTIFS(Export!$E:$E,A23,Export!$H:$H,"Efectivo"),0)</f>
        <v/>
      </c>
      <c r="E23" s="36">
        <f>IFERROR(COUNTIFS(Export!$E:$E,A23,Export!$H:$H,"Pendiente"),0)</f>
        <v/>
      </c>
      <c r="F23" s="37">
        <f>IFERROR(D23/C23,"")</f>
        <v/>
      </c>
      <c r="G23" s="38">
        <f>IFERROR(C23/B23,"")</f>
        <v/>
      </c>
      <c r="H23" s="38">
        <f>IFERROR(D23/B23,"")</f>
        <v/>
      </c>
      <c r="I23" s="39">
        <f>IFERROR(COUNTIFS(Export!$E:$E,A23,Export!$H:$H,"Cancelado"),0)</f>
        <v/>
      </c>
      <c r="J23">
        <f>IFERROR(VLOOKUP(A23,'Flota Activa'!$A:$B,2,0),"")</f>
        <v/>
      </c>
      <c r="K23" s="68">
        <f>IFERROR(C23/J23,"")</f>
        <v/>
      </c>
      <c r="L23" s="68">
        <f>IFERROR(D23/J23,"")</f>
        <v/>
      </c>
    </row>
    <row r="24">
      <c r="A24" s="10" t="inlineStr">
        <is>
          <t>10-2025</t>
        </is>
      </c>
      <c r="B24" s="33">
        <f>IFERROR(VLOOKUP(A24,Originaciones!$A:$B,2,0),"")</f>
        <v/>
      </c>
      <c r="C24" s="34">
        <f>IFERROR(COUNTIF(Export!$E:$E,A24),0)</f>
        <v/>
      </c>
      <c r="D24" s="35">
        <f>IFERROR(COUNTIFS(Export!$E:$E,A24,Export!$H:$H,"Efectivo"),0)</f>
        <v/>
      </c>
      <c r="E24" s="36">
        <f>IFERROR(COUNTIFS(Export!$E:$E,A24,Export!$H:$H,"Pendiente"),0)</f>
        <v/>
      </c>
      <c r="F24" s="37">
        <f>IFERROR(D24/C24,"")</f>
        <v/>
      </c>
      <c r="G24" s="38">
        <f>IFERROR(C24/B24,"")</f>
        <v/>
      </c>
      <c r="H24" s="38">
        <f>IFERROR(D24/B24,"")</f>
        <v/>
      </c>
      <c r="I24" s="39">
        <f>IFERROR(COUNTIFS(Export!$E:$E,A24,Export!$H:$H,"Cancelado"),0)</f>
        <v/>
      </c>
      <c r="J24">
        <f>IFERROR(VLOOKUP(A24,'Flota Activa'!$A:$B,2,0),"")</f>
        <v/>
      </c>
      <c r="K24" s="68">
        <f>IFERROR(C24/J24,"")</f>
        <v/>
      </c>
      <c r="L24" s="68">
        <f>IFERROR(D24/J24,"")</f>
        <v/>
      </c>
    </row>
    <row r="25">
      <c r="A25" s="10" t="inlineStr">
        <is>
          <t>11-2025</t>
        </is>
      </c>
      <c r="B25" s="33">
        <f>IFERROR(VLOOKUP(A25,Originaciones!$A:$B,2,0),"")</f>
        <v/>
      </c>
      <c r="C25" s="34">
        <f>IFERROR(COUNTIF(Export!$E:$E,A25),0)</f>
        <v/>
      </c>
      <c r="D25" s="35">
        <f>IFERROR(COUNTIFS(Export!$E:$E,A25,Export!$H:$H,"Efectivo"),0)</f>
        <v/>
      </c>
      <c r="E25" s="36">
        <f>IFERROR(COUNTIFS(Export!$E:$E,A25,Export!$H:$H,"Pendiente"),0)</f>
        <v/>
      </c>
      <c r="F25" s="37">
        <f>IFERROR(D25/C25,"")</f>
        <v/>
      </c>
      <c r="G25" s="38">
        <f>IFERROR(C25/B25,"")</f>
        <v/>
      </c>
      <c r="H25" s="38">
        <f>IFERROR(D25/B25,"")</f>
        <v/>
      </c>
      <c r="I25" s="39">
        <f>IFERROR(COUNTIFS(Export!$E:$E,A25,Export!$H:$H,"Cancelado"),0)</f>
        <v/>
      </c>
      <c r="J25">
        <f>IFERROR(VLOOKUP(A25,'Flota Activa'!$A:$B,2,0),"")</f>
        <v/>
      </c>
      <c r="K25" s="68">
        <f>IFERROR(C25/J25,"")</f>
        <v/>
      </c>
      <c r="L25" s="68">
        <f>IFERROR(D25/J25,"")</f>
        <v/>
      </c>
    </row>
    <row r="26">
      <c r="A26" s="10" t="inlineStr">
        <is>
          <t>12-2025</t>
        </is>
      </c>
      <c r="B26" s="33">
        <f>IFERROR(VLOOKUP(A26,Originaciones!$A:$B,2,0),"")</f>
        <v/>
      </c>
      <c r="C26" s="34">
        <f>IFERROR(COUNTIF(Export!$E:$E,A26),0)</f>
        <v/>
      </c>
      <c r="D26" s="35">
        <f>IFERROR(COUNTIFS(Export!$E:$E,A26,Export!$H:$H,"Efectivo"),0)</f>
        <v/>
      </c>
      <c r="E26" s="36">
        <f>IFERROR(COUNTIFS(Export!$E:$E,A26,Export!$H:$H,"Pendiente"),0)</f>
        <v/>
      </c>
      <c r="F26" s="37">
        <f>IFERROR(D26/C26,"")</f>
        <v/>
      </c>
      <c r="G26" s="38">
        <f>IFERROR(C26/B26,"")</f>
        <v/>
      </c>
      <c r="H26" s="38">
        <f>IFERROR(D26/B26,"")</f>
        <v/>
      </c>
      <c r="I26" s="39">
        <f>IFERROR(COUNTIFS(Export!$E:$E,A26,Export!$H:$H,"Cancelado"),0)</f>
        <v/>
      </c>
      <c r="J26">
        <f>IFERROR(VLOOKUP(A26,'Flota Activa'!$A:$B,2,0),"")</f>
        <v/>
      </c>
      <c r="K26" s="68">
        <f>IFERROR(C26/J26,"")</f>
        <v/>
      </c>
      <c r="L26" s="68">
        <f>IFERROR(D26/J26,"")</f>
        <v/>
      </c>
    </row>
    <row r="27">
      <c r="A27" s="13" t="inlineStr">
        <is>
          <t>01-2026</t>
        </is>
      </c>
      <c r="B27" s="33">
        <f>IFERROR(VLOOKUP(A27,Originaciones!$A:$B,2,0),"")</f>
        <v/>
      </c>
      <c r="C27" s="34">
        <f>IFERROR(COUNTIF(Export!$E:$E,A27),0)</f>
        <v/>
      </c>
      <c r="D27" s="35">
        <f>IFERROR(COUNTIFS(Export!$E:$E,A27,Export!$H:$H,"Efectivo"),0)</f>
        <v/>
      </c>
      <c r="E27" s="36">
        <f>IFERROR(COUNTIFS(Export!$E:$E,A27,Export!$H:$H,"Pendiente"),0)</f>
        <v/>
      </c>
      <c r="F27" s="37">
        <f>IFERROR(D27/C27,"")</f>
        <v/>
      </c>
      <c r="G27" s="38">
        <f>IFERROR(C27/B27,"")</f>
        <v/>
      </c>
      <c r="H27" s="38">
        <f>IFERROR(D27/B27,"")</f>
        <v/>
      </c>
      <c r="I27" s="39">
        <f>IFERROR(COUNTIFS(Export!$E:$E,A27,Export!$H:$H,"Cancelado"),0)</f>
        <v/>
      </c>
      <c r="J27">
        <f>IFERROR(VLOOKUP(A27,'Flota Activa'!$A:$B,2,0),"")</f>
        <v/>
      </c>
      <c r="K27" s="68">
        <f>IFERROR(C27/J27,"")</f>
        <v/>
      </c>
      <c r="L27" s="68">
        <f>IFERROR(D27/J27,"")</f>
        <v/>
      </c>
    </row>
    <row r="28">
      <c r="A28" s="13" t="inlineStr">
        <is>
          <t>02-2026</t>
        </is>
      </c>
      <c r="B28" s="33">
        <f>IFERROR(VLOOKUP(A28,Originaciones!$A:$B,2,0),"")</f>
        <v/>
      </c>
      <c r="C28" s="34">
        <f>IFERROR(COUNTIF(Export!$E:$E,A28),0)</f>
        <v/>
      </c>
      <c r="D28" s="35">
        <f>IFERROR(COUNTIFS(Export!$E:$E,A28,Export!$H:$H,"Efectivo"),0)</f>
        <v/>
      </c>
      <c r="E28" s="36">
        <f>IFERROR(COUNTIFS(Export!$E:$E,A28,Export!$H:$H,"Pendiente"),0)</f>
        <v/>
      </c>
      <c r="F28" s="37">
        <f>IFERROR(D28/C28,"")</f>
        <v/>
      </c>
      <c r="G28" s="38">
        <f>IFERROR(C28/B28,"")</f>
        <v/>
      </c>
      <c r="H28" s="38">
        <f>IFERROR(D28/B28,"")</f>
        <v/>
      </c>
      <c r="I28" s="39">
        <f>IFERROR(COUNTIFS(Export!$E:$E,A28,Export!$H:$H,"Cancelado"),0)</f>
        <v/>
      </c>
      <c r="J28">
        <f>IFERROR(VLOOKUP(A28,'Flota Activa'!$A:$B,2,0),"")</f>
        <v/>
      </c>
      <c r="K28" s="68">
        <f>IFERROR(C28/J28,"")</f>
        <v/>
      </c>
      <c r="L28" s="68">
        <f>IFERROR(D28/J28,"")</f>
        <v/>
      </c>
    </row>
    <row r="29">
      <c r="A29" s="13" t="inlineStr">
        <is>
          <t>03-2026</t>
        </is>
      </c>
      <c r="B29" s="33">
        <f>IFERROR(VLOOKUP(A29,Originaciones!$A:$B,2,0),"")</f>
        <v/>
      </c>
      <c r="C29" s="34">
        <f>IFERROR(COUNTIF(Export!$E:$E,A29),0)</f>
        <v/>
      </c>
      <c r="D29" s="35">
        <f>IFERROR(COUNTIFS(Export!$E:$E,A29,Export!$H:$H,"Efectivo"),0)</f>
        <v/>
      </c>
      <c r="E29" s="36">
        <f>IFERROR(COUNTIFS(Export!$E:$E,A29,Export!$H:$H,"Pendiente"),0)</f>
        <v/>
      </c>
      <c r="F29" s="37">
        <f>IFERROR(D29/C29,"")</f>
        <v/>
      </c>
      <c r="G29" s="38">
        <f>IFERROR(C29/B29,"")</f>
        <v/>
      </c>
      <c r="H29" s="38">
        <f>IFERROR(D29/B29,"")</f>
        <v/>
      </c>
      <c r="I29" s="39">
        <f>IFERROR(COUNTIFS(Export!$E:$E,A29,Export!$H:$H,"Cancelado"),0)</f>
        <v/>
      </c>
      <c r="J29">
        <f>IFERROR(VLOOKUP(A29,'Flota Activa'!$A:$B,2,0),"")</f>
        <v/>
      </c>
      <c r="K29" s="68">
        <f>IFERROR(C29/J29,"")</f>
        <v/>
      </c>
      <c r="L29" s="68">
        <f>IFERROR(D29/J29,"")</f>
        <v/>
      </c>
    </row>
    <row r="30">
      <c r="A30" s="13" t="inlineStr">
        <is>
          <t>04-2026</t>
        </is>
      </c>
      <c r="B30" s="33">
        <f>IFERROR(VLOOKUP(A30,Originaciones!$A:$B,2,0),"")</f>
        <v/>
      </c>
      <c r="C30" s="34">
        <f>IFERROR(COUNTIF(Export!$E:$E,A30),0)</f>
        <v/>
      </c>
      <c r="D30" s="35">
        <f>IFERROR(COUNTIFS(Export!$E:$E,A30,Export!$H:$H,"Efectivo"),0)</f>
        <v/>
      </c>
      <c r="E30" s="36">
        <f>IFERROR(COUNTIFS(Export!$E:$E,A30,Export!$H:$H,"Pendiente"),0)</f>
        <v/>
      </c>
      <c r="F30" s="37">
        <f>IFERROR(D30/C30,"")</f>
        <v/>
      </c>
      <c r="G30" s="38">
        <f>IFERROR(C30/B30,"")</f>
        <v/>
      </c>
      <c r="H30" s="38">
        <f>IFERROR(D30/B30,"")</f>
        <v/>
      </c>
      <c r="I30" s="39">
        <f>IFERROR(COUNTIFS(Export!$E:$E,A30,Export!$H:$H,"Cancelado"),0)</f>
        <v/>
      </c>
      <c r="J30">
        <f>IFERROR(VLOOKUP(A30,'Flota Activa'!$A:$B,2,0),"")</f>
        <v/>
      </c>
      <c r="K30" s="68">
        <f>IFERROR(C30/J30,"")</f>
        <v/>
      </c>
      <c r="L30" s="68">
        <f>IFERROR(D30/J30,"")</f>
        <v/>
      </c>
    </row>
    <row r="31">
      <c r="A31" s="13" t="inlineStr">
        <is>
          <t>05-2026</t>
        </is>
      </c>
      <c r="B31" s="33">
        <f>IFERROR(VLOOKUP(A31,Originaciones!$A:$B,2,0),"")</f>
        <v/>
      </c>
      <c r="C31" s="34">
        <f>IFERROR(COUNTIF(Export!$E:$E,A31),0)</f>
        <v/>
      </c>
      <c r="D31" s="35">
        <f>IFERROR(COUNTIFS(Export!$E:$E,A31,Export!$H:$H,"Efectivo"),0)</f>
        <v/>
      </c>
      <c r="E31" s="36">
        <f>IFERROR(COUNTIFS(Export!$E:$E,A31,Export!$H:$H,"Pendiente"),0)</f>
        <v/>
      </c>
      <c r="F31" s="37">
        <f>IFERROR(D31/C31,"")</f>
        <v/>
      </c>
      <c r="G31" s="38">
        <f>IFERROR(C31/B31,"")</f>
        <v/>
      </c>
      <c r="H31" s="38">
        <f>IFERROR(D31/B31,"")</f>
        <v/>
      </c>
      <c r="I31" s="39">
        <f>IFERROR(COUNTIFS(Export!$E:$E,A31,Export!$H:$H,"Cancelado"),0)</f>
        <v/>
      </c>
      <c r="J31">
        <f>IFERROR(VLOOKUP(A31,'Flota Activa'!$A:$B,2,0),"")</f>
        <v/>
      </c>
      <c r="K31" s="68">
        <f>IFERROR(C31/J31,"")</f>
        <v/>
      </c>
      <c r="L31" s="68">
        <f>IFERROR(D31/J31,"")</f>
        <v/>
      </c>
    </row>
    <row r="32">
      <c r="A32" s="13" t="inlineStr">
        <is>
          <t>06-2026</t>
        </is>
      </c>
      <c r="B32" s="33">
        <f>IFERROR(VLOOKUP(A32,Originaciones!$A:$B,2,0),"")</f>
        <v/>
      </c>
      <c r="C32" s="34">
        <f>IFERROR(COUNTIF(Export!$E:$E,A32),0)</f>
        <v/>
      </c>
      <c r="D32" s="35">
        <f>IFERROR(COUNTIFS(Export!$E:$E,A32,Export!$H:$H,"Efectivo"),0)</f>
        <v/>
      </c>
      <c r="E32" s="36">
        <f>IFERROR(COUNTIFS(Export!$E:$E,A32,Export!$H:$H,"Pendiente"),0)</f>
        <v/>
      </c>
      <c r="F32" s="37">
        <f>IFERROR(D32/C32,"")</f>
        <v/>
      </c>
      <c r="G32" s="38">
        <f>IFERROR(C32/B32,"")</f>
        <v/>
      </c>
      <c r="H32" s="38">
        <f>IFERROR(D32/B32,"")</f>
        <v/>
      </c>
      <c r="I32" s="39">
        <f>IFERROR(COUNTIFS(Export!$E:$E,A32,Export!$H:$H,"Cancelado"),0)</f>
        <v/>
      </c>
      <c r="J32">
        <f>IFERROR(VLOOKUP(A32,'Flota Activa'!$A:$B,2,0),"")</f>
        <v/>
      </c>
      <c r="K32" s="68">
        <f>IFERROR(C32/J32,"")</f>
        <v/>
      </c>
      <c r="L32" s="68">
        <f>IFERROR(D32/J32,"")</f>
        <v/>
      </c>
    </row>
    <row r="33">
      <c r="A33" s="13" t="inlineStr">
        <is>
          <t>07-2026</t>
        </is>
      </c>
      <c r="B33" s="33">
        <f>IFERROR(VLOOKUP(A33,Originaciones!$A:$B,2,0),"")</f>
        <v/>
      </c>
      <c r="C33" s="34">
        <f>IFERROR(COUNTIF(Export!$E:$E,A33),0)</f>
        <v/>
      </c>
      <c r="D33" s="35">
        <f>IFERROR(COUNTIFS(Export!$E:$E,A33,Export!$H:$H,"Efectivo"),0)</f>
        <v/>
      </c>
      <c r="E33" s="36">
        <f>IFERROR(COUNTIFS(Export!$E:$E,A33,Export!$H:$H,"Pendiente"),0)</f>
        <v/>
      </c>
      <c r="F33" s="37">
        <f>IFERROR(D33/C33,"")</f>
        <v/>
      </c>
      <c r="G33" s="38">
        <f>IFERROR(C33/B33,"")</f>
        <v/>
      </c>
      <c r="H33" s="38">
        <f>IFERROR(D33/B33,"")</f>
        <v/>
      </c>
      <c r="I33" s="39">
        <f>IFERROR(COUNTIFS(Export!$E:$E,A33,Export!$H:$H,"Cancelado"),0)</f>
        <v/>
      </c>
      <c r="J33">
        <f>IFERROR(VLOOKUP(A33,'Flota Activa'!$A:$B,2,0),"")</f>
        <v/>
      </c>
      <c r="K33" s="68">
        <f>IFERROR(C33/J33,"")</f>
        <v/>
      </c>
      <c r="L33" s="68">
        <f>IFERROR(D33/J33,"")</f>
        <v/>
      </c>
    </row>
    <row r="34">
      <c r="A34" s="13" t="inlineStr">
        <is>
          <t>08-2026</t>
        </is>
      </c>
      <c r="B34" s="33">
        <f>IFERROR(VLOOKUP(A34,Originaciones!$A:$B,2,0),"")</f>
        <v/>
      </c>
      <c r="C34" s="34">
        <f>IFERROR(COUNTIF(Export!$E:$E,A34),0)</f>
        <v/>
      </c>
      <c r="D34" s="35">
        <f>IFERROR(COUNTIFS(Export!$E:$E,A34,Export!$H:$H,"Efectivo"),0)</f>
        <v/>
      </c>
      <c r="E34" s="36">
        <f>IFERROR(COUNTIFS(Export!$E:$E,A34,Export!$H:$H,"Pendiente"),0)</f>
        <v/>
      </c>
      <c r="F34" s="37">
        <f>IFERROR(D34/C34,"")</f>
        <v/>
      </c>
      <c r="G34" s="38">
        <f>IFERROR(C34/B34,"")</f>
        <v/>
      </c>
      <c r="H34" s="38">
        <f>IFERROR(D34/B34,"")</f>
        <v/>
      </c>
      <c r="I34" s="39">
        <f>IFERROR(COUNTIFS(Export!$E:$E,A34,Export!$H:$H,"Cancelado"),0)</f>
        <v/>
      </c>
      <c r="J34">
        <f>IFERROR(VLOOKUP(A34,'Flota Activa'!$A:$B,2,0),"")</f>
        <v/>
      </c>
      <c r="K34" s="68">
        <f>IFERROR(C34/J34,"")</f>
        <v/>
      </c>
      <c r="L34" s="68">
        <f>IFERROR(D34/J34,"")</f>
        <v/>
      </c>
    </row>
    <row r="35">
      <c r="A35" s="13" t="inlineStr">
        <is>
          <t>09-2026</t>
        </is>
      </c>
      <c r="B35" s="33">
        <f>IFERROR(VLOOKUP(A35,Originaciones!$A:$B,2,0),"")</f>
        <v/>
      </c>
      <c r="C35" s="34">
        <f>IFERROR(COUNTIF(Export!$E:$E,A35),0)</f>
        <v/>
      </c>
      <c r="D35" s="35">
        <f>IFERROR(COUNTIFS(Export!$E:$E,A35,Export!$H:$H,"Efectivo"),0)</f>
        <v/>
      </c>
      <c r="E35" s="36">
        <f>IFERROR(COUNTIFS(Export!$E:$E,A35,Export!$H:$H,"Pendiente"),0)</f>
        <v/>
      </c>
      <c r="F35" s="37">
        <f>IFERROR(D35/C35,"")</f>
        <v/>
      </c>
      <c r="G35" s="38">
        <f>IFERROR(C35/B35,"")</f>
        <v/>
      </c>
      <c r="H35" s="38">
        <f>IFERROR(D35/B35,"")</f>
        <v/>
      </c>
      <c r="I35" s="39">
        <f>IFERROR(COUNTIFS(Export!$E:$E,A35,Export!$H:$H,"Cancelado"),0)</f>
        <v/>
      </c>
      <c r="J35">
        <f>IFERROR(VLOOKUP(A35,'Flota Activa'!$A:$B,2,0),"")</f>
        <v/>
      </c>
      <c r="K35" s="68">
        <f>IFERROR(C35/J35,"")</f>
        <v/>
      </c>
      <c r="L35" s="68">
        <f>IFERROR(D35/J35,"")</f>
        <v/>
      </c>
    </row>
    <row r="36">
      <c r="A36" s="13" t="inlineStr">
        <is>
          <t>10-2026</t>
        </is>
      </c>
      <c r="B36" s="33">
        <f>IFERROR(VLOOKUP(A36,Originaciones!$A:$B,2,0),"")</f>
        <v/>
      </c>
      <c r="C36" s="34">
        <f>IFERROR(COUNTIF(Export!$E:$E,A36),0)</f>
        <v/>
      </c>
      <c r="D36" s="35">
        <f>IFERROR(COUNTIFS(Export!$E:$E,A36,Export!$H:$H,"Efectivo"),0)</f>
        <v/>
      </c>
      <c r="E36" s="36">
        <f>IFERROR(COUNTIFS(Export!$E:$E,A36,Export!$H:$H,"Pendiente"),0)</f>
        <v/>
      </c>
      <c r="F36" s="37">
        <f>IFERROR(D36/C36,"")</f>
        <v/>
      </c>
      <c r="G36" s="38">
        <f>IFERROR(C36/B36,"")</f>
        <v/>
      </c>
      <c r="H36" s="38">
        <f>IFERROR(D36/B36,"")</f>
        <v/>
      </c>
      <c r="I36" s="39">
        <f>IFERROR(COUNTIFS(Export!$E:$E,A36,Export!$H:$H,"Cancelado"),0)</f>
        <v/>
      </c>
      <c r="J36">
        <f>IFERROR(VLOOKUP(A36,'Flota Activa'!$A:$B,2,0),"")</f>
        <v/>
      </c>
      <c r="K36" s="68">
        <f>IFERROR(C36/J36,"")</f>
        <v/>
      </c>
      <c r="L36" s="68">
        <f>IFERROR(D36/J36,"")</f>
        <v/>
      </c>
    </row>
    <row r="37">
      <c r="A37" s="13" t="inlineStr">
        <is>
          <t>11-2026</t>
        </is>
      </c>
      <c r="B37" s="33">
        <f>IFERROR(VLOOKUP(A37,Originaciones!$A:$B,2,0),"")</f>
        <v/>
      </c>
      <c r="C37" s="34">
        <f>IFERROR(COUNTIF(Export!$E:$E,A37),0)</f>
        <v/>
      </c>
      <c r="D37" s="35">
        <f>IFERROR(COUNTIFS(Export!$E:$E,A37,Export!$H:$H,"Efectivo"),0)</f>
        <v/>
      </c>
      <c r="E37" s="36">
        <f>IFERROR(COUNTIFS(Export!$E:$E,A37,Export!$H:$H,"Pendiente"),0)</f>
        <v/>
      </c>
      <c r="F37" s="37">
        <f>IFERROR(D37/C37,"")</f>
        <v/>
      </c>
      <c r="G37" s="38">
        <f>IFERROR(C37/B37,"")</f>
        <v/>
      </c>
      <c r="H37" s="38">
        <f>IFERROR(D37/B37,"")</f>
        <v/>
      </c>
      <c r="I37" s="39">
        <f>IFERROR(COUNTIFS(Export!$E:$E,A37,Export!$H:$H,"Cancelado"),0)</f>
        <v/>
      </c>
      <c r="J37">
        <f>IFERROR(VLOOKUP(A37,'Flota Activa'!$A:$B,2,0),"")</f>
        <v/>
      </c>
      <c r="K37" s="68">
        <f>IFERROR(C37/J37,"")</f>
        <v/>
      </c>
      <c r="L37" s="68">
        <f>IFERROR(D37/J37,"")</f>
        <v/>
      </c>
    </row>
    <row r="38">
      <c r="A38" s="13" t="inlineStr">
        <is>
          <t>12-2026</t>
        </is>
      </c>
      <c r="B38" s="33">
        <f>IFERROR(VLOOKUP(A38,Originaciones!$A:$B,2,0),"")</f>
        <v/>
      </c>
      <c r="C38" s="34">
        <f>IFERROR(COUNTIF(Export!$E:$E,A38),0)</f>
        <v/>
      </c>
      <c r="D38" s="35">
        <f>IFERROR(COUNTIFS(Export!$E:$E,A38,Export!$H:$H,"Efectivo"),0)</f>
        <v/>
      </c>
      <c r="E38" s="36">
        <f>IFERROR(COUNTIFS(Export!$E:$E,A38,Export!$H:$H,"Pendiente"),0)</f>
        <v/>
      </c>
      <c r="F38" s="37">
        <f>IFERROR(D38/C38,"")</f>
        <v/>
      </c>
      <c r="G38" s="38">
        <f>IFERROR(C38/B38,"")</f>
        <v/>
      </c>
      <c r="H38" s="38">
        <f>IFERROR(D38/B38,"")</f>
        <v/>
      </c>
      <c r="I38" s="39">
        <f>IFERROR(COUNTIFS(Export!$E:$E,A38,Export!$H:$H,"Cancelado"),0)</f>
        <v/>
      </c>
      <c r="J38">
        <f>IFERROR(VLOOKUP(A38,'Flota Activa'!$A:$B,2,0),"")</f>
        <v/>
      </c>
      <c r="K38" s="68">
        <f>IFERROR(C38/J38,"")</f>
        <v/>
      </c>
      <c r="L38" s="68">
        <f>IFERROR(D38/J38,"")</f>
        <v/>
      </c>
    </row>
    <row r="39">
      <c r="A39" s="4" t="inlineStr">
        <is>
          <t>01-2027</t>
        </is>
      </c>
      <c r="B39" s="33">
        <f>IFERROR(VLOOKUP(A39,Originaciones!$A:$B,2,0),"")</f>
        <v/>
      </c>
      <c r="C39" s="34">
        <f>IFERROR(COUNTIF(Export!$E:$E,A39),0)</f>
        <v/>
      </c>
      <c r="D39" s="35">
        <f>IFERROR(COUNTIFS(Export!$E:$E,A39,Export!$H:$H,"Efectivo"),0)</f>
        <v/>
      </c>
      <c r="E39" s="36">
        <f>IFERROR(COUNTIFS(Export!$E:$E,A39,Export!$H:$H,"Pendiente"),0)</f>
        <v/>
      </c>
      <c r="F39" s="37">
        <f>IFERROR(D39/C39,"")</f>
        <v/>
      </c>
      <c r="G39" s="38">
        <f>IFERROR(C39/B39,"")</f>
        <v/>
      </c>
      <c r="H39" s="38">
        <f>IFERROR(D39/B39,"")</f>
        <v/>
      </c>
      <c r="I39" s="39">
        <f>IFERROR(COUNTIFS(Export!$E:$E,A39,Export!$H:$H,"Cancelado"),0)</f>
        <v/>
      </c>
      <c r="J39">
        <f>IFERROR(VLOOKUP(A39,'Flota Activa'!$A:$B,2,0),"")</f>
        <v/>
      </c>
      <c r="K39" s="68">
        <f>IFERROR(C39/J39,"")</f>
        <v/>
      </c>
      <c r="L39" s="68">
        <f>IFERROR(D39/J39,"")</f>
        <v/>
      </c>
    </row>
    <row r="40">
      <c r="A40" s="4" t="inlineStr">
        <is>
          <t>02-2027</t>
        </is>
      </c>
      <c r="B40" s="33">
        <f>IFERROR(VLOOKUP(A40,Originaciones!$A:$B,2,0),"")</f>
        <v/>
      </c>
      <c r="C40" s="34">
        <f>IFERROR(COUNTIF(Export!$E:$E,A40),0)</f>
        <v/>
      </c>
      <c r="D40" s="35">
        <f>IFERROR(COUNTIFS(Export!$E:$E,A40,Export!$H:$H,"Efectivo"),0)</f>
        <v/>
      </c>
      <c r="E40" s="36">
        <f>IFERROR(COUNTIFS(Export!$E:$E,A40,Export!$H:$H,"Pendiente"),0)</f>
        <v/>
      </c>
      <c r="F40" s="37">
        <f>IFERROR(D40/C40,"")</f>
        <v/>
      </c>
      <c r="G40" s="38">
        <f>IFERROR(C40/B40,"")</f>
        <v/>
      </c>
      <c r="H40" s="38">
        <f>IFERROR(D40/B40,"")</f>
        <v/>
      </c>
      <c r="I40" s="39">
        <f>IFERROR(COUNTIFS(Export!$E:$E,A40,Export!$H:$H,"Cancelado"),0)</f>
        <v/>
      </c>
      <c r="J40">
        <f>IFERROR(VLOOKUP(A40,'Flota Activa'!$A:$B,2,0),"")</f>
        <v/>
      </c>
      <c r="K40" s="68">
        <f>IFERROR(C40/J40,"")</f>
        <v/>
      </c>
      <c r="L40" s="68">
        <f>IFERROR(D40/J40,"")</f>
        <v/>
      </c>
    </row>
    <row r="41">
      <c r="A41" s="4" t="inlineStr">
        <is>
          <t>03-2027</t>
        </is>
      </c>
      <c r="B41" s="33">
        <f>IFERROR(VLOOKUP(A41,Originaciones!$A:$B,2,0),"")</f>
        <v/>
      </c>
      <c r="C41" s="34">
        <f>IFERROR(COUNTIF(Export!$E:$E,A41),0)</f>
        <v/>
      </c>
      <c r="D41" s="35">
        <f>IFERROR(COUNTIFS(Export!$E:$E,A41,Export!$H:$H,"Efectivo"),0)</f>
        <v/>
      </c>
      <c r="E41" s="36">
        <f>IFERROR(COUNTIFS(Export!$E:$E,A41,Export!$H:$H,"Pendiente"),0)</f>
        <v/>
      </c>
      <c r="F41" s="37">
        <f>IFERROR(D41/C41,"")</f>
        <v/>
      </c>
      <c r="G41" s="38">
        <f>IFERROR(C41/B41,"")</f>
        <v/>
      </c>
      <c r="H41" s="38">
        <f>IFERROR(D41/B41,"")</f>
        <v/>
      </c>
      <c r="I41" s="39">
        <f>IFERROR(COUNTIFS(Export!$E:$E,A41,Export!$H:$H,"Cancelado"),0)</f>
        <v/>
      </c>
      <c r="J41">
        <f>IFERROR(VLOOKUP(A41,'Flota Activa'!$A:$B,2,0),"")</f>
        <v/>
      </c>
      <c r="K41" s="68">
        <f>IFERROR(C41/J41,"")</f>
        <v/>
      </c>
      <c r="L41" s="68">
        <f>IFERROR(D41/J41,"")</f>
        <v/>
      </c>
    </row>
    <row r="42">
      <c r="A42" s="4" t="inlineStr">
        <is>
          <t>04-2027</t>
        </is>
      </c>
      <c r="B42" s="33">
        <f>IFERROR(VLOOKUP(A42,Originaciones!$A:$B,2,0),"")</f>
        <v/>
      </c>
      <c r="C42" s="34">
        <f>IFERROR(COUNTIF(Export!$E:$E,A42),0)</f>
        <v/>
      </c>
      <c r="D42" s="35">
        <f>IFERROR(COUNTIFS(Export!$E:$E,A42,Export!$H:$H,"Efectivo"),0)</f>
        <v/>
      </c>
      <c r="E42" s="36">
        <f>IFERROR(COUNTIFS(Export!$E:$E,A42,Export!$H:$H,"Pendiente"),0)</f>
        <v/>
      </c>
      <c r="F42" s="37">
        <f>IFERROR(D42/C42,"")</f>
        <v/>
      </c>
      <c r="G42" s="38">
        <f>IFERROR(C42/B42,"")</f>
        <v/>
      </c>
      <c r="H42" s="38">
        <f>IFERROR(D42/B42,"")</f>
        <v/>
      </c>
      <c r="I42" s="39">
        <f>IFERROR(COUNTIFS(Export!$E:$E,A42,Export!$H:$H,"Cancelado"),0)</f>
        <v/>
      </c>
      <c r="J42">
        <f>IFERROR(VLOOKUP(A42,'Flota Activa'!$A:$B,2,0),"")</f>
        <v/>
      </c>
      <c r="K42" s="68">
        <f>IFERROR(C42/J42,"")</f>
        <v/>
      </c>
      <c r="L42" s="68">
        <f>IFERROR(D42/J42,"")</f>
        <v/>
      </c>
    </row>
    <row r="43">
      <c r="A43" s="4" t="inlineStr">
        <is>
          <t>05-2027</t>
        </is>
      </c>
      <c r="B43" s="33">
        <f>IFERROR(VLOOKUP(A43,Originaciones!$A:$B,2,0),"")</f>
        <v/>
      </c>
      <c r="C43" s="34">
        <f>IFERROR(COUNTIF(Export!$E:$E,A43),0)</f>
        <v/>
      </c>
      <c r="D43" s="35">
        <f>IFERROR(COUNTIFS(Export!$E:$E,A43,Export!$H:$H,"Efectivo"),0)</f>
        <v/>
      </c>
      <c r="E43" s="36">
        <f>IFERROR(COUNTIFS(Export!$E:$E,A43,Export!$H:$H,"Pendiente"),0)</f>
        <v/>
      </c>
      <c r="F43" s="37">
        <f>IFERROR(D43/C43,"")</f>
        <v/>
      </c>
      <c r="G43" s="38">
        <f>IFERROR(C43/B43,"")</f>
        <v/>
      </c>
      <c r="H43" s="38">
        <f>IFERROR(D43/B43,"")</f>
        <v/>
      </c>
      <c r="I43" s="39">
        <f>IFERROR(COUNTIFS(Export!$E:$E,A43,Export!$H:$H,"Cancelado"),0)</f>
        <v/>
      </c>
      <c r="J43">
        <f>IFERROR(VLOOKUP(A43,'Flota Activa'!$A:$B,2,0),"")</f>
        <v/>
      </c>
      <c r="K43" s="68">
        <f>IFERROR(C43/J43,"")</f>
        <v/>
      </c>
      <c r="L43" s="68">
        <f>IFERROR(D43/J43,"")</f>
        <v/>
      </c>
    </row>
    <row r="44">
      <c r="A44" s="4" t="inlineStr">
        <is>
          <t>06-2027</t>
        </is>
      </c>
      <c r="B44" s="33">
        <f>IFERROR(VLOOKUP(A44,Originaciones!$A:$B,2,0),"")</f>
        <v/>
      </c>
      <c r="C44" s="34">
        <f>IFERROR(COUNTIF(Export!$E:$E,A44),0)</f>
        <v/>
      </c>
      <c r="D44" s="35">
        <f>IFERROR(COUNTIFS(Export!$E:$E,A44,Export!$H:$H,"Efectivo"),0)</f>
        <v/>
      </c>
      <c r="E44" s="36">
        <f>IFERROR(COUNTIFS(Export!$E:$E,A44,Export!$H:$H,"Pendiente"),0)</f>
        <v/>
      </c>
      <c r="F44" s="37">
        <f>IFERROR(D44/C44,"")</f>
        <v/>
      </c>
      <c r="G44" s="38">
        <f>IFERROR(C44/B44,"")</f>
        <v/>
      </c>
      <c r="H44" s="38">
        <f>IFERROR(D44/B44,"")</f>
        <v/>
      </c>
      <c r="I44" s="39">
        <f>IFERROR(COUNTIFS(Export!$E:$E,A44,Export!$H:$H,"Cancelado"),0)</f>
        <v/>
      </c>
      <c r="J44">
        <f>IFERROR(VLOOKUP(A44,'Flota Activa'!$A:$B,2,0),"")</f>
        <v/>
      </c>
      <c r="K44" s="68">
        <f>IFERROR(C44/J44,"")</f>
        <v/>
      </c>
      <c r="L44" s="68">
        <f>IFERROR(D44/J44,"")</f>
        <v/>
      </c>
    </row>
    <row r="45">
      <c r="A45" s="4" t="inlineStr">
        <is>
          <t>07-2027</t>
        </is>
      </c>
      <c r="B45" s="33">
        <f>IFERROR(VLOOKUP(A45,Originaciones!$A:$B,2,0),"")</f>
        <v/>
      </c>
      <c r="C45" s="34">
        <f>IFERROR(COUNTIF(Export!$E:$E,A45),0)</f>
        <v/>
      </c>
      <c r="D45" s="35">
        <f>IFERROR(COUNTIFS(Export!$E:$E,A45,Export!$H:$H,"Efectivo"),0)</f>
        <v/>
      </c>
      <c r="E45" s="36">
        <f>IFERROR(COUNTIFS(Export!$E:$E,A45,Export!$H:$H,"Pendiente"),0)</f>
        <v/>
      </c>
      <c r="F45" s="37">
        <f>IFERROR(D45/C45,"")</f>
        <v/>
      </c>
      <c r="G45" s="38">
        <f>IFERROR(C45/B45,"")</f>
        <v/>
      </c>
      <c r="H45" s="38">
        <f>IFERROR(D45/B45,"")</f>
        <v/>
      </c>
      <c r="I45" s="39">
        <f>IFERROR(COUNTIFS(Export!$E:$E,A45,Export!$H:$H,"Cancelado"),0)</f>
        <v/>
      </c>
      <c r="J45">
        <f>IFERROR(VLOOKUP(A45,'Flota Activa'!$A:$B,2,0),"")</f>
        <v/>
      </c>
      <c r="K45" s="68">
        <f>IFERROR(C45/J45,"")</f>
        <v/>
      </c>
      <c r="L45" s="68">
        <f>IFERROR(D45/J45,"")</f>
        <v/>
      </c>
    </row>
    <row r="46">
      <c r="A46" s="4" t="inlineStr">
        <is>
          <t>08-2027</t>
        </is>
      </c>
      <c r="B46" s="33">
        <f>IFERROR(VLOOKUP(A46,Originaciones!$A:$B,2,0),"")</f>
        <v/>
      </c>
      <c r="C46" s="34">
        <f>IFERROR(COUNTIF(Export!$E:$E,A46),0)</f>
        <v/>
      </c>
      <c r="D46" s="35">
        <f>IFERROR(COUNTIFS(Export!$E:$E,A46,Export!$H:$H,"Efectivo"),0)</f>
        <v/>
      </c>
      <c r="E46" s="36">
        <f>IFERROR(COUNTIFS(Export!$E:$E,A46,Export!$H:$H,"Pendiente"),0)</f>
        <v/>
      </c>
      <c r="F46" s="37">
        <f>IFERROR(D46/C46,"")</f>
        <v/>
      </c>
      <c r="G46" s="38">
        <f>IFERROR(C46/B46,"")</f>
        <v/>
      </c>
      <c r="H46" s="38">
        <f>IFERROR(D46/B46,"")</f>
        <v/>
      </c>
      <c r="I46" s="39">
        <f>IFERROR(COUNTIFS(Export!$E:$E,A46,Export!$H:$H,"Cancelado"),0)</f>
        <v/>
      </c>
      <c r="J46">
        <f>IFERROR(VLOOKUP(A46,'Flota Activa'!$A:$B,2,0),"")</f>
        <v/>
      </c>
      <c r="K46" s="68">
        <f>IFERROR(C46/J46,"")</f>
        <v/>
      </c>
      <c r="L46" s="68">
        <f>IFERROR(D46/J46,"")</f>
        <v/>
      </c>
    </row>
    <row r="47">
      <c r="A47" s="4" t="inlineStr">
        <is>
          <t>09-2027</t>
        </is>
      </c>
      <c r="B47" s="33">
        <f>IFERROR(VLOOKUP(A47,Originaciones!$A:$B,2,0),"")</f>
        <v/>
      </c>
      <c r="C47" s="34">
        <f>IFERROR(COUNTIF(Export!$E:$E,A47),0)</f>
        <v/>
      </c>
      <c r="D47" s="35">
        <f>IFERROR(COUNTIFS(Export!$E:$E,A47,Export!$H:$H,"Efectivo"),0)</f>
        <v/>
      </c>
      <c r="E47" s="36">
        <f>IFERROR(COUNTIFS(Export!$E:$E,A47,Export!$H:$H,"Pendiente"),0)</f>
        <v/>
      </c>
      <c r="F47" s="37">
        <f>IFERROR(D47/C47,"")</f>
        <v/>
      </c>
      <c r="G47" s="38">
        <f>IFERROR(C47/B47,"")</f>
        <v/>
      </c>
      <c r="H47" s="38">
        <f>IFERROR(D47/B47,"")</f>
        <v/>
      </c>
      <c r="I47" s="39">
        <f>IFERROR(COUNTIFS(Export!$E:$E,A47,Export!$H:$H,"Cancelado"),0)</f>
        <v/>
      </c>
      <c r="J47">
        <f>IFERROR(VLOOKUP(A47,'Flota Activa'!$A:$B,2,0),"")</f>
        <v/>
      </c>
      <c r="K47" s="68">
        <f>IFERROR(C47/J47,"")</f>
        <v/>
      </c>
      <c r="L47" s="68">
        <f>IFERROR(D47/J47,"")</f>
        <v/>
      </c>
    </row>
    <row r="48">
      <c r="A48" s="4" t="inlineStr">
        <is>
          <t>10-2027</t>
        </is>
      </c>
      <c r="B48" s="33">
        <f>IFERROR(VLOOKUP(A48,Originaciones!$A:$B,2,0),"")</f>
        <v/>
      </c>
      <c r="C48" s="34">
        <f>IFERROR(COUNTIF(Export!$E:$E,A48),0)</f>
        <v/>
      </c>
      <c r="D48" s="35">
        <f>IFERROR(COUNTIFS(Export!$E:$E,A48,Export!$H:$H,"Efectivo"),0)</f>
        <v/>
      </c>
      <c r="E48" s="36">
        <f>IFERROR(COUNTIFS(Export!$E:$E,A48,Export!$H:$H,"Pendiente"),0)</f>
        <v/>
      </c>
      <c r="F48" s="37">
        <f>IFERROR(D48/C48,"")</f>
        <v/>
      </c>
      <c r="G48" s="38">
        <f>IFERROR(C48/B48,"")</f>
        <v/>
      </c>
      <c r="H48" s="38">
        <f>IFERROR(D48/B48,"")</f>
        <v/>
      </c>
      <c r="I48" s="39">
        <f>IFERROR(COUNTIFS(Export!$E:$E,A48,Export!$H:$H,"Cancelado"),0)</f>
        <v/>
      </c>
      <c r="J48">
        <f>IFERROR(VLOOKUP(A48,'Flota Activa'!$A:$B,2,0),"")</f>
        <v/>
      </c>
      <c r="K48" s="68">
        <f>IFERROR(C48/J48,"")</f>
        <v/>
      </c>
      <c r="L48" s="68">
        <f>IFERROR(D48/J48,"")</f>
        <v/>
      </c>
    </row>
    <row r="49">
      <c r="A49" s="4" t="inlineStr">
        <is>
          <t>11-2027</t>
        </is>
      </c>
      <c r="B49" s="33">
        <f>IFERROR(VLOOKUP(A49,Originaciones!$A:$B,2,0),"")</f>
        <v/>
      </c>
      <c r="C49" s="34">
        <f>IFERROR(COUNTIF(Export!$E:$E,A49),0)</f>
        <v/>
      </c>
      <c r="D49" s="35">
        <f>IFERROR(COUNTIFS(Export!$E:$E,A49,Export!$H:$H,"Efectivo"),0)</f>
        <v/>
      </c>
      <c r="E49" s="36">
        <f>IFERROR(COUNTIFS(Export!$E:$E,A49,Export!$H:$H,"Pendiente"),0)</f>
        <v/>
      </c>
      <c r="F49" s="37">
        <f>IFERROR(D49/C49,"")</f>
        <v/>
      </c>
      <c r="G49" s="38">
        <f>IFERROR(C49/B49,"")</f>
        <v/>
      </c>
      <c r="H49" s="38">
        <f>IFERROR(D49/B49,"")</f>
        <v/>
      </c>
      <c r="I49" s="39">
        <f>IFERROR(COUNTIFS(Export!$E:$E,A49,Export!$H:$H,"Cancelado"),0)</f>
        <v/>
      </c>
      <c r="J49">
        <f>IFERROR(VLOOKUP(A49,'Flota Activa'!$A:$B,2,0),"")</f>
        <v/>
      </c>
      <c r="K49" s="68">
        <f>IFERROR(C49/J49,"")</f>
        <v/>
      </c>
      <c r="L49" s="68">
        <f>IFERROR(D49/J49,"")</f>
        <v/>
      </c>
    </row>
    <row r="50">
      <c r="A50" s="4" t="inlineStr">
        <is>
          <t>12-2027</t>
        </is>
      </c>
      <c r="B50" s="33">
        <f>IFERROR(VLOOKUP(A50,Originaciones!$A:$B,2,0),"")</f>
        <v/>
      </c>
      <c r="C50" s="34">
        <f>IFERROR(COUNTIF(Export!$E:$E,A50),0)</f>
        <v/>
      </c>
      <c r="D50" s="35">
        <f>IFERROR(COUNTIFS(Export!$E:$E,A50,Export!$H:$H,"Efectivo"),0)</f>
        <v/>
      </c>
      <c r="E50" s="36">
        <f>IFERROR(COUNTIFS(Export!$E:$E,A50,Export!$H:$H,"Pendiente"),0)</f>
        <v/>
      </c>
      <c r="F50" s="37">
        <f>IFERROR(D50/C50,"")</f>
        <v/>
      </c>
      <c r="G50" s="38">
        <f>IFERROR(C50/B50,"")</f>
        <v/>
      </c>
      <c r="H50" s="38">
        <f>IFERROR(D50/B50,"")</f>
        <v/>
      </c>
      <c r="I50" s="39">
        <f>IFERROR(COUNTIFS(Export!$E:$E,A50,Export!$H:$H,"Cancelado"),0)</f>
        <v/>
      </c>
      <c r="J50">
        <f>IFERROR(VLOOKUP(A50,'Flota Activa'!$A:$B,2,0),"")</f>
        <v/>
      </c>
      <c r="K50" s="68">
        <f>IFERROR(C50/J50,"")</f>
        <v/>
      </c>
      <c r="L50" s="68">
        <f>IFERROR(D50/J50,"")</f>
        <v/>
      </c>
    </row>
    <row r="51">
      <c r="A51" s="40" t="inlineStr">
        <is>
          <t>TOTAL</t>
        </is>
      </c>
      <c r="B51" s="40">
        <f>SUM(B3:B50)</f>
        <v/>
      </c>
      <c r="C51" s="40">
        <f>SUM(C3:C50)</f>
        <v/>
      </c>
      <c r="D51" s="40">
        <f>SUM(D3:D50)</f>
        <v/>
      </c>
      <c r="E51" s="40">
        <f>SUM(E3:E50)</f>
        <v/>
      </c>
      <c r="F51" s="41">
        <f>IFERROR(D51/C51,"")</f>
        <v/>
      </c>
      <c r="G51" s="41">
        <f>IFERROR(C51/B51,"")</f>
        <v/>
      </c>
      <c r="H51" s="41">
        <f>IFERROR(D51/B51,"")</f>
        <v/>
      </c>
      <c r="I51" s="40">
        <f>SUM(I3:I50)</f>
        <v/>
      </c>
      <c r="J51">
        <f>IFERROR(VLOOKUP(A51,'Flota Activa'!$A:$B,2,0),"")</f>
        <v/>
      </c>
      <c r="K51" s="68">
        <f>IFERROR(C51/J51,"")</f>
        <v/>
      </c>
      <c r="L51" s="68">
        <f>IFERROR(D51/J51,"")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74C3C"/>
    <outlinePr summaryBelow="1" summaryRight="1"/>
    <pageSetUpPr/>
  </sheetPr>
  <dimension ref="A1:AQ5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:AP1"/>
    </sheetView>
  </sheetViews>
  <sheetFormatPr baseColWidth="10" defaultColWidth="8.7265625" defaultRowHeight="14.5"/>
  <cols>
    <col width="12" customWidth="1" style="65" min="1" max="1"/>
    <col width="9" customWidth="1" style="65" min="2" max="3"/>
    <col width="7" customWidth="1" style="65" min="4" max="40"/>
  </cols>
  <sheetData>
    <row r="1" ht="22" customHeight="1" s="65">
      <c r="A1" s="64" t="inlineStr">
        <is>
          <t xml:space="preserve">  HEATMAP — % acumulado recuperado por cohorte × mes transcurrido (M+0 a M+36)</t>
        </is>
      </c>
    </row>
    <row r="2" ht="24" customHeight="1" s="65">
      <c r="A2" s="1" t="inlineStr">
        <is>
          <t>Cosecha</t>
        </is>
      </c>
      <c r="B2" s="1" t="inlineStr">
        <is>
          <t>N Sent</t>
        </is>
      </c>
      <c r="C2" s="1" t="inlineStr">
        <is>
          <t>N Orig</t>
        </is>
      </c>
      <c r="D2" s="67" t="inlineStr">
        <is>
          <t>N Activa</t>
        </is>
      </c>
      <c r="E2" s="42" t="inlineStr">
        <is>
          <t>M+0</t>
        </is>
      </c>
      <c r="F2" s="42" t="inlineStr">
        <is>
          <t>M+1</t>
        </is>
      </c>
      <c r="G2" s="42" t="inlineStr">
        <is>
          <t>M+2</t>
        </is>
      </c>
      <c r="H2" s="42" t="inlineStr">
        <is>
          <t>M+3</t>
        </is>
      </c>
      <c r="I2" s="42" t="inlineStr">
        <is>
          <t>M+4</t>
        </is>
      </c>
      <c r="J2" s="42" t="inlineStr">
        <is>
          <t>M+5</t>
        </is>
      </c>
      <c r="K2" s="42" t="inlineStr">
        <is>
          <t>M+6</t>
        </is>
      </c>
      <c r="L2" s="42" t="inlineStr">
        <is>
          <t>M+7</t>
        </is>
      </c>
      <c r="M2" s="42" t="inlineStr">
        <is>
          <t>M+8</t>
        </is>
      </c>
      <c r="N2" s="42" t="inlineStr">
        <is>
          <t>M+9</t>
        </is>
      </c>
      <c r="O2" s="42" t="inlineStr">
        <is>
          <t>M+10</t>
        </is>
      </c>
      <c r="P2" s="42" t="inlineStr">
        <is>
          <t>M+11</t>
        </is>
      </c>
      <c r="Q2" s="42" t="inlineStr">
        <is>
          <t>M+12</t>
        </is>
      </c>
      <c r="R2" s="42" t="inlineStr">
        <is>
          <t>M+13</t>
        </is>
      </c>
      <c r="S2" s="42" t="inlineStr">
        <is>
          <t>M+14</t>
        </is>
      </c>
      <c r="T2" s="42" t="inlineStr">
        <is>
          <t>M+15</t>
        </is>
      </c>
      <c r="U2" s="42" t="inlineStr">
        <is>
          <t>M+16</t>
        </is>
      </c>
      <c r="V2" s="42" t="inlineStr">
        <is>
          <t>M+17</t>
        </is>
      </c>
      <c r="W2" s="42" t="inlineStr">
        <is>
          <t>M+18</t>
        </is>
      </c>
      <c r="X2" s="42" t="inlineStr">
        <is>
          <t>M+19</t>
        </is>
      </c>
      <c r="Y2" s="42" t="inlineStr">
        <is>
          <t>M+20</t>
        </is>
      </c>
      <c r="Z2" s="42" t="inlineStr">
        <is>
          <t>M+21</t>
        </is>
      </c>
      <c r="AA2" s="42" t="inlineStr">
        <is>
          <t>M+22</t>
        </is>
      </c>
      <c r="AB2" s="42" t="inlineStr">
        <is>
          <t>M+23</t>
        </is>
      </c>
      <c r="AC2" s="42" t="inlineStr">
        <is>
          <t>M+24</t>
        </is>
      </c>
      <c r="AD2" s="42" t="inlineStr">
        <is>
          <t>M+25</t>
        </is>
      </c>
      <c r="AE2" s="42" t="inlineStr">
        <is>
          <t>M+26</t>
        </is>
      </c>
      <c r="AF2" s="42" t="inlineStr">
        <is>
          <t>M+27</t>
        </is>
      </c>
      <c r="AG2" s="42" t="inlineStr">
        <is>
          <t>M+28</t>
        </is>
      </c>
      <c r="AH2" s="42" t="inlineStr">
        <is>
          <t>M+29</t>
        </is>
      </c>
      <c r="AI2" s="42" t="inlineStr">
        <is>
          <t>M+30</t>
        </is>
      </c>
      <c r="AJ2" s="42" t="inlineStr">
        <is>
          <t>M+31</t>
        </is>
      </c>
      <c r="AK2" s="42" t="inlineStr">
        <is>
          <t>M+32</t>
        </is>
      </c>
      <c r="AL2" s="42" t="inlineStr">
        <is>
          <t>M+33</t>
        </is>
      </c>
      <c r="AM2" s="42" t="inlineStr">
        <is>
          <t>M+34</t>
        </is>
      </c>
      <c r="AN2" s="42" t="inlineStr">
        <is>
          <t>M+35</t>
        </is>
      </c>
      <c r="AO2" s="42" t="inlineStr">
        <is>
          <t>M+36</t>
        </is>
      </c>
    </row>
    <row r="3">
      <c r="A3" s="43" t="inlineStr">
        <is>
          <t>01-2024</t>
        </is>
      </c>
      <c r="B3" s="44">
        <f>IFERROR(COUNTIF(Export!$E:$E,A3),0)</f>
        <v/>
      </c>
      <c r="C3" s="45">
        <f>IFERROR(VLOOKUP(A3,Originaciones!$A:$B,2,0),"")</f>
        <v/>
      </c>
      <c r="D3">
        <f>IFERROR(VLOOKUP(A3,'Flota Activa'!$A:$B,2,0),"")</f>
        <v/>
      </c>
      <c r="E3" s="46">
        <f>IF(B3=0,"",IFERROR(COUNTIFS(Export!$E:$E,A3,Export!$H:$H,"Efectivo",Export!$M:$M,"&lt;="&amp;0)/B3*100,0))</f>
        <v/>
      </c>
      <c r="F3" s="46">
        <f>IF(B3=0,"",IFERROR(COUNTIFS(Export!$E:$E,A3,Export!$H:$H,"Efectivo",Export!$M:$M,"&lt;="&amp;1)/B3*100,0))</f>
        <v/>
      </c>
      <c r="G3" s="46">
        <f>IF(B3=0,"",IFERROR(COUNTIFS(Export!$E:$E,A3,Export!$H:$H,"Efectivo",Export!$M:$M,"&lt;="&amp;2)/B3*100,0))</f>
        <v/>
      </c>
      <c r="H3" s="46">
        <f>IF(B3=0,"",IFERROR(COUNTIFS(Export!$E:$E,A3,Export!$H:$H,"Efectivo",Export!$M:$M,"&lt;="&amp;3)/B3*100,0))</f>
        <v/>
      </c>
      <c r="I3" s="46">
        <f>IF(B3=0,"",IFERROR(COUNTIFS(Export!$E:$E,A3,Export!$H:$H,"Efectivo",Export!$M:$M,"&lt;="&amp;4)/B3*100,0))</f>
        <v/>
      </c>
      <c r="J3" s="46">
        <f>IF(B3=0,"",IFERROR(COUNTIFS(Export!$E:$E,A3,Export!$H:$H,"Efectivo",Export!$M:$M,"&lt;="&amp;5)/B3*100,0))</f>
        <v/>
      </c>
      <c r="K3" s="46">
        <f>IF(B3=0,"",IFERROR(COUNTIFS(Export!$E:$E,A3,Export!$H:$H,"Efectivo",Export!$M:$M,"&lt;="&amp;6)/B3*100,0))</f>
        <v/>
      </c>
      <c r="L3" s="46">
        <f>IF(B3=0,"",IFERROR(COUNTIFS(Export!$E:$E,A3,Export!$H:$H,"Efectivo",Export!$M:$M,"&lt;="&amp;7)/B3*100,0))</f>
        <v/>
      </c>
      <c r="M3" s="46">
        <f>IF(B3=0,"",IFERROR(COUNTIFS(Export!$E:$E,A3,Export!$H:$H,"Efectivo",Export!$M:$M,"&lt;="&amp;8)/B3*100,0))</f>
        <v/>
      </c>
      <c r="N3" s="46">
        <f>IF(B3=0,"",IFERROR(COUNTIFS(Export!$E:$E,A3,Export!$H:$H,"Efectivo",Export!$M:$M,"&lt;="&amp;9)/B3*100,0))</f>
        <v/>
      </c>
      <c r="O3" s="46">
        <f>IF(B3=0,"",IFERROR(COUNTIFS(Export!$E:$E,A3,Export!$H:$H,"Efectivo",Export!$M:$M,"&lt;="&amp;10)/B3*100,0))</f>
        <v/>
      </c>
      <c r="P3" s="46">
        <f>IF(B3=0,"",IFERROR(COUNTIFS(Export!$E:$E,A3,Export!$H:$H,"Efectivo",Export!$M:$M,"&lt;="&amp;11)/B3*100,0))</f>
        <v/>
      </c>
      <c r="Q3" s="46">
        <f>IF(B3=0,"",IFERROR(COUNTIFS(Export!$E:$E,A3,Export!$H:$H,"Efectivo",Export!$M:$M,"&lt;="&amp;12)/B3*100,0))</f>
        <v/>
      </c>
      <c r="R3" s="46">
        <f>IF(B3=0,"",IFERROR(COUNTIFS(Export!$E:$E,A3,Export!$H:$H,"Efectivo",Export!$M:$M,"&lt;="&amp;13)/B3*100,0))</f>
        <v/>
      </c>
      <c r="S3" s="46">
        <f>IF(B3=0,"",IFERROR(COUNTIFS(Export!$E:$E,A3,Export!$H:$H,"Efectivo",Export!$M:$M,"&lt;="&amp;14)/B3*100,0))</f>
        <v/>
      </c>
      <c r="T3" s="46">
        <f>IF(B3=0,"",IFERROR(COUNTIFS(Export!$E:$E,A3,Export!$H:$H,"Efectivo",Export!$M:$M,"&lt;="&amp;15)/B3*100,0))</f>
        <v/>
      </c>
      <c r="U3" s="46">
        <f>IF(B3=0,"",IFERROR(COUNTIFS(Export!$E:$E,A3,Export!$H:$H,"Efectivo",Export!$M:$M,"&lt;="&amp;16)/B3*100,0))</f>
        <v/>
      </c>
      <c r="V3" s="46">
        <f>IF(B3=0,"",IFERROR(COUNTIFS(Export!$E:$E,A3,Export!$H:$H,"Efectivo",Export!$M:$M,"&lt;="&amp;17)/B3*100,0))</f>
        <v/>
      </c>
      <c r="W3" s="46">
        <f>IF(B3=0,"",IFERROR(COUNTIFS(Export!$E:$E,A3,Export!$H:$H,"Efectivo",Export!$M:$M,"&lt;="&amp;18)/B3*100,0))</f>
        <v/>
      </c>
      <c r="X3" s="46">
        <f>IF(B3=0,"",IFERROR(COUNTIFS(Export!$E:$E,A3,Export!$H:$H,"Efectivo",Export!$M:$M,"&lt;="&amp;19)/B3*100,0))</f>
        <v/>
      </c>
      <c r="Y3" s="46">
        <f>IF(B3=0,"",IFERROR(COUNTIFS(Export!$E:$E,A3,Export!$H:$H,"Efectivo",Export!$M:$M,"&lt;="&amp;20)/B3*100,0))</f>
        <v/>
      </c>
      <c r="Z3" s="46">
        <f>IF(B3=0,"",IFERROR(COUNTIFS(Export!$E:$E,A3,Export!$H:$H,"Efectivo",Export!$M:$M,"&lt;="&amp;21)/B3*100,0))</f>
        <v/>
      </c>
      <c r="AA3" s="46">
        <f>IF(B3=0,"",IFERROR(COUNTIFS(Export!$E:$E,A3,Export!$H:$H,"Efectivo",Export!$M:$M,"&lt;="&amp;22)/B3*100,0))</f>
        <v/>
      </c>
      <c r="AB3" s="46">
        <f>IF(B3=0,"",IFERROR(COUNTIFS(Export!$E:$E,A3,Export!$H:$H,"Efectivo",Export!$M:$M,"&lt;="&amp;23)/B3*100,0))</f>
        <v/>
      </c>
      <c r="AC3" s="46">
        <f>IF(B3=0,"",IFERROR(COUNTIFS(Export!$E:$E,A3,Export!$H:$H,"Efectivo",Export!$M:$M,"&lt;="&amp;24)/B3*100,0))</f>
        <v/>
      </c>
      <c r="AD3" s="46">
        <f>IF(B3=0,"",IFERROR(COUNTIFS(Export!$E:$E,A3,Export!$H:$H,"Efectivo",Export!$M:$M,"&lt;="&amp;25)/B3*100,0))</f>
        <v/>
      </c>
      <c r="AE3" s="46">
        <f>IF(B3=0,"",IFERROR(COUNTIFS(Export!$E:$E,A3,Export!$H:$H,"Efectivo",Export!$M:$M,"&lt;="&amp;26)/B3*100,0))</f>
        <v/>
      </c>
      <c r="AF3" s="46">
        <f>IF(B3=0,"",IFERROR(COUNTIFS(Export!$E:$E,A3,Export!$H:$H,"Efectivo",Export!$M:$M,"&lt;="&amp;27)/B3*100,0))</f>
        <v/>
      </c>
      <c r="AG3" s="46">
        <f>IF(B3=0,"",IFERROR(COUNTIFS(Export!$E:$E,A3,Export!$H:$H,"Efectivo",Export!$M:$M,"&lt;="&amp;28)/B3*100,0))</f>
        <v/>
      </c>
      <c r="AH3" s="46">
        <f>IF(B3=0,"",IFERROR(COUNTIFS(Export!$E:$E,A3,Export!$H:$H,"Efectivo",Export!$M:$M,"&lt;="&amp;29)/B3*100,0))</f>
        <v/>
      </c>
      <c r="AI3" s="46">
        <f>IF(B3=0,"",IFERROR(COUNTIFS(Export!$E:$E,A3,Export!$H:$H,"Efectivo",Export!$M:$M,"&lt;="&amp;30)/B3*100,0))</f>
        <v/>
      </c>
      <c r="AJ3" s="46">
        <f>IF(B3=0,"",IFERROR(COUNTIFS(Export!$E:$E,A3,Export!$H:$H,"Efectivo",Export!$M:$M,"&lt;="&amp;31)/B3*100,0))</f>
        <v/>
      </c>
      <c r="AK3" s="46">
        <f>IF(B3=0,"",IFERROR(COUNTIFS(Export!$E:$E,A3,Export!$H:$H,"Efectivo",Export!$M:$M,"&lt;="&amp;32)/B3*100,0))</f>
        <v/>
      </c>
      <c r="AL3" s="46">
        <f>IF(B3=0,"",IFERROR(COUNTIFS(Export!$E:$E,A3,Export!$H:$H,"Efectivo",Export!$M:$M,"&lt;="&amp;33)/B3*100,0))</f>
        <v/>
      </c>
      <c r="AM3" s="46">
        <f>IF(B3=0,"",IFERROR(COUNTIFS(Export!$E:$E,A3,Export!$H:$H,"Efectivo",Export!$M:$M,"&lt;="&amp;34)/B3*100,0))</f>
        <v/>
      </c>
      <c r="AN3" s="46">
        <f>IF(B3=0,"",IFERROR(COUNTIFS(Export!$E:$E,A3,Export!$H:$H,"Efectivo",Export!$M:$M,"&lt;="&amp;35)/B3*100,0))</f>
        <v/>
      </c>
      <c r="AO3" s="46">
        <f>IF(B3=0,"",IFERROR(COUNTIFS(Export!$E:$E,A3,Export!$H:$H,"Efectivo",Export!$M:$M,"&lt;="&amp;36)/B3*100,0))</f>
        <v/>
      </c>
    </row>
    <row r="4">
      <c r="A4" s="43" t="inlineStr">
        <is>
          <t>02-2024</t>
        </is>
      </c>
      <c r="B4" s="44">
        <f>IFERROR(COUNTIF(Export!$E:$E,A4),0)</f>
        <v/>
      </c>
      <c r="C4" s="45">
        <f>IFERROR(VLOOKUP(A4,Originaciones!$A:$B,2,0),"")</f>
        <v/>
      </c>
      <c r="D4">
        <f>IFERROR(VLOOKUP(A4,'Flota Activa'!$A:$B,2,0),"")</f>
        <v/>
      </c>
      <c r="E4" s="46">
        <f>IF(B4=0,"",IFERROR(COUNTIFS(Export!$E:$E,A4,Export!$H:$H,"Efectivo",Export!$M:$M,"&lt;="&amp;0)/B4*100,0))</f>
        <v/>
      </c>
      <c r="F4" s="46">
        <f>IF(B4=0,"",IFERROR(COUNTIFS(Export!$E:$E,A4,Export!$H:$H,"Efectivo",Export!$M:$M,"&lt;="&amp;1)/B4*100,0))</f>
        <v/>
      </c>
      <c r="G4" s="46">
        <f>IF(B4=0,"",IFERROR(COUNTIFS(Export!$E:$E,A4,Export!$H:$H,"Efectivo",Export!$M:$M,"&lt;="&amp;2)/B4*100,0))</f>
        <v/>
      </c>
      <c r="H4" s="46">
        <f>IF(B4=0,"",IFERROR(COUNTIFS(Export!$E:$E,A4,Export!$H:$H,"Efectivo",Export!$M:$M,"&lt;="&amp;3)/B4*100,0))</f>
        <v/>
      </c>
      <c r="I4" s="46">
        <f>IF(B4=0,"",IFERROR(COUNTIFS(Export!$E:$E,A4,Export!$H:$H,"Efectivo",Export!$M:$M,"&lt;="&amp;4)/B4*100,0))</f>
        <v/>
      </c>
      <c r="J4" s="46">
        <f>IF(B4=0,"",IFERROR(COUNTIFS(Export!$E:$E,A4,Export!$H:$H,"Efectivo",Export!$M:$M,"&lt;="&amp;5)/B4*100,0))</f>
        <v/>
      </c>
      <c r="K4" s="46">
        <f>IF(B4=0,"",IFERROR(COUNTIFS(Export!$E:$E,A4,Export!$H:$H,"Efectivo",Export!$M:$M,"&lt;="&amp;6)/B4*100,0))</f>
        <v/>
      </c>
      <c r="L4" s="46">
        <f>IF(B4=0,"",IFERROR(COUNTIFS(Export!$E:$E,A4,Export!$H:$H,"Efectivo",Export!$M:$M,"&lt;="&amp;7)/B4*100,0))</f>
        <v/>
      </c>
      <c r="M4" s="46">
        <f>IF(B4=0,"",IFERROR(COUNTIFS(Export!$E:$E,A4,Export!$H:$H,"Efectivo",Export!$M:$M,"&lt;="&amp;8)/B4*100,0))</f>
        <v/>
      </c>
      <c r="N4" s="46">
        <f>IF(B4=0,"",IFERROR(COUNTIFS(Export!$E:$E,A4,Export!$H:$H,"Efectivo",Export!$M:$M,"&lt;="&amp;9)/B4*100,0))</f>
        <v/>
      </c>
      <c r="O4" s="46">
        <f>IF(B4=0,"",IFERROR(COUNTIFS(Export!$E:$E,A4,Export!$H:$H,"Efectivo",Export!$M:$M,"&lt;="&amp;10)/B4*100,0))</f>
        <v/>
      </c>
      <c r="P4" s="46">
        <f>IF(B4=0,"",IFERROR(COUNTIFS(Export!$E:$E,A4,Export!$H:$H,"Efectivo",Export!$M:$M,"&lt;="&amp;11)/B4*100,0))</f>
        <v/>
      </c>
      <c r="Q4" s="46">
        <f>IF(B4=0,"",IFERROR(COUNTIFS(Export!$E:$E,A4,Export!$H:$H,"Efectivo",Export!$M:$M,"&lt;="&amp;12)/B4*100,0))</f>
        <v/>
      </c>
      <c r="R4" s="46">
        <f>IF(B4=0,"",IFERROR(COUNTIFS(Export!$E:$E,A4,Export!$H:$H,"Efectivo",Export!$M:$M,"&lt;="&amp;13)/B4*100,0))</f>
        <v/>
      </c>
      <c r="S4" s="46">
        <f>IF(B4=0,"",IFERROR(COUNTIFS(Export!$E:$E,A4,Export!$H:$H,"Efectivo",Export!$M:$M,"&lt;="&amp;14)/B4*100,0))</f>
        <v/>
      </c>
      <c r="T4" s="46">
        <f>IF(B4=0,"",IFERROR(COUNTIFS(Export!$E:$E,A4,Export!$H:$H,"Efectivo",Export!$M:$M,"&lt;="&amp;15)/B4*100,0))</f>
        <v/>
      </c>
      <c r="U4" s="46">
        <f>IF(B4=0,"",IFERROR(COUNTIFS(Export!$E:$E,A4,Export!$H:$H,"Efectivo",Export!$M:$M,"&lt;="&amp;16)/B4*100,0))</f>
        <v/>
      </c>
      <c r="V4" s="46">
        <f>IF(B4=0,"",IFERROR(COUNTIFS(Export!$E:$E,A4,Export!$H:$H,"Efectivo",Export!$M:$M,"&lt;="&amp;17)/B4*100,0))</f>
        <v/>
      </c>
      <c r="W4" s="46">
        <f>IF(B4=0,"",IFERROR(COUNTIFS(Export!$E:$E,A4,Export!$H:$H,"Efectivo",Export!$M:$M,"&lt;="&amp;18)/B4*100,0))</f>
        <v/>
      </c>
      <c r="X4" s="46">
        <f>IF(B4=0,"",IFERROR(COUNTIFS(Export!$E:$E,A4,Export!$H:$H,"Efectivo",Export!$M:$M,"&lt;="&amp;19)/B4*100,0))</f>
        <v/>
      </c>
      <c r="Y4" s="46">
        <f>IF(B4=0,"",IFERROR(COUNTIFS(Export!$E:$E,A4,Export!$H:$H,"Efectivo",Export!$M:$M,"&lt;="&amp;20)/B4*100,0))</f>
        <v/>
      </c>
      <c r="Z4" s="46">
        <f>IF(B4=0,"",IFERROR(COUNTIFS(Export!$E:$E,A4,Export!$H:$H,"Efectivo",Export!$M:$M,"&lt;="&amp;21)/B4*100,0))</f>
        <v/>
      </c>
      <c r="AA4" s="46">
        <f>IF(B4=0,"",IFERROR(COUNTIFS(Export!$E:$E,A4,Export!$H:$H,"Efectivo",Export!$M:$M,"&lt;="&amp;22)/B4*100,0))</f>
        <v/>
      </c>
      <c r="AB4" s="46">
        <f>IF(B4=0,"",IFERROR(COUNTIFS(Export!$E:$E,A4,Export!$H:$H,"Efectivo",Export!$M:$M,"&lt;="&amp;23)/B4*100,0))</f>
        <v/>
      </c>
      <c r="AC4" s="46">
        <f>IF(B4=0,"",IFERROR(COUNTIFS(Export!$E:$E,A4,Export!$H:$H,"Efectivo",Export!$M:$M,"&lt;="&amp;24)/B4*100,0))</f>
        <v/>
      </c>
      <c r="AD4" s="46">
        <f>IF(B4=0,"",IFERROR(COUNTIFS(Export!$E:$E,A4,Export!$H:$H,"Efectivo",Export!$M:$M,"&lt;="&amp;25)/B4*100,0))</f>
        <v/>
      </c>
      <c r="AE4" s="46">
        <f>IF(B4=0,"",IFERROR(COUNTIFS(Export!$E:$E,A4,Export!$H:$H,"Efectivo",Export!$M:$M,"&lt;="&amp;26)/B4*100,0))</f>
        <v/>
      </c>
      <c r="AF4" s="46">
        <f>IF(B4=0,"",IFERROR(COUNTIFS(Export!$E:$E,A4,Export!$H:$H,"Efectivo",Export!$M:$M,"&lt;="&amp;27)/B4*100,0))</f>
        <v/>
      </c>
      <c r="AG4" s="46">
        <f>IF(B4=0,"",IFERROR(COUNTIFS(Export!$E:$E,A4,Export!$H:$H,"Efectivo",Export!$M:$M,"&lt;="&amp;28)/B4*100,0))</f>
        <v/>
      </c>
      <c r="AH4" s="46">
        <f>IF(B4=0,"",IFERROR(COUNTIFS(Export!$E:$E,A4,Export!$H:$H,"Efectivo",Export!$M:$M,"&lt;="&amp;29)/B4*100,0))</f>
        <v/>
      </c>
      <c r="AI4" s="46">
        <f>IF(B4=0,"",IFERROR(COUNTIFS(Export!$E:$E,A4,Export!$H:$H,"Efectivo",Export!$M:$M,"&lt;="&amp;30)/B4*100,0))</f>
        <v/>
      </c>
      <c r="AJ4" s="46">
        <f>IF(B4=0,"",IFERROR(COUNTIFS(Export!$E:$E,A4,Export!$H:$H,"Efectivo",Export!$M:$M,"&lt;="&amp;31)/B4*100,0))</f>
        <v/>
      </c>
      <c r="AK4" s="46">
        <f>IF(B4=0,"",IFERROR(COUNTIFS(Export!$E:$E,A4,Export!$H:$H,"Efectivo",Export!$M:$M,"&lt;="&amp;32)/B4*100,0))</f>
        <v/>
      </c>
      <c r="AL4" s="46">
        <f>IF(B4=0,"",IFERROR(COUNTIFS(Export!$E:$E,A4,Export!$H:$H,"Efectivo",Export!$M:$M,"&lt;="&amp;33)/B4*100,0))</f>
        <v/>
      </c>
      <c r="AM4" s="46">
        <f>IF(B4=0,"",IFERROR(COUNTIFS(Export!$E:$E,A4,Export!$H:$H,"Efectivo",Export!$M:$M,"&lt;="&amp;34)/B4*100,0))</f>
        <v/>
      </c>
      <c r="AN4" s="46">
        <f>IF(B4=0,"",IFERROR(COUNTIFS(Export!$E:$E,A4,Export!$H:$H,"Efectivo",Export!$M:$M,"&lt;="&amp;35)/B4*100,0))</f>
        <v/>
      </c>
      <c r="AO4" s="46">
        <f>IF(B4=0,"",IFERROR(COUNTIFS(Export!$E:$E,A4,Export!$H:$H,"Efectivo",Export!$M:$M,"&lt;="&amp;36)/B4*100,0))</f>
        <v/>
      </c>
    </row>
    <row r="5">
      <c r="A5" s="43" t="inlineStr">
        <is>
          <t>03-2024</t>
        </is>
      </c>
      <c r="B5" s="44">
        <f>IFERROR(COUNTIF(Export!$E:$E,A5),0)</f>
        <v/>
      </c>
      <c r="C5" s="45">
        <f>IFERROR(VLOOKUP(A5,Originaciones!$A:$B,2,0),"")</f>
        <v/>
      </c>
      <c r="D5">
        <f>IFERROR(VLOOKUP(A5,'Flota Activa'!$A:$B,2,0),"")</f>
        <v/>
      </c>
      <c r="E5" s="46">
        <f>IF(B5=0,"",IFERROR(COUNTIFS(Export!$E:$E,A5,Export!$H:$H,"Efectivo",Export!$M:$M,"&lt;="&amp;0)/B5*100,0))</f>
        <v/>
      </c>
      <c r="F5" s="46">
        <f>IF(B5=0,"",IFERROR(COUNTIFS(Export!$E:$E,A5,Export!$H:$H,"Efectivo",Export!$M:$M,"&lt;="&amp;1)/B5*100,0))</f>
        <v/>
      </c>
      <c r="G5" s="46">
        <f>IF(B5=0,"",IFERROR(COUNTIFS(Export!$E:$E,A5,Export!$H:$H,"Efectivo",Export!$M:$M,"&lt;="&amp;2)/B5*100,0))</f>
        <v/>
      </c>
      <c r="H5" s="46">
        <f>IF(B5=0,"",IFERROR(COUNTIFS(Export!$E:$E,A5,Export!$H:$H,"Efectivo",Export!$M:$M,"&lt;="&amp;3)/B5*100,0))</f>
        <v/>
      </c>
      <c r="I5" s="46">
        <f>IF(B5=0,"",IFERROR(COUNTIFS(Export!$E:$E,A5,Export!$H:$H,"Efectivo",Export!$M:$M,"&lt;="&amp;4)/B5*100,0))</f>
        <v/>
      </c>
      <c r="J5" s="46">
        <f>IF(B5=0,"",IFERROR(COUNTIFS(Export!$E:$E,A5,Export!$H:$H,"Efectivo",Export!$M:$M,"&lt;="&amp;5)/B5*100,0))</f>
        <v/>
      </c>
      <c r="K5" s="46">
        <f>IF(B5=0,"",IFERROR(COUNTIFS(Export!$E:$E,A5,Export!$H:$H,"Efectivo",Export!$M:$M,"&lt;="&amp;6)/B5*100,0))</f>
        <v/>
      </c>
      <c r="L5" s="46">
        <f>IF(B5=0,"",IFERROR(COUNTIFS(Export!$E:$E,A5,Export!$H:$H,"Efectivo",Export!$M:$M,"&lt;="&amp;7)/B5*100,0))</f>
        <v/>
      </c>
      <c r="M5" s="46">
        <f>IF(B5=0,"",IFERROR(COUNTIFS(Export!$E:$E,A5,Export!$H:$H,"Efectivo",Export!$M:$M,"&lt;="&amp;8)/B5*100,0))</f>
        <v/>
      </c>
      <c r="N5" s="46">
        <f>IF(B5=0,"",IFERROR(COUNTIFS(Export!$E:$E,A5,Export!$H:$H,"Efectivo",Export!$M:$M,"&lt;="&amp;9)/B5*100,0))</f>
        <v/>
      </c>
      <c r="O5" s="46">
        <f>IF(B5=0,"",IFERROR(COUNTIFS(Export!$E:$E,A5,Export!$H:$H,"Efectivo",Export!$M:$M,"&lt;="&amp;10)/B5*100,0))</f>
        <v/>
      </c>
      <c r="P5" s="46">
        <f>IF(B5=0,"",IFERROR(COUNTIFS(Export!$E:$E,A5,Export!$H:$H,"Efectivo",Export!$M:$M,"&lt;="&amp;11)/B5*100,0))</f>
        <v/>
      </c>
      <c r="Q5" s="46">
        <f>IF(B5=0,"",IFERROR(COUNTIFS(Export!$E:$E,A5,Export!$H:$H,"Efectivo",Export!$M:$M,"&lt;="&amp;12)/B5*100,0))</f>
        <v/>
      </c>
      <c r="R5" s="46">
        <f>IF(B5=0,"",IFERROR(COUNTIFS(Export!$E:$E,A5,Export!$H:$H,"Efectivo",Export!$M:$M,"&lt;="&amp;13)/B5*100,0))</f>
        <v/>
      </c>
      <c r="S5" s="46">
        <f>IF(B5=0,"",IFERROR(COUNTIFS(Export!$E:$E,A5,Export!$H:$H,"Efectivo",Export!$M:$M,"&lt;="&amp;14)/B5*100,0))</f>
        <v/>
      </c>
      <c r="T5" s="46">
        <f>IF(B5=0,"",IFERROR(COUNTIFS(Export!$E:$E,A5,Export!$H:$H,"Efectivo",Export!$M:$M,"&lt;="&amp;15)/B5*100,0))</f>
        <v/>
      </c>
      <c r="U5" s="46">
        <f>IF(B5=0,"",IFERROR(COUNTIFS(Export!$E:$E,A5,Export!$H:$H,"Efectivo",Export!$M:$M,"&lt;="&amp;16)/B5*100,0))</f>
        <v/>
      </c>
      <c r="V5" s="46">
        <f>IF(B5=0,"",IFERROR(COUNTIFS(Export!$E:$E,A5,Export!$H:$H,"Efectivo",Export!$M:$M,"&lt;="&amp;17)/B5*100,0))</f>
        <v/>
      </c>
      <c r="W5" s="46">
        <f>IF(B5=0,"",IFERROR(COUNTIFS(Export!$E:$E,A5,Export!$H:$H,"Efectivo",Export!$M:$M,"&lt;="&amp;18)/B5*100,0))</f>
        <v/>
      </c>
      <c r="X5" s="46">
        <f>IF(B5=0,"",IFERROR(COUNTIFS(Export!$E:$E,A5,Export!$H:$H,"Efectivo",Export!$M:$M,"&lt;="&amp;19)/B5*100,0))</f>
        <v/>
      </c>
      <c r="Y5" s="46">
        <f>IF(B5=0,"",IFERROR(COUNTIFS(Export!$E:$E,A5,Export!$H:$H,"Efectivo",Export!$M:$M,"&lt;="&amp;20)/B5*100,0))</f>
        <v/>
      </c>
      <c r="Z5" s="46">
        <f>IF(B5=0,"",IFERROR(COUNTIFS(Export!$E:$E,A5,Export!$H:$H,"Efectivo",Export!$M:$M,"&lt;="&amp;21)/B5*100,0))</f>
        <v/>
      </c>
      <c r="AA5" s="46">
        <f>IF(B5=0,"",IFERROR(COUNTIFS(Export!$E:$E,A5,Export!$H:$H,"Efectivo",Export!$M:$M,"&lt;="&amp;22)/B5*100,0))</f>
        <v/>
      </c>
      <c r="AB5" s="46">
        <f>IF(B5=0,"",IFERROR(COUNTIFS(Export!$E:$E,A5,Export!$H:$H,"Efectivo",Export!$M:$M,"&lt;="&amp;23)/B5*100,0))</f>
        <v/>
      </c>
      <c r="AC5" s="46">
        <f>IF(B5=0,"",IFERROR(COUNTIFS(Export!$E:$E,A5,Export!$H:$H,"Efectivo",Export!$M:$M,"&lt;="&amp;24)/B5*100,0))</f>
        <v/>
      </c>
      <c r="AD5" s="46">
        <f>IF(B5=0,"",IFERROR(COUNTIFS(Export!$E:$E,A5,Export!$H:$H,"Efectivo",Export!$M:$M,"&lt;="&amp;25)/B5*100,0))</f>
        <v/>
      </c>
      <c r="AE5" s="46">
        <f>IF(B5=0,"",IFERROR(COUNTIFS(Export!$E:$E,A5,Export!$H:$H,"Efectivo",Export!$M:$M,"&lt;="&amp;26)/B5*100,0))</f>
        <v/>
      </c>
      <c r="AF5" s="46">
        <f>IF(B5=0,"",IFERROR(COUNTIFS(Export!$E:$E,A5,Export!$H:$H,"Efectivo",Export!$M:$M,"&lt;="&amp;27)/B5*100,0))</f>
        <v/>
      </c>
      <c r="AG5" s="46">
        <f>IF(B5=0,"",IFERROR(COUNTIFS(Export!$E:$E,A5,Export!$H:$H,"Efectivo",Export!$M:$M,"&lt;="&amp;28)/B5*100,0))</f>
        <v/>
      </c>
      <c r="AH5" s="46">
        <f>IF(B5=0,"",IFERROR(COUNTIFS(Export!$E:$E,A5,Export!$H:$H,"Efectivo",Export!$M:$M,"&lt;="&amp;29)/B5*100,0))</f>
        <v/>
      </c>
      <c r="AI5" s="46">
        <f>IF(B5=0,"",IFERROR(COUNTIFS(Export!$E:$E,A5,Export!$H:$H,"Efectivo",Export!$M:$M,"&lt;="&amp;30)/B5*100,0))</f>
        <v/>
      </c>
      <c r="AJ5" s="46">
        <f>IF(B5=0,"",IFERROR(COUNTIFS(Export!$E:$E,A5,Export!$H:$H,"Efectivo",Export!$M:$M,"&lt;="&amp;31)/B5*100,0))</f>
        <v/>
      </c>
      <c r="AK5" s="46">
        <f>IF(B5=0,"",IFERROR(COUNTIFS(Export!$E:$E,A5,Export!$H:$H,"Efectivo",Export!$M:$M,"&lt;="&amp;32)/B5*100,0))</f>
        <v/>
      </c>
      <c r="AL5" s="46">
        <f>IF(B5=0,"",IFERROR(COUNTIFS(Export!$E:$E,A5,Export!$H:$H,"Efectivo",Export!$M:$M,"&lt;="&amp;33)/B5*100,0))</f>
        <v/>
      </c>
      <c r="AM5" s="46">
        <f>IF(B5=0,"",IFERROR(COUNTIFS(Export!$E:$E,A5,Export!$H:$H,"Efectivo",Export!$M:$M,"&lt;="&amp;34)/B5*100,0))</f>
        <v/>
      </c>
      <c r="AN5" s="46">
        <f>IF(B5=0,"",IFERROR(COUNTIFS(Export!$E:$E,A5,Export!$H:$H,"Efectivo",Export!$M:$M,"&lt;="&amp;35)/B5*100,0))</f>
        <v/>
      </c>
      <c r="AO5" s="46">
        <f>IF(B5=0,"",IFERROR(COUNTIFS(Export!$E:$E,A5,Export!$H:$H,"Efectivo",Export!$M:$M,"&lt;="&amp;36)/B5*100,0))</f>
        <v/>
      </c>
    </row>
    <row r="6">
      <c r="A6" s="43" t="inlineStr">
        <is>
          <t>04-2024</t>
        </is>
      </c>
      <c r="B6" s="44">
        <f>IFERROR(COUNTIF(Export!$E:$E,A6),0)</f>
        <v/>
      </c>
      <c r="C6" s="45">
        <f>IFERROR(VLOOKUP(A6,Originaciones!$A:$B,2,0),"")</f>
        <v/>
      </c>
      <c r="D6">
        <f>IFERROR(VLOOKUP(A6,'Flota Activa'!$A:$B,2,0),"")</f>
        <v/>
      </c>
      <c r="E6" s="46">
        <f>IF(B6=0,"",IFERROR(COUNTIFS(Export!$E:$E,A6,Export!$H:$H,"Efectivo",Export!$M:$M,"&lt;="&amp;0)/B6*100,0))</f>
        <v/>
      </c>
      <c r="F6" s="46">
        <f>IF(B6=0,"",IFERROR(COUNTIFS(Export!$E:$E,A6,Export!$H:$H,"Efectivo",Export!$M:$M,"&lt;="&amp;1)/B6*100,0))</f>
        <v/>
      </c>
      <c r="G6" s="46">
        <f>IF(B6=0,"",IFERROR(COUNTIFS(Export!$E:$E,A6,Export!$H:$H,"Efectivo",Export!$M:$M,"&lt;="&amp;2)/B6*100,0))</f>
        <v/>
      </c>
      <c r="H6" s="46">
        <f>IF(B6=0,"",IFERROR(COUNTIFS(Export!$E:$E,A6,Export!$H:$H,"Efectivo",Export!$M:$M,"&lt;="&amp;3)/B6*100,0))</f>
        <v/>
      </c>
      <c r="I6" s="46">
        <f>IF(B6=0,"",IFERROR(COUNTIFS(Export!$E:$E,A6,Export!$H:$H,"Efectivo",Export!$M:$M,"&lt;="&amp;4)/B6*100,0))</f>
        <v/>
      </c>
      <c r="J6" s="46">
        <f>IF(B6=0,"",IFERROR(COUNTIFS(Export!$E:$E,A6,Export!$H:$H,"Efectivo",Export!$M:$M,"&lt;="&amp;5)/B6*100,0))</f>
        <v/>
      </c>
      <c r="K6" s="46">
        <f>IF(B6=0,"",IFERROR(COUNTIFS(Export!$E:$E,A6,Export!$H:$H,"Efectivo",Export!$M:$M,"&lt;="&amp;6)/B6*100,0))</f>
        <v/>
      </c>
      <c r="L6" s="46">
        <f>IF(B6=0,"",IFERROR(COUNTIFS(Export!$E:$E,A6,Export!$H:$H,"Efectivo",Export!$M:$M,"&lt;="&amp;7)/B6*100,0))</f>
        <v/>
      </c>
      <c r="M6" s="46">
        <f>IF(B6=0,"",IFERROR(COUNTIFS(Export!$E:$E,A6,Export!$H:$H,"Efectivo",Export!$M:$M,"&lt;="&amp;8)/B6*100,0))</f>
        <v/>
      </c>
      <c r="N6" s="46">
        <f>IF(B6=0,"",IFERROR(COUNTIFS(Export!$E:$E,A6,Export!$H:$H,"Efectivo",Export!$M:$M,"&lt;="&amp;9)/B6*100,0))</f>
        <v/>
      </c>
      <c r="O6" s="46">
        <f>IF(B6=0,"",IFERROR(COUNTIFS(Export!$E:$E,A6,Export!$H:$H,"Efectivo",Export!$M:$M,"&lt;="&amp;10)/B6*100,0))</f>
        <v/>
      </c>
      <c r="P6" s="46">
        <f>IF(B6=0,"",IFERROR(COUNTIFS(Export!$E:$E,A6,Export!$H:$H,"Efectivo",Export!$M:$M,"&lt;="&amp;11)/B6*100,0))</f>
        <v/>
      </c>
      <c r="Q6" s="46">
        <f>IF(B6=0,"",IFERROR(COUNTIFS(Export!$E:$E,A6,Export!$H:$H,"Efectivo",Export!$M:$M,"&lt;="&amp;12)/B6*100,0))</f>
        <v/>
      </c>
      <c r="R6" s="46">
        <f>IF(B6=0,"",IFERROR(COUNTIFS(Export!$E:$E,A6,Export!$H:$H,"Efectivo",Export!$M:$M,"&lt;="&amp;13)/B6*100,0))</f>
        <v/>
      </c>
      <c r="S6" s="46">
        <f>IF(B6=0,"",IFERROR(COUNTIFS(Export!$E:$E,A6,Export!$H:$H,"Efectivo",Export!$M:$M,"&lt;="&amp;14)/B6*100,0))</f>
        <v/>
      </c>
      <c r="T6" s="46">
        <f>IF(B6=0,"",IFERROR(COUNTIFS(Export!$E:$E,A6,Export!$H:$H,"Efectivo",Export!$M:$M,"&lt;="&amp;15)/B6*100,0))</f>
        <v/>
      </c>
      <c r="U6" s="46">
        <f>IF(B6=0,"",IFERROR(COUNTIFS(Export!$E:$E,A6,Export!$H:$H,"Efectivo",Export!$M:$M,"&lt;="&amp;16)/B6*100,0))</f>
        <v/>
      </c>
      <c r="V6" s="46">
        <f>IF(B6=0,"",IFERROR(COUNTIFS(Export!$E:$E,A6,Export!$H:$H,"Efectivo",Export!$M:$M,"&lt;="&amp;17)/B6*100,0))</f>
        <v/>
      </c>
      <c r="W6" s="46">
        <f>IF(B6=0,"",IFERROR(COUNTIFS(Export!$E:$E,A6,Export!$H:$H,"Efectivo",Export!$M:$M,"&lt;="&amp;18)/B6*100,0))</f>
        <v/>
      </c>
      <c r="X6" s="46">
        <f>IF(B6=0,"",IFERROR(COUNTIFS(Export!$E:$E,A6,Export!$H:$H,"Efectivo",Export!$M:$M,"&lt;="&amp;19)/B6*100,0))</f>
        <v/>
      </c>
      <c r="Y6" s="46">
        <f>IF(B6=0,"",IFERROR(COUNTIFS(Export!$E:$E,A6,Export!$H:$H,"Efectivo",Export!$M:$M,"&lt;="&amp;20)/B6*100,0))</f>
        <v/>
      </c>
      <c r="Z6" s="46">
        <f>IF(B6=0,"",IFERROR(COUNTIFS(Export!$E:$E,A6,Export!$H:$H,"Efectivo",Export!$M:$M,"&lt;="&amp;21)/B6*100,0))</f>
        <v/>
      </c>
      <c r="AA6" s="46">
        <f>IF(B6=0,"",IFERROR(COUNTIFS(Export!$E:$E,A6,Export!$H:$H,"Efectivo",Export!$M:$M,"&lt;="&amp;22)/B6*100,0))</f>
        <v/>
      </c>
      <c r="AB6" s="46">
        <f>IF(B6=0,"",IFERROR(COUNTIFS(Export!$E:$E,A6,Export!$H:$H,"Efectivo",Export!$M:$M,"&lt;="&amp;23)/B6*100,0))</f>
        <v/>
      </c>
      <c r="AC6" s="46">
        <f>IF(B6=0,"",IFERROR(COUNTIFS(Export!$E:$E,A6,Export!$H:$H,"Efectivo",Export!$M:$M,"&lt;="&amp;24)/B6*100,0))</f>
        <v/>
      </c>
      <c r="AD6" s="46">
        <f>IF(B6=0,"",IFERROR(COUNTIFS(Export!$E:$E,A6,Export!$H:$H,"Efectivo",Export!$M:$M,"&lt;="&amp;25)/B6*100,0))</f>
        <v/>
      </c>
      <c r="AE6" s="46">
        <f>IF(B6=0,"",IFERROR(COUNTIFS(Export!$E:$E,A6,Export!$H:$H,"Efectivo",Export!$M:$M,"&lt;="&amp;26)/B6*100,0))</f>
        <v/>
      </c>
      <c r="AF6" s="46">
        <f>IF(B6=0,"",IFERROR(COUNTIFS(Export!$E:$E,A6,Export!$H:$H,"Efectivo",Export!$M:$M,"&lt;="&amp;27)/B6*100,0))</f>
        <v/>
      </c>
      <c r="AG6" s="46">
        <f>IF(B6=0,"",IFERROR(COUNTIFS(Export!$E:$E,A6,Export!$H:$H,"Efectivo",Export!$M:$M,"&lt;="&amp;28)/B6*100,0))</f>
        <v/>
      </c>
      <c r="AH6" s="46">
        <f>IF(B6=0,"",IFERROR(COUNTIFS(Export!$E:$E,A6,Export!$H:$H,"Efectivo",Export!$M:$M,"&lt;="&amp;29)/B6*100,0))</f>
        <v/>
      </c>
      <c r="AI6" s="46">
        <f>IF(B6=0,"",IFERROR(COUNTIFS(Export!$E:$E,A6,Export!$H:$H,"Efectivo",Export!$M:$M,"&lt;="&amp;30)/B6*100,0))</f>
        <v/>
      </c>
      <c r="AJ6" s="46">
        <f>IF(B6=0,"",IFERROR(COUNTIFS(Export!$E:$E,A6,Export!$H:$H,"Efectivo",Export!$M:$M,"&lt;="&amp;31)/B6*100,0))</f>
        <v/>
      </c>
      <c r="AK6" s="46">
        <f>IF(B6=0,"",IFERROR(COUNTIFS(Export!$E:$E,A6,Export!$H:$H,"Efectivo",Export!$M:$M,"&lt;="&amp;32)/B6*100,0))</f>
        <v/>
      </c>
      <c r="AL6" s="46">
        <f>IF(B6=0,"",IFERROR(COUNTIFS(Export!$E:$E,A6,Export!$H:$H,"Efectivo",Export!$M:$M,"&lt;="&amp;33)/B6*100,0))</f>
        <v/>
      </c>
      <c r="AM6" s="46">
        <f>IF(B6=0,"",IFERROR(COUNTIFS(Export!$E:$E,A6,Export!$H:$H,"Efectivo",Export!$M:$M,"&lt;="&amp;34)/B6*100,0))</f>
        <v/>
      </c>
      <c r="AN6" s="46">
        <f>IF(B6=0,"",IFERROR(COUNTIFS(Export!$E:$E,A6,Export!$H:$H,"Efectivo",Export!$M:$M,"&lt;="&amp;35)/B6*100,0))</f>
        <v/>
      </c>
      <c r="AO6" s="46">
        <f>IF(B6=0,"",IFERROR(COUNTIFS(Export!$E:$E,A6,Export!$H:$H,"Efectivo",Export!$M:$M,"&lt;="&amp;36)/B6*100,0))</f>
        <v/>
      </c>
    </row>
    <row r="7">
      <c r="A7" s="43" t="inlineStr">
        <is>
          <t>05-2024</t>
        </is>
      </c>
      <c r="B7" s="44">
        <f>IFERROR(COUNTIF(Export!$E:$E,A7),0)</f>
        <v/>
      </c>
      <c r="C7" s="45">
        <f>IFERROR(VLOOKUP(A7,Originaciones!$A:$B,2,0),"")</f>
        <v/>
      </c>
      <c r="D7">
        <f>IFERROR(VLOOKUP(A7,'Flota Activa'!$A:$B,2,0),"")</f>
        <v/>
      </c>
      <c r="E7" s="46">
        <f>IF(B7=0,"",IFERROR(COUNTIFS(Export!$E:$E,A7,Export!$H:$H,"Efectivo",Export!$M:$M,"&lt;="&amp;0)/B7*100,0))</f>
        <v/>
      </c>
      <c r="F7" s="46">
        <f>IF(B7=0,"",IFERROR(COUNTIFS(Export!$E:$E,A7,Export!$H:$H,"Efectivo",Export!$M:$M,"&lt;="&amp;1)/B7*100,0))</f>
        <v/>
      </c>
      <c r="G7" s="46">
        <f>IF(B7=0,"",IFERROR(COUNTIFS(Export!$E:$E,A7,Export!$H:$H,"Efectivo",Export!$M:$M,"&lt;="&amp;2)/B7*100,0))</f>
        <v/>
      </c>
      <c r="H7" s="46">
        <f>IF(B7=0,"",IFERROR(COUNTIFS(Export!$E:$E,A7,Export!$H:$H,"Efectivo",Export!$M:$M,"&lt;="&amp;3)/B7*100,0))</f>
        <v/>
      </c>
      <c r="I7" s="46">
        <f>IF(B7=0,"",IFERROR(COUNTIFS(Export!$E:$E,A7,Export!$H:$H,"Efectivo",Export!$M:$M,"&lt;="&amp;4)/B7*100,0))</f>
        <v/>
      </c>
      <c r="J7" s="46">
        <f>IF(B7=0,"",IFERROR(COUNTIFS(Export!$E:$E,A7,Export!$H:$H,"Efectivo",Export!$M:$M,"&lt;="&amp;5)/B7*100,0))</f>
        <v/>
      </c>
      <c r="K7" s="46">
        <f>IF(B7=0,"",IFERROR(COUNTIFS(Export!$E:$E,A7,Export!$H:$H,"Efectivo",Export!$M:$M,"&lt;="&amp;6)/B7*100,0))</f>
        <v/>
      </c>
      <c r="L7" s="46">
        <f>IF(B7=0,"",IFERROR(COUNTIFS(Export!$E:$E,A7,Export!$H:$H,"Efectivo",Export!$M:$M,"&lt;="&amp;7)/B7*100,0))</f>
        <v/>
      </c>
      <c r="M7" s="46">
        <f>IF(B7=0,"",IFERROR(COUNTIFS(Export!$E:$E,A7,Export!$H:$H,"Efectivo",Export!$M:$M,"&lt;="&amp;8)/B7*100,0))</f>
        <v/>
      </c>
      <c r="N7" s="46">
        <f>IF(B7=0,"",IFERROR(COUNTIFS(Export!$E:$E,A7,Export!$H:$H,"Efectivo",Export!$M:$M,"&lt;="&amp;9)/B7*100,0))</f>
        <v/>
      </c>
      <c r="O7" s="46">
        <f>IF(B7=0,"",IFERROR(COUNTIFS(Export!$E:$E,A7,Export!$H:$H,"Efectivo",Export!$M:$M,"&lt;="&amp;10)/B7*100,0))</f>
        <v/>
      </c>
      <c r="P7" s="46">
        <f>IF(B7=0,"",IFERROR(COUNTIFS(Export!$E:$E,A7,Export!$H:$H,"Efectivo",Export!$M:$M,"&lt;="&amp;11)/B7*100,0))</f>
        <v/>
      </c>
      <c r="Q7" s="46">
        <f>IF(B7=0,"",IFERROR(COUNTIFS(Export!$E:$E,A7,Export!$H:$H,"Efectivo",Export!$M:$M,"&lt;="&amp;12)/B7*100,0))</f>
        <v/>
      </c>
      <c r="R7" s="46">
        <f>IF(B7=0,"",IFERROR(COUNTIFS(Export!$E:$E,A7,Export!$H:$H,"Efectivo",Export!$M:$M,"&lt;="&amp;13)/B7*100,0))</f>
        <v/>
      </c>
      <c r="S7" s="46">
        <f>IF(B7=0,"",IFERROR(COUNTIFS(Export!$E:$E,A7,Export!$H:$H,"Efectivo",Export!$M:$M,"&lt;="&amp;14)/B7*100,0))</f>
        <v/>
      </c>
      <c r="T7" s="46">
        <f>IF(B7=0,"",IFERROR(COUNTIFS(Export!$E:$E,A7,Export!$H:$H,"Efectivo",Export!$M:$M,"&lt;="&amp;15)/B7*100,0))</f>
        <v/>
      </c>
      <c r="U7" s="46">
        <f>IF(B7=0,"",IFERROR(COUNTIFS(Export!$E:$E,A7,Export!$H:$H,"Efectivo",Export!$M:$M,"&lt;="&amp;16)/B7*100,0))</f>
        <v/>
      </c>
      <c r="V7" s="46">
        <f>IF(B7=0,"",IFERROR(COUNTIFS(Export!$E:$E,A7,Export!$H:$H,"Efectivo",Export!$M:$M,"&lt;="&amp;17)/B7*100,0))</f>
        <v/>
      </c>
      <c r="W7" s="46">
        <f>IF(B7=0,"",IFERROR(COUNTIFS(Export!$E:$E,A7,Export!$H:$H,"Efectivo",Export!$M:$M,"&lt;="&amp;18)/B7*100,0))</f>
        <v/>
      </c>
      <c r="X7" s="46">
        <f>IF(B7=0,"",IFERROR(COUNTIFS(Export!$E:$E,A7,Export!$H:$H,"Efectivo",Export!$M:$M,"&lt;="&amp;19)/B7*100,0))</f>
        <v/>
      </c>
      <c r="Y7" s="46">
        <f>IF(B7=0,"",IFERROR(COUNTIFS(Export!$E:$E,A7,Export!$H:$H,"Efectivo",Export!$M:$M,"&lt;="&amp;20)/B7*100,0))</f>
        <v/>
      </c>
      <c r="Z7" s="46">
        <f>IF(B7=0,"",IFERROR(COUNTIFS(Export!$E:$E,A7,Export!$H:$H,"Efectivo",Export!$M:$M,"&lt;="&amp;21)/B7*100,0))</f>
        <v/>
      </c>
      <c r="AA7" s="46">
        <f>IF(B7=0,"",IFERROR(COUNTIFS(Export!$E:$E,A7,Export!$H:$H,"Efectivo",Export!$M:$M,"&lt;="&amp;22)/B7*100,0))</f>
        <v/>
      </c>
      <c r="AB7" s="46">
        <f>IF(B7=0,"",IFERROR(COUNTIFS(Export!$E:$E,A7,Export!$H:$H,"Efectivo",Export!$M:$M,"&lt;="&amp;23)/B7*100,0))</f>
        <v/>
      </c>
      <c r="AC7" s="46">
        <f>IF(B7=0,"",IFERROR(COUNTIFS(Export!$E:$E,A7,Export!$H:$H,"Efectivo",Export!$M:$M,"&lt;="&amp;24)/B7*100,0))</f>
        <v/>
      </c>
      <c r="AD7" s="46">
        <f>IF(B7=0,"",IFERROR(COUNTIFS(Export!$E:$E,A7,Export!$H:$H,"Efectivo",Export!$M:$M,"&lt;="&amp;25)/B7*100,0))</f>
        <v/>
      </c>
      <c r="AE7" s="46">
        <f>IF(B7=0,"",IFERROR(COUNTIFS(Export!$E:$E,A7,Export!$H:$H,"Efectivo",Export!$M:$M,"&lt;="&amp;26)/B7*100,0))</f>
        <v/>
      </c>
      <c r="AF7" s="46">
        <f>IF(B7=0,"",IFERROR(COUNTIFS(Export!$E:$E,A7,Export!$H:$H,"Efectivo",Export!$M:$M,"&lt;="&amp;27)/B7*100,0))</f>
        <v/>
      </c>
      <c r="AG7" s="46">
        <f>IF(B7=0,"",IFERROR(COUNTIFS(Export!$E:$E,A7,Export!$H:$H,"Efectivo",Export!$M:$M,"&lt;="&amp;28)/B7*100,0))</f>
        <v/>
      </c>
      <c r="AH7" s="46">
        <f>IF(B7=0,"",IFERROR(COUNTIFS(Export!$E:$E,A7,Export!$H:$H,"Efectivo",Export!$M:$M,"&lt;="&amp;29)/B7*100,0))</f>
        <v/>
      </c>
      <c r="AI7" s="46">
        <f>IF(B7=0,"",IFERROR(COUNTIFS(Export!$E:$E,A7,Export!$H:$H,"Efectivo",Export!$M:$M,"&lt;="&amp;30)/B7*100,0))</f>
        <v/>
      </c>
      <c r="AJ7" s="46">
        <f>IF(B7=0,"",IFERROR(COUNTIFS(Export!$E:$E,A7,Export!$H:$H,"Efectivo",Export!$M:$M,"&lt;="&amp;31)/B7*100,0))</f>
        <v/>
      </c>
      <c r="AK7" s="46">
        <f>IF(B7=0,"",IFERROR(COUNTIFS(Export!$E:$E,A7,Export!$H:$H,"Efectivo",Export!$M:$M,"&lt;="&amp;32)/B7*100,0))</f>
        <v/>
      </c>
      <c r="AL7" s="46">
        <f>IF(B7=0,"",IFERROR(COUNTIFS(Export!$E:$E,A7,Export!$H:$H,"Efectivo",Export!$M:$M,"&lt;="&amp;33)/B7*100,0))</f>
        <v/>
      </c>
      <c r="AM7" s="46">
        <f>IF(B7=0,"",IFERROR(COUNTIFS(Export!$E:$E,A7,Export!$H:$H,"Efectivo",Export!$M:$M,"&lt;="&amp;34)/B7*100,0))</f>
        <v/>
      </c>
      <c r="AN7" s="46">
        <f>IF(B7=0,"",IFERROR(COUNTIFS(Export!$E:$E,A7,Export!$H:$H,"Efectivo",Export!$M:$M,"&lt;="&amp;35)/B7*100,0))</f>
        <v/>
      </c>
      <c r="AO7" s="46">
        <f>IF(B7=0,"",IFERROR(COUNTIFS(Export!$E:$E,A7,Export!$H:$H,"Efectivo",Export!$M:$M,"&lt;="&amp;36)/B7*100,0))</f>
        <v/>
      </c>
    </row>
    <row r="8">
      <c r="A8" s="43" t="inlineStr">
        <is>
          <t>06-2024</t>
        </is>
      </c>
      <c r="B8" s="44">
        <f>IFERROR(COUNTIF(Export!$E:$E,A8),0)</f>
        <v/>
      </c>
      <c r="C8" s="45">
        <f>IFERROR(VLOOKUP(A8,Originaciones!$A:$B,2,0),"")</f>
        <v/>
      </c>
      <c r="D8">
        <f>IFERROR(VLOOKUP(A8,'Flota Activa'!$A:$B,2,0),"")</f>
        <v/>
      </c>
      <c r="E8" s="46">
        <f>IF(B8=0,"",IFERROR(COUNTIFS(Export!$E:$E,A8,Export!$H:$H,"Efectivo",Export!$M:$M,"&lt;="&amp;0)/B8*100,0))</f>
        <v/>
      </c>
      <c r="F8" s="46">
        <f>IF(B8=0,"",IFERROR(COUNTIFS(Export!$E:$E,A8,Export!$H:$H,"Efectivo",Export!$M:$M,"&lt;="&amp;1)/B8*100,0))</f>
        <v/>
      </c>
      <c r="G8" s="46">
        <f>IF(B8=0,"",IFERROR(COUNTIFS(Export!$E:$E,A8,Export!$H:$H,"Efectivo",Export!$M:$M,"&lt;="&amp;2)/B8*100,0))</f>
        <v/>
      </c>
      <c r="H8" s="46">
        <f>IF(B8=0,"",IFERROR(COUNTIFS(Export!$E:$E,A8,Export!$H:$H,"Efectivo",Export!$M:$M,"&lt;="&amp;3)/B8*100,0))</f>
        <v/>
      </c>
      <c r="I8" s="46">
        <f>IF(B8=0,"",IFERROR(COUNTIFS(Export!$E:$E,A8,Export!$H:$H,"Efectivo",Export!$M:$M,"&lt;="&amp;4)/B8*100,0))</f>
        <v/>
      </c>
      <c r="J8" s="46">
        <f>IF(B8=0,"",IFERROR(COUNTIFS(Export!$E:$E,A8,Export!$H:$H,"Efectivo",Export!$M:$M,"&lt;="&amp;5)/B8*100,0))</f>
        <v/>
      </c>
      <c r="K8" s="46">
        <f>IF(B8=0,"",IFERROR(COUNTIFS(Export!$E:$E,A8,Export!$H:$H,"Efectivo",Export!$M:$M,"&lt;="&amp;6)/B8*100,0))</f>
        <v/>
      </c>
      <c r="L8" s="46">
        <f>IF(B8=0,"",IFERROR(COUNTIFS(Export!$E:$E,A8,Export!$H:$H,"Efectivo",Export!$M:$M,"&lt;="&amp;7)/B8*100,0))</f>
        <v/>
      </c>
      <c r="M8" s="46">
        <f>IF(B8=0,"",IFERROR(COUNTIFS(Export!$E:$E,A8,Export!$H:$H,"Efectivo",Export!$M:$M,"&lt;="&amp;8)/B8*100,0))</f>
        <v/>
      </c>
      <c r="N8" s="46">
        <f>IF(B8=0,"",IFERROR(COUNTIFS(Export!$E:$E,A8,Export!$H:$H,"Efectivo",Export!$M:$M,"&lt;="&amp;9)/B8*100,0))</f>
        <v/>
      </c>
      <c r="O8" s="46">
        <f>IF(B8=0,"",IFERROR(COUNTIFS(Export!$E:$E,A8,Export!$H:$H,"Efectivo",Export!$M:$M,"&lt;="&amp;10)/B8*100,0))</f>
        <v/>
      </c>
      <c r="P8" s="46">
        <f>IF(B8=0,"",IFERROR(COUNTIFS(Export!$E:$E,A8,Export!$H:$H,"Efectivo",Export!$M:$M,"&lt;="&amp;11)/B8*100,0))</f>
        <v/>
      </c>
      <c r="Q8" s="46">
        <f>IF(B8=0,"",IFERROR(COUNTIFS(Export!$E:$E,A8,Export!$H:$H,"Efectivo",Export!$M:$M,"&lt;="&amp;12)/B8*100,0))</f>
        <v/>
      </c>
      <c r="R8" s="46">
        <f>IF(B8=0,"",IFERROR(COUNTIFS(Export!$E:$E,A8,Export!$H:$H,"Efectivo",Export!$M:$M,"&lt;="&amp;13)/B8*100,0))</f>
        <v/>
      </c>
      <c r="S8" s="46">
        <f>IF(B8=0,"",IFERROR(COUNTIFS(Export!$E:$E,A8,Export!$H:$H,"Efectivo",Export!$M:$M,"&lt;="&amp;14)/B8*100,0))</f>
        <v/>
      </c>
      <c r="T8" s="46">
        <f>IF(B8=0,"",IFERROR(COUNTIFS(Export!$E:$E,A8,Export!$H:$H,"Efectivo",Export!$M:$M,"&lt;="&amp;15)/B8*100,0))</f>
        <v/>
      </c>
      <c r="U8" s="46">
        <f>IF(B8=0,"",IFERROR(COUNTIFS(Export!$E:$E,A8,Export!$H:$H,"Efectivo",Export!$M:$M,"&lt;="&amp;16)/B8*100,0))</f>
        <v/>
      </c>
      <c r="V8" s="46">
        <f>IF(B8=0,"",IFERROR(COUNTIFS(Export!$E:$E,A8,Export!$H:$H,"Efectivo",Export!$M:$M,"&lt;="&amp;17)/B8*100,0))</f>
        <v/>
      </c>
      <c r="W8" s="46">
        <f>IF(B8=0,"",IFERROR(COUNTIFS(Export!$E:$E,A8,Export!$H:$H,"Efectivo",Export!$M:$M,"&lt;="&amp;18)/B8*100,0))</f>
        <v/>
      </c>
      <c r="X8" s="46">
        <f>IF(B8=0,"",IFERROR(COUNTIFS(Export!$E:$E,A8,Export!$H:$H,"Efectivo",Export!$M:$M,"&lt;="&amp;19)/B8*100,0))</f>
        <v/>
      </c>
      <c r="Y8" s="46">
        <f>IF(B8=0,"",IFERROR(COUNTIFS(Export!$E:$E,A8,Export!$H:$H,"Efectivo",Export!$M:$M,"&lt;="&amp;20)/B8*100,0))</f>
        <v/>
      </c>
      <c r="Z8" s="46">
        <f>IF(B8=0,"",IFERROR(COUNTIFS(Export!$E:$E,A8,Export!$H:$H,"Efectivo",Export!$M:$M,"&lt;="&amp;21)/B8*100,0))</f>
        <v/>
      </c>
      <c r="AA8" s="46">
        <f>IF(B8=0,"",IFERROR(COUNTIFS(Export!$E:$E,A8,Export!$H:$H,"Efectivo",Export!$M:$M,"&lt;="&amp;22)/B8*100,0))</f>
        <v/>
      </c>
      <c r="AB8" s="46">
        <f>IF(B8=0,"",IFERROR(COUNTIFS(Export!$E:$E,A8,Export!$H:$H,"Efectivo",Export!$M:$M,"&lt;="&amp;23)/B8*100,0))</f>
        <v/>
      </c>
      <c r="AC8" s="46">
        <f>IF(B8=0,"",IFERROR(COUNTIFS(Export!$E:$E,A8,Export!$H:$H,"Efectivo",Export!$M:$M,"&lt;="&amp;24)/B8*100,0))</f>
        <v/>
      </c>
      <c r="AD8" s="46">
        <f>IF(B8=0,"",IFERROR(COUNTIFS(Export!$E:$E,A8,Export!$H:$H,"Efectivo",Export!$M:$M,"&lt;="&amp;25)/B8*100,0))</f>
        <v/>
      </c>
      <c r="AE8" s="46">
        <f>IF(B8=0,"",IFERROR(COUNTIFS(Export!$E:$E,A8,Export!$H:$H,"Efectivo",Export!$M:$M,"&lt;="&amp;26)/B8*100,0))</f>
        <v/>
      </c>
      <c r="AF8" s="46">
        <f>IF(B8=0,"",IFERROR(COUNTIFS(Export!$E:$E,A8,Export!$H:$H,"Efectivo",Export!$M:$M,"&lt;="&amp;27)/B8*100,0))</f>
        <v/>
      </c>
      <c r="AG8" s="46">
        <f>IF(B8=0,"",IFERROR(COUNTIFS(Export!$E:$E,A8,Export!$H:$H,"Efectivo",Export!$M:$M,"&lt;="&amp;28)/B8*100,0))</f>
        <v/>
      </c>
      <c r="AH8" s="46">
        <f>IF(B8=0,"",IFERROR(COUNTIFS(Export!$E:$E,A8,Export!$H:$H,"Efectivo",Export!$M:$M,"&lt;="&amp;29)/B8*100,0))</f>
        <v/>
      </c>
      <c r="AI8" s="46">
        <f>IF(B8=0,"",IFERROR(COUNTIFS(Export!$E:$E,A8,Export!$H:$H,"Efectivo",Export!$M:$M,"&lt;="&amp;30)/B8*100,0))</f>
        <v/>
      </c>
      <c r="AJ8" s="46">
        <f>IF(B8=0,"",IFERROR(COUNTIFS(Export!$E:$E,A8,Export!$H:$H,"Efectivo",Export!$M:$M,"&lt;="&amp;31)/B8*100,0))</f>
        <v/>
      </c>
      <c r="AK8" s="46">
        <f>IF(B8=0,"",IFERROR(COUNTIFS(Export!$E:$E,A8,Export!$H:$H,"Efectivo",Export!$M:$M,"&lt;="&amp;32)/B8*100,0))</f>
        <v/>
      </c>
      <c r="AL8" s="46">
        <f>IF(B8=0,"",IFERROR(COUNTIFS(Export!$E:$E,A8,Export!$H:$H,"Efectivo",Export!$M:$M,"&lt;="&amp;33)/B8*100,0))</f>
        <v/>
      </c>
      <c r="AM8" s="46">
        <f>IF(B8=0,"",IFERROR(COUNTIFS(Export!$E:$E,A8,Export!$H:$H,"Efectivo",Export!$M:$M,"&lt;="&amp;34)/B8*100,0))</f>
        <v/>
      </c>
      <c r="AN8" s="46">
        <f>IF(B8=0,"",IFERROR(COUNTIFS(Export!$E:$E,A8,Export!$H:$H,"Efectivo",Export!$M:$M,"&lt;="&amp;35)/B8*100,0))</f>
        <v/>
      </c>
      <c r="AO8" s="46">
        <f>IF(B8=0,"",IFERROR(COUNTIFS(Export!$E:$E,A8,Export!$H:$H,"Efectivo",Export!$M:$M,"&lt;="&amp;36)/B8*100,0))</f>
        <v/>
      </c>
    </row>
    <row r="9">
      <c r="A9" s="43" t="inlineStr">
        <is>
          <t>07-2024</t>
        </is>
      </c>
      <c r="B9" s="44">
        <f>IFERROR(COUNTIF(Export!$E:$E,A9),0)</f>
        <v/>
      </c>
      <c r="C9" s="45">
        <f>IFERROR(VLOOKUP(A9,Originaciones!$A:$B,2,0),"")</f>
        <v/>
      </c>
      <c r="D9">
        <f>IFERROR(VLOOKUP(A9,'Flota Activa'!$A:$B,2,0),"")</f>
        <v/>
      </c>
      <c r="E9" s="46">
        <f>IF(B9=0,"",IFERROR(COUNTIFS(Export!$E:$E,A9,Export!$H:$H,"Efectivo",Export!$M:$M,"&lt;="&amp;0)/B9*100,0))</f>
        <v/>
      </c>
      <c r="F9" s="46">
        <f>IF(B9=0,"",IFERROR(COUNTIFS(Export!$E:$E,A9,Export!$H:$H,"Efectivo",Export!$M:$M,"&lt;="&amp;1)/B9*100,0))</f>
        <v/>
      </c>
      <c r="G9" s="46">
        <f>IF(B9=0,"",IFERROR(COUNTIFS(Export!$E:$E,A9,Export!$H:$H,"Efectivo",Export!$M:$M,"&lt;="&amp;2)/B9*100,0))</f>
        <v/>
      </c>
      <c r="H9" s="46">
        <f>IF(B9=0,"",IFERROR(COUNTIFS(Export!$E:$E,A9,Export!$H:$H,"Efectivo",Export!$M:$M,"&lt;="&amp;3)/B9*100,0))</f>
        <v/>
      </c>
      <c r="I9" s="46">
        <f>IF(B9=0,"",IFERROR(COUNTIFS(Export!$E:$E,A9,Export!$H:$H,"Efectivo",Export!$M:$M,"&lt;="&amp;4)/B9*100,0))</f>
        <v/>
      </c>
      <c r="J9" s="46">
        <f>IF(B9=0,"",IFERROR(COUNTIFS(Export!$E:$E,A9,Export!$H:$H,"Efectivo",Export!$M:$M,"&lt;="&amp;5)/B9*100,0))</f>
        <v/>
      </c>
      <c r="K9" s="46">
        <f>IF(B9=0,"",IFERROR(COUNTIFS(Export!$E:$E,A9,Export!$H:$H,"Efectivo",Export!$M:$M,"&lt;="&amp;6)/B9*100,0))</f>
        <v/>
      </c>
      <c r="L9" s="46">
        <f>IF(B9=0,"",IFERROR(COUNTIFS(Export!$E:$E,A9,Export!$H:$H,"Efectivo",Export!$M:$M,"&lt;="&amp;7)/B9*100,0))</f>
        <v/>
      </c>
      <c r="M9" s="46">
        <f>IF(B9=0,"",IFERROR(COUNTIFS(Export!$E:$E,A9,Export!$H:$H,"Efectivo",Export!$M:$M,"&lt;="&amp;8)/B9*100,0))</f>
        <v/>
      </c>
      <c r="N9" s="46">
        <f>IF(B9=0,"",IFERROR(COUNTIFS(Export!$E:$E,A9,Export!$H:$H,"Efectivo",Export!$M:$M,"&lt;="&amp;9)/B9*100,0))</f>
        <v/>
      </c>
      <c r="O9" s="46">
        <f>IF(B9=0,"",IFERROR(COUNTIFS(Export!$E:$E,A9,Export!$H:$H,"Efectivo",Export!$M:$M,"&lt;="&amp;10)/B9*100,0))</f>
        <v/>
      </c>
      <c r="P9" s="46">
        <f>IF(B9=0,"",IFERROR(COUNTIFS(Export!$E:$E,A9,Export!$H:$H,"Efectivo",Export!$M:$M,"&lt;="&amp;11)/B9*100,0))</f>
        <v/>
      </c>
      <c r="Q9" s="46">
        <f>IF(B9=0,"",IFERROR(COUNTIFS(Export!$E:$E,A9,Export!$H:$H,"Efectivo",Export!$M:$M,"&lt;="&amp;12)/B9*100,0))</f>
        <v/>
      </c>
      <c r="R9" s="46">
        <f>IF(B9=0,"",IFERROR(COUNTIFS(Export!$E:$E,A9,Export!$H:$H,"Efectivo",Export!$M:$M,"&lt;="&amp;13)/B9*100,0))</f>
        <v/>
      </c>
      <c r="S9" s="46">
        <f>IF(B9=0,"",IFERROR(COUNTIFS(Export!$E:$E,A9,Export!$H:$H,"Efectivo",Export!$M:$M,"&lt;="&amp;14)/B9*100,0))</f>
        <v/>
      </c>
      <c r="T9" s="46">
        <f>IF(B9=0,"",IFERROR(COUNTIFS(Export!$E:$E,A9,Export!$H:$H,"Efectivo",Export!$M:$M,"&lt;="&amp;15)/B9*100,0))</f>
        <v/>
      </c>
      <c r="U9" s="46">
        <f>IF(B9=0,"",IFERROR(COUNTIFS(Export!$E:$E,A9,Export!$H:$H,"Efectivo",Export!$M:$M,"&lt;="&amp;16)/B9*100,0))</f>
        <v/>
      </c>
      <c r="V9" s="46">
        <f>IF(B9=0,"",IFERROR(COUNTIFS(Export!$E:$E,A9,Export!$H:$H,"Efectivo",Export!$M:$M,"&lt;="&amp;17)/B9*100,0))</f>
        <v/>
      </c>
      <c r="W9" s="46">
        <f>IF(B9=0,"",IFERROR(COUNTIFS(Export!$E:$E,A9,Export!$H:$H,"Efectivo",Export!$M:$M,"&lt;="&amp;18)/B9*100,0))</f>
        <v/>
      </c>
      <c r="X9" s="46">
        <f>IF(B9=0,"",IFERROR(COUNTIFS(Export!$E:$E,A9,Export!$H:$H,"Efectivo",Export!$M:$M,"&lt;="&amp;19)/B9*100,0))</f>
        <v/>
      </c>
      <c r="Y9" s="46">
        <f>IF(B9=0,"",IFERROR(COUNTIFS(Export!$E:$E,A9,Export!$H:$H,"Efectivo",Export!$M:$M,"&lt;="&amp;20)/B9*100,0))</f>
        <v/>
      </c>
      <c r="Z9" s="46">
        <f>IF(B9=0,"",IFERROR(COUNTIFS(Export!$E:$E,A9,Export!$H:$H,"Efectivo",Export!$M:$M,"&lt;="&amp;21)/B9*100,0))</f>
        <v/>
      </c>
      <c r="AA9" s="46">
        <f>IF(B9=0,"",IFERROR(COUNTIFS(Export!$E:$E,A9,Export!$H:$H,"Efectivo",Export!$M:$M,"&lt;="&amp;22)/B9*100,0))</f>
        <v/>
      </c>
      <c r="AB9" s="46">
        <f>IF(B9=0,"",IFERROR(COUNTIFS(Export!$E:$E,A9,Export!$H:$H,"Efectivo",Export!$M:$M,"&lt;="&amp;23)/B9*100,0))</f>
        <v/>
      </c>
      <c r="AC9" s="46">
        <f>IF(B9=0,"",IFERROR(COUNTIFS(Export!$E:$E,A9,Export!$H:$H,"Efectivo",Export!$M:$M,"&lt;="&amp;24)/B9*100,0))</f>
        <v/>
      </c>
      <c r="AD9" s="46">
        <f>IF(B9=0,"",IFERROR(COUNTIFS(Export!$E:$E,A9,Export!$H:$H,"Efectivo",Export!$M:$M,"&lt;="&amp;25)/B9*100,0))</f>
        <v/>
      </c>
      <c r="AE9" s="46">
        <f>IF(B9=0,"",IFERROR(COUNTIFS(Export!$E:$E,A9,Export!$H:$H,"Efectivo",Export!$M:$M,"&lt;="&amp;26)/B9*100,0))</f>
        <v/>
      </c>
      <c r="AF9" s="46">
        <f>IF(B9=0,"",IFERROR(COUNTIFS(Export!$E:$E,A9,Export!$H:$H,"Efectivo",Export!$M:$M,"&lt;="&amp;27)/B9*100,0))</f>
        <v/>
      </c>
      <c r="AG9" s="46">
        <f>IF(B9=0,"",IFERROR(COUNTIFS(Export!$E:$E,A9,Export!$H:$H,"Efectivo",Export!$M:$M,"&lt;="&amp;28)/B9*100,0))</f>
        <v/>
      </c>
      <c r="AH9" s="46">
        <f>IF(B9=0,"",IFERROR(COUNTIFS(Export!$E:$E,A9,Export!$H:$H,"Efectivo",Export!$M:$M,"&lt;="&amp;29)/B9*100,0))</f>
        <v/>
      </c>
      <c r="AI9" s="46">
        <f>IF(B9=0,"",IFERROR(COUNTIFS(Export!$E:$E,A9,Export!$H:$H,"Efectivo",Export!$M:$M,"&lt;="&amp;30)/B9*100,0))</f>
        <v/>
      </c>
      <c r="AJ9" s="46">
        <f>IF(B9=0,"",IFERROR(COUNTIFS(Export!$E:$E,A9,Export!$H:$H,"Efectivo",Export!$M:$M,"&lt;="&amp;31)/B9*100,0))</f>
        <v/>
      </c>
      <c r="AK9" s="46">
        <f>IF(B9=0,"",IFERROR(COUNTIFS(Export!$E:$E,A9,Export!$H:$H,"Efectivo",Export!$M:$M,"&lt;="&amp;32)/B9*100,0))</f>
        <v/>
      </c>
      <c r="AL9" s="46">
        <f>IF(B9=0,"",IFERROR(COUNTIFS(Export!$E:$E,A9,Export!$H:$H,"Efectivo",Export!$M:$M,"&lt;="&amp;33)/B9*100,0))</f>
        <v/>
      </c>
      <c r="AM9" s="46">
        <f>IF(B9=0,"",IFERROR(COUNTIFS(Export!$E:$E,A9,Export!$H:$H,"Efectivo",Export!$M:$M,"&lt;="&amp;34)/B9*100,0))</f>
        <v/>
      </c>
      <c r="AN9" s="46">
        <f>IF(B9=0,"",IFERROR(COUNTIFS(Export!$E:$E,A9,Export!$H:$H,"Efectivo",Export!$M:$M,"&lt;="&amp;35)/B9*100,0))</f>
        <v/>
      </c>
      <c r="AO9" s="46">
        <f>IF(B9=0,"",IFERROR(COUNTIFS(Export!$E:$E,A9,Export!$H:$H,"Efectivo",Export!$M:$M,"&lt;="&amp;36)/B9*100,0))</f>
        <v/>
      </c>
    </row>
    <row r="10">
      <c r="A10" s="43" t="inlineStr">
        <is>
          <t>08-2024</t>
        </is>
      </c>
      <c r="B10" s="44">
        <f>IFERROR(COUNTIF(Export!$E:$E,A10),0)</f>
        <v/>
      </c>
      <c r="C10" s="45">
        <f>IFERROR(VLOOKUP(A10,Originaciones!$A:$B,2,0),"")</f>
        <v/>
      </c>
      <c r="D10">
        <f>IFERROR(VLOOKUP(A10,'Flota Activa'!$A:$B,2,0),"")</f>
        <v/>
      </c>
      <c r="E10" s="46">
        <f>IF(B10=0,"",IFERROR(COUNTIFS(Export!$E:$E,A10,Export!$H:$H,"Efectivo",Export!$M:$M,"&lt;="&amp;0)/B10*100,0))</f>
        <v/>
      </c>
      <c r="F10" s="46">
        <f>IF(B10=0,"",IFERROR(COUNTIFS(Export!$E:$E,A10,Export!$H:$H,"Efectivo",Export!$M:$M,"&lt;="&amp;1)/B10*100,0))</f>
        <v/>
      </c>
      <c r="G10" s="46">
        <f>IF(B10=0,"",IFERROR(COUNTIFS(Export!$E:$E,A10,Export!$H:$H,"Efectivo",Export!$M:$M,"&lt;="&amp;2)/B10*100,0))</f>
        <v/>
      </c>
      <c r="H10" s="46">
        <f>IF(B10=0,"",IFERROR(COUNTIFS(Export!$E:$E,A10,Export!$H:$H,"Efectivo",Export!$M:$M,"&lt;="&amp;3)/B10*100,0))</f>
        <v/>
      </c>
      <c r="I10" s="46">
        <f>IF(B10=0,"",IFERROR(COUNTIFS(Export!$E:$E,A10,Export!$H:$H,"Efectivo",Export!$M:$M,"&lt;="&amp;4)/B10*100,0))</f>
        <v/>
      </c>
      <c r="J10" s="46">
        <f>IF(B10=0,"",IFERROR(COUNTIFS(Export!$E:$E,A10,Export!$H:$H,"Efectivo",Export!$M:$M,"&lt;="&amp;5)/B10*100,0))</f>
        <v/>
      </c>
      <c r="K10" s="46">
        <f>IF(B10=0,"",IFERROR(COUNTIFS(Export!$E:$E,A10,Export!$H:$H,"Efectivo",Export!$M:$M,"&lt;="&amp;6)/B10*100,0))</f>
        <v/>
      </c>
      <c r="L10" s="46">
        <f>IF(B10=0,"",IFERROR(COUNTIFS(Export!$E:$E,A10,Export!$H:$H,"Efectivo",Export!$M:$M,"&lt;="&amp;7)/B10*100,0))</f>
        <v/>
      </c>
      <c r="M10" s="46">
        <f>IF(B10=0,"",IFERROR(COUNTIFS(Export!$E:$E,A10,Export!$H:$H,"Efectivo",Export!$M:$M,"&lt;="&amp;8)/B10*100,0))</f>
        <v/>
      </c>
      <c r="N10" s="46">
        <f>IF(B10=0,"",IFERROR(COUNTIFS(Export!$E:$E,A10,Export!$H:$H,"Efectivo",Export!$M:$M,"&lt;="&amp;9)/B10*100,0))</f>
        <v/>
      </c>
      <c r="O10" s="46">
        <f>IF(B10=0,"",IFERROR(COUNTIFS(Export!$E:$E,A10,Export!$H:$H,"Efectivo",Export!$M:$M,"&lt;="&amp;10)/B10*100,0))</f>
        <v/>
      </c>
      <c r="P10" s="46">
        <f>IF(B10=0,"",IFERROR(COUNTIFS(Export!$E:$E,A10,Export!$H:$H,"Efectivo",Export!$M:$M,"&lt;="&amp;11)/B10*100,0))</f>
        <v/>
      </c>
      <c r="Q10" s="46">
        <f>IF(B10=0,"",IFERROR(COUNTIFS(Export!$E:$E,A10,Export!$H:$H,"Efectivo",Export!$M:$M,"&lt;="&amp;12)/B10*100,0))</f>
        <v/>
      </c>
      <c r="R10" s="46">
        <f>IF(B10=0,"",IFERROR(COUNTIFS(Export!$E:$E,A10,Export!$H:$H,"Efectivo",Export!$M:$M,"&lt;="&amp;13)/B10*100,0))</f>
        <v/>
      </c>
      <c r="S10" s="46">
        <f>IF(B10=0,"",IFERROR(COUNTIFS(Export!$E:$E,A10,Export!$H:$H,"Efectivo",Export!$M:$M,"&lt;="&amp;14)/B10*100,0))</f>
        <v/>
      </c>
      <c r="T10" s="46">
        <f>IF(B10=0,"",IFERROR(COUNTIFS(Export!$E:$E,A10,Export!$H:$H,"Efectivo",Export!$M:$M,"&lt;="&amp;15)/B10*100,0))</f>
        <v/>
      </c>
      <c r="U10" s="46">
        <f>IF(B10=0,"",IFERROR(COUNTIFS(Export!$E:$E,A10,Export!$H:$H,"Efectivo",Export!$M:$M,"&lt;="&amp;16)/B10*100,0))</f>
        <v/>
      </c>
      <c r="V10" s="46">
        <f>IF(B10=0,"",IFERROR(COUNTIFS(Export!$E:$E,A10,Export!$H:$H,"Efectivo",Export!$M:$M,"&lt;="&amp;17)/B10*100,0))</f>
        <v/>
      </c>
      <c r="W10" s="46">
        <f>IF(B10=0,"",IFERROR(COUNTIFS(Export!$E:$E,A10,Export!$H:$H,"Efectivo",Export!$M:$M,"&lt;="&amp;18)/B10*100,0))</f>
        <v/>
      </c>
      <c r="X10" s="46">
        <f>IF(B10=0,"",IFERROR(COUNTIFS(Export!$E:$E,A10,Export!$H:$H,"Efectivo",Export!$M:$M,"&lt;="&amp;19)/B10*100,0))</f>
        <v/>
      </c>
      <c r="Y10" s="46">
        <f>IF(B10=0,"",IFERROR(COUNTIFS(Export!$E:$E,A10,Export!$H:$H,"Efectivo",Export!$M:$M,"&lt;="&amp;20)/B10*100,0))</f>
        <v/>
      </c>
      <c r="Z10" s="46">
        <f>IF(B10=0,"",IFERROR(COUNTIFS(Export!$E:$E,A10,Export!$H:$H,"Efectivo",Export!$M:$M,"&lt;="&amp;21)/B10*100,0))</f>
        <v/>
      </c>
      <c r="AA10" s="46">
        <f>IF(B10=0,"",IFERROR(COUNTIFS(Export!$E:$E,A10,Export!$H:$H,"Efectivo",Export!$M:$M,"&lt;="&amp;22)/B10*100,0))</f>
        <v/>
      </c>
      <c r="AB10" s="46">
        <f>IF(B10=0,"",IFERROR(COUNTIFS(Export!$E:$E,A10,Export!$H:$H,"Efectivo",Export!$M:$M,"&lt;="&amp;23)/B10*100,0))</f>
        <v/>
      </c>
      <c r="AC10" s="46">
        <f>IF(B10=0,"",IFERROR(COUNTIFS(Export!$E:$E,A10,Export!$H:$H,"Efectivo",Export!$M:$M,"&lt;="&amp;24)/B10*100,0))</f>
        <v/>
      </c>
      <c r="AD10" s="46">
        <f>IF(B10=0,"",IFERROR(COUNTIFS(Export!$E:$E,A10,Export!$H:$H,"Efectivo",Export!$M:$M,"&lt;="&amp;25)/B10*100,0))</f>
        <v/>
      </c>
      <c r="AE10" s="46">
        <f>IF(B10=0,"",IFERROR(COUNTIFS(Export!$E:$E,A10,Export!$H:$H,"Efectivo",Export!$M:$M,"&lt;="&amp;26)/B10*100,0))</f>
        <v/>
      </c>
      <c r="AF10" s="46">
        <f>IF(B10=0,"",IFERROR(COUNTIFS(Export!$E:$E,A10,Export!$H:$H,"Efectivo",Export!$M:$M,"&lt;="&amp;27)/B10*100,0))</f>
        <v/>
      </c>
      <c r="AG10" s="46">
        <f>IF(B10=0,"",IFERROR(COUNTIFS(Export!$E:$E,A10,Export!$H:$H,"Efectivo",Export!$M:$M,"&lt;="&amp;28)/B10*100,0))</f>
        <v/>
      </c>
      <c r="AH10" s="46">
        <f>IF(B10=0,"",IFERROR(COUNTIFS(Export!$E:$E,A10,Export!$H:$H,"Efectivo",Export!$M:$M,"&lt;="&amp;29)/B10*100,0))</f>
        <v/>
      </c>
      <c r="AI10" s="46">
        <f>IF(B10=0,"",IFERROR(COUNTIFS(Export!$E:$E,A10,Export!$H:$H,"Efectivo",Export!$M:$M,"&lt;="&amp;30)/B10*100,0))</f>
        <v/>
      </c>
      <c r="AJ10" s="46">
        <f>IF(B10=0,"",IFERROR(COUNTIFS(Export!$E:$E,A10,Export!$H:$H,"Efectivo",Export!$M:$M,"&lt;="&amp;31)/B10*100,0))</f>
        <v/>
      </c>
      <c r="AK10" s="46">
        <f>IF(B10=0,"",IFERROR(COUNTIFS(Export!$E:$E,A10,Export!$H:$H,"Efectivo",Export!$M:$M,"&lt;="&amp;32)/B10*100,0))</f>
        <v/>
      </c>
      <c r="AL10" s="46">
        <f>IF(B10=0,"",IFERROR(COUNTIFS(Export!$E:$E,A10,Export!$H:$H,"Efectivo",Export!$M:$M,"&lt;="&amp;33)/B10*100,0))</f>
        <v/>
      </c>
      <c r="AM10" s="46">
        <f>IF(B10=0,"",IFERROR(COUNTIFS(Export!$E:$E,A10,Export!$H:$H,"Efectivo",Export!$M:$M,"&lt;="&amp;34)/B10*100,0))</f>
        <v/>
      </c>
      <c r="AN10" s="46">
        <f>IF(B10=0,"",IFERROR(COUNTIFS(Export!$E:$E,A10,Export!$H:$H,"Efectivo",Export!$M:$M,"&lt;="&amp;35)/B10*100,0))</f>
        <v/>
      </c>
      <c r="AO10" s="46">
        <f>IF(B10=0,"",IFERROR(COUNTIFS(Export!$E:$E,A10,Export!$H:$H,"Efectivo",Export!$M:$M,"&lt;="&amp;36)/B10*100,0))</f>
        <v/>
      </c>
    </row>
    <row r="11">
      <c r="A11" s="43" t="inlineStr">
        <is>
          <t>09-2024</t>
        </is>
      </c>
      <c r="B11" s="44">
        <f>IFERROR(COUNTIF(Export!$E:$E,A11),0)</f>
        <v/>
      </c>
      <c r="C11" s="45">
        <f>IFERROR(VLOOKUP(A11,Originaciones!$A:$B,2,0),"")</f>
        <v/>
      </c>
      <c r="D11">
        <f>IFERROR(VLOOKUP(A11,'Flota Activa'!$A:$B,2,0),"")</f>
        <v/>
      </c>
      <c r="E11" s="46">
        <f>IF(B11=0,"",IFERROR(COUNTIFS(Export!$E:$E,A11,Export!$H:$H,"Efectivo",Export!$M:$M,"&lt;="&amp;0)/B11*100,0))</f>
        <v/>
      </c>
      <c r="F11" s="46">
        <f>IF(B11=0,"",IFERROR(COUNTIFS(Export!$E:$E,A11,Export!$H:$H,"Efectivo",Export!$M:$M,"&lt;="&amp;1)/B11*100,0))</f>
        <v/>
      </c>
      <c r="G11" s="46">
        <f>IF(B11=0,"",IFERROR(COUNTIFS(Export!$E:$E,A11,Export!$H:$H,"Efectivo",Export!$M:$M,"&lt;="&amp;2)/B11*100,0))</f>
        <v/>
      </c>
      <c r="H11" s="46">
        <f>IF(B11=0,"",IFERROR(COUNTIFS(Export!$E:$E,A11,Export!$H:$H,"Efectivo",Export!$M:$M,"&lt;="&amp;3)/B11*100,0))</f>
        <v/>
      </c>
      <c r="I11" s="46">
        <f>IF(B11=0,"",IFERROR(COUNTIFS(Export!$E:$E,A11,Export!$H:$H,"Efectivo",Export!$M:$M,"&lt;="&amp;4)/B11*100,0))</f>
        <v/>
      </c>
      <c r="J11" s="46">
        <f>IF(B11=0,"",IFERROR(COUNTIFS(Export!$E:$E,A11,Export!$H:$H,"Efectivo",Export!$M:$M,"&lt;="&amp;5)/B11*100,0))</f>
        <v/>
      </c>
      <c r="K11" s="46">
        <f>IF(B11=0,"",IFERROR(COUNTIFS(Export!$E:$E,A11,Export!$H:$H,"Efectivo",Export!$M:$M,"&lt;="&amp;6)/B11*100,0))</f>
        <v/>
      </c>
      <c r="L11" s="46">
        <f>IF(B11=0,"",IFERROR(COUNTIFS(Export!$E:$E,A11,Export!$H:$H,"Efectivo",Export!$M:$M,"&lt;="&amp;7)/B11*100,0))</f>
        <v/>
      </c>
      <c r="M11" s="46">
        <f>IF(B11=0,"",IFERROR(COUNTIFS(Export!$E:$E,A11,Export!$H:$H,"Efectivo",Export!$M:$M,"&lt;="&amp;8)/B11*100,0))</f>
        <v/>
      </c>
      <c r="N11" s="46">
        <f>IF(B11=0,"",IFERROR(COUNTIFS(Export!$E:$E,A11,Export!$H:$H,"Efectivo",Export!$M:$M,"&lt;="&amp;9)/B11*100,0))</f>
        <v/>
      </c>
      <c r="O11" s="46">
        <f>IF(B11=0,"",IFERROR(COUNTIFS(Export!$E:$E,A11,Export!$H:$H,"Efectivo",Export!$M:$M,"&lt;="&amp;10)/B11*100,0))</f>
        <v/>
      </c>
      <c r="P11" s="46">
        <f>IF(B11=0,"",IFERROR(COUNTIFS(Export!$E:$E,A11,Export!$H:$H,"Efectivo",Export!$M:$M,"&lt;="&amp;11)/B11*100,0))</f>
        <v/>
      </c>
      <c r="Q11" s="46">
        <f>IF(B11=0,"",IFERROR(COUNTIFS(Export!$E:$E,A11,Export!$H:$H,"Efectivo",Export!$M:$M,"&lt;="&amp;12)/B11*100,0))</f>
        <v/>
      </c>
      <c r="R11" s="46">
        <f>IF(B11=0,"",IFERROR(COUNTIFS(Export!$E:$E,A11,Export!$H:$H,"Efectivo",Export!$M:$M,"&lt;="&amp;13)/B11*100,0))</f>
        <v/>
      </c>
      <c r="S11" s="46">
        <f>IF(B11=0,"",IFERROR(COUNTIFS(Export!$E:$E,A11,Export!$H:$H,"Efectivo",Export!$M:$M,"&lt;="&amp;14)/B11*100,0))</f>
        <v/>
      </c>
      <c r="T11" s="46">
        <f>IF(B11=0,"",IFERROR(COUNTIFS(Export!$E:$E,A11,Export!$H:$H,"Efectivo",Export!$M:$M,"&lt;="&amp;15)/B11*100,0))</f>
        <v/>
      </c>
      <c r="U11" s="46">
        <f>IF(B11=0,"",IFERROR(COUNTIFS(Export!$E:$E,A11,Export!$H:$H,"Efectivo",Export!$M:$M,"&lt;="&amp;16)/B11*100,0))</f>
        <v/>
      </c>
      <c r="V11" s="46">
        <f>IF(B11=0,"",IFERROR(COUNTIFS(Export!$E:$E,A11,Export!$H:$H,"Efectivo",Export!$M:$M,"&lt;="&amp;17)/B11*100,0))</f>
        <v/>
      </c>
      <c r="W11" s="46">
        <f>IF(B11=0,"",IFERROR(COUNTIFS(Export!$E:$E,A11,Export!$H:$H,"Efectivo",Export!$M:$M,"&lt;="&amp;18)/B11*100,0))</f>
        <v/>
      </c>
      <c r="X11" s="46">
        <f>IF(B11=0,"",IFERROR(COUNTIFS(Export!$E:$E,A11,Export!$H:$H,"Efectivo",Export!$M:$M,"&lt;="&amp;19)/B11*100,0))</f>
        <v/>
      </c>
      <c r="Y11" s="46">
        <f>IF(B11=0,"",IFERROR(COUNTIFS(Export!$E:$E,A11,Export!$H:$H,"Efectivo",Export!$M:$M,"&lt;="&amp;20)/B11*100,0))</f>
        <v/>
      </c>
      <c r="Z11" s="46">
        <f>IF(B11=0,"",IFERROR(COUNTIFS(Export!$E:$E,A11,Export!$H:$H,"Efectivo",Export!$M:$M,"&lt;="&amp;21)/B11*100,0))</f>
        <v/>
      </c>
      <c r="AA11" s="46">
        <f>IF(B11=0,"",IFERROR(COUNTIFS(Export!$E:$E,A11,Export!$H:$H,"Efectivo",Export!$M:$M,"&lt;="&amp;22)/B11*100,0))</f>
        <v/>
      </c>
      <c r="AB11" s="46">
        <f>IF(B11=0,"",IFERROR(COUNTIFS(Export!$E:$E,A11,Export!$H:$H,"Efectivo",Export!$M:$M,"&lt;="&amp;23)/B11*100,0))</f>
        <v/>
      </c>
      <c r="AC11" s="46">
        <f>IF(B11=0,"",IFERROR(COUNTIFS(Export!$E:$E,A11,Export!$H:$H,"Efectivo",Export!$M:$M,"&lt;="&amp;24)/B11*100,0))</f>
        <v/>
      </c>
      <c r="AD11" s="46">
        <f>IF(B11=0,"",IFERROR(COUNTIFS(Export!$E:$E,A11,Export!$H:$H,"Efectivo",Export!$M:$M,"&lt;="&amp;25)/B11*100,0))</f>
        <v/>
      </c>
      <c r="AE11" s="46">
        <f>IF(B11=0,"",IFERROR(COUNTIFS(Export!$E:$E,A11,Export!$H:$H,"Efectivo",Export!$M:$M,"&lt;="&amp;26)/B11*100,0))</f>
        <v/>
      </c>
      <c r="AF11" s="46">
        <f>IF(B11=0,"",IFERROR(COUNTIFS(Export!$E:$E,A11,Export!$H:$H,"Efectivo",Export!$M:$M,"&lt;="&amp;27)/B11*100,0))</f>
        <v/>
      </c>
      <c r="AG11" s="46">
        <f>IF(B11=0,"",IFERROR(COUNTIFS(Export!$E:$E,A11,Export!$H:$H,"Efectivo",Export!$M:$M,"&lt;="&amp;28)/B11*100,0))</f>
        <v/>
      </c>
      <c r="AH11" s="46">
        <f>IF(B11=0,"",IFERROR(COUNTIFS(Export!$E:$E,A11,Export!$H:$H,"Efectivo",Export!$M:$M,"&lt;="&amp;29)/B11*100,0))</f>
        <v/>
      </c>
      <c r="AI11" s="46">
        <f>IF(B11=0,"",IFERROR(COUNTIFS(Export!$E:$E,A11,Export!$H:$H,"Efectivo",Export!$M:$M,"&lt;="&amp;30)/B11*100,0))</f>
        <v/>
      </c>
      <c r="AJ11" s="46">
        <f>IF(B11=0,"",IFERROR(COUNTIFS(Export!$E:$E,A11,Export!$H:$H,"Efectivo",Export!$M:$M,"&lt;="&amp;31)/B11*100,0))</f>
        <v/>
      </c>
      <c r="AK11" s="46">
        <f>IF(B11=0,"",IFERROR(COUNTIFS(Export!$E:$E,A11,Export!$H:$H,"Efectivo",Export!$M:$M,"&lt;="&amp;32)/B11*100,0))</f>
        <v/>
      </c>
      <c r="AL11" s="46">
        <f>IF(B11=0,"",IFERROR(COUNTIFS(Export!$E:$E,A11,Export!$H:$H,"Efectivo",Export!$M:$M,"&lt;="&amp;33)/B11*100,0))</f>
        <v/>
      </c>
      <c r="AM11" s="46">
        <f>IF(B11=0,"",IFERROR(COUNTIFS(Export!$E:$E,A11,Export!$H:$H,"Efectivo",Export!$M:$M,"&lt;="&amp;34)/B11*100,0))</f>
        <v/>
      </c>
      <c r="AN11" s="46">
        <f>IF(B11=0,"",IFERROR(COUNTIFS(Export!$E:$E,A11,Export!$H:$H,"Efectivo",Export!$M:$M,"&lt;="&amp;35)/B11*100,0))</f>
        <v/>
      </c>
      <c r="AO11" s="46">
        <f>IF(B11=0,"",IFERROR(COUNTIFS(Export!$E:$E,A11,Export!$H:$H,"Efectivo",Export!$M:$M,"&lt;="&amp;36)/B11*100,0))</f>
        <v/>
      </c>
    </row>
    <row r="12">
      <c r="A12" s="43" t="inlineStr">
        <is>
          <t>10-2024</t>
        </is>
      </c>
      <c r="B12" s="44">
        <f>IFERROR(COUNTIF(Export!$E:$E,A12),0)</f>
        <v/>
      </c>
      <c r="C12" s="45">
        <f>IFERROR(VLOOKUP(A12,Originaciones!$A:$B,2,0),"")</f>
        <v/>
      </c>
      <c r="D12">
        <f>IFERROR(VLOOKUP(A12,'Flota Activa'!$A:$B,2,0),"")</f>
        <v/>
      </c>
      <c r="E12" s="46">
        <f>IF(B12=0,"",IFERROR(COUNTIFS(Export!$E:$E,A12,Export!$H:$H,"Efectivo",Export!$M:$M,"&lt;="&amp;0)/B12*100,0))</f>
        <v/>
      </c>
      <c r="F12" s="46">
        <f>IF(B12=0,"",IFERROR(COUNTIFS(Export!$E:$E,A12,Export!$H:$H,"Efectivo",Export!$M:$M,"&lt;="&amp;1)/B12*100,0))</f>
        <v/>
      </c>
      <c r="G12" s="46">
        <f>IF(B12=0,"",IFERROR(COUNTIFS(Export!$E:$E,A12,Export!$H:$H,"Efectivo",Export!$M:$M,"&lt;="&amp;2)/B12*100,0))</f>
        <v/>
      </c>
      <c r="H12" s="46">
        <f>IF(B12=0,"",IFERROR(COUNTIFS(Export!$E:$E,A12,Export!$H:$H,"Efectivo",Export!$M:$M,"&lt;="&amp;3)/B12*100,0))</f>
        <v/>
      </c>
      <c r="I12" s="46">
        <f>IF(B12=0,"",IFERROR(COUNTIFS(Export!$E:$E,A12,Export!$H:$H,"Efectivo",Export!$M:$M,"&lt;="&amp;4)/B12*100,0))</f>
        <v/>
      </c>
      <c r="J12" s="46">
        <f>IF(B12=0,"",IFERROR(COUNTIFS(Export!$E:$E,A12,Export!$H:$H,"Efectivo",Export!$M:$M,"&lt;="&amp;5)/B12*100,0))</f>
        <v/>
      </c>
      <c r="K12" s="46">
        <f>IF(B12=0,"",IFERROR(COUNTIFS(Export!$E:$E,A12,Export!$H:$H,"Efectivo",Export!$M:$M,"&lt;="&amp;6)/B12*100,0))</f>
        <v/>
      </c>
      <c r="L12" s="46">
        <f>IF(B12=0,"",IFERROR(COUNTIFS(Export!$E:$E,A12,Export!$H:$H,"Efectivo",Export!$M:$M,"&lt;="&amp;7)/B12*100,0))</f>
        <v/>
      </c>
      <c r="M12" s="46">
        <f>IF(B12=0,"",IFERROR(COUNTIFS(Export!$E:$E,A12,Export!$H:$H,"Efectivo",Export!$M:$M,"&lt;="&amp;8)/B12*100,0))</f>
        <v/>
      </c>
      <c r="N12" s="46">
        <f>IF(B12=0,"",IFERROR(COUNTIFS(Export!$E:$E,A12,Export!$H:$H,"Efectivo",Export!$M:$M,"&lt;="&amp;9)/B12*100,0))</f>
        <v/>
      </c>
      <c r="O12" s="46">
        <f>IF(B12=0,"",IFERROR(COUNTIFS(Export!$E:$E,A12,Export!$H:$H,"Efectivo",Export!$M:$M,"&lt;="&amp;10)/B12*100,0))</f>
        <v/>
      </c>
      <c r="P12" s="46">
        <f>IF(B12=0,"",IFERROR(COUNTIFS(Export!$E:$E,A12,Export!$H:$H,"Efectivo",Export!$M:$M,"&lt;="&amp;11)/B12*100,0))</f>
        <v/>
      </c>
      <c r="Q12" s="46">
        <f>IF(B12=0,"",IFERROR(COUNTIFS(Export!$E:$E,A12,Export!$H:$H,"Efectivo",Export!$M:$M,"&lt;="&amp;12)/B12*100,0))</f>
        <v/>
      </c>
      <c r="R12" s="46">
        <f>IF(B12=0,"",IFERROR(COUNTIFS(Export!$E:$E,A12,Export!$H:$H,"Efectivo",Export!$M:$M,"&lt;="&amp;13)/B12*100,0))</f>
        <v/>
      </c>
      <c r="S12" s="46">
        <f>IF(B12=0,"",IFERROR(COUNTIFS(Export!$E:$E,A12,Export!$H:$H,"Efectivo",Export!$M:$M,"&lt;="&amp;14)/B12*100,0))</f>
        <v/>
      </c>
      <c r="T12" s="46">
        <f>IF(B12=0,"",IFERROR(COUNTIFS(Export!$E:$E,A12,Export!$H:$H,"Efectivo",Export!$M:$M,"&lt;="&amp;15)/B12*100,0))</f>
        <v/>
      </c>
      <c r="U12" s="46">
        <f>IF(B12=0,"",IFERROR(COUNTIFS(Export!$E:$E,A12,Export!$H:$H,"Efectivo",Export!$M:$M,"&lt;="&amp;16)/B12*100,0))</f>
        <v/>
      </c>
      <c r="V12" s="46">
        <f>IF(B12=0,"",IFERROR(COUNTIFS(Export!$E:$E,A12,Export!$H:$H,"Efectivo",Export!$M:$M,"&lt;="&amp;17)/B12*100,0))</f>
        <v/>
      </c>
      <c r="W12" s="46">
        <f>IF(B12=0,"",IFERROR(COUNTIFS(Export!$E:$E,A12,Export!$H:$H,"Efectivo",Export!$M:$M,"&lt;="&amp;18)/B12*100,0))</f>
        <v/>
      </c>
      <c r="X12" s="46">
        <f>IF(B12=0,"",IFERROR(COUNTIFS(Export!$E:$E,A12,Export!$H:$H,"Efectivo",Export!$M:$M,"&lt;="&amp;19)/B12*100,0))</f>
        <v/>
      </c>
      <c r="Y12" s="46">
        <f>IF(B12=0,"",IFERROR(COUNTIFS(Export!$E:$E,A12,Export!$H:$H,"Efectivo",Export!$M:$M,"&lt;="&amp;20)/B12*100,0))</f>
        <v/>
      </c>
      <c r="Z12" s="46">
        <f>IF(B12=0,"",IFERROR(COUNTIFS(Export!$E:$E,A12,Export!$H:$H,"Efectivo",Export!$M:$M,"&lt;="&amp;21)/B12*100,0))</f>
        <v/>
      </c>
      <c r="AA12" s="46">
        <f>IF(B12=0,"",IFERROR(COUNTIFS(Export!$E:$E,A12,Export!$H:$H,"Efectivo",Export!$M:$M,"&lt;="&amp;22)/B12*100,0))</f>
        <v/>
      </c>
      <c r="AB12" s="46">
        <f>IF(B12=0,"",IFERROR(COUNTIFS(Export!$E:$E,A12,Export!$H:$H,"Efectivo",Export!$M:$M,"&lt;="&amp;23)/B12*100,0))</f>
        <v/>
      </c>
      <c r="AC12" s="46">
        <f>IF(B12=0,"",IFERROR(COUNTIFS(Export!$E:$E,A12,Export!$H:$H,"Efectivo",Export!$M:$M,"&lt;="&amp;24)/B12*100,0))</f>
        <v/>
      </c>
      <c r="AD12" s="46">
        <f>IF(B12=0,"",IFERROR(COUNTIFS(Export!$E:$E,A12,Export!$H:$H,"Efectivo",Export!$M:$M,"&lt;="&amp;25)/B12*100,0))</f>
        <v/>
      </c>
      <c r="AE12" s="46">
        <f>IF(B12=0,"",IFERROR(COUNTIFS(Export!$E:$E,A12,Export!$H:$H,"Efectivo",Export!$M:$M,"&lt;="&amp;26)/B12*100,0))</f>
        <v/>
      </c>
      <c r="AF12" s="46">
        <f>IF(B12=0,"",IFERROR(COUNTIFS(Export!$E:$E,A12,Export!$H:$H,"Efectivo",Export!$M:$M,"&lt;="&amp;27)/B12*100,0))</f>
        <v/>
      </c>
      <c r="AG12" s="46">
        <f>IF(B12=0,"",IFERROR(COUNTIFS(Export!$E:$E,A12,Export!$H:$H,"Efectivo",Export!$M:$M,"&lt;="&amp;28)/B12*100,0))</f>
        <v/>
      </c>
      <c r="AH12" s="46">
        <f>IF(B12=0,"",IFERROR(COUNTIFS(Export!$E:$E,A12,Export!$H:$H,"Efectivo",Export!$M:$M,"&lt;="&amp;29)/B12*100,0))</f>
        <v/>
      </c>
      <c r="AI12" s="46">
        <f>IF(B12=0,"",IFERROR(COUNTIFS(Export!$E:$E,A12,Export!$H:$H,"Efectivo",Export!$M:$M,"&lt;="&amp;30)/B12*100,0))</f>
        <v/>
      </c>
      <c r="AJ12" s="46">
        <f>IF(B12=0,"",IFERROR(COUNTIFS(Export!$E:$E,A12,Export!$H:$H,"Efectivo",Export!$M:$M,"&lt;="&amp;31)/B12*100,0))</f>
        <v/>
      </c>
      <c r="AK12" s="46">
        <f>IF(B12=0,"",IFERROR(COUNTIFS(Export!$E:$E,A12,Export!$H:$H,"Efectivo",Export!$M:$M,"&lt;="&amp;32)/B12*100,0))</f>
        <v/>
      </c>
      <c r="AL12" s="46">
        <f>IF(B12=0,"",IFERROR(COUNTIFS(Export!$E:$E,A12,Export!$H:$H,"Efectivo",Export!$M:$M,"&lt;="&amp;33)/B12*100,0))</f>
        <v/>
      </c>
      <c r="AM12" s="46">
        <f>IF(B12=0,"",IFERROR(COUNTIFS(Export!$E:$E,A12,Export!$H:$H,"Efectivo",Export!$M:$M,"&lt;="&amp;34)/B12*100,0))</f>
        <v/>
      </c>
      <c r="AN12" s="46">
        <f>IF(B12=0,"",IFERROR(COUNTIFS(Export!$E:$E,A12,Export!$H:$H,"Efectivo",Export!$M:$M,"&lt;="&amp;35)/B12*100,0))</f>
        <v/>
      </c>
      <c r="AO12" s="46">
        <f>IF(B12=0,"",IFERROR(COUNTIFS(Export!$E:$E,A12,Export!$H:$H,"Efectivo",Export!$M:$M,"&lt;="&amp;36)/B12*100,0))</f>
        <v/>
      </c>
    </row>
    <row r="13">
      <c r="A13" s="43" t="inlineStr">
        <is>
          <t>11-2024</t>
        </is>
      </c>
      <c r="B13" s="44">
        <f>IFERROR(COUNTIF(Export!$E:$E,A13),0)</f>
        <v/>
      </c>
      <c r="C13" s="45">
        <f>IFERROR(VLOOKUP(A13,Originaciones!$A:$B,2,0),"")</f>
        <v/>
      </c>
      <c r="D13">
        <f>IFERROR(VLOOKUP(A13,'Flota Activa'!$A:$B,2,0),"")</f>
        <v/>
      </c>
      <c r="E13" s="46">
        <f>IF(B13=0,"",IFERROR(COUNTIFS(Export!$E:$E,A13,Export!$H:$H,"Efectivo",Export!$M:$M,"&lt;="&amp;0)/B13*100,0))</f>
        <v/>
      </c>
      <c r="F13" s="46">
        <f>IF(B13=0,"",IFERROR(COUNTIFS(Export!$E:$E,A13,Export!$H:$H,"Efectivo",Export!$M:$M,"&lt;="&amp;1)/B13*100,0))</f>
        <v/>
      </c>
      <c r="G13" s="46">
        <f>IF(B13=0,"",IFERROR(COUNTIFS(Export!$E:$E,A13,Export!$H:$H,"Efectivo",Export!$M:$M,"&lt;="&amp;2)/B13*100,0))</f>
        <v/>
      </c>
      <c r="H13" s="46">
        <f>IF(B13=0,"",IFERROR(COUNTIFS(Export!$E:$E,A13,Export!$H:$H,"Efectivo",Export!$M:$M,"&lt;="&amp;3)/B13*100,0))</f>
        <v/>
      </c>
      <c r="I13" s="46">
        <f>IF(B13=0,"",IFERROR(COUNTIFS(Export!$E:$E,A13,Export!$H:$H,"Efectivo",Export!$M:$M,"&lt;="&amp;4)/B13*100,0))</f>
        <v/>
      </c>
      <c r="J13" s="46">
        <f>IF(B13=0,"",IFERROR(COUNTIFS(Export!$E:$E,A13,Export!$H:$H,"Efectivo",Export!$M:$M,"&lt;="&amp;5)/B13*100,0))</f>
        <v/>
      </c>
      <c r="K13" s="46">
        <f>IF(B13=0,"",IFERROR(COUNTIFS(Export!$E:$E,A13,Export!$H:$H,"Efectivo",Export!$M:$M,"&lt;="&amp;6)/B13*100,0))</f>
        <v/>
      </c>
      <c r="L13" s="46">
        <f>IF(B13=0,"",IFERROR(COUNTIFS(Export!$E:$E,A13,Export!$H:$H,"Efectivo",Export!$M:$M,"&lt;="&amp;7)/B13*100,0))</f>
        <v/>
      </c>
      <c r="M13" s="46">
        <f>IF(B13=0,"",IFERROR(COUNTIFS(Export!$E:$E,A13,Export!$H:$H,"Efectivo",Export!$M:$M,"&lt;="&amp;8)/B13*100,0))</f>
        <v/>
      </c>
      <c r="N13" s="46">
        <f>IF(B13=0,"",IFERROR(COUNTIFS(Export!$E:$E,A13,Export!$H:$H,"Efectivo",Export!$M:$M,"&lt;="&amp;9)/B13*100,0))</f>
        <v/>
      </c>
      <c r="O13" s="46">
        <f>IF(B13=0,"",IFERROR(COUNTIFS(Export!$E:$E,A13,Export!$H:$H,"Efectivo",Export!$M:$M,"&lt;="&amp;10)/B13*100,0))</f>
        <v/>
      </c>
      <c r="P13" s="46">
        <f>IF(B13=0,"",IFERROR(COUNTIFS(Export!$E:$E,A13,Export!$H:$H,"Efectivo",Export!$M:$M,"&lt;="&amp;11)/B13*100,0))</f>
        <v/>
      </c>
      <c r="Q13" s="46">
        <f>IF(B13=0,"",IFERROR(COUNTIFS(Export!$E:$E,A13,Export!$H:$H,"Efectivo",Export!$M:$M,"&lt;="&amp;12)/B13*100,0))</f>
        <v/>
      </c>
      <c r="R13" s="46">
        <f>IF(B13=0,"",IFERROR(COUNTIFS(Export!$E:$E,A13,Export!$H:$H,"Efectivo",Export!$M:$M,"&lt;="&amp;13)/B13*100,0))</f>
        <v/>
      </c>
      <c r="S13" s="46">
        <f>IF(B13=0,"",IFERROR(COUNTIFS(Export!$E:$E,A13,Export!$H:$H,"Efectivo",Export!$M:$M,"&lt;="&amp;14)/B13*100,0))</f>
        <v/>
      </c>
      <c r="T13" s="46">
        <f>IF(B13=0,"",IFERROR(COUNTIFS(Export!$E:$E,A13,Export!$H:$H,"Efectivo",Export!$M:$M,"&lt;="&amp;15)/B13*100,0))</f>
        <v/>
      </c>
      <c r="U13" s="46">
        <f>IF(B13=0,"",IFERROR(COUNTIFS(Export!$E:$E,A13,Export!$H:$H,"Efectivo",Export!$M:$M,"&lt;="&amp;16)/B13*100,0))</f>
        <v/>
      </c>
      <c r="V13" s="46">
        <f>IF(B13=0,"",IFERROR(COUNTIFS(Export!$E:$E,A13,Export!$H:$H,"Efectivo",Export!$M:$M,"&lt;="&amp;17)/B13*100,0))</f>
        <v/>
      </c>
      <c r="W13" s="46">
        <f>IF(B13=0,"",IFERROR(COUNTIFS(Export!$E:$E,A13,Export!$H:$H,"Efectivo",Export!$M:$M,"&lt;="&amp;18)/B13*100,0))</f>
        <v/>
      </c>
      <c r="X13" s="46">
        <f>IF(B13=0,"",IFERROR(COUNTIFS(Export!$E:$E,A13,Export!$H:$H,"Efectivo",Export!$M:$M,"&lt;="&amp;19)/B13*100,0))</f>
        <v/>
      </c>
      <c r="Y13" s="46">
        <f>IF(B13=0,"",IFERROR(COUNTIFS(Export!$E:$E,A13,Export!$H:$H,"Efectivo",Export!$M:$M,"&lt;="&amp;20)/B13*100,0))</f>
        <v/>
      </c>
      <c r="Z13" s="46">
        <f>IF(B13=0,"",IFERROR(COUNTIFS(Export!$E:$E,A13,Export!$H:$H,"Efectivo",Export!$M:$M,"&lt;="&amp;21)/B13*100,0))</f>
        <v/>
      </c>
      <c r="AA13" s="46">
        <f>IF(B13=0,"",IFERROR(COUNTIFS(Export!$E:$E,A13,Export!$H:$H,"Efectivo",Export!$M:$M,"&lt;="&amp;22)/B13*100,0))</f>
        <v/>
      </c>
      <c r="AB13" s="46">
        <f>IF(B13=0,"",IFERROR(COUNTIFS(Export!$E:$E,A13,Export!$H:$H,"Efectivo",Export!$M:$M,"&lt;="&amp;23)/B13*100,0))</f>
        <v/>
      </c>
      <c r="AC13" s="46">
        <f>IF(B13=0,"",IFERROR(COUNTIFS(Export!$E:$E,A13,Export!$H:$H,"Efectivo",Export!$M:$M,"&lt;="&amp;24)/B13*100,0))</f>
        <v/>
      </c>
      <c r="AD13" s="46">
        <f>IF(B13=0,"",IFERROR(COUNTIFS(Export!$E:$E,A13,Export!$H:$H,"Efectivo",Export!$M:$M,"&lt;="&amp;25)/B13*100,0))</f>
        <v/>
      </c>
      <c r="AE13" s="46">
        <f>IF(B13=0,"",IFERROR(COUNTIFS(Export!$E:$E,A13,Export!$H:$H,"Efectivo",Export!$M:$M,"&lt;="&amp;26)/B13*100,0))</f>
        <v/>
      </c>
      <c r="AF13" s="46">
        <f>IF(B13=0,"",IFERROR(COUNTIFS(Export!$E:$E,A13,Export!$H:$H,"Efectivo",Export!$M:$M,"&lt;="&amp;27)/B13*100,0))</f>
        <v/>
      </c>
      <c r="AG13" s="46">
        <f>IF(B13=0,"",IFERROR(COUNTIFS(Export!$E:$E,A13,Export!$H:$H,"Efectivo",Export!$M:$M,"&lt;="&amp;28)/B13*100,0))</f>
        <v/>
      </c>
      <c r="AH13" s="46">
        <f>IF(B13=0,"",IFERROR(COUNTIFS(Export!$E:$E,A13,Export!$H:$H,"Efectivo",Export!$M:$M,"&lt;="&amp;29)/B13*100,0))</f>
        <v/>
      </c>
      <c r="AI13" s="46">
        <f>IF(B13=0,"",IFERROR(COUNTIFS(Export!$E:$E,A13,Export!$H:$H,"Efectivo",Export!$M:$M,"&lt;="&amp;30)/B13*100,0))</f>
        <v/>
      </c>
      <c r="AJ13" s="46">
        <f>IF(B13=0,"",IFERROR(COUNTIFS(Export!$E:$E,A13,Export!$H:$H,"Efectivo",Export!$M:$M,"&lt;="&amp;31)/B13*100,0))</f>
        <v/>
      </c>
      <c r="AK13" s="46">
        <f>IF(B13=0,"",IFERROR(COUNTIFS(Export!$E:$E,A13,Export!$H:$H,"Efectivo",Export!$M:$M,"&lt;="&amp;32)/B13*100,0))</f>
        <v/>
      </c>
      <c r="AL13" s="46">
        <f>IF(B13=0,"",IFERROR(COUNTIFS(Export!$E:$E,A13,Export!$H:$H,"Efectivo",Export!$M:$M,"&lt;="&amp;33)/B13*100,0))</f>
        <v/>
      </c>
      <c r="AM13" s="46">
        <f>IF(B13=0,"",IFERROR(COUNTIFS(Export!$E:$E,A13,Export!$H:$H,"Efectivo",Export!$M:$M,"&lt;="&amp;34)/B13*100,0))</f>
        <v/>
      </c>
      <c r="AN13" s="46">
        <f>IF(B13=0,"",IFERROR(COUNTIFS(Export!$E:$E,A13,Export!$H:$H,"Efectivo",Export!$M:$M,"&lt;="&amp;35)/B13*100,0))</f>
        <v/>
      </c>
      <c r="AO13" s="46">
        <f>IF(B13=0,"",IFERROR(COUNTIFS(Export!$E:$E,A13,Export!$H:$H,"Efectivo",Export!$M:$M,"&lt;="&amp;36)/B13*100,0))</f>
        <v/>
      </c>
    </row>
    <row r="14">
      <c r="A14" s="43" t="inlineStr">
        <is>
          <t>12-2024</t>
        </is>
      </c>
      <c r="B14" s="44">
        <f>IFERROR(COUNTIF(Export!$E:$E,A14),0)</f>
        <v/>
      </c>
      <c r="C14" s="45">
        <f>IFERROR(VLOOKUP(A14,Originaciones!$A:$B,2,0),"")</f>
        <v/>
      </c>
      <c r="D14">
        <f>IFERROR(VLOOKUP(A14,'Flota Activa'!$A:$B,2,0),"")</f>
        <v/>
      </c>
      <c r="E14" s="46">
        <f>IF(B14=0,"",IFERROR(COUNTIFS(Export!$E:$E,A14,Export!$H:$H,"Efectivo",Export!$M:$M,"&lt;="&amp;0)/B14*100,0))</f>
        <v/>
      </c>
      <c r="F14" s="46">
        <f>IF(B14=0,"",IFERROR(COUNTIFS(Export!$E:$E,A14,Export!$H:$H,"Efectivo",Export!$M:$M,"&lt;="&amp;1)/B14*100,0))</f>
        <v/>
      </c>
      <c r="G14" s="46">
        <f>IF(B14=0,"",IFERROR(COUNTIFS(Export!$E:$E,A14,Export!$H:$H,"Efectivo",Export!$M:$M,"&lt;="&amp;2)/B14*100,0))</f>
        <v/>
      </c>
      <c r="H14" s="46">
        <f>IF(B14=0,"",IFERROR(COUNTIFS(Export!$E:$E,A14,Export!$H:$H,"Efectivo",Export!$M:$M,"&lt;="&amp;3)/B14*100,0))</f>
        <v/>
      </c>
      <c r="I14" s="46">
        <f>IF(B14=0,"",IFERROR(COUNTIFS(Export!$E:$E,A14,Export!$H:$H,"Efectivo",Export!$M:$M,"&lt;="&amp;4)/B14*100,0))</f>
        <v/>
      </c>
      <c r="J14" s="46">
        <f>IF(B14=0,"",IFERROR(COUNTIFS(Export!$E:$E,A14,Export!$H:$H,"Efectivo",Export!$M:$M,"&lt;="&amp;5)/B14*100,0))</f>
        <v/>
      </c>
      <c r="K14" s="46">
        <f>IF(B14=0,"",IFERROR(COUNTIFS(Export!$E:$E,A14,Export!$H:$H,"Efectivo",Export!$M:$M,"&lt;="&amp;6)/B14*100,0))</f>
        <v/>
      </c>
      <c r="L14" s="46">
        <f>IF(B14=0,"",IFERROR(COUNTIFS(Export!$E:$E,A14,Export!$H:$H,"Efectivo",Export!$M:$M,"&lt;="&amp;7)/B14*100,0))</f>
        <v/>
      </c>
      <c r="M14" s="46">
        <f>IF(B14=0,"",IFERROR(COUNTIFS(Export!$E:$E,A14,Export!$H:$H,"Efectivo",Export!$M:$M,"&lt;="&amp;8)/B14*100,0))</f>
        <v/>
      </c>
      <c r="N14" s="46">
        <f>IF(B14=0,"",IFERROR(COUNTIFS(Export!$E:$E,A14,Export!$H:$H,"Efectivo",Export!$M:$M,"&lt;="&amp;9)/B14*100,0))</f>
        <v/>
      </c>
      <c r="O14" s="46">
        <f>IF(B14=0,"",IFERROR(COUNTIFS(Export!$E:$E,A14,Export!$H:$H,"Efectivo",Export!$M:$M,"&lt;="&amp;10)/B14*100,0))</f>
        <v/>
      </c>
      <c r="P14" s="46">
        <f>IF(B14=0,"",IFERROR(COUNTIFS(Export!$E:$E,A14,Export!$H:$H,"Efectivo",Export!$M:$M,"&lt;="&amp;11)/B14*100,0))</f>
        <v/>
      </c>
      <c r="Q14" s="46">
        <f>IF(B14=0,"",IFERROR(COUNTIFS(Export!$E:$E,A14,Export!$H:$H,"Efectivo",Export!$M:$M,"&lt;="&amp;12)/B14*100,0))</f>
        <v/>
      </c>
      <c r="R14" s="46">
        <f>IF(B14=0,"",IFERROR(COUNTIFS(Export!$E:$E,A14,Export!$H:$H,"Efectivo",Export!$M:$M,"&lt;="&amp;13)/B14*100,0))</f>
        <v/>
      </c>
      <c r="S14" s="46">
        <f>IF(B14=0,"",IFERROR(COUNTIFS(Export!$E:$E,A14,Export!$H:$H,"Efectivo",Export!$M:$M,"&lt;="&amp;14)/B14*100,0))</f>
        <v/>
      </c>
      <c r="T14" s="46">
        <f>IF(B14=0,"",IFERROR(COUNTIFS(Export!$E:$E,A14,Export!$H:$H,"Efectivo",Export!$M:$M,"&lt;="&amp;15)/B14*100,0))</f>
        <v/>
      </c>
      <c r="U14" s="46">
        <f>IF(B14=0,"",IFERROR(COUNTIFS(Export!$E:$E,A14,Export!$H:$H,"Efectivo",Export!$M:$M,"&lt;="&amp;16)/B14*100,0))</f>
        <v/>
      </c>
      <c r="V14" s="46">
        <f>IF(B14=0,"",IFERROR(COUNTIFS(Export!$E:$E,A14,Export!$H:$H,"Efectivo",Export!$M:$M,"&lt;="&amp;17)/B14*100,0))</f>
        <v/>
      </c>
      <c r="W14" s="46">
        <f>IF(B14=0,"",IFERROR(COUNTIFS(Export!$E:$E,A14,Export!$H:$H,"Efectivo",Export!$M:$M,"&lt;="&amp;18)/B14*100,0))</f>
        <v/>
      </c>
      <c r="X14" s="46">
        <f>IF(B14=0,"",IFERROR(COUNTIFS(Export!$E:$E,A14,Export!$H:$H,"Efectivo",Export!$M:$M,"&lt;="&amp;19)/B14*100,0))</f>
        <v/>
      </c>
      <c r="Y14" s="46">
        <f>IF(B14=0,"",IFERROR(COUNTIFS(Export!$E:$E,A14,Export!$H:$H,"Efectivo",Export!$M:$M,"&lt;="&amp;20)/B14*100,0))</f>
        <v/>
      </c>
      <c r="Z14" s="46">
        <f>IF(B14=0,"",IFERROR(COUNTIFS(Export!$E:$E,A14,Export!$H:$H,"Efectivo",Export!$M:$M,"&lt;="&amp;21)/B14*100,0))</f>
        <v/>
      </c>
      <c r="AA14" s="46">
        <f>IF(B14=0,"",IFERROR(COUNTIFS(Export!$E:$E,A14,Export!$H:$H,"Efectivo",Export!$M:$M,"&lt;="&amp;22)/B14*100,0))</f>
        <v/>
      </c>
      <c r="AB14" s="46">
        <f>IF(B14=0,"",IFERROR(COUNTIFS(Export!$E:$E,A14,Export!$H:$H,"Efectivo",Export!$M:$M,"&lt;="&amp;23)/B14*100,0))</f>
        <v/>
      </c>
      <c r="AC14" s="46">
        <f>IF(B14=0,"",IFERROR(COUNTIFS(Export!$E:$E,A14,Export!$H:$H,"Efectivo",Export!$M:$M,"&lt;="&amp;24)/B14*100,0))</f>
        <v/>
      </c>
      <c r="AD14" s="46">
        <f>IF(B14=0,"",IFERROR(COUNTIFS(Export!$E:$E,A14,Export!$H:$H,"Efectivo",Export!$M:$M,"&lt;="&amp;25)/B14*100,0))</f>
        <v/>
      </c>
      <c r="AE14" s="46">
        <f>IF(B14=0,"",IFERROR(COUNTIFS(Export!$E:$E,A14,Export!$H:$H,"Efectivo",Export!$M:$M,"&lt;="&amp;26)/B14*100,0))</f>
        <v/>
      </c>
      <c r="AF14" s="46">
        <f>IF(B14=0,"",IFERROR(COUNTIFS(Export!$E:$E,A14,Export!$H:$H,"Efectivo",Export!$M:$M,"&lt;="&amp;27)/B14*100,0))</f>
        <v/>
      </c>
      <c r="AG14" s="46">
        <f>IF(B14=0,"",IFERROR(COUNTIFS(Export!$E:$E,A14,Export!$H:$H,"Efectivo",Export!$M:$M,"&lt;="&amp;28)/B14*100,0))</f>
        <v/>
      </c>
      <c r="AH14" s="46">
        <f>IF(B14=0,"",IFERROR(COUNTIFS(Export!$E:$E,A14,Export!$H:$H,"Efectivo",Export!$M:$M,"&lt;="&amp;29)/B14*100,0))</f>
        <v/>
      </c>
      <c r="AI14" s="46">
        <f>IF(B14=0,"",IFERROR(COUNTIFS(Export!$E:$E,A14,Export!$H:$H,"Efectivo",Export!$M:$M,"&lt;="&amp;30)/B14*100,0))</f>
        <v/>
      </c>
      <c r="AJ14" s="46">
        <f>IF(B14=0,"",IFERROR(COUNTIFS(Export!$E:$E,A14,Export!$H:$H,"Efectivo",Export!$M:$M,"&lt;="&amp;31)/B14*100,0))</f>
        <v/>
      </c>
      <c r="AK14" s="46">
        <f>IF(B14=0,"",IFERROR(COUNTIFS(Export!$E:$E,A14,Export!$H:$H,"Efectivo",Export!$M:$M,"&lt;="&amp;32)/B14*100,0))</f>
        <v/>
      </c>
      <c r="AL14" s="46">
        <f>IF(B14=0,"",IFERROR(COUNTIFS(Export!$E:$E,A14,Export!$H:$H,"Efectivo",Export!$M:$M,"&lt;="&amp;33)/B14*100,0))</f>
        <v/>
      </c>
      <c r="AM14" s="46">
        <f>IF(B14=0,"",IFERROR(COUNTIFS(Export!$E:$E,A14,Export!$H:$H,"Efectivo",Export!$M:$M,"&lt;="&amp;34)/B14*100,0))</f>
        <v/>
      </c>
      <c r="AN14" s="46">
        <f>IF(B14=0,"",IFERROR(COUNTIFS(Export!$E:$E,A14,Export!$H:$H,"Efectivo",Export!$M:$M,"&lt;="&amp;35)/B14*100,0))</f>
        <v/>
      </c>
      <c r="AO14" s="46">
        <f>IF(B14=0,"",IFERROR(COUNTIFS(Export!$E:$E,A14,Export!$H:$H,"Efectivo",Export!$M:$M,"&lt;="&amp;36)/B14*100,0))</f>
        <v/>
      </c>
    </row>
    <row r="15">
      <c r="A15" s="47" t="inlineStr">
        <is>
          <t>01-2025</t>
        </is>
      </c>
      <c r="B15" s="44">
        <f>IFERROR(COUNTIF(Export!$E:$E,A15),0)</f>
        <v/>
      </c>
      <c r="C15" s="45">
        <f>IFERROR(VLOOKUP(A15,Originaciones!$A:$B,2,0),"")</f>
        <v/>
      </c>
      <c r="D15">
        <f>IFERROR(VLOOKUP(A15,'Flota Activa'!$A:$B,2,0),"")</f>
        <v/>
      </c>
      <c r="E15" s="46">
        <f>IF(B15=0,"",IFERROR(COUNTIFS(Export!$E:$E,A15,Export!$H:$H,"Efectivo",Export!$M:$M,"&lt;="&amp;0)/B15*100,0))</f>
        <v/>
      </c>
      <c r="F15" s="46">
        <f>IF(B15=0,"",IFERROR(COUNTIFS(Export!$E:$E,A15,Export!$H:$H,"Efectivo",Export!$M:$M,"&lt;="&amp;1)/B15*100,0))</f>
        <v/>
      </c>
      <c r="G15" s="46">
        <f>IF(B15=0,"",IFERROR(COUNTIFS(Export!$E:$E,A15,Export!$H:$H,"Efectivo",Export!$M:$M,"&lt;="&amp;2)/B15*100,0))</f>
        <v/>
      </c>
      <c r="H15" s="46">
        <f>IF(B15=0,"",IFERROR(COUNTIFS(Export!$E:$E,A15,Export!$H:$H,"Efectivo",Export!$M:$M,"&lt;="&amp;3)/B15*100,0))</f>
        <v/>
      </c>
      <c r="I15" s="46">
        <f>IF(B15=0,"",IFERROR(COUNTIFS(Export!$E:$E,A15,Export!$H:$H,"Efectivo",Export!$M:$M,"&lt;="&amp;4)/B15*100,0))</f>
        <v/>
      </c>
      <c r="J15" s="46">
        <f>IF(B15=0,"",IFERROR(COUNTIFS(Export!$E:$E,A15,Export!$H:$H,"Efectivo",Export!$M:$M,"&lt;="&amp;5)/B15*100,0))</f>
        <v/>
      </c>
      <c r="K15" s="46">
        <f>IF(B15=0,"",IFERROR(COUNTIFS(Export!$E:$E,A15,Export!$H:$H,"Efectivo",Export!$M:$M,"&lt;="&amp;6)/B15*100,0))</f>
        <v/>
      </c>
      <c r="L15" s="46">
        <f>IF(B15=0,"",IFERROR(COUNTIFS(Export!$E:$E,A15,Export!$H:$H,"Efectivo",Export!$M:$M,"&lt;="&amp;7)/B15*100,0))</f>
        <v/>
      </c>
      <c r="M15" s="46">
        <f>IF(B15=0,"",IFERROR(COUNTIFS(Export!$E:$E,A15,Export!$H:$H,"Efectivo",Export!$M:$M,"&lt;="&amp;8)/B15*100,0))</f>
        <v/>
      </c>
      <c r="N15" s="46">
        <f>IF(B15=0,"",IFERROR(COUNTIFS(Export!$E:$E,A15,Export!$H:$H,"Efectivo",Export!$M:$M,"&lt;="&amp;9)/B15*100,0))</f>
        <v/>
      </c>
      <c r="O15" s="46">
        <f>IF(B15=0,"",IFERROR(COUNTIFS(Export!$E:$E,A15,Export!$H:$H,"Efectivo",Export!$M:$M,"&lt;="&amp;10)/B15*100,0))</f>
        <v/>
      </c>
      <c r="P15" s="46">
        <f>IF(B15=0,"",IFERROR(COUNTIFS(Export!$E:$E,A15,Export!$H:$H,"Efectivo",Export!$M:$M,"&lt;="&amp;11)/B15*100,0))</f>
        <v/>
      </c>
      <c r="Q15" s="46">
        <f>IF(B15=0,"",IFERROR(COUNTIFS(Export!$E:$E,A15,Export!$H:$H,"Efectivo",Export!$M:$M,"&lt;="&amp;12)/B15*100,0))</f>
        <v/>
      </c>
      <c r="R15" s="46">
        <f>IF(B15=0,"",IFERROR(COUNTIFS(Export!$E:$E,A15,Export!$H:$H,"Efectivo",Export!$M:$M,"&lt;="&amp;13)/B15*100,0))</f>
        <v/>
      </c>
      <c r="S15" s="46">
        <f>IF(B15=0,"",IFERROR(COUNTIFS(Export!$E:$E,A15,Export!$H:$H,"Efectivo",Export!$M:$M,"&lt;="&amp;14)/B15*100,0))</f>
        <v/>
      </c>
      <c r="T15" s="46">
        <f>IF(B15=0,"",IFERROR(COUNTIFS(Export!$E:$E,A15,Export!$H:$H,"Efectivo",Export!$M:$M,"&lt;="&amp;15)/B15*100,0))</f>
        <v/>
      </c>
      <c r="U15" s="46">
        <f>IF(B15=0,"",IFERROR(COUNTIFS(Export!$E:$E,A15,Export!$H:$H,"Efectivo",Export!$M:$M,"&lt;="&amp;16)/B15*100,0))</f>
        <v/>
      </c>
      <c r="V15" s="46">
        <f>IF(B15=0,"",IFERROR(COUNTIFS(Export!$E:$E,A15,Export!$H:$H,"Efectivo",Export!$M:$M,"&lt;="&amp;17)/B15*100,0))</f>
        <v/>
      </c>
      <c r="W15" s="46">
        <f>IF(B15=0,"",IFERROR(COUNTIFS(Export!$E:$E,A15,Export!$H:$H,"Efectivo",Export!$M:$M,"&lt;="&amp;18)/B15*100,0))</f>
        <v/>
      </c>
      <c r="X15" s="46">
        <f>IF(B15=0,"",IFERROR(COUNTIFS(Export!$E:$E,A15,Export!$H:$H,"Efectivo",Export!$M:$M,"&lt;="&amp;19)/B15*100,0))</f>
        <v/>
      </c>
      <c r="Y15" s="46">
        <f>IF(B15=0,"",IFERROR(COUNTIFS(Export!$E:$E,A15,Export!$H:$H,"Efectivo",Export!$M:$M,"&lt;="&amp;20)/B15*100,0))</f>
        <v/>
      </c>
      <c r="Z15" s="46">
        <f>IF(B15=0,"",IFERROR(COUNTIFS(Export!$E:$E,A15,Export!$H:$H,"Efectivo",Export!$M:$M,"&lt;="&amp;21)/B15*100,0))</f>
        <v/>
      </c>
      <c r="AA15" s="46">
        <f>IF(B15=0,"",IFERROR(COUNTIFS(Export!$E:$E,A15,Export!$H:$H,"Efectivo",Export!$M:$M,"&lt;="&amp;22)/B15*100,0))</f>
        <v/>
      </c>
      <c r="AB15" s="46">
        <f>IF(B15=0,"",IFERROR(COUNTIFS(Export!$E:$E,A15,Export!$H:$H,"Efectivo",Export!$M:$M,"&lt;="&amp;23)/B15*100,0))</f>
        <v/>
      </c>
      <c r="AC15" s="46">
        <f>IF(B15=0,"",IFERROR(COUNTIFS(Export!$E:$E,A15,Export!$H:$H,"Efectivo",Export!$M:$M,"&lt;="&amp;24)/B15*100,0))</f>
        <v/>
      </c>
      <c r="AD15" s="46">
        <f>IF(B15=0,"",IFERROR(COUNTIFS(Export!$E:$E,A15,Export!$H:$H,"Efectivo",Export!$M:$M,"&lt;="&amp;25)/B15*100,0))</f>
        <v/>
      </c>
      <c r="AE15" s="46">
        <f>IF(B15=0,"",IFERROR(COUNTIFS(Export!$E:$E,A15,Export!$H:$H,"Efectivo",Export!$M:$M,"&lt;="&amp;26)/B15*100,0))</f>
        <v/>
      </c>
      <c r="AF15" s="46">
        <f>IF(B15=0,"",IFERROR(COUNTIFS(Export!$E:$E,A15,Export!$H:$H,"Efectivo",Export!$M:$M,"&lt;="&amp;27)/B15*100,0))</f>
        <v/>
      </c>
      <c r="AG15" s="46">
        <f>IF(B15=0,"",IFERROR(COUNTIFS(Export!$E:$E,A15,Export!$H:$H,"Efectivo",Export!$M:$M,"&lt;="&amp;28)/B15*100,0))</f>
        <v/>
      </c>
      <c r="AH15" s="46">
        <f>IF(B15=0,"",IFERROR(COUNTIFS(Export!$E:$E,A15,Export!$H:$H,"Efectivo",Export!$M:$M,"&lt;="&amp;29)/B15*100,0))</f>
        <v/>
      </c>
      <c r="AI15" s="46">
        <f>IF(B15=0,"",IFERROR(COUNTIFS(Export!$E:$E,A15,Export!$H:$H,"Efectivo",Export!$M:$M,"&lt;="&amp;30)/B15*100,0))</f>
        <v/>
      </c>
      <c r="AJ15" s="46">
        <f>IF(B15=0,"",IFERROR(COUNTIFS(Export!$E:$E,A15,Export!$H:$H,"Efectivo",Export!$M:$M,"&lt;="&amp;31)/B15*100,0))</f>
        <v/>
      </c>
      <c r="AK15" s="46">
        <f>IF(B15=0,"",IFERROR(COUNTIFS(Export!$E:$E,A15,Export!$H:$H,"Efectivo",Export!$M:$M,"&lt;="&amp;32)/B15*100,0))</f>
        <v/>
      </c>
      <c r="AL15" s="46">
        <f>IF(B15=0,"",IFERROR(COUNTIFS(Export!$E:$E,A15,Export!$H:$H,"Efectivo",Export!$M:$M,"&lt;="&amp;33)/B15*100,0))</f>
        <v/>
      </c>
      <c r="AM15" s="46">
        <f>IF(B15=0,"",IFERROR(COUNTIFS(Export!$E:$E,A15,Export!$H:$H,"Efectivo",Export!$M:$M,"&lt;="&amp;34)/B15*100,0))</f>
        <v/>
      </c>
      <c r="AN15" s="46">
        <f>IF(B15=0,"",IFERROR(COUNTIFS(Export!$E:$E,A15,Export!$H:$H,"Efectivo",Export!$M:$M,"&lt;="&amp;35)/B15*100,0))</f>
        <v/>
      </c>
      <c r="AO15" s="46">
        <f>IF(B15=0,"",IFERROR(COUNTIFS(Export!$E:$E,A15,Export!$H:$H,"Efectivo",Export!$M:$M,"&lt;="&amp;36)/B15*100,0))</f>
        <v/>
      </c>
    </row>
    <row r="16">
      <c r="A16" s="47" t="inlineStr">
        <is>
          <t>02-2025</t>
        </is>
      </c>
      <c r="B16" s="44">
        <f>IFERROR(COUNTIF(Export!$E:$E,A16),0)</f>
        <v/>
      </c>
      <c r="C16" s="45">
        <f>IFERROR(VLOOKUP(A16,Originaciones!$A:$B,2,0),"")</f>
        <v/>
      </c>
      <c r="D16">
        <f>IFERROR(VLOOKUP(A16,'Flota Activa'!$A:$B,2,0),"")</f>
        <v/>
      </c>
      <c r="E16" s="46">
        <f>IF(B16=0,"",IFERROR(COUNTIFS(Export!$E:$E,A16,Export!$H:$H,"Efectivo",Export!$M:$M,"&lt;="&amp;0)/B16*100,0))</f>
        <v/>
      </c>
      <c r="F16" s="46">
        <f>IF(B16=0,"",IFERROR(COUNTIFS(Export!$E:$E,A16,Export!$H:$H,"Efectivo",Export!$M:$M,"&lt;="&amp;1)/B16*100,0))</f>
        <v/>
      </c>
      <c r="G16" s="46">
        <f>IF(B16=0,"",IFERROR(COUNTIFS(Export!$E:$E,A16,Export!$H:$H,"Efectivo",Export!$M:$M,"&lt;="&amp;2)/B16*100,0))</f>
        <v/>
      </c>
      <c r="H16" s="46">
        <f>IF(B16=0,"",IFERROR(COUNTIFS(Export!$E:$E,A16,Export!$H:$H,"Efectivo",Export!$M:$M,"&lt;="&amp;3)/B16*100,0))</f>
        <v/>
      </c>
      <c r="I16" s="46">
        <f>IF(B16=0,"",IFERROR(COUNTIFS(Export!$E:$E,A16,Export!$H:$H,"Efectivo",Export!$M:$M,"&lt;="&amp;4)/B16*100,0))</f>
        <v/>
      </c>
      <c r="J16" s="46">
        <f>IF(B16=0,"",IFERROR(COUNTIFS(Export!$E:$E,A16,Export!$H:$H,"Efectivo",Export!$M:$M,"&lt;="&amp;5)/B16*100,0))</f>
        <v/>
      </c>
      <c r="K16" s="46">
        <f>IF(B16=0,"",IFERROR(COUNTIFS(Export!$E:$E,A16,Export!$H:$H,"Efectivo",Export!$M:$M,"&lt;="&amp;6)/B16*100,0))</f>
        <v/>
      </c>
      <c r="L16" s="46">
        <f>IF(B16=0,"",IFERROR(COUNTIFS(Export!$E:$E,A16,Export!$H:$H,"Efectivo",Export!$M:$M,"&lt;="&amp;7)/B16*100,0))</f>
        <v/>
      </c>
      <c r="M16" s="46">
        <f>IF(B16=0,"",IFERROR(COUNTIFS(Export!$E:$E,A16,Export!$H:$H,"Efectivo",Export!$M:$M,"&lt;="&amp;8)/B16*100,0))</f>
        <v/>
      </c>
      <c r="N16" s="46">
        <f>IF(B16=0,"",IFERROR(COUNTIFS(Export!$E:$E,A16,Export!$H:$H,"Efectivo",Export!$M:$M,"&lt;="&amp;9)/B16*100,0))</f>
        <v/>
      </c>
      <c r="O16" s="46">
        <f>IF(B16=0,"",IFERROR(COUNTIFS(Export!$E:$E,A16,Export!$H:$H,"Efectivo",Export!$M:$M,"&lt;="&amp;10)/B16*100,0))</f>
        <v/>
      </c>
      <c r="P16" s="46">
        <f>IF(B16=0,"",IFERROR(COUNTIFS(Export!$E:$E,A16,Export!$H:$H,"Efectivo",Export!$M:$M,"&lt;="&amp;11)/B16*100,0))</f>
        <v/>
      </c>
      <c r="Q16" s="46">
        <f>IF(B16=0,"",IFERROR(COUNTIFS(Export!$E:$E,A16,Export!$H:$H,"Efectivo",Export!$M:$M,"&lt;="&amp;12)/B16*100,0))</f>
        <v/>
      </c>
      <c r="R16" s="46">
        <f>IF(B16=0,"",IFERROR(COUNTIFS(Export!$E:$E,A16,Export!$H:$H,"Efectivo",Export!$M:$M,"&lt;="&amp;13)/B16*100,0))</f>
        <v/>
      </c>
      <c r="S16" s="46">
        <f>IF(B16=0,"",IFERROR(COUNTIFS(Export!$E:$E,A16,Export!$H:$H,"Efectivo",Export!$M:$M,"&lt;="&amp;14)/B16*100,0))</f>
        <v/>
      </c>
      <c r="T16" s="46">
        <f>IF(B16=0,"",IFERROR(COUNTIFS(Export!$E:$E,A16,Export!$H:$H,"Efectivo",Export!$M:$M,"&lt;="&amp;15)/B16*100,0))</f>
        <v/>
      </c>
      <c r="U16" s="46">
        <f>IF(B16=0,"",IFERROR(COUNTIFS(Export!$E:$E,A16,Export!$H:$H,"Efectivo",Export!$M:$M,"&lt;="&amp;16)/B16*100,0))</f>
        <v/>
      </c>
      <c r="V16" s="46">
        <f>IF(B16=0,"",IFERROR(COUNTIFS(Export!$E:$E,A16,Export!$H:$H,"Efectivo",Export!$M:$M,"&lt;="&amp;17)/B16*100,0))</f>
        <v/>
      </c>
      <c r="W16" s="46">
        <f>IF(B16=0,"",IFERROR(COUNTIFS(Export!$E:$E,A16,Export!$H:$H,"Efectivo",Export!$M:$M,"&lt;="&amp;18)/B16*100,0))</f>
        <v/>
      </c>
      <c r="X16" s="46">
        <f>IF(B16=0,"",IFERROR(COUNTIFS(Export!$E:$E,A16,Export!$H:$H,"Efectivo",Export!$M:$M,"&lt;="&amp;19)/B16*100,0))</f>
        <v/>
      </c>
      <c r="Y16" s="46">
        <f>IF(B16=0,"",IFERROR(COUNTIFS(Export!$E:$E,A16,Export!$H:$H,"Efectivo",Export!$M:$M,"&lt;="&amp;20)/B16*100,0))</f>
        <v/>
      </c>
      <c r="Z16" s="46">
        <f>IF(B16=0,"",IFERROR(COUNTIFS(Export!$E:$E,A16,Export!$H:$H,"Efectivo",Export!$M:$M,"&lt;="&amp;21)/B16*100,0))</f>
        <v/>
      </c>
      <c r="AA16" s="46">
        <f>IF(B16=0,"",IFERROR(COUNTIFS(Export!$E:$E,A16,Export!$H:$H,"Efectivo",Export!$M:$M,"&lt;="&amp;22)/B16*100,0))</f>
        <v/>
      </c>
      <c r="AB16" s="46">
        <f>IF(B16=0,"",IFERROR(COUNTIFS(Export!$E:$E,A16,Export!$H:$H,"Efectivo",Export!$M:$M,"&lt;="&amp;23)/B16*100,0))</f>
        <v/>
      </c>
      <c r="AC16" s="46">
        <f>IF(B16=0,"",IFERROR(COUNTIFS(Export!$E:$E,A16,Export!$H:$H,"Efectivo",Export!$M:$M,"&lt;="&amp;24)/B16*100,0))</f>
        <v/>
      </c>
      <c r="AD16" s="46">
        <f>IF(B16=0,"",IFERROR(COUNTIFS(Export!$E:$E,A16,Export!$H:$H,"Efectivo",Export!$M:$M,"&lt;="&amp;25)/B16*100,0))</f>
        <v/>
      </c>
      <c r="AE16" s="46">
        <f>IF(B16=0,"",IFERROR(COUNTIFS(Export!$E:$E,A16,Export!$H:$H,"Efectivo",Export!$M:$M,"&lt;="&amp;26)/B16*100,0))</f>
        <v/>
      </c>
      <c r="AF16" s="46">
        <f>IF(B16=0,"",IFERROR(COUNTIFS(Export!$E:$E,A16,Export!$H:$H,"Efectivo",Export!$M:$M,"&lt;="&amp;27)/B16*100,0))</f>
        <v/>
      </c>
      <c r="AG16" s="46">
        <f>IF(B16=0,"",IFERROR(COUNTIFS(Export!$E:$E,A16,Export!$H:$H,"Efectivo",Export!$M:$M,"&lt;="&amp;28)/B16*100,0))</f>
        <v/>
      </c>
      <c r="AH16" s="46">
        <f>IF(B16=0,"",IFERROR(COUNTIFS(Export!$E:$E,A16,Export!$H:$H,"Efectivo",Export!$M:$M,"&lt;="&amp;29)/B16*100,0))</f>
        <v/>
      </c>
      <c r="AI16" s="46">
        <f>IF(B16=0,"",IFERROR(COUNTIFS(Export!$E:$E,A16,Export!$H:$H,"Efectivo",Export!$M:$M,"&lt;="&amp;30)/B16*100,0))</f>
        <v/>
      </c>
      <c r="AJ16" s="46">
        <f>IF(B16=0,"",IFERROR(COUNTIFS(Export!$E:$E,A16,Export!$H:$H,"Efectivo",Export!$M:$M,"&lt;="&amp;31)/B16*100,0))</f>
        <v/>
      </c>
      <c r="AK16" s="46">
        <f>IF(B16=0,"",IFERROR(COUNTIFS(Export!$E:$E,A16,Export!$H:$H,"Efectivo",Export!$M:$M,"&lt;="&amp;32)/B16*100,0))</f>
        <v/>
      </c>
      <c r="AL16" s="46">
        <f>IF(B16=0,"",IFERROR(COUNTIFS(Export!$E:$E,A16,Export!$H:$H,"Efectivo",Export!$M:$M,"&lt;="&amp;33)/B16*100,0))</f>
        <v/>
      </c>
      <c r="AM16" s="46">
        <f>IF(B16=0,"",IFERROR(COUNTIFS(Export!$E:$E,A16,Export!$H:$H,"Efectivo",Export!$M:$M,"&lt;="&amp;34)/B16*100,0))</f>
        <v/>
      </c>
      <c r="AN16" s="46">
        <f>IF(B16=0,"",IFERROR(COUNTIFS(Export!$E:$E,A16,Export!$H:$H,"Efectivo",Export!$M:$M,"&lt;="&amp;35)/B16*100,0))</f>
        <v/>
      </c>
      <c r="AO16" s="46">
        <f>IF(B16=0,"",IFERROR(COUNTIFS(Export!$E:$E,A16,Export!$H:$H,"Efectivo",Export!$M:$M,"&lt;="&amp;36)/B16*100,0))</f>
        <v/>
      </c>
    </row>
    <row r="17">
      <c r="A17" s="47" t="inlineStr">
        <is>
          <t>03-2025</t>
        </is>
      </c>
      <c r="B17" s="44">
        <f>IFERROR(COUNTIF(Export!$E:$E,A17),0)</f>
        <v/>
      </c>
      <c r="C17" s="45">
        <f>IFERROR(VLOOKUP(A17,Originaciones!$A:$B,2,0),"")</f>
        <v/>
      </c>
      <c r="D17">
        <f>IFERROR(VLOOKUP(A17,'Flota Activa'!$A:$B,2,0),"")</f>
        <v/>
      </c>
      <c r="E17" s="46">
        <f>IF(B17=0,"",IFERROR(COUNTIFS(Export!$E:$E,A17,Export!$H:$H,"Efectivo",Export!$M:$M,"&lt;="&amp;0)/B17*100,0))</f>
        <v/>
      </c>
      <c r="F17" s="46">
        <f>IF(B17=0,"",IFERROR(COUNTIFS(Export!$E:$E,A17,Export!$H:$H,"Efectivo",Export!$M:$M,"&lt;="&amp;1)/B17*100,0))</f>
        <v/>
      </c>
      <c r="G17" s="46">
        <f>IF(B17=0,"",IFERROR(COUNTIFS(Export!$E:$E,A17,Export!$H:$H,"Efectivo",Export!$M:$M,"&lt;="&amp;2)/B17*100,0))</f>
        <v/>
      </c>
      <c r="H17" s="46">
        <f>IF(B17=0,"",IFERROR(COUNTIFS(Export!$E:$E,A17,Export!$H:$H,"Efectivo",Export!$M:$M,"&lt;="&amp;3)/B17*100,0))</f>
        <v/>
      </c>
      <c r="I17" s="46">
        <f>IF(B17=0,"",IFERROR(COUNTIFS(Export!$E:$E,A17,Export!$H:$H,"Efectivo",Export!$M:$M,"&lt;="&amp;4)/B17*100,0))</f>
        <v/>
      </c>
      <c r="J17" s="46">
        <f>IF(B17=0,"",IFERROR(COUNTIFS(Export!$E:$E,A17,Export!$H:$H,"Efectivo",Export!$M:$M,"&lt;="&amp;5)/B17*100,0))</f>
        <v/>
      </c>
      <c r="K17" s="46">
        <f>IF(B17=0,"",IFERROR(COUNTIFS(Export!$E:$E,A17,Export!$H:$H,"Efectivo",Export!$M:$M,"&lt;="&amp;6)/B17*100,0))</f>
        <v/>
      </c>
      <c r="L17" s="46">
        <f>IF(B17=0,"",IFERROR(COUNTIFS(Export!$E:$E,A17,Export!$H:$H,"Efectivo",Export!$M:$M,"&lt;="&amp;7)/B17*100,0))</f>
        <v/>
      </c>
      <c r="M17" s="46">
        <f>IF(B17=0,"",IFERROR(COUNTIFS(Export!$E:$E,A17,Export!$H:$H,"Efectivo",Export!$M:$M,"&lt;="&amp;8)/B17*100,0))</f>
        <v/>
      </c>
      <c r="N17" s="46">
        <f>IF(B17=0,"",IFERROR(COUNTIFS(Export!$E:$E,A17,Export!$H:$H,"Efectivo",Export!$M:$M,"&lt;="&amp;9)/B17*100,0))</f>
        <v/>
      </c>
      <c r="O17" s="46">
        <f>IF(B17=0,"",IFERROR(COUNTIFS(Export!$E:$E,A17,Export!$H:$H,"Efectivo",Export!$M:$M,"&lt;="&amp;10)/B17*100,0))</f>
        <v/>
      </c>
      <c r="P17" s="46">
        <f>IF(B17=0,"",IFERROR(COUNTIFS(Export!$E:$E,A17,Export!$H:$H,"Efectivo",Export!$M:$M,"&lt;="&amp;11)/B17*100,0))</f>
        <v/>
      </c>
      <c r="Q17" s="46">
        <f>IF(B17=0,"",IFERROR(COUNTIFS(Export!$E:$E,A17,Export!$H:$H,"Efectivo",Export!$M:$M,"&lt;="&amp;12)/B17*100,0))</f>
        <v/>
      </c>
      <c r="R17" s="46">
        <f>IF(B17=0,"",IFERROR(COUNTIFS(Export!$E:$E,A17,Export!$H:$H,"Efectivo",Export!$M:$M,"&lt;="&amp;13)/B17*100,0))</f>
        <v/>
      </c>
      <c r="S17" s="46">
        <f>IF(B17=0,"",IFERROR(COUNTIFS(Export!$E:$E,A17,Export!$H:$H,"Efectivo",Export!$M:$M,"&lt;="&amp;14)/B17*100,0))</f>
        <v/>
      </c>
      <c r="T17" s="46">
        <f>IF(B17=0,"",IFERROR(COUNTIFS(Export!$E:$E,A17,Export!$H:$H,"Efectivo",Export!$M:$M,"&lt;="&amp;15)/B17*100,0))</f>
        <v/>
      </c>
      <c r="U17" s="46">
        <f>IF(B17=0,"",IFERROR(COUNTIFS(Export!$E:$E,A17,Export!$H:$H,"Efectivo",Export!$M:$M,"&lt;="&amp;16)/B17*100,0))</f>
        <v/>
      </c>
      <c r="V17" s="46">
        <f>IF(B17=0,"",IFERROR(COUNTIFS(Export!$E:$E,A17,Export!$H:$H,"Efectivo",Export!$M:$M,"&lt;="&amp;17)/B17*100,0))</f>
        <v/>
      </c>
      <c r="W17" s="46">
        <f>IF(B17=0,"",IFERROR(COUNTIFS(Export!$E:$E,A17,Export!$H:$H,"Efectivo",Export!$M:$M,"&lt;="&amp;18)/B17*100,0))</f>
        <v/>
      </c>
      <c r="X17" s="46">
        <f>IF(B17=0,"",IFERROR(COUNTIFS(Export!$E:$E,A17,Export!$H:$H,"Efectivo",Export!$M:$M,"&lt;="&amp;19)/B17*100,0))</f>
        <v/>
      </c>
      <c r="Y17" s="46">
        <f>IF(B17=0,"",IFERROR(COUNTIFS(Export!$E:$E,A17,Export!$H:$H,"Efectivo",Export!$M:$M,"&lt;="&amp;20)/B17*100,0))</f>
        <v/>
      </c>
      <c r="Z17" s="46">
        <f>IF(B17=0,"",IFERROR(COUNTIFS(Export!$E:$E,A17,Export!$H:$H,"Efectivo",Export!$M:$M,"&lt;="&amp;21)/B17*100,0))</f>
        <v/>
      </c>
      <c r="AA17" s="46">
        <f>IF(B17=0,"",IFERROR(COUNTIFS(Export!$E:$E,A17,Export!$H:$H,"Efectivo",Export!$M:$M,"&lt;="&amp;22)/B17*100,0))</f>
        <v/>
      </c>
      <c r="AB17" s="46">
        <f>IF(B17=0,"",IFERROR(COUNTIFS(Export!$E:$E,A17,Export!$H:$H,"Efectivo",Export!$M:$M,"&lt;="&amp;23)/B17*100,0))</f>
        <v/>
      </c>
      <c r="AC17" s="46">
        <f>IF(B17=0,"",IFERROR(COUNTIFS(Export!$E:$E,A17,Export!$H:$H,"Efectivo",Export!$M:$M,"&lt;="&amp;24)/B17*100,0))</f>
        <v/>
      </c>
      <c r="AD17" s="46">
        <f>IF(B17=0,"",IFERROR(COUNTIFS(Export!$E:$E,A17,Export!$H:$H,"Efectivo",Export!$M:$M,"&lt;="&amp;25)/B17*100,0))</f>
        <v/>
      </c>
      <c r="AE17" s="46">
        <f>IF(B17=0,"",IFERROR(COUNTIFS(Export!$E:$E,A17,Export!$H:$H,"Efectivo",Export!$M:$M,"&lt;="&amp;26)/B17*100,0))</f>
        <v/>
      </c>
      <c r="AF17" s="46">
        <f>IF(B17=0,"",IFERROR(COUNTIFS(Export!$E:$E,A17,Export!$H:$H,"Efectivo",Export!$M:$M,"&lt;="&amp;27)/B17*100,0))</f>
        <v/>
      </c>
      <c r="AG17" s="46">
        <f>IF(B17=0,"",IFERROR(COUNTIFS(Export!$E:$E,A17,Export!$H:$H,"Efectivo",Export!$M:$M,"&lt;="&amp;28)/B17*100,0))</f>
        <v/>
      </c>
      <c r="AH17" s="46">
        <f>IF(B17=0,"",IFERROR(COUNTIFS(Export!$E:$E,A17,Export!$H:$H,"Efectivo",Export!$M:$M,"&lt;="&amp;29)/B17*100,0))</f>
        <v/>
      </c>
      <c r="AI17" s="46">
        <f>IF(B17=0,"",IFERROR(COUNTIFS(Export!$E:$E,A17,Export!$H:$H,"Efectivo",Export!$M:$M,"&lt;="&amp;30)/B17*100,0))</f>
        <v/>
      </c>
      <c r="AJ17" s="46">
        <f>IF(B17=0,"",IFERROR(COUNTIFS(Export!$E:$E,A17,Export!$H:$H,"Efectivo",Export!$M:$M,"&lt;="&amp;31)/B17*100,0))</f>
        <v/>
      </c>
      <c r="AK17" s="46">
        <f>IF(B17=0,"",IFERROR(COUNTIFS(Export!$E:$E,A17,Export!$H:$H,"Efectivo",Export!$M:$M,"&lt;="&amp;32)/B17*100,0))</f>
        <v/>
      </c>
      <c r="AL17" s="46">
        <f>IF(B17=0,"",IFERROR(COUNTIFS(Export!$E:$E,A17,Export!$H:$H,"Efectivo",Export!$M:$M,"&lt;="&amp;33)/B17*100,0))</f>
        <v/>
      </c>
      <c r="AM17" s="46">
        <f>IF(B17=0,"",IFERROR(COUNTIFS(Export!$E:$E,A17,Export!$H:$H,"Efectivo",Export!$M:$M,"&lt;="&amp;34)/B17*100,0))</f>
        <v/>
      </c>
      <c r="AN17" s="46">
        <f>IF(B17=0,"",IFERROR(COUNTIFS(Export!$E:$E,A17,Export!$H:$H,"Efectivo",Export!$M:$M,"&lt;="&amp;35)/B17*100,0))</f>
        <v/>
      </c>
      <c r="AO17" s="46">
        <f>IF(B17=0,"",IFERROR(COUNTIFS(Export!$E:$E,A17,Export!$H:$H,"Efectivo",Export!$M:$M,"&lt;="&amp;36)/B17*100,0))</f>
        <v/>
      </c>
    </row>
    <row r="18">
      <c r="A18" s="47" t="inlineStr">
        <is>
          <t>04-2025</t>
        </is>
      </c>
      <c r="B18" s="44">
        <f>IFERROR(COUNTIF(Export!$E:$E,A18),0)</f>
        <v/>
      </c>
      <c r="C18" s="45">
        <f>IFERROR(VLOOKUP(A18,Originaciones!$A:$B,2,0),"")</f>
        <v/>
      </c>
      <c r="D18">
        <f>IFERROR(VLOOKUP(A18,'Flota Activa'!$A:$B,2,0),"")</f>
        <v/>
      </c>
      <c r="E18" s="46">
        <f>IF(B18=0,"",IFERROR(COUNTIFS(Export!$E:$E,A18,Export!$H:$H,"Efectivo",Export!$M:$M,"&lt;="&amp;0)/B18*100,0))</f>
        <v/>
      </c>
      <c r="F18" s="46">
        <f>IF(B18=0,"",IFERROR(COUNTIFS(Export!$E:$E,A18,Export!$H:$H,"Efectivo",Export!$M:$M,"&lt;="&amp;1)/B18*100,0))</f>
        <v/>
      </c>
      <c r="G18" s="46">
        <f>IF(B18=0,"",IFERROR(COUNTIFS(Export!$E:$E,A18,Export!$H:$H,"Efectivo",Export!$M:$M,"&lt;="&amp;2)/B18*100,0))</f>
        <v/>
      </c>
      <c r="H18" s="46">
        <f>IF(B18=0,"",IFERROR(COUNTIFS(Export!$E:$E,A18,Export!$H:$H,"Efectivo",Export!$M:$M,"&lt;="&amp;3)/B18*100,0))</f>
        <v/>
      </c>
      <c r="I18" s="46">
        <f>IF(B18=0,"",IFERROR(COUNTIFS(Export!$E:$E,A18,Export!$H:$H,"Efectivo",Export!$M:$M,"&lt;="&amp;4)/B18*100,0))</f>
        <v/>
      </c>
      <c r="J18" s="46">
        <f>IF(B18=0,"",IFERROR(COUNTIFS(Export!$E:$E,A18,Export!$H:$H,"Efectivo",Export!$M:$M,"&lt;="&amp;5)/B18*100,0))</f>
        <v/>
      </c>
      <c r="K18" s="46">
        <f>IF(B18=0,"",IFERROR(COUNTIFS(Export!$E:$E,A18,Export!$H:$H,"Efectivo",Export!$M:$M,"&lt;="&amp;6)/B18*100,0))</f>
        <v/>
      </c>
      <c r="L18" s="46">
        <f>IF(B18=0,"",IFERROR(COUNTIFS(Export!$E:$E,A18,Export!$H:$H,"Efectivo",Export!$M:$M,"&lt;="&amp;7)/B18*100,0))</f>
        <v/>
      </c>
      <c r="M18" s="46">
        <f>IF(B18=0,"",IFERROR(COUNTIFS(Export!$E:$E,A18,Export!$H:$H,"Efectivo",Export!$M:$M,"&lt;="&amp;8)/B18*100,0))</f>
        <v/>
      </c>
      <c r="N18" s="46">
        <f>IF(B18=0,"",IFERROR(COUNTIFS(Export!$E:$E,A18,Export!$H:$H,"Efectivo",Export!$M:$M,"&lt;="&amp;9)/B18*100,0))</f>
        <v/>
      </c>
      <c r="O18" s="46">
        <f>IF(B18=0,"",IFERROR(COUNTIFS(Export!$E:$E,A18,Export!$H:$H,"Efectivo",Export!$M:$M,"&lt;="&amp;10)/B18*100,0))</f>
        <v/>
      </c>
      <c r="P18" s="46">
        <f>IF(B18=0,"",IFERROR(COUNTIFS(Export!$E:$E,A18,Export!$H:$H,"Efectivo",Export!$M:$M,"&lt;="&amp;11)/B18*100,0))</f>
        <v/>
      </c>
      <c r="Q18" s="46">
        <f>IF(B18=0,"",IFERROR(COUNTIFS(Export!$E:$E,A18,Export!$H:$H,"Efectivo",Export!$M:$M,"&lt;="&amp;12)/B18*100,0))</f>
        <v/>
      </c>
      <c r="R18" s="46">
        <f>IF(B18=0,"",IFERROR(COUNTIFS(Export!$E:$E,A18,Export!$H:$H,"Efectivo",Export!$M:$M,"&lt;="&amp;13)/B18*100,0))</f>
        <v/>
      </c>
      <c r="S18" s="46">
        <f>IF(B18=0,"",IFERROR(COUNTIFS(Export!$E:$E,A18,Export!$H:$H,"Efectivo",Export!$M:$M,"&lt;="&amp;14)/B18*100,0))</f>
        <v/>
      </c>
      <c r="T18" s="46">
        <f>IF(B18=0,"",IFERROR(COUNTIFS(Export!$E:$E,A18,Export!$H:$H,"Efectivo",Export!$M:$M,"&lt;="&amp;15)/B18*100,0))</f>
        <v/>
      </c>
      <c r="U18" s="46">
        <f>IF(B18=0,"",IFERROR(COUNTIFS(Export!$E:$E,A18,Export!$H:$H,"Efectivo",Export!$M:$M,"&lt;="&amp;16)/B18*100,0))</f>
        <v/>
      </c>
      <c r="V18" s="46">
        <f>IF(B18=0,"",IFERROR(COUNTIFS(Export!$E:$E,A18,Export!$H:$H,"Efectivo",Export!$M:$M,"&lt;="&amp;17)/B18*100,0))</f>
        <v/>
      </c>
      <c r="W18" s="46">
        <f>IF(B18=0,"",IFERROR(COUNTIFS(Export!$E:$E,A18,Export!$H:$H,"Efectivo",Export!$M:$M,"&lt;="&amp;18)/B18*100,0))</f>
        <v/>
      </c>
      <c r="X18" s="46">
        <f>IF(B18=0,"",IFERROR(COUNTIFS(Export!$E:$E,A18,Export!$H:$H,"Efectivo",Export!$M:$M,"&lt;="&amp;19)/B18*100,0))</f>
        <v/>
      </c>
      <c r="Y18" s="46">
        <f>IF(B18=0,"",IFERROR(COUNTIFS(Export!$E:$E,A18,Export!$H:$H,"Efectivo",Export!$M:$M,"&lt;="&amp;20)/B18*100,0))</f>
        <v/>
      </c>
      <c r="Z18" s="46">
        <f>IF(B18=0,"",IFERROR(COUNTIFS(Export!$E:$E,A18,Export!$H:$H,"Efectivo",Export!$M:$M,"&lt;="&amp;21)/B18*100,0))</f>
        <v/>
      </c>
      <c r="AA18" s="46">
        <f>IF(B18=0,"",IFERROR(COUNTIFS(Export!$E:$E,A18,Export!$H:$H,"Efectivo",Export!$M:$M,"&lt;="&amp;22)/B18*100,0))</f>
        <v/>
      </c>
      <c r="AB18" s="46">
        <f>IF(B18=0,"",IFERROR(COUNTIFS(Export!$E:$E,A18,Export!$H:$H,"Efectivo",Export!$M:$M,"&lt;="&amp;23)/B18*100,0))</f>
        <v/>
      </c>
      <c r="AC18" s="46">
        <f>IF(B18=0,"",IFERROR(COUNTIFS(Export!$E:$E,A18,Export!$H:$H,"Efectivo",Export!$M:$M,"&lt;="&amp;24)/B18*100,0))</f>
        <v/>
      </c>
      <c r="AD18" s="46">
        <f>IF(B18=0,"",IFERROR(COUNTIFS(Export!$E:$E,A18,Export!$H:$H,"Efectivo",Export!$M:$M,"&lt;="&amp;25)/B18*100,0))</f>
        <v/>
      </c>
      <c r="AE18" s="46">
        <f>IF(B18=0,"",IFERROR(COUNTIFS(Export!$E:$E,A18,Export!$H:$H,"Efectivo",Export!$M:$M,"&lt;="&amp;26)/B18*100,0))</f>
        <v/>
      </c>
      <c r="AF18" s="46">
        <f>IF(B18=0,"",IFERROR(COUNTIFS(Export!$E:$E,A18,Export!$H:$H,"Efectivo",Export!$M:$M,"&lt;="&amp;27)/B18*100,0))</f>
        <v/>
      </c>
      <c r="AG18" s="46">
        <f>IF(B18=0,"",IFERROR(COUNTIFS(Export!$E:$E,A18,Export!$H:$H,"Efectivo",Export!$M:$M,"&lt;="&amp;28)/B18*100,0))</f>
        <v/>
      </c>
      <c r="AH18" s="46">
        <f>IF(B18=0,"",IFERROR(COUNTIFS(Export!$E:$E,A18,Export!$H:$H,"Efectivo",Export!$M:$M,"&lt;="&amp;29)/B18*100,0))</f>
        <v/>
      </c>
      <c r="AI18" s="46">
        <f>IF(B18=0,"",IFERROR(COUNTIFS(Export!$E:$E,A18,Export!$H:$H,"Efectivo",Export!$M:$M,"&lt;="&amp;30)/B18*100,0))</f>
        <v/>
      </c>
      <c r="AJ18" s="46">
        <f>IF(B18=0,"",IFERROR(COUNTIFS(Export!$E:$E,A18,Export!$H:$H,"Efectivo",Export!$M:$M,"&lt;="&amp;31)/B18*100,0))</f>
        <v/>
      </c>
      <c r="AK18" s="46">
        <f>IF(B18=0,"",IFERROR(COUNTIFS(Export!$E:$E,A18,Export!$H:$H,"Efectivo",Export!$M:$M,"&lt;="&amp;32)/B18*100,0))</f>
        <v/>
      </c>
      <c r="AL18" s="46">
        <f>IF(B18=0,"",IFERROR(COUNTIFS(Export!$E:$E,A18,Export!$H:$H,"Efectivo",Export!$M:$M,"&lt;="&amp;33)/B18*100,0))</f>
        <v/>
      </c>
      <c r="AM18" s="46">
        <f>IF(B18=0,"",IFERROR(COUNTIFS(Export!$E:$E,A18,Export!$H:$H,"Efectivo",Export!$M:$M,"&lt;="&amp;34)/B18*100,0))</f>
        <v/>
      </c>
      <c r="AN18" s="46">
        <f>IF(B18=0,"",IFERROR(COUNTIFS(Export!$E:$E,A18,Export!$H:$H,"Efectivo",Export!$M:$M,"&lt;="&amp;35)/B18*100,0))</f>
        <v/>
      </c>
      <c r="AO18" s="46">
        <f>IF(B18=0,"",IFERROR(COUNTIFS(Export!$E:$E,A18,Export!$H:$H,"Efectivo",Export!$M:$M,"&lt;="&amp;36)/B18*100,0))</f>
        <v/>
      </c>
    </row>
    <row r="19">
      <c r="A19" s="47" t="inlineStr">
        <is>
          <t>05-2025</t>
        </is>
      </c>
      <c r="B19" s="44">
        <f>IFERROR(COUNTIF(Export!$E:$E,A19),0)</f>
        <v/>
      </c>
      <c r="C19" s="45">
        <f>IFERROR(VLOOKUP(A19,Originaciones!$A:$B,2,0),"")</f>
        <v/>
      </c>
      <c r="D19">
        <f>IFERROR(VLOOKUP(A19,'Flota Activa'!$A:$B,2,0),"")</f>
        <v/>
      </c>
      <c r="E19" s="46">
        <f>IF(B19=0,"",IFERROR(COUNTIFS(Export!$E:$E,A19,Export!$H:$H,"Efectivo",Export!$M:$M,"&lt;="&amp;0)/B19*100,0))</f>
        <v/>
      </c>
      <c r="F19" s="46">
        <f>IF(B19=0,"",IFERROR(COUNTIFS(Export!$E:$E,A19,Export!$H:$H,"Efectivo",Export!$M:$M,"&lt;="&amp;1)/B19*100,0))</f>
        <v/>
      </c>
      <c r="G19" s="46">
        <f>IF(B19=0,"",IFERROR(COUNTIFS(Export!$E:$E,A19,Export!$H:$H,"Efectivo",Export!$M:$M,"&lt;="&amp;2)/B19*100,0))</f>
        <v/>
      </c>
      <c r="H19" s="46">
        <f>IF(B19=0,"",IFERROR(COUNTIFS(Export!$E:$E,A19,Export!$H:$H,"Efectivo",Export!$M:$M,"&lt;="&amp;3)/B19*100,0))</f>
        <v/>
      </c>
      <c r="I19" s="46">
        <f>IF(B19=0,"",IFERROR(COUNTIFS(Export!$E:$E,A19,Export!$H:$H,"Efectivo",Export!$M:$M,"&lt;="&amp;4)/B19*100,0))</f>
        <v/>
      </c>
      <c r="J19" s="46">
        <f>IF(B19=0,"",IFERROR(COUNTIFS(Export!$E:$E,A19,Export!$H:$H,"Efectivo",Export!$M:$M,"&lt;="&amp;5)/B19*100,0))</f>
        <v/>
      </c>
      <c r="K19" s="46">
        <f>IF(B19=0,"",IFERROR(COUNTIFS(Export!$E:$E,A19,Export!$H:$H,"Efectivo",Export!$M:$M,"&lt;="&amp;6)/B19*100,0))</f>
        <v/>
      </c>
      <c r="L19" s="46">
        <f>IF(B19=0,"",IFERROR(COUNTIFS(Export!$E:$E,A19,Export!$H:$H,"Efectivo",Export!$M:$M,"&lt;="&amp;7)/B19*100,0))</f>
        <v/>
      </c>
      <c r="M19" s="46">
        <f>IF(B19=0,"",IFERROR(COUNTIFS(Export!$E:$E,A19,Export!$H:$H,"Efectivo",Export!$M:$M,"&lt;="&amp;8)/B19*100,0))</f>
        <v/>
      </c>
      <c r="N19" s="46">
        <f>IF(B19=0,"",IFERROR(COUNTIFS(Export!$E:$E,A19,Export!$H:$H,"Efectivo",Export!$M:$M,"&lt;="&amp;9)/B19*100,0))</f>
        <v/>
      </c>
      <c r="O19" s="46">
        <f>IF(B19=0,"",IFERROR(COUNTIFS(Export!$E:$E,A19,Export!$H:$H,"Efectivo",Export!$M:$M,"&lt;="&amp;10)/B19*100,0))</f>
        <v/>
      </c>
      <c r="P19" s="46">
        <f>IF(B19=0,"",IFERROR(COUNTIFS(Export!$E:$E,A19,Export!$H:$H,"Efectivo",Export!$M:$M,"&lt;="&amp;11)/B19*100,0))</f>
        <v/>
      </c>
      <c r="Q19" s="46">
        <f>IF(B19=0,"",IFERROR(COUNTIFS(Export!$E:$E,A19,Export!$H:$H,"Efectivo",Export!$M:$M,"&lt;="&amp;12)/B19*100,0))</f>
        <v/>
      </c>
      <c r="R19" s="46">
        <f>IF(B19=0,"",IFERROR(COUNTIFS(Export!$E:$E,A19,Export!$H:$H,"Efectivo",Export!$M:$M,"&lt;="&amp;13)/B19*100,0))</f>
        <v/>
      </c>
      <c r="S19" s="46">
        <f>IF(B19=0,"",IFERROR(COUNTIFS(Export!$E:$E,A19,Export!$H:$H,"Efectivo",Export!$M:$M,"&lt;="&amp;14)/B19*100,0))</f>
        <v/>
      </c>
      <c r="T19" s="46">
        <f>IF(B19=0,"",IFERROR(COUNTIFS(Export!$E:$E,A19,Export!$H:$H,"Efectivo",Export!$M:$M,"&lt;="&amp;15)/B19*100,0))</f>
        <v/>
      </c>
      <c r="U19" s="46">
        <f>IF(B19=0,"",IFERROR(COUNTIFS(Export!$E:$E,A19,Export!$H:$H,"Efectivo",Export!$M:$M,"&lt;="&amp;16)/B19*100,0))</f>
        <v/>
      </c>
      <c r="V19" s="46">
        <f>IF(B19=0,"",IFERROR(COUNTIFS(Export!$E:$E,A19,Export!$H:$H,"Efectivo",Export!$M:$M,"&lt;="&amp;17)/B19*100,0))</f>
        <v/>
      </c>
      <c r="W19" s="46">
        <f>IF(B19=0,"",IFERROR(COUNTIFS(Export!$E:$E,A19,Export!$H:$H,"Efectivo",Export!$M:$M,"&lt;="&amp;18)/B19*100,0))</f>
        <v/>
      </c>
      <c r="X19" s="46">
        <f>IF(B19=0,"",IFERROR(COUNTIFS(Export!$E:$E,A19,Export!$H:$H,"Efectivo",Export!$M:$M,"&lt;="&amp;19)/B19*100,0))</f>
        <v/>
      </c>
      <c r="Y19" s="46">
        <f>IF(B19=0,"",IFERROR(COUNTIFS(Export!$E:$E,A19,Export!$H:$H,"Efectivo",Export!$M:$M,"&lt;="&amp;20)/B19*100,0))</f>
        <v/>
      </c>
      <c r="Z19" s="46">
        <f>IF(B19=0,"",IFERROR(COUNTIFS(Export!$E:$E,A19,Export!$H:$H,"Efectivo",Export!$M:$M,"&lt;="&amp;21)/B19*100,0))</f>
        <v/>
      </c>
      <c r="AA19" s="46">
        <f>IF(B19=0,"",IFERROR(COUNTIFS(Export!$E:$E,A19,Export!$H:$H,"Efectivo",Export!$M:$M,"&lt;="&amp;22)/B19*100,0))</f>
        <v/>
      </c>
      <c r="AB19" s="46">
        <f>IF(B19=0,"",IFERROR(COUNTIFS(Export!$E:$E,A19,Export!$H:$H,"Efectivo",Export!$M:$M,"&lt;="&amp;23)/B19*100,0))</f>
        <v/>
      </c>
      <c r="AC19" s="46">
        <f>IF(B19=0,"",IFERROR(COUNTIFS(Export!$E:$E,A19,Export!$H:$H,"Efectivo",Export!$M:$M,"&lt;="&amp;24)/B19*100,0))</f>
        <v/>
      </c>
      <c r="AD19" s="46">
        <f>IF(B19=0,"",IFERROR(COUNTIFS(Export!$E:$E,A19,Export!$H:$H,"Efectivo",Export!$M:$M,"&lt;="&amp;25)/B19*100,0))</f>
        <v/>
      </c>
      <c r="AE19" s="46">
        <f>IF(B19=0,"",IFERROR(COUNTIFS(Export!$E:$E,A19,Export!$H:$H,"Efectivo",Export!$M:$M,"&lt;="&amp;26)/B19*100,0))</f>
        <v/>
      </c>
      <c r="AF19" s="46">
        <f>IF(B19=0,"",IFERROR(COUNTIFS(Export!$E:$E,A19,Export!$H:$H,"Efectivo",Export!$M:$M,"&lt;="&amp;27)/B19*100,0))</f>
        <v/>
      </c>
      <c r="AG19" s="46">
        <f>IF(B19=0,"",IFERROR(COUNTIFS(Export!$E:$E,A19,Export!$H:$H,"Efectivo",Export!$M:$M,"&lt;="&amp;28)/B19*100,0))</f>
        <v/>
      </c>
      <c r="AH19" s="46">
        <f>IF(B19=0,"",IFERROR(COUNTIFS(Export!$E:$E,A19,Export!$H:$H,"Efectivo",Export!$M:$M,"&lt;="&amp;29)/B19*100,0))</f>
        <v/>
      </c>
      <c r="AI19" s="46">
        <f>IF(B19=0,"",IFERROR(COUNTIFS(Export!$E:$E,A19,Export!$H:$H,"Efectivo",Export!$M:$M,"&lt;="&amp;30)/B19*100,0))</f>
        <v/>
      </c>
      <c r="AJ19" s="46">
        <f>IF(B19=0,"",IFERROR(COUNTIFS(Export!$E:$E,A19,Export!$H:$H,"Efectivo",Export!$M:$M,"&lt;="&amp;31)/B19*100,0))</f>
        <v/>
      </c>
      <c r="AK19" s="46">
        <f>IF(B19=0,"",IFERROR(COUNTIFS(Export!$E:$E,A19,Export!$H:$H,"Efectivo",Export!$M:$M,"&lt;="&amp;32)/B19*100,0))</f>
        <v/>
      </c>
      <c r="AL19" s="46">
        <f>IF(B19=0,"",IFERROR(COUNTIFS(Export!$E:$E,A19,Export!$H:$H,"Efectivo",Export!$M:$M,"&lt;="&amp;33)/B19*100,0))</f>
        <v/>
      </c>
      <c r="AM19" s="46">
        <f>IF(B19=0,"",IFERROR(COUNTIFS(Export!$E:$E,A19,Export!$H:$H,"Efectivo",Export!$M:$M,"&lt;="&amp;34)/B19*100,0))</f>
        <v/>
      </c>
      <c r="AN19" s="46">
        <f>IF(B19=0,"",IFERROR(COUNTIFS(Export!$E:$E,A19,Export!$H:$H,"Efectivo",Export!$M:$M,"&lt;="&amp;35)/B19*100,0))</f>
        <v/>
      </c>
      <c r="AO19" s="46">
        <f>IF(B19=0,"",IFERROR(COUNTIFS(Export!$E:$E,A19,Export!$H:$H,"Efectivo",Export!$M:$M,"&lt;="&amp;36)/B19*100,0))</f>
        <v/>
      </c>
    </row>
    <row r="20">
      <c r="A20" s="47" t="inlineStr">
        <is>
          <t>06-2025</t>
        </is>
      </c>
      <c r="B20" s="44">
        <f>IFERROR(COUNTIF(Export!$E:$E,A20),0)</f>
        <v/>
      </c>
      <c r="C20" s="45">
        <f>IFERROR(VLOOKUP(A20,Originaciones!$A:$B,2,0),"")</f>
        <v/>
      </c>
      <c r="D20">
        <f>IFERROR(VLOOKUP(A20,'Flota Activa'!$A:$B,2,0),"")</f>
        <v/>
      </c>
      <c r="E20" s="46">
        <f>IF(B20=0,"",IFERROR(COUNTIFS(Export!$E:$E,A20,Export!$H:$H,"Efectivo",Export!$M:$M,"&lt;="&amp;0)/B20*100,0))</f>
        <v/>
      </c>
      <c r="F20" s="46">
        <f>IF(B20=0,"",IFERROR(COUNTIFS(Export!$E:$E,A20,Export!$H:$H,"Efectivo",Export!$M:$M,"&lt;="&amp;1)/B20*100,0))</f>
        <v/>
      </c>
      <c r="G20" s="46">
        <f>IF(B20=0,"",IFERROR(COUNTIFS(Export!$E:$E,A20,Export!$H:$H,"Efectivo",Export!$M:$M,"&lt;="&amp;2)/B20*100,0))</f>
        <v/>
      </c>
      <c r="H20" s="46">
        <f>IF(B20=0,"",IFERROR(COUNTIFS(Export!$E:$E,A20,Export!$H:$H,"Efectivo",Export!$M:$M,"&lt;="&amp;3)/B20*100,0))</f>
        <v/>
      </c>
      <c r="I20" s="46">
        <f>IF(B20=0,"",IFERROR(COUNTIFS(Export!$E:$E,A20,Export!$H:$H,"Efectivo",Export!$M:$M,"&lt;="&amp;4)/B20*100,0))</f>
        <v/>
      </c>
      <c r="J20" s="46">
        <f>IF(B20=0,"",IFERROR(COUNTIFS(Export!$E:$E,A20,Export!$H:$H,"Efectivo",Export!$M:$M,"&lt;="&amp;5)/B20*100,0))</f>
        <v/>
      </c>
      <c r="K20" s="46">
        <f>IF(B20=0,"",IFERROR(COUNTIFS(Export!$E:$E,A20,Export!$H:$H,"Efectivo",Export!$M:$M,"&lt;="&amp;6)/B20*100,0))</f>
        <v/>
      </c>
      <c r="L20" s="46">
        <f>IF(B20=0,"",IFERROR(COUNTIFS(Export!$E:$E,A20,Export!$H:$H,"Efectivo",Export!$M:$M,"&lt;="&amp;7)/B20*100,0))</f>
        <v/>
      </c>
      <c r="M20" s="46">
        <f>IF(B20=0,"",IFERROR(COUNTIFS(Export!$E:$E,A20,Export!$H:$H,"Efectivo",Export!$M:$M,"&lt;="&amp;8)/B20*100,0))</f>
        <v/>
      </c>
      <c r="N20" s="46">
        <f>IF(B20=0,"",IFERROR(COUNTIFS(Export!$E:$E,A20,Export!$H:$H,"Efectivo",Export!$M:$M,"&lt;="&amp;9)/B20*100,0))</f>
        <v/>
      </c>
      <c r="O20" s="46">
        <f>IF(B20=0,"",IFERROR(COUNTIFS(Export!$E:$E,A20,Export!$H:$H,"Efectivo",Export!$M:$M,"&lt;="&amp;10)/B20*100,0))</f>
        <v/>
      </c>
      <c r="P20" s="46">
        <f>IF(B20=0,"",IFERROR(COUNTIFS(Export!$E:$E,A20,Export!$H:$H,"Efectivo",Export!$M:$M,"&lt;="&amp;11)/B20*100,0))</f>
        <v/>
      </c>
      <c r="Q20" s="46">
        <f>IF(B20=0,"",IFERROR(COUNTIFS(Export!$E:$E,A20,Export!$H:$H,"Efectivo",Export!$M:$M,"&lt;="&amp;12)/B20*100,0))</f>
        <v/>
      </c>
      <c r="R20" s="46">
        <f>IF(B20=0,"",IFERROR(COUNTIFS(Export!$E:$E,A20,Export!$H:$H,"Efectivo",Export!$M:$M,"&lt;="&amp;13)/B20*100,0))</f>
        <v/>
      </c>
      <c r="S20" s="46">
        <f>IF(B20=0,"",IFERROR(COUNTIFS(Export!$E:$E,A20,Export!$H:$H,"Efectivo",Export!$M:$M,"&lt;="&amp;14)/B20*100,0))</f>
        <v/>
      </c>
      <c r="T20" s="46">
        <f>IF(B20=0,"",IFERROR(COUNTIFS(Export!$E:$E,A20,Export!$H:$H,"Efectivo",Export!$M:$M,"&lt;="&amp;15)/B20*100,0))</f>
        <v/>
      </c>
      <c r="U20" s="46">
        <f>IF(B20=0,"",IFERROR(COUNTIFS(Export!$E:$E,A20,Export!$H:$H,"Efectivo",Export!$M:$M,"&lt;="&amp;16)/B20*100,0))</f>
        <v/>
      </c>
      <c r="V20" s="46">
        <f>IF(B20=0,"",IFERROR(COUNTIFS(Export!$E:$E,A20,Export!$H:$H,"Efectivo",Export!$M:$M,"&lt;="&amp;17)/B20*100,0))</f>
        <v/>
      </c>
      <c r="W20" s="46">
        <f>IF(B20=0,"",IFERROR(COUNTIFS(Export!$E:$E,A20,Export!$H:$H,"Efectivo",Export!$M:$M,"&lt;="&amp;18)/B20*100,0))</f>
        <v/>
      </c>
      <c r="X20" s="46">
        <f>IF(B20=0,"",IFERROR(COUNTIFS(Export!$E:$E,A20,Export!$H:$H,"Efectivo",Export!$M:$M,"&lt;="&amp;19)/B20*100,0))</f>
        <v/>
      </c>
      <c r="Y20" s="46">
        <f>IF(B20=0,"",IFERROR(COUNTIFS(Export!$E:$E,A20,Export!$H:$H,"Efectivo",Export!$M:$M,"&lt;="&amp;20)/B20*100,0))</f>
        <v/>
      </c>
      <c r="Z20" s="46">
        <f>IF(B20=0,"",IFERROR(COUNTIFS(Export!$E:$E,A20,Export!$H:$H,"Efectivo",Export!$M:$M,"&lt;="&amp;21)/B20*100,0))</f>
        <v/>
      </c>
      <c r="AA20" s="46">
        <f>IF(B20=0,"",IFERROR(COUNTIFS(Export!$E:$E,A20,Export!$H:$H,"Efectivo",Export!$M:$M,"&lt;="&amp;22)/B20*100,0))</f>
        <v/>
      </c>
      <c r="AB20" s="46">
        <f>IF(B20=0,"",IFERROR(COUNTIFS(Export!$E:$E,A20,Export!$H:$H,"Efectivo",Export!$M:$M,"&lt;="&amp;23)/B20*100,0))</f>
        <v/>
      </c>
      <c r="AC20" s="46">
        <f>IF(B20=0,"",IFERROR(COUNTIFS(Export!$E:$E,A20,Export!$H:$H,"Efectivo",Export!$M:$M,"&lt;="&amp;24)/B20*100,0))</f>
        <v/>
      </c>
      <c r="AD20" s="46">
        <f>IF(B20=0,"",IFERROR(COUNTIFS(Export!$E:$E,A20,Export!$H:$H,"Efectivo",Export!$M:$M,"&lt;="&amp;25)/B20*100,0))</f>
        <v/>
      </c>
      <c r="AE20" s="46">
        <f>IF(B20=0,"",IFERROR(COUNTIFS(Export!$E:$E,A20,Export!$H:$H,"Efectivo",Export!$M:$M,"&lt;="&amp;26)/B20*100,0))</f>
        <v/>
      </c>
      <c r="AF20" s="46">
        <f>IF(B20=0,"",IFERROR(COUNTIFS(Export!$E:$E,A20,Export!$H:$H,"Efectivo",Export!$M:$M,"&lt;="&amp;27)/B20*100,0))</f>
        <v/>
      </c>
      <c r="AG20" s="46">
        <f>IF(B20=0,"",IFERROR(COUNTIFS(Export!$E:$E,A20,Export!$H:$H,"Efectivo",Export!$M:$M,"&lt;="&amp;28)/B20*100,0))</f>
        <v/>
      </c>
      <c r="AH20" s="46">
        <f>IF(B20=0,"",IFERROR(COUNTIFS(Export!$E:$E,A20,Export!$H:$H,"Efectivo",Export!$M:$M,"&lt;="&amp;29)/B20*100,0))</f>
        <v/>
      </c>
      <c r="AI20" s="46">
        <f>IF(B20=0,"",IFERROR(COUNTIFS(Export!$E:$E,A20,Export!$H:$H,"Efectivo",Export!$M:$M,"&lt;="&amp;30)/B20*100,0))</f>
        <v/>
      </c>
      <c r="AJ20" s="46">
        <f>IF(B20=0,"",IFERROR(COUNTIFS(Export!$E:$E,A20,Export!$H:$H,"Efectivo",Export!$M:$M,"&lt;="&amp;31)/B20*100,0))</f>
        <v/>
      </c>
      <c r="AK20" s="46">
        <f>IF(B20=0,"",IFERROR(COUNTIFS(Export!$E:$E,A20,Export!$H:$H,"Efectivo",Export!$M:$M,"&lt;="&amp;32)/B20*100,0))</f>
        <v/>
      </c>
      <c r="AL20" s="46">
        <f>IF(B20=0,"",IFERROR(COUNTIFS(Export!$E:$E,A20,Export!$H:$H,"Efectivo",Export!$M:$M,"&lt;="&amp;33)/B20*100,0))</f>
        <v/>
      </c>
      <c r="AM20" s="46">
        <f>IF(B20=0,"",IFERROR(COUNTIFS(Export!$E:$E,A20,Export!$H:$H,"Efectivo",Export!$M:$M,"&lt;="&amp;34)/B20*100,0))</f>
        <v/>
      </c>
      <c r="AN20" s="46">
        <f>IF(B20=0,"",IFERROR(COUNTIFS(Export!$E:$E,A20,Export!$H:$H,"Efectivo",Export!$M:$M,"&lt;="&amp;35)/B20*100,0))</f>
        <v/>
      </c>
      <c r="AO20" s="46">
        <f>IF(B20=0,"",IFERROR(COUNTIFS(Export!$E:$E,A20,Export!$H:$H,"Efectivo",Export!$M:$M,"&lt;="&amp;36)/B20*100,0))</f>
        <v/>
      </c>
    </row>
    <row r="21">
      <c r="A21" s="47" t="inlineStr">
        <is>
          <t>07-2025</t>
        </is>
      </c>
      <c r="B21" s="44">
        <f>IFERROR(COUNTIF(Export!$E:$E,A21),0)</f>
        <v/>
      </c>
      <c r="C21" s="45">
        <f>IFERROR(VLOOKUP(A21,Originaciones!$A:$B,2,0),"")</f>
        <v/>
      </c>
      <c r="D21">
        <f>IFERROR(VLOOKUP(A21,'Flota Activa'!$A:$B,2,0),"")</f>
        <v/>
      </c>
      <c r="E21" s="46">
        <f>IF(B21=0,"",IFERROR(COUNTIFS(Export!$E:$E,A21,Export!$H:$H,"Efectivo",Export!$M:$M,"&lt;="&amp;0)/B21*100,0))</f>
        <v/>
      </c>
      <c r="F21" s="46">
        <f>IF(B21=0,"",IFERROR(COUNTIFS(Export!$E:$E,A21,Export!$H:$H,"Efectivo",Export!$M:$M,"&lt;="&amp;1)/B21*100,0))</f>
        <v/>
      </c>
      <c r="G21" s="46">
        <f>IF(B21=0,"",IFERROR(COUNTIFS(Export!$E:$E,A21,Export!$H:$H,"Efectivo",Export!$M:$M,"&lt;="&amp;2)/B21*100,0))</f>
        <v/>
      </c>
      <c r="H21" s="46">
        <f>IF(B21=0,"",IFERROR(COUNTIFS(Export!$E:$E,A21,Export!$H:$H,"Efectivo",Export!$M:$M,"&lt;="&amp;3)/B21*100,0))</f>
        <v/>
      </c>
      <c r="I21" s="46">
        <f>IF(B21=0,"",IFERROR(COUNTIFS(Export!$E:$E,A21,Export!$H:$H,"Efectivo",Export!$M:$M,"&lt;="&amp;4)/B21*100,0))</f>
        <v/>
      </c>
      <c r="J21" s="46">
        <f>IF(B21=0,"",IFERROR(COUNTIFS(Export!$E:$E,A21,Export!$H:$H,"Efectivo",Export!$M:$M,"&lt;="&amp;5)/B21*100,0))</f>
        <v/>
      </c>
      <c r="K21" s="46">
        <f>IF(B21=0,"",IFERROR(COUNTIFS(Export!$E:$E,A21,Export!$H:$H,"Efectivo",Export!$M:$M,"&lt;="&amp;6)/B21*100,0))</f>
        <v/>
      </c>
      <c r="L21" s="46">
        <f>IF(B21=0,"",IFERROR(COUNTIFS(Export!$E:$E,A21,Export!$H:$H,"Efectivo",Export!$M:$M,"&lt;="&amp;7)/B21*100,0))</f>
        <v/>
      </c>
      <c r="M21" s="46">
        <f>IF(B21=0,"",IFERROR(COUNTIFS(Export!$E:$E,A21,Export!$H:$H,"Efectivo",Export!$M:$M,"&lt;="&amp;8)/B21*100,0))</f>
        <v/>
      </c>
      <c r="N21" s="46">
        <f>IF(B21=0,"",IFERROR(COUNTIFS(Export!$E:$E,A21,Export!$H:$H,"Efectivo",Export!$M:$M,"&lt;="&amp;9)/B21*100,0))</f>
        <v/>
      </c>
      <c r="O21" s="46">
        <f>IF(B21=0,"",IFERROR(COUNTIFS(Export!$E:$E,A21,Export!$H:$H,"Efectivo",Export!$M:$M,"&lt;="&amp;10)/B21*100,0))</f>
        <v/>
      </c>
      <c r="P21" s="46">
        <f>IF(B21=0,"",IFERROR(COUNTIFS(Export!$E:$E,A21,Export!$H:$H,"Efectivo",Export!$M:$M,"&lt;="&amp;11)/B21*100,0))</f>
        <v/>
      </c>
      <c r="Q21" s="46">
        <f>IF(B21=0,"",IFERROR(COUNTIFS(Export!$E:$E,A21,Export!$H:$H,"Efectivo",Export!$M:$M,"&lt;="&amp;12)/B21*100,0))</f>
        <v/>
      </c>
      <c r="R21" s="46">
        <f>IF(B21=0,"",IFERROR(COUNTIFS(Export!$E:$E,A21,Export!$H:$H,"Efectivo",Export!$M:$M,"&lt;="&amp;13)/B21*100,0))</f>
        <v/>
      </c>
      <c r="S21" s="46">
        <f>IF(B21=0,"",IFERROR(COUNTIFS(Export!$E:$E,A21,Export!$H:$H,"Efectivo",Export!$M:$M,"&lt;="&amp;14)/B21*100,0))</f>
        <v/>
      </c>
      <c r="T21" s="46">
        <f>IF(B21=0,"",IFERROR(COUNTIFS(Export!$E:$E,A21,Export!$H:$H,"Efectivo",Export!$M:$M,"&lt;="&amp;15)/B21*100,0))</f>
        <v/>
      </c>
      <c r="U21" s="46">
        <f>IF(B21=0,"",IFERROR(COUNTIFS(Export!$E:$E,A21,Export!$H:$H,"Efectivo",Export!$M:$M,"&lt;="&amp;16)/B21*100,0))</f>
        <v/>
      </c>
      <c r="V21" s="46">
        <f>IF(B21=0,"",IFERROR(COUNTIFS(Export!$E:$E,A21,Export!$H:$H,"Efectivo",Export!$M:$M,"&lt;="&amp;17)/B21*100,0))</f>
        <v/>
      </c>
      <c r="W21" s="46">
        <f>IF(B21=0,"",IFERROR(COUNTIFS(Export!$E:$E,A21,Export!$H:$H,"Efectivo",Export!$M:$M,"&lt;="&amp;18)/B21*100,0))</f>
        <v/>
      </c>
      <c r="X21" s="46">
        <f>IF(B21=0,"",IFERROR(COUNTIFS(Export!$E:$E,A21,Export!$H:$H,"Efectivo",Export!$M:$M,"&lt;="&amp;19)/B21*100,0))</f>
        <v/>
      </c>
      <c r="Y21" s="46">
        <f>IF(B21=0,"",IFERROR(COUNTIFS(Export!$E:$E,A21,Export!$H:$H,"Efectivo",Export!$M:$M,"&lt;="&amp;20)/B21*100,0))</f>
        <v/>
      </c>
      <c r="Z21" s="46">
        <f>IF(B21=0,"",IFERROR(COUNTIFS(Export!$E:$E,A21,Export!$H:$H,"Efectivo",Export!$M:$M,"&lt;="&amp;21)/B21*100,0))</f>
        <v/>
      </c>
      <c r="AA21" s="46">
        <f>IF(B21=0,"",IFERROR(COUNTIFS(Export!$E:$E,A21,Export!$H:$H,"Efectivo",Export!$M:$M,"&lt;="&amp;22)/B21*100,0))</f>
        <v/>
      </c>
      <c r="AB21" s="46">
        <f>IF(B21=0,"",IFERROR(COUNTIFS(Export!$E:$E,A21,Export!$H:$H,"Efectivo",Export!$M:$M,"&lt;="&amp;23)/B21*100,0))</f>
        <v/>
      </c>
      <c r="AC21" s="46">
        <f>IF(B21=0,"",IFERROR(COUNTIFS(Export!$E:$E,A21,Export!$H:$H,"Efectivo",Export!$M:$M,"&lt;="&amp;24)/B21*100,0))</f>
        <v/>
      </c>
      <c r="AD21" s="46">
        <f>IF(B21=0,"",IFERROR(COUNTIFS(Export!$E:$E,A21,Export!$H:$H,"Efectivo",Export!$M:$M,"&lt;="&amp;25)/B21*100,0))</f>
        <v/>
      </c>
      <c r="AE21" s="46">
        <f>IF(B21=0,"",IFERROR(COUNTIFS(Export!$E:$E,A21,Export!$H:$H,"Efectivo",Export!$M:$M,"&lt;="&amp;26)/B21*100,0))</f>
        <v/>
      </c>
      <c r="AF21" s="46">
        <f>IF(B21=0,"",IFERROR(COUNTIFS(Export!$E:$E,A21,Export!$H:$H,"Efectivo",Export!$M:$M,"&lt;="&amp;27)/B21*100,0))</f>
        <v/>
      </c>
      <c r="AG21" s="46">
        <f>IF(B21=0,"",IFERROR(COUNTIFS(Export!$E:$E,A21,Export!$H:$H,"Efectivo",Export!$M:$M,"&lt;="&amp;28)/B21*100,0))</f>
        <v/>
      </c>
      <c r="AH21" s="46">
        <f>IF(B21=0,"",IFERROR(COUNTIFS(Export!$E:$E,A21,Export!$H:$H,"Efectivo",Export!$M:$M,"&lt;="&amp;29)/B21*100,0))</f>
        <v/>
      </c>
      <c r="AI21" s="46">
        <f>IF(B21=0,"",IFERROR(COUNTIFS(Export!$E:$E,A21,Export!$H:$H,"Efectivo",Export!$M:$M,"&lt;="&amp;30)/B21*100,0))</f>
        <v/>
      </c>
      <c r="AJ21" s="46">
        <f>IF(B21=0,"",IFERROR(COUNTIFS(Export!$E:$E,A21,Export!$H:$H,"Efectivo",Export!$M:$M,"&lt;="&amp;31)/B21*100,0))</f>
        <v/>
      </c>
      <c r="AK21" s="46">
        <f>IF(B21=0,"",IFERROR(COUNTIFS(Export!$E:$E,A21,Export!$H:$H,"Efectivo",Export!$M:$M,"&lt;="&amp;32)/B21*100,0))</f>
        <v/>
      </c>
      <c r="AL21" s="46">
        <f>IF(B21=0,"",IFERROR(COUNTIFS(Export!$E:$E,A21,Export!$H:$H,"Efectivo",Export!$M:$M,"&lt;="&amp;33)/B21*100,0))</f>
        <v/>
      </c>
      <c r="AM21" s="46">
        <f>IF(B21=0,"",IFERROR(COUNTIFS(Export!$E:$E,A21,Export!$H:$H,"Efectivo",Export!$M:$M,"&lt;="&amp;34)/B21*100,0))</f>
        <v/>
      </c>
      <c r="AN21" s="46">
        <f>IF(B21=0,"",IFERROR(COUNTIFS(Export!$E:$E,A21,Export!$H:$H,"Efectivo",Export!$M:$M,"&lt;="&amp;35)/B21*100,0))</f>
        <v/>
      </c>
      <c r="AO21" s="46">
        <f>IF(B21=0,"",IFERROR(COUNTIFS(Export!$E:$E,A21,Export!$H:$H,"Efectivo",Export!$M:$M,"&lt;="&amp;36)/B21*100,0))</f>
        <v/>
      </c>
    </row>
    <row r="22">
      <c r="A22" s="47" t="inlineStr">
        <is>
          <t>08-2025</t>
        </is>
      </c>
      <c r="B22" s="44">
        <f>IFERROR(COUNTIF(Export!$E:$E,A22),0)</f>
        <v/>
      </c>
      <c r="C22" s="45">
        <f>IFERROR(VLOOKUP(A22,Originaciones!$A:$B,2,0),"")</f>
        <v/>
      </c>
      <c r="D22">
        <f>IFERROR(VLOOKUP(A22,'Flota Activa'!$A:$B,2,0),"")</f>
        <v/>
      </c>
      <c r="E22" s="46">
        <f>IF(B22=0,"",IFERROR(COUNTIFS(Export!$E:$E,A22,Export!$H:$H,"Efectivo",Export!$M:$M,"&lt;="&amp;0)/B22*100,0))</f>
        <v/>
      </c>
      <c r="F22" s="46">
        <f>IF(B22=0,"",IFERROR(COUNTIFS(Export!$E:$E,A22,Export!$H:$H,"Efectivo",Export!$M:$M,"&lt;="&amp;1)/B22*100,0))</f>
        <v/>
      </c>
      <c r="G22" s="46">
        <f>IF(B22=0,"",IFERROR(COUNTIFS(Export!$E:$E,A22,Export!$H:$H,"Efectivo",Export!$M:$M,"&lt;="&amp;2)/B22*100,0))</f>
        <v/>
      </c>
      <c r="H22" s="46">
        <f>IF(B22=0,"",IFERROR(COUNTIFS(Export!$E:$E,A22,Export!$H:$H,"Efectivo",Export!$M:$M,"&lt;="&amp;3)/B22*100,0))</f>
        <v/>
      </c>
      <c r="I22" s="46">
        <f>IF(B22=0,"",IFERROR(COUNTIFS(Export!$E:$E,A22,Export!$H:$H,"Efectivo",Export!$M:$M,"&lt;="&amp;4)/B22*100,0))</f>
        <v/>
      </c>
      <c r="J22" s="46">
        <f>IF(B22=0,"",IFERROR(COUNTIFS(Export!$E:$E,A22,Export!$H:$H,"Efectivo",Export!$M:$M,"&lt;="&amp;5)/B22*100,0))</f>
        <v/>
      </c>
      <c r="K22" s="46">
        <f>IF(B22=0,"",IFERROR(COUNTIFS(Export!$E:$E,A22,Export!$H:$H,"Efectivo",Export!$M:$M,"&lt;="&amp;6)/B22*100,0))</f>
        <v/>
      </c>
      <c r="L22" s="46">
        <f>IF(B22=0,"",IFERROR(COUNTIFS(Export!$E:$E,A22,Export!$H:$H,"Efectivo",Export!$M:$M,"&lt;="&amp;7)/B22*100,0))</f>
        <v/>
      </c>
      <c r="M22" s="46">
        <f>IF(B22=0,"",IFERROR(COUNTIFS(Export!$E:$E,A22,Export!$H:$H,"Efectivo",Export!$M:$M,"&lt;="&amp;8)/B22*100,0))</f>
        <v/>
      </c>
      <c r="N22" s="46">
        <f>IF(B22=0,"",IFERROR(COUNTIFS(Export!$E:$E,A22,Export!$H:$H,"Efectivo",Export!$M:$M,"&lt;="&amp;9)/B22*100,0))</f>
        <v/>
      </c>
      <c r="O22" s="46">
        <f>IF(B22=0,"",IFERROR(COUNTIFS(Export!$E:$E,A22,Export!$H:$H,"Efectivo",Export!$M:$M,"&lt;="&amp;10)/B22*100,0))</f>
        <v/>
      </c>
      <c r="P22" s="46">
        <f>IF(B22=0,"",IFERROR(COUNTIFS(Export!$E:$E,A22,Export!$H:$H,"Efectivo",Export!$M:$M,"&lt;="&amp;11)/B22*100,0))</f>
        <v/>
      </c>
      <c r="Q22" s="46">
        <f>IF(B22=0,"",IFERROR(COUNTIFS(Export!$E:$E,A22,Export!$H:$H,"Efectivo",Export!$M:$M,"&lt;="&amp;12)/B22*100,0))</f>
        <v/>
      </c>
      <c r="R22" s="46">
        <f>IF(B22=0,"",IFERROR(COUNTIFS(Export!$E:$E,A22,Export!$H:$H,"Efectivo",Export!$M:$M,"&lt;="&amp;13)/B22*100,0))</f>
        <v/>
      </c>
      <c r="S22" s="46">
        <f>IF(B22=0,"",IFERROR(COUNTIFS(Export!$E:$E,A22,Export!$H:$H,"Efectivo",Export!$M:$M,"&lt;="&amp;14)/B22*100,0))</f>
        <v/>
      </c>
      <c r="T22" s="46">
        <f>IF(B22=0,"",IFERROR(COUNTIFS(Export!$E:$E,A22,Export!$H:$H,"Efectivo",Export!$M:$M,"&lt;="&amp;15)/B22*100,0))</f>
        <v/>
      </c>
      <c r="U22" s="46">
        <f>IF(B22=0,"",IFERROR(COUNTIFS(Export!$E:$E,A22,Export!$H:$H,"Efectivo",Export!$M:$M,"&lt;="&amp;16)/B22*100,0))</f>
        <v/>
      </c>
      <c r="V22" s="46">
        <f>IF(B22=0,"",IFERROR(COUNTIFS(Export!$E:$E,A22,Export!$H:$H,"Efectivo",Export!$M:$M,"&lt;="&amp;17)/B22*100,0))</f>
        <v/>
      </c>
      <c r="W22" s="46">
        <f>IF(B22=0,"",IFERROR(COUNTIFS(Export!$E:$E,A22,Export!$H:$H,"Efectivo",Export!$M:$M,"&lt;="&amp;18)/B22*100,0))</f>
        <v/>
      </c>
      <c r="X22" s="46">
        <f>IF(B22=0,"",IFERROR(COUNTIFS(Export!$E:$E,A22,Export!$H:$H,"Efectivo",Export!$M:$M,"&lt;="&amp;19)/B22*100,0))</f>
        <v/>
      </c>
      <c r="Y22" s="46">
        <f>IF(B22=0,"",IFERROR(COUNTIFS(Export!$E:$E,A22,Export!$H:$H,"Efectivo",Export!$M:$M,"&lt;="&amp;20)/B22*100,0))</f>
        <v/>
      </c>
      <c r="Z22" s="46">
        <f>IF(B22=0,"",IFERROR(COUNTIFS(Export!$E:$E,A22,Export!$H:$H,"Efectivo",Export!$M:$M,"&lt;="&amp;21)/B22*100,0))</f>
        <v/>
      </c>
      <c r="AA22" s="46">
        <f>IF(B22=0,"",IFERROR(COUNTIFS(Export!$E:$E,A22,Export!$H:$H,"Efectivo",Export!$M:$M,"&lt;="&amp;22)/B22*100,0))</f>
        <v/>
      </c>
      <c r="AB22" s="46">
        <f>IF(B22=0,"",IFERROR(COUNTIFS(Export!$E:$E,A22,Export!$H:$H,"Efectivo",Export!$M:$M,"&lt;="&amp;23)/B22*100,0))</f>
        <v/>
      </c>
      <c r="AC22" s="46">
        <f>IF(B22=0,"",IFERROR(COUNTIFS(Export!$E:$E,A22,Export!$H:$H,"Efectivo",Export!$M:$M,"&lt;="&amp;24)/B22*100,0))</f>
        <v/>
      </c>
      <c r="AD22" s="46">
        <f>IF(B22=0,"",IFERROR(COUNTIFS(Export!$E:$E,A22,Export!$H:$H,"Efectivo",Export!$M:$M,"&lt;="&amp;25)/B22*100,0))</f>
        <v/>
      </c>
      <c r="AE22" s="46">
        <f>IF(B22=0,"",IFERROR(COUNTIFS(Export!$E:$E,A22,Export!$H:$H,"Efectivo",Export!$M:$M,"&lt;="&amp;26)/B22*100,0))</f>
        <v/>
      </c>
      <c r="AF22" s="46">
        <f>IF(B22=0,"",IFERROR(COUNTIFS(Export!$E:$E,A22,Export!$H:$H,"Efectivo",Export!$M:$M,"&lt;="&amp;27)/B22*100,0))</f>
        <v/>
      </c>
      <c r="AG22" s="46">
        <f>IF(B22=0,"",IFERROR(COUNTIFS(Export!$E:$E,A22,Export!$H:$H,"Efectivo",Export!$M:$M,"&lt;="&amp;28)/B22*100,0))</f>
        <v/>
      </c>
      <c r="AH22" s="46">
        <f>IF(B22=0,"",IFERROR(COUNTIFS(Export!$E:$E,A22,Export!$H:$H,"Efectivo",Export!$M:$M,"&lt;="&amp;29)/B22*100,0))</f>
        <v/>
      </c>
      <c r="AI22" s="46">
        <f>IF(B22=0,"",IFERROR(COUNTIFS(Export!$E:$E,A22,Export!$H:$H,"Efectivo",Export!$M:$M,"&lt;="&amp;30)/B22*100,0))</f>
        <v/>
      </c>
      <c r="AJ22" s="46">
        <f>IF(B22=0,"",IFERROR(COUNTIFS(Export!$E:$E,A22,Export!$H:$H,"Efectivo",Export!$M:$M,"&lt;="&amp;31)/B22*100,0))</f>
        <v/>
      </c>
      <c r="AK22" s="46">
        <f>IF(B22=0,"",IFERROR(COUNTIFS(Export!$E:$E,A22,Export!$H:$H,"Efectivo",Export!$M:$M,"&lt;="&amp;32)/B22*100,0))</f>
        <v/>
      </c>
      <c r="AL22" s="46">
        <f>IF(B22=0,"",IFERROR(COUNTIFS(Export!$E:$E,A22,Export!$H:$H,"Efectivo",Export!$M:$M,"&lt;="&amp;33)/B22*100,0))</f>
        <v/>
      </c>
      <c r="AM22" s="46">
        <f>IF(B22=0,"",IFERROR(COUNTIFS(Export!$E:$E,A22,Export!$H:$H,"Efectivo",Export!$M:$M,"&lt;="&amp;34)/B22*100,0))</f>
        <v/>
      </c>
      <c r="AN22" s="46">
        <f>IF(B22=0,"",IFERROR(COUNTIFS(Export!$E:$E,A22,Export!$H:$H,"Efectivo",Export!$M:$M,"&lt;="&amp;35)/B22*100,0))</f>
        <v/>
      </c>
      <c r="AO22" s="46">
        <f>IF(B22=0,"",IFERROR(COUNTIFS(Export!$E:$E,A22,Export!$H:$H,"Efectivo",Export!$M:$M,"&lt;="&amp;36)/B22*100,0))</f>
        <v/>
      </c>
    </row>
    <row r="23">
      <c r="A23" s="47" t="inlineStr">
        <is>
          <t>09-2025</t>
        </is>
      </c>
      <c r="B23" s="44">
        <f>IFERROR(COUNTIF(Export!$E:$E,A23),0)</f>
        <v/>
      </c>
      <c r="C23" s="45">
        <f>IFERROR(VLOOKUP(A23,Originaciones!$A:$B,2,0),"")</f>
        <v/>
      </c>
      <c r="D23">
        <f>IFERROR(VLOOKUP(A23,'Flota Activa'!$A:$B,2,0),"")</f>
        <v/>
      </c>
      <c r="E23" s="46">
        <f>IF(B23=0,"",IFERROR(COUNTIFS(Export!$E:$E,A23,Export!$H:$H,"Efectivo",Export!$M:$M,"&lt;="&amp;0)/B23*100,0))</f>
        <v/>
      </c>
      <c r="F23" s="46">
        <f>IF(B23=0,"",IFERROR(COUNTIFS(Export!$E:$E,A23,Export!$H:$H,"Efectivo",Export!$M:$M,"&lt;="&amp;1)/B23*100,0))</f>
        <v/>
      </c>
      <c r="G23" s="46">
        <f>IF(B23=0,"",IFERROR(COUNTIFS(Export!$E:$E,A23,Export!$H:$H,"Efectivo",Export!$M:$M,"&lt;="&amp;2)/B23*100,0))</f>
        <v/>
      </c>
      <c r="H23" s="46">
        <f>IF(B23=0,"",IFERROR(COUNTIFS(Export!$E:$E,A23,Export!$H:$H,"Efectivo",Export!$M:$M,"&lt;="&amp;3)/B23*100,0))</f>
        <v/>
      </c>
      <c r="I23" s="46">
        <f>IF(B23=0,"",IFERROR(COUNTIFS(Export!$E:$E,A23,Export!$H:$H,"Efectivo",Export!$M:$M,"&lt;="&amp;4)/B23*100,0))</f>
        <v/>
      </c>
      <c r="J23" s="46">
        <f>IF(B23=0,"",IFERROR(COUNTIFS(Export!$E:$E,A23,Export!$H:$H,"Efectivo",Export!$M:$M,"&lt;="&amp;5)/B23*100,0))</f>
        <v/>
      </c>
      <c r="K23" s="46">
        <f>IF(B23=0,"",IFERROR(COUNTIFS(Export!$E:$E,A23,Export!$H:$H,"Efectivo",Export!$M:$M,"&lt;="&amp;6)/B23*100,0))</f>
        <v/>
      </c>
      <c r="L23" s="46">
        <f>IF(B23=0,"",IFERROR(COUNTIFS(Export!$E:$E,A23,Export!$H:$H,"Efectivo",Export!$M:$M,"&lt;="&amp;7)/B23*100,0))</f>
        <v/>
      </c>
      <c r="M23" s="46">
        <f>IF(B23=0,"",IFERROR(COUNTIFS(Export!$E:$E,A23,Export!$H:$H,"Efectivo",Export!$M:$M,"&lt;="&amp;8)/B23*100,0))</f>
        <v/>
      </c>
      <c r="N23" s="46">
        <f>IF(B23=0,"",IFERROR(COUNTIFS(Export!$E:$E,A23,Export!$H:$H,"Efectivo",Export!$M:$M,"&lt;="&amp;9)/B23*100,0))</f>
        <v/>
      </c>
      <c r="O23" s="46">
        <f>IF(B23=0,"",IFERROR(COUNTIFS(Export!$E:$E,A23,Export!$H:$H,"Efectivo",Export!$M:$M,"&lt;="&amp;10)/B23*100,0))</f>
        <v/>
      </c>
      <c r="P23" s="46">
        <f>IF(B23=0,"",IFERROR(COUNTIFS(Export!$E:$E,A23,Export!$H:$H,"Efectivo",Export!$M:$M,"&lt;="&amp;11)/B23*100,0))</f>
        <v/>
      </c>
      <c r="Q23" s="46">
        <f>IF(B23=0,"",IFERROR(COUNTIFS(Export!$E:$E,A23,Export!$H:$H,"Efectivo",Export!$M:$M,"&lt;="&amp;12)/B23*100,0))</f>
        <v/>
      </c>
      <c r="R23" s="46">
        <f>IF(B23=0,"",IFERROR(COUNTIFS(Export!$E:$E,A23,Export!$H:$H,"Efectivo",Export!$M:$M,"&lt;="&amp;13)/B23*100,0))</f>
        <v/>
      </c>
      <c r="S23" s="46">
        <f>IF(B23=0,"",IFERROR(COUNTIFS(Export!$E:$E,A23,Export!$H:$H,"Efectivo",Export!$M:$M,"&lt;="&amp;14)/B23*100,0))</f>
        <v/>
      </c>
      <c r="T23" s="46">
        <f>IF(B23=0,"",IFERROR(COUNTIFS(Export!$E:$E,A23,Export!$H:$H,"Efectivo",Export!$M:$M,"&lt;="&amp;15)/B23*100,0))</f>
        <v/>
      </c>
      <c r="U23" s="46">
        <f>IF(B23=0,"",IFERROR(COUNTIFS(Export!$E:$E,A23,Export!$H:$H,"Efectivo",Export!$M:$M,"&lt;="&amp;16)/B23*100,0))</f>
        <v/>
      </c>
      <c r="V23" s="46">
        <f>IF(B23=0,"",IFERROR(COUNTIFS(Export!$E:$E,A23,Export!$H:$H,"Efectivo",Export!$M:$M,"&lt;="&amp;17)/B23*100,0))</f>
        <v/>
      </c>
      <c r="W23" s="46">
        <f>IF(B23=0,"",IFERROR(COUNTIFS(Export!$E:$E,A23,Export!$H:$H,"Efectivo",Export!$M:$M,"&lt;="&amp;18)/B23*100,0))</f>
        <v/>
      </c>
      <c r="X23" s="46">
        <f>IF(B23=0,"",IFERROR(COUNTIFS(Export!$E:$E,A23,Export!$H:$H,"Efectivo",Export!$M:$M,"&lt;="&amp;19)/B23*100,0))</f>
        <v/>
      </c>
      <c r="Y23" s="46">
        <f>IF(B23=0,"",IFERROR(COUNTIFS(Export!$E:$E,A23,Export!$H:$H,"Efectivo",Export!$M:$M,"&lt;="&amp;20)/B23*100,0))</f>
        <v/>
      </c>
      <c r="Z23" s="46">
        <f>IF(B23=0,"",IFERROR(COUNTIFS(Export!$E:$E,A23,Export!$H:$H,"Efectivo",Export!$M:$M,"&lt;="&amp;21)/B23*100,0))</f>
        <v/>
      </c>
      <c r="AA23" s="46">
        <f>IF(B23=0,"",IFERROR(COUNTIFS(Export!$E:$E,A23,Export!$H:$H,"Efectivo",Export!$M:$M,"&lt;="&amp;22)/B23*100,0))</f>
        <v/>
      </c>
      <c r="AB23" s="46">
        <f>IF(B23=0,"",IFERROR(COUNTIFS(Export!$E:$E,A23,Export!$H:$H,"Efectivo",Export!$M:$M,"&lt;="&amp;23)/B23*100,0))</f>
        <v/>
      </c>
      <c r="AC23" s="46">
        <f>IF(B23=0,"",IFERROR(COUNTIFS(Export!$E:$E,A23,Export!$H:$H,"Efectivo",Export!$M:$M,"&lt;="&amp;24)/B23*100,0))</f>
        <v/>
      </c>
      <c r="AD23" s="46">
        <f>IF(B23=0,"",IFERROR(COUNTIFS(Export!$E:$E,A23,Export!$H:$H,"Efectivo",Export!$M:$M,"&lt;="&amp;25)/B23*100,0))</f>
        <v/>
      </c>
      <c r="AE23" s="46">
        <f>IF(B23=0,"",IFERROR(COUNTIFS(Export!$E:$E,A23,Export!$H:$H,"Efectivo",Export!$M:$M,"&lt;="&amp;26)/B23*100,0))</f>
        <v/>
      </c>
      <c r="AF23" s="46">
        <f>IF(B23=0,"",IFERROR(COUNTIFS(Export!$E:$E,A23,Export!$H:$H,"Efectivo",Export!$M:$M,"&lt;="&amp;27)/B23*100,0))</f>
        <v/>
      </c>
      <c r="AG23" s="46">
        <f>IF(B23=0,"",IFERROR(COUNTIFS(Export!$E:$E,A23,Export!$H:$H,"Efectivo",Export!$M:$M,"&lt;="&amp;28)/B23*100,0))</f>
        <v/>
      </c>
      <c r="AH23" s="46">
        <f>IF(B23=0,"",IFERROR(COUNTIFS(Export!$E:$E,A23,Export!$H:$H,"Efectivo",Export!$M:$M,"&lt;="&amp;29)/B23*100,0))</f>
        <v/>
      </c>
      <c r="AI23" s="46">
        <f>IF(B23=0,"",IFERROR(COUNTIFS(Export!$E:$E,A23,Export!$H:$H,"Efectivo",Export!$M:$M,"&lt;="&amp;30)/B23*100,0))</f>
        <v/>
      </c>
      <c r="AJ23" s="46">
        <f>IF(B23=0,"",IFERROR(COUNTIFS(Export!$E:$E,A23,Export!$H:$H,"Efectivo",Export!$M:$M,"&lt;="&amp;31)/B23*100,0))</f>
        <v/>
      </c>
      <c r="AK23" s="46">
        <f>IF(B23=0,"",IFERROR(COUNTIFS(Export!$E:$E,A23,Export!$H:$H,"Efectivo",Export!$M:$M,"&lt;="&amp;32)/B23*100,0))</f>
        <v/>
      </c>
      <c r="AL23" s="46">
        <f>IF(B23=0,"",IFERROR(COUNTIFS(Export!$E:$E,A23,Export!$H:$H,"Efectivo",Export!$M:$M,"&lt;="&amp;33)/B23*100,0))</f>
        <v/>
      </c>
      <c r="AM23" s="46">
        <f>IF(B23=0,"",IFERROR(COUNTIFS(Export!$E:$E,A23,Export!$H:$H,"Efectivo",Export!$M:$M,"&lt;="&amp;34)/B23*100,0))</f>
        <v/>
      </c>
      <c r="AN23" s="46">
        <f>IF(B23=0,"",IFERROR(COUNTIFS(Export!$E:$E,A23,Export!$H:$H,"Efectivo",Export!$M:$M,"&lt;="&amp;35)/B23*100,0))</f>
        <v/>
      </c>
      <c r="AO23" s="46">
        <f>IF(B23=0,"",IFERROR(COUNTIFS(Export!$E:$E,A23,Export!$H:$H,"Efectivo",Export!$M:$M,"&lt;="&amp;36)/B23*100,0))</f>
        <v/>
      </c>
    </row>
    <row r="24">
      <c r="A24" s="47" t="inlineStr">
        <is>
          <t>10-2025</t>
        </is>
      </c>
      <c r="B24" s="44">
        <f>IFERROR(COUNTIF(Export!$E:$E,A24),0)</f>
        <v/>
      </c>
      <c r="C24" s="45">
        <f>IFERROR(VLOOKUP(A24,Originaciones!$A:$B,2,0),"")</f>
        <v/>
      </c>
      <c r="D24">
        <f>IFERROR(VLOOKUP(A24,'Flota Activa'!$A:$B,2,0),"")</f>
        <v/>
      </c>
      <c r="E24" s="46">
        <f>IF(B24=0,"",IFERROR(COUNTIFS(Export!$E:$E,A24,Export!$H:$H,"Efectivo",Export!$M:$M,"&lt;="&amp;0)/B24*100,0))</f>
        <v/>
      </c>
      <c r="F24" s="46">
        <f>IF(B24=0,"",IFERROR(COUNTIFS(Export!$E:$E,A24,Export!$H:$H,"Efectivo",Export!$M:$M,"&lt;="&amp;1)/B24*100,0))</f>
        <v/>
      </c>
      <c r="G24" s="46">
        <f>IF(B24=0,"",IFERROR(COUNTIFS(Export!$E:$E,A24,Export!$H:$H,"Efectivo",Export!$M:$M,"&lt;="&amp;2)/B24*100,0))</f>
        <v/>
      </c>
      <c r="H24" s="46">
        <f>IF(B24=0,"",IFERROR(COUNTIFS(Export!$E:$E,A24,Export!$H:$H,"Efectivo",Export!$M:$M,"&lt;="&amp;3)/B24*100,0))</f>
        <v/>
      </c>
      <c r="I24" s="46">
        <f>IF(B24=0,"",IFERROR(COUNTIFS(Export!$E:$E,A24,Export!$H:$H,"Efectivo",Export!$M:$M,"&lt;="&amp;4)/B24*100,0))</f>
        <v/>
      </c>
      <c r="J24" s="46">
        <f>IF(B24=0,"",IFERROR(COUNTIFS(Export!$E:$E,A24,Export!$H:$H,"Efectivo",Export!$M:$M,"&lt;="&amp;5)/B24*100,0))</f>
        <v/>
      </c>
      <c r="K24" s="46">
        <f>IF(B24=0,"",IFERROR(COUNTIFS(Export!$E:$E,A24,Export!$H:$H,"Efectivo",Export!$M:$M,"&lt;="&amp;6)/B24*100,0))</f>
        <v/>
      </c>
      <c r="L24" s="46">
        <f>IF(B24=0,"",IFERROR(COUNTIFS(Export!$E:$E,A24,Export!$H:$H,"Efectivo",Export!$M:$M,"&lt;="&amp;7)/B24*100,0))</f>
        <v/>
      </c>
      <c r="M24" s="46">
        <f>IF(B24=0,"",IFERROR(COUNTIFS(Export!$E:$E,A24,Export!$H:$H,"Efectivo",Export!$M:$M,"&lt;="&amp;8)/B24*100,0))</f>
        <v/>
      </c>
      <c r="N24" s="46">
        <f>IF(B24=0,"",IFERROR(COUNTIFS(Export!$E:$E,A24,Export!$H:$H,"Efectivo",Export!$M:$M,"&lt;="&amp;9)/B24*100,0))</f>
        <v/>
      </c>
      <c r="O24" s="46">
        <f>IF(B24=0,"",IFERROR(COUNTIFS(Export!$E:$E,A24,Export!$H:$H,"Efectivo",Export!$M:$M,"&lt;="&amp;10)/B24*100,0))</f>
        <v/>
      </c>
      <c r="P24" s="46">
        <f>IF(B24=0,"",IFERROR(COUNTIFS(Export!$E:$E,A24,Export!$H:$H,"Efectivo",Export!$M:$M,"&lt;="&amp;11)/B24*100,0))</f>
        <v/>
      </c>
      <c r="Q24" s="46">
        <f>IF(B24=0,"",IFERROR(COUNTIFS(Export!$E:$E,A24,Export!$H:$H,"Efectivo",Export!$M:$M,"&lt;="&amp;12)/B24*100,0))</f>
        <v/>
      </c>
      <c r="R24" s="46">
        <f>IF(B24=0,"",IFERROR(COUNTIFS(Export!$E:$E,A24,Export!$H:$H,"Efectivo",Export!$M:$M,"&lt;="&amp;13)/B24*100,0))</f>
        <v/>
      </c>
      <c r="S24" s="46">
        <f>IF(B24=0,"",IFERROR(COUNTIFS(Export!$E:$E,A24,Export!$H:$H,"Efectivo",Export!$M:$M,"&lt;="&amp;14)/B24*100,0))</f>
        <v/>
      </c>
      <c r="T24" s="46">
        <f>IF(B24=0,"",IFERROR(COUNTIFS(Export!$E:$E,A24,Export!$H:$H,"Efectivo",Export!$M:$M,"&lt;="&amp;15)/B24*100,0))</f>
        <v/>
      </c>
      <c r="U24" s="46">
        <f>IF(B24=0,"",IFERROR(COUNTIFS(Export!$E:$E,A24,Export!$H:$H,"Efectivo",Export!$M:$M,"&lt;="&amp;16)/B24*100,0))</f>
        <v/>
      </c>
      <c r="V24" s="46">
        <f>IF(B24=0,"",IFERROR(COUNTIFS(Export!$E:$E,A24,Export!$H:$H,"Efectivo",Export!$M:$M,"&lt;="&amp;17)/B24*100,0))</f>
        <v/>
      </c>
      <c r="W24" s="46">
        <f>IF(B24=0,"",IFERROR(COUNTIFS(Export!$E:$E,A24,Export!$H:$H,"Efectivo",Export!$M:$M,"&lt;="&amp;18)/B24*100,0))</f>
        <v/>
      </c>
      <c r="X24" s="46">
        <f>IF(B24=0,"",IFERROR(COUNTIFS(Export!$E:$E,A24,Export!$H:$H,"Efectivo",Export!$M:$M,"&lt;="&amp;19)/B24*100,0))</f>
        <v/>
      </c>
      <c r="Y24" s="46">
        <f>IF(B24=0,"",IFERROR(COUNTIFS(Export!$E:$E,A24,Export!$H:$H,"Efectivo",Export!$M:$M,"&lt;="&amp;20)/B24*100,0))</f>
        <v/>
      </c>
      <c r="Z24" s="46">
        <f>IF(B24=0,"",IFERROR(COUNTIFS(Export!$E:$E,A24,Export!$H:$H,"Efectivo",Export!$M:$M,"&lt;="&amp;21)/B24*100,0))</f>
        <v/>
      </c>
      <c r="AA24" s="46">
        <f>IF(B24=0,"",IFERROR(COUNTIFS(Export!$E:$E,A24,Export!$H:$H,"Efectivo",Export!$M:$M,"&lt;="&amp;22)/B24*100,0))</f>
        <v/>
      </c>
      <c r="AB24" s="46">
        <f>IF(B24=0,"",IFERROR(COUNTIFS(Export!$E:$E,A24,Export!$H:$H,"Efectivo",Export!$M:$M,"&lt;="&amp;23)/B24*100,0))</f>
        <v/>
      </c>
      <c r="AC24" s="46">
        <f>IF(B24=0,"",IFERROR(COUNTIFS(Export!$E:$E,A24,Export!$H:$H,"Efectivo",Export!$M:$M,"&lt;="&amp;24)/B24*100,0))</f>
        <v/>
      </c>
      <c r="AD24" s="46">
        <f>IF(B24=0,"",IFERROR(COUNTIFS(Export!$E:$E,A24,Export!$H:$H,"Efectivo",Export!$M:$M,"&lt;="&amp;25)/B24*100,0))</f>
        <v/>
      </c>
      <c r="AE24" s="46">
        <f>IF(B24=0,"",IFERROR(COUNTIFS(Export!$E:$E,A24,Export!$H:$H,"Efectivo",Export!$M:$M,"&lt;="&amp;26)/B24*100,0))</f>
        <v/>
      </c>
      <c r="AF24" s="46">
        <f>IF(B24=0,"",IFERROR(COUNTIFS(Export!$E:$E,A24,Export!$H:$H,"Efectivo",Export!$M:$M,"&lt;="&amp;27)/B24*100,0))</f>
        <v/>
      </c>
      <c r="AG24" s="46">
        <f>IF(B24=0,"",IFERROR(COUNTIFS(Export!$E:$E,A24,Export!$H:$H,"Efectivo",Export!$M:$M,"&lt;="&amp;28)/B24*100,0))</f>
        <v/>
      </c>
      <c r="AH24" s="46">
        <f>IF(B24=0,"",IFERROR(COUNTIFS(Export!$E:$E,A24,Export!$H:$H,"Efectivo",Export!$M:$M,"&lt;="&amp;29)/B24*100,0))</f>
        <v/>
      </c>
      <c r="AI24" s="46">
        <f>IF(B24=0,"",IFERROR(COUNTIFS(Export!$E:$E,A24,Export!$H:$H,"Efectivo",Export!$M:$M,"&lt;="&amp;30)/B24*100,0))</f>
        <v/>
      </c>
      <c r="AJ24" s="46">
        <f>IF(B24=0,"",IFERROR(COUNTIFS(Export!$E:$E,A24,Export!$H:$H,"Efectivo",Export!$M:$M,"&lt;="&amp;31)/B24*100,0))</f>
        <v/>
      </c>
      <c r="AK24" s="46">
        <f>IF(B24=0,"",IFERROR(COUNTIFS(Export!$E:$E,A24,Export!$H:$H,"Efectivo",Export!$M:$M,"&lt;="&amp;32)/B24*100,0))</f>
        <v/>
      </c>
      <c r="AL24" s="46">
        <f>IF(B24=0,"",IFERROR(COUNTIFS(Export!$E:$E,A24,Export!$H:$H,"Efectivo",Export!$M:$M,"&lt;="&amp;33)/B24*100,0))</f>
        <v/>
      </c>
      <c r="AM24" s="46">
        <f>IF(B24=0,"",IFERROR(COUNTIFS(Export!$E:$E,A24,Export!$H:$H,"Efectivo",Export!$M:$M,"&lt;="&amp;34)/B24*100,0))</f>
        <v/>
      </c>
      <c r="AN24" s="46">
        <f>IF(B24=0,"",IFERROR(COUNTIFS(Export!$E:$E,A24,Export!$H:$H,"Efectivo",Export!$M:$M,"&lt;="&amp;35)/B24*100,0))</f>
        <v/>
      </c>
      <c r="AO24" s="46">
        <f>IF(B24=0,"",IFERROR(COUNTIFS(Export!$E:$E,A24,Export!$H:$H,"Efectivo",Export!$M:$M,"&lt;="&amp;36)/B24*100,0))</f>
        <v/>
      </c>
    </row>
    <row r="25">
      <c r="A25" s="47" t="inlineStr">
        <is>
          <t>11-2025</t>
        </is>
      </c>
      <c r="B25" s="44">
        <f>IFERROR(COUNTIF(Export!$E:$E,A25),0)</f>
        <v/>
      </c>
      <c r="C25" s="45">
        <f>IFERROR(VLOOKUP(A25,Originaciones!$A:$B,2,0),"")</f>
        <v/>
      </c>
      <c r="D25">
        <f>IFERROR(VLOOKUP(A25,'Flota Activa'!$A:$B,2,0),"")</f>
        <v/>
      </c>
      <c r="E25" s="46">
        <f>IF(B25=0,"",IFERROR(COUNTIFS(Export!$E:$E,A25,Export!$H:$H,"Efectivo",Export!$M:$M,"&lt;="&amp;0)/B25*100,0))</f>
        <v/>
      </c>
      <c r="F25" s="46">
        <f>IF(B25=0,"",IFERROR(COUNTIFS(Export!$E:$E,A25,Export!$H:$H,"Efectivo",Export!$M:$M,"&lt;="&amp;1)/B25*100,0))</f>
        <v/>
      </c>
      <c r="G25" s="46">
        <f>IF(B25=0,"",IFERROR(COUNTIFS(Export!$E:$E,A25,Export!$H:$H,"Efectivo",Export!$M:$M,"&lt;="&amp;2)/B25*100,0))</f>
        <v/>
      </c>
      <c r="H25" s="46">
        <f>IF(B25=0,"",IFERROR(COUNTIFS(Export!$E:$E,A25,Export!$H:$H,"Efectivo",Export!$M:$M,"&lt;="&amp;3)/B25*100,0))</f>
        <v/>
      </c>
      <c r="I25" s="46">
        <f>IF(B25=0,"",IFERROR(COUNTIFS(Export!$E:$E,A25,Export!$H:$H,"Efectivo",Export!$M:$M,"&lt;="&amp;4)/B25*100,0))</f>
        <v/>
      </c>
      <c r="J25" s="46">
        <f>IF(B25=0,"",IFERROR(COUNTIFS(Export!$E:$E,A25,Export!$H:$H,"Efectivo",Export!$M:$M,"&lt;="&amp;5)/B25*100,0))</f>
        <v/>
      </c>
      <c r="K25" s="46">
        <f>IF(B25=0,"",IFERROR(COUNTIFS(Export!$E:$E,A25,Export!$H:$H,"Efectivo",Export!$M:$M,"&lt;="&amp;6)/B25*100,0))</f>
        <v/>
      </c>
      <c r="L25" s="46">
        <f>IF(B25=0,"",IFERROR(COUNTIFS(Export!$E:$E,A25,Export!$H:$H,"Efectivo",Export!$M:$M,"&lt;="&amp;7)/B25*100,0))</f>
        <v/>
      </c>
      <c r="M25" s="46">
        <f>IF(B25=0,"",IFERROR(COUNTIFS(Export!$E:$E,A25,Export!$H:$H,"Efectivo",Export!$M:$M,"&lt;="&amp;8)/B25*100,0))</f>
        <v/>
      </c>
      <c r="N25" s="46">
        <f>IF(B25=0,"",IFERROR(COUNTIFS(Export!$E:$E,A25,Export!$H:$H,"Efectivo",Export!$M:$M,"&lt;="&amp;9)/B25*100,0))</f>
        <v/>
      </c>
      <c r="O25" s="46">
        <f>IF(B25=0,"",IFERROR(COUNTIFS(Export!$E:$E,A25,Export!$H:$H,"Efectivo",Export!$M:$M,"&lt;="&amp;10)/B25*100,0))</f>
        <v/>
      </c>
      <c r="P25" s="46">
        <f>IF(B25=0,"",IFERROR(COUNTIFS(Export!$E:$E,A25,Export!$H:$H,"Efectivo",Export!$M:$M,"&lt;="&amp;11)/B25*100,0))</f>
        <v/>
      </c>
      <c r="Q25" s="46">
        <f>IF(B25=0,"",IFERROR(COUNTIFS(Export!$E:$E,A25,Export!$H:$H,"Efectivo",Export!$M:$M,"&lt;="&amp;12)/B25*100,0))</f>
        <v/>
      </c>
      <c r="R25" s="46">
        <f>IF(B25=0,"",IFERROR(COUNTIFS(Export!$E:$E,A25,Export!$H:$H,"Efectivo",Export!$M:$M,"&lt;="&amp;13)/B25*100,0))</f>
        <v/>
      </c>
      <c r="S25" s="46">
        <f>IF(B25=0,"",IFERROR(COUNTIFS(Export!$E:$E,A25,Export!$H:$H,"Efectivo",Export!$M:$M,"&lt;="&amp;14)/B25*100,0))</f>
        <v/>
      </c>
      <c r="T25" s="46">
        <f>IF(B25=0,"",IFERROR(COUNTIFS(Export!$E:$E,A25,Export!$H:$H,"Efectivo",Export!$M:$M,"&lt;="&amp;15)/B25*100,0))</f>
        <v/>
      </c>
      <c r="U25" s="46">
        <f>IF(B25=0,"",IFERROR(COUNTIFS(Export!$E:$E,A25,Export!$H:$H,"Efectivo",Export!$M:$M,"&lt;="&amp;16)/B25*100,0))</f>
        <v/>
      </c>
      <c r="V25" s="46">
        <f>IF(B25=0,"",IFERROR(COUNTIFS(Export!$E:$E,A25,Export!$H:$H,"Efectivo",Export!$M:$M,"&lt;="&amp;17)/B25*100,0))</f>
        <v/>
      </c>
      <c r="W25" s="46">
        <f>IF(B25=0,"",IFERROR(COUNTIFS(Export!$E:$E,A25,Export!$H:$H,"Efectivo",Export!$M:$M,"&lt;="&amp;18)/B25*100,0))</f>
        <v/>
      </c>
      <c r="X25" s="46">
        <f>IF(B25=0,"",IFERROR(COUNTIFS(Export!$E:$E,A25,Export!$H:$H,"Efectivo",Export!$M:$M,"&lt;="&amp;19)/B25*100,0))</f>
        <v/>
      </c>
      <c r="Y25" s="46">
        <f>IF(B25=0,"",IFERROR(COUNTIFS(Export!$E:$E,A25,Export!$H:$H,"Efectivo",Export!$M:$M,"&lt;="&amp;20)/B25*100,0))</f>
        <v/>
      </c>
      <c r="Z25" s="46">
        <f>IF(B25=0,"",IFERROR(COUNTIFS(Export!$E:$E,A25,Export!$H:$H,"Efectivo",Export!$M:$M,"&lt;="&amp;21)/B25*100,0))</f>
        <v/>
      </c>
      <c r="AA25" s="46">
        <f>IF(B25=0,"",IFERROR(COUNTIFS(Export!$E:$E,A25,Export!$H:$H,"Efectivo",Export!$M:$M,"&lt;="&amp;22)/B25*100,0))</f>
        <v/>
      </c>
      <c r="AB25" s="46">
        <f>IF(B25=0,"",IFERROR(COUNTIFS(Export!$E:$E,A25,Export!$H:$H,"Efectivo",Export!$M:$M,"&lt;="&amp;23)/B25*100,0))</f>
        <v/>
      </c>
      <c r="AC25" s="46">
        <f>IF(B25=0,"",IFERROR(COUNTIFS(Export!$E:$E,A25,Export!$H:$H,"Efectivo",Export!$M:$M,"&lt;="&amp;24)/B25*100,0))</f>
        <v/>
      </c>
      <c r="AD25" s="46">
        <f>IF(B25=0,"",IFERROR(COUNTIFS(Export!$E:$E,A25,Export!$H:$H,"Efectivo",Export!$M:$M,"&lt;="&amp;25)/B25*100,0))</f>
        <v/>
      </c>
      <c r="AE25" s="46">
        <f>IF(B25=0,"",IFERROR(COUNTIFS(Export!$E:$E,A25,Export!$H:$H,"Efectivo",Export!$M:$M,"&lt;="&amp;26)/B25*100,0))</f>
        <v/>
      </c>
      <c r="AF25" s="46">
        <f>IF(B25=0,"",IFERROR(COUNTIFS(Export!$E:$E,A25,Export!$H:$H,"Efectivo",Export!$M:$M,"&lt;="&amp;27)/B25*100,0))</f>
        <v/>
      </c>
      <c r="AG25" s="46">
        <f>IF(B25=0,"",IFERROR(COUNTIFS(Export!$E:$E,A25,Export!$H:$H,"Efectivo",Export!$M:$M,"&lt;="&amp;28)/B25*100,0))</f>
        <v/>
      </c>
      <c r="AH25" s="46">
        <f>IF(B25=0,"",IFERROR(COUNTIFS(Export!$E:$E,A25,Export!$H:$H,"Efectivo",Export!$M:$M,"&lt;="&amp;29)/B25*100,0))</f>
        <v/>
      </c>
      <c r="AI25" s="46">
        <f>IF(B25=0,"",IFERROR(COUNTIFS(Export!$E:$E,A25,Export!$H:$H,"Efectivo",Export!$M:$M,"&lt;="&amp;30)/B25*100,0))</f>
        <v/>
      </c>
      <c r="AJ25" s="46">
        <f>IF(B25=0,"",IFERROR(COUNTIFS(Export!$E:$E,A25,Export!$H:$H,"Efectivo",Export!$M:$M,"&lt;="&amp;31)/B25*100,0))</f>
        <v/>
      </c>
      <c r="AK25" s="46">
        <f>IF(B25=0,"",IFERROR(COUNTIFS(Export!$E:$E,A25,Export!$H:$H,"Efectivo",Export!$M:$M,"&lt;="&amp;32)/B25*100,0))</f>
        <v/>
      </c>
      <c r="AL25" s="46">
        <f>IF(B25=0,"",IFERROR(COUNTIFS(Export!$E:$E,A25,Export!$H:$H,"Efectivo",Export!$M:$M,"&lt;="&amp;33)/B25*100,0))</f>
        <v/>
      </c>
      <c r="AM25" s="46">
        <f>IF(B25=0,"",IFERROR(COUNTIFS(Export!$E:$E,A25,Export!$H:$H,"Efectivo",Export!$M:$M,"&lt;="&amp;34)/B25*100,0))</f>
        <v/>
      </c>
      <c r="AN25" s="46">
        <f>IF(B25=0,"",IFERROR(COUNTIFS(Export!$E:$E,A25,Export!$H:$H,"Efectivo",Export!$M:$M,"&lt;="&amp;35)/B25*100,0))</f>
        <v/>
      </c>
      <c r="AO25" s="46">
        <f>IF(B25=0,"",IFERROR(COUNTIFS(Export!$E:$E,A25,Export!$H:$H,"Efectivo",Export!$M:$M,"&lt;="&amp;36)/B25*100,0))</f>
        <v/>
      </c>
    </row>
    <row r="26">
      <c r="A26" s="47" t="inlineStr">
        <is>
          <t>12-2025</t>
        </is>
      </c>
      <c r="B26" s="44">
        <f>IFERROR(COUNTIF(Export!$E:$E,A26),0)</f>
        <v/>
      </c>
      <c r="C26" s="45">
        <f>IFERROR(VLOOKUP(A26,Originaciones!$A:$B,2,0),"")</f>
        <v/>
      </c>
      <c r="D26">
        <f>IFERROR(VLOOKUP(A26,'Flota Activa'!$A:$B,2,0),"")</f>
        <v/>
      </c>
      <c r="E26" s="46">
        <f>IF(B26=0,"",IFERROR(COUNTIFS(Export!$E:$E,A26,Export!$H:$H,"Efectivo",Export!$M:$M,"&lt;="&amp;0)/B26*100,0))</f>
        <v/>
      </c>
      <c r="F26" s="46">
        <f>IF(B26=0,"",IFERROR(COUNTIFS(Export!$E:$E,A26,Export!$H:$H,"Efectivo",Export!$M:$M,"&lt;="&amp;1)/B26*100,0))</f>
        <v/>
      </c>
      <c r="G26" s="46">
        <f>IF(B26=0,"",IFERROR(COUNTIFS(Export!$E:$E,A26,Export!$H:$H,"Efectivo",Export!$M:$M,"&lt;="&amp;2)/B26*100,0))</f>
        <v/>
      </c>
      <c r="H26" s="46">
        <f>IF(B26=0,"",IFERROR(COUNTIFS(Export!$E:$E,A26,Export!$H:$H,"Efectivo",Export!$M:$M,"&lt;="&amp;3)/B26*100,0))</f>
        <v/>
      </c>
      <c r="I26" s="46">
        <f>IF(B26=0,"",IFERROR(COUNTIFS(Export!$E:$E,A26,Export!$H:$H,"Efectivo",Export!$M:$M,"&lt;="&amp;4)/B26*100,0))</f>
        <v/>
      </c>
      <c r="J26" s="46">
        <f>IF(B26=0,"",IFERROR(COUNTIFS(Export!$E:$E,A26,Export!$H:$H,"Efectivo",Export!$M:$M,"&lt;="&amp;5)/B26*100,0))</f>
        <v/>
      </c>
      <c r="K26" s="46">
        <f>IF(B26=0,"",IFERROR(COUNTIFS(Export!$E:$E,A26,Export!$H:$H,"Efectivo",Export!$M:$M,"&lt;="&amp;6)/B26*100,0))</f>
        <v/>
      </c>
      <c r="L26" s="46">
        <f>IF(B26=0,"",IFERROR(COUNTIFS(Export!$E:$E,A26,Export!$H:$H,"Efectivo",Export!$M:$M,"&lt;="&amp;7)/B26*100,0))</f>
        <v/>
      </c>
      <c r="M26" s="46">
        <f>IF(B26=0,"",IFERROR(COUNTIFS(Export!$E:$E,A26,Export!$H:$H,"Efectivo",Export!$M:$M,"&lt;="&amp;8)/B26*100,0))</f>
        <v/>
      </c>
      <c r="N26" s="46">
        <f>IF(B26=0,"",IFERROR(COUNTIFS(Export!$E:$E,A26,Export!$H:$H,"Efectivo",Export!$M:$M,"&lt;="&amp;9)/B26*100,0))</f>
        <v/>
      </c>
      <c r="O26" s="46">
        <f>IF(B26=0,"",IFERROR(COUNTIFS(Export!$E:$E,A26,Export!$H:$H,"Efectivo",Export!$M:$M,"&lt;="&amp;10)/B26*100,0))</f>
        <v/>
      </c>
      <c r="P26" s="46">
        <f>IF(B26=0,"",IFERROR(COUNTIFS(Export!$E:$E,A26,Export!$H:$H,"Efectivo",Export!$M:$M,"&lt;="&amp;11)/B26*100,0))</f>
        <v/>
      </c>
      <c r="Q26" s="46">
        <f>IF(B26=0,"",IFERROR(COUNTIFS(Export!$E:$E,A26,Export!$H:$H,"Efectivo",Export!$M:$M,"&lt;="&amp;12)/B26*100,0))</f>
        <v/>
      </c>
      <c r="R26" s="46">
        <f>IF(B26=0,"",IFERROR(COUNTIFS(Export!$E:$E,A26,Export!$H:$H,"Efectivo",Export!$M:$M,"&lt;="&amp;13)/B26*100,0))</f>
        <v/>
      </c>
      <c r="S26" s="46">
        <f>IF(B26=0,"",IFERROR(COUNTIFS(Export!$E:$E,A26,Export!$H:$H,"Efectivo",Export!$M:$M,"&lt;="&amp;14)/B26*100,0))</f>
        <v/>
      </c>
      <c r="T26" s="46">
        <f>IF(B26=0,"",IFERROR(COUNTIFS(Export!$E:$E,A26,Export!$H:$H,"Efectivo",Export!$M:$M,"&lt;="&amp;15)/B26*100,0))</f>
        <v/>
      </c>
      <c r="U26" s="46">
        <f>IF(B26=0,"",IFERROR(COUNTIFS(Export!$E:$E,A26,Export!$H:$H,"Efectivo",Export!$M:$M,"&lt;="&amp;16)/B26*100,0))</f>
        <v/>
      </c>
      <c r="V26" s="46">
        <f>IF(B26=0,"",IFERROR(COUNTIFS(Export!$E:$E,A26,Export!$H:$H,"Efectivo",Export!$M:$M,"&lt;="&amp;17)/B26*100,0))</f>
        <v/>
      </c>
      <c r="W26" s="46">
        <f>IF(B26=0,"",IFERROR(COUNTIFS(Export!$E:$E,A26,Export!$H:$H,"Efectivo",Export!$M:$M,"&lt;="&amp;18)/B26*100,0))</f>
        <v/>
      </c>
      <c r="X26" s="46">
        <f>IF(B26=0,"",IFERROR(COUNTIFS(Export!$E:$E,A26,Export!$H:$H,"Efectivo",Export!$M:$M,"&lt;="&amp;19)/B26*100,0))</f>
        <v/>
      </c>
      <c r="Y26" s="46">
        <f>IF(B26=0,"",IFERROR(COUNTIFS(Export!$E:$E,A26,Export!$H:$H,"Efectivo",Export!$M:$M,"&lt;="&amp;20)/B26*100,0))</f>
        <v/>
      </c>
      <c r="Z26" s="46">
        <f>IF(B26=0,"",IFERROR(COUNTIFS(Export!$E:$E,A26,Export!$H:$H,"Efectivo",Export!$M:$M,"&lt;="&amp;21)/B26*100,0))</f>
        <v/>
      </c>
      <c r="AA26" s="46">
        <f>IF(B26=0,"",IFERROR(COUNTIFS(Export!$E:$E,A26,Export!$H:$H,"Efectivo",Export!$M:$M,"&lt;="&amp;22)/B26*100,0))</f>
        <v/>
      </c>
      <c r="AB26" s="46">
        <f>IF(B26=0,"",IFERROR(COUNTIFS(Export!$E:$E,A26,Export!$H:$H,"Efectivo",Export!$M:$M,"&lt;="&amp;23)/B26*100,0))</f>
        <v/>
      </c>
      <c r="AC26" s="46">
        <f>IF(B26=0,"",IFERROR(COUNTIFS(Export!$E:$E,A26,Export!$H:$H,"Efectivo",Export!$M:$M,"&lt;="&amp;24)/B26*100,0))</f>
        <v/>
      </c>
      <c r="AD26" s="46">
        <f>IF(B26=0,"",IFERROR(COUNTIFS(Export!$E:$E,A26,Export!$H:$H,"Efectivo",Export!$M:$M,"&lt;="&amp;25)/B26*100,0))</f>
        <v/>
      </c>
      <c r="AE26" s="46">
        <f>IF(B26=0,"",IFERROR(COUNTIFS(Export!$E:$E,A26,Export!$H:$H,"Efectivo",Export!$M:$M,"&lt;="&amp;26)/B26*100,0))</f>
        <v/>
      </c>
      <c r="AF26" s="46">
        <f>IF(B26=0,"",IFERROR(COUNTIFS(Export!$E:$E,A26,Export!$H:$H,"Efectivo",Export!$M:$M,"&lt;="&amp;27)/B26*100,0))</f>
        <v/>
      </c>
      <c r="AG26" s="46">
        <f>IF(B26=0,"",IFERROR(COUNTIFS(Export!$E:$E,A26,Export!$H:$H,"Efectivo",Export!$M:$M,"&lt;="&amp;28)/B26*100,0))</f>
        <v/>
      </c>
      <c r="AH26" s="46">
        <f>IF(B26=0,"",IFERROR(COUNTIFS(Export!$E:$E,A26,Export!$H:$H,"Efectivo",Export!$M:$M,"&lt;="&amp;29)/B26*100,0))</f>
        <v/>
      </c>
      <c r="AI26" s="46">
        <f>IF(B26=0,"",IFERROR(COUNTIFS(Export!$E:$E,A26,Export!$H:$H,"Efectivo",Export!$M:$M,"&lt;="&amp;30)/B26*100,0))</f>
        <v/>
      </c>
      <c r="AJ26" s="46">
        <f>IF(B26=0,"",IFERROR(COUNTIFS(Export!$E:$E,A26,Export!$H:$H,"Efectivo",Export!$M:$M,"&lt;="&amp;31)/B26*100,0))</f>
        <v/>
      </c>
      <c r="AK26" s="46">
        <f>IF(B26=0,"",IFERROR(COUNTIFS(Export!$E:$E,A26,Export!$H:$H,"Efectivo",Export!$M:$M,"&lt;="&amp;32)/B26*100,0))</f>
        <v/>
      </c>
      <c r="AL26" s="46">
        <f>IF(B26=0,"",IFERROR(COUNTIFS(Export!$E:$E,A26,Export!$H:$H,"Efectivo",Export!$M:$M,"&lt;="&amp;33)/B26*100,0))</f>
        <v/>
      </c>
      <c r="AM26" s="46">
        <f>IF(B26=0,"",IFERROR(COUNTIFS(Export!$E:$E,A26,Export!$H:$H,"Efectivo",Export!$M:$M,"&lt;="&amp;34)/B26*100,0))</f>
        <v/>
      </c>
      <c r="AN26" s="46">
        <f>IF(B26=0,"",IFERROR(COUNTIFS(Export!$E:$E,A26,Export!$H:$H,"Efectivo",Export!$M:$M,"&lt;="&amp;35)/B26*100,0))</f>
        <v/>
      </c>
      <c r="AO26" s="46">
        <f>IF(B26=0,"",IFERROR(COUNTIFS(Export!$E:$E,A26,Export!$H:$H,"Efectivo",Export!$M:$M,"&lt;="&amp;36)/B26*100,0))</f>
        <v/>
      </c>
    </row>
    <row r="27">
      <c r="A27" s="48" t="inlineStr">
        <is>
          <t>01-2026</t>
        </is>
      </c>
      <c r="B27" s="44">
        <f>IFERROR(COUNTIF(Export!$E:$E,A27),0)</f>
        <v/>
      </c>
      <c r="C27" s="45">
        <f>IFERROR(VLOOKUP(A27,Originaciones!$A:$B,2,0),"")</f>
        <v/>
      </c>
      <c r="D27">
        <f>IFERROR(VLOOKUP(A27,'Flota Activa'!$A:$B,2,0),"")</f>
        <v/>
      </c>
      <c r="E27" s="46">
        <f>IF(B27=0,"",IFERROR(COUNTIFS(Export!$E:$E,A27,Export!$H:$H,"Efectivo",Export!$M:$M,"&lt;="&amp;0)/B27*100,0))</f>
        <v/>
      </c>
      <c r="F27" s="46">
        <f>IF(B27=0,"",IFERROR(COUNTIFS(Export!$E:$E,A27,Export!$H:$H,"Efectivo",Export!$M:$M,"&lt;="&amp;1)/B27*100,0))</f>
        <v/>
      </c>
      <c r="G27" s="46">
        <f>IF(B27=0,"",IFERROR(COUNTIFS(Export!$E:$E,A27,Export!$H:$H,"Efectivo",Export!$M:$M,"&lt;="&amp;2)/B27*100,0))</f>
        <v/>
      </c>
      <c r="H27" s="46">
        <f>IF(B27=0,"",IFERROR(COUNTIFS(Export!$E:$E,A27,Export!$H:$H,"Efectivo",Export!$M:$M,"&lt;="&amp;3)/B27*100,0))</f>
        <v/>
      </c>
      <c r="I27" s="46">
        <f>IF(B27=0,"",IFERROR(COUNTIFS(Export!$E:$E,A27,Export!$H:$H,"Efectivo",Export!$M:$M,"&lt;="&amp;4)/B27*100,0))</f>
        <v/>
      </c>
      <c r="J27" s="46">
        <f>IF(B27=0,"",IFERROR(COUNTIFS(Export!$E:$E,A27,Export!$H:$H,"Efectivo",Export!$M:$M,"&lt;="&amp;5)/B27*100,0))</f>
        <v/>
      </c>
      <c r="K27" s="46">
        <f>IF(B27=0,"",IFERROR(COUNTIFS(Export!$E:$E,A27,Export!$H:$H,"Efectivo",Export!$M:$M,"&lt;="&amp;6)/B27*100,0))</f>
        <v/>
      </c>
      <c r="L27" s="46">
        <f>IF(B27=0,"",IFERROR(COUNTIFS(Export!$E:$E,A27,Export!$H:$H,"Efectivo",Export!$M:$M,"&lt;="&amp;7)/B27*100,0))</f>
        <v/>
      </c>
      <c r="M27" s="46">
        <f>IF(B27=0,"",IFERROR(COUNTIFS(Export!$E:$E,A27,Export!$H:$H,"Efectivo",Export!$M:$M,"&lt;="&amp;8)/B27*100,0))</f>
        <v/>
      </c>
      <c r="N27" s="46">
        <f>IF(B27=0,"",IFERROR(COUNTIFS(Export!$E:$E,A27,Export!$H:$H,"Efectivo",Export!$M:$M,"&lt;="&amp;9)/B27*100,0))</f>
        <v/>
      </c>
      <c r="O27" s="46">
        <f>IF(B27=0,"",IFERROR(COUNTIFS(Export!$E:$E,A27,Export!$H:$H,"Efectivo",Export!$M:$M,"&lt;="&amp;10)/B27*100,0))</f>
        <v/>
      </c>
      <c r="P27" s="46">
        <f>IF(B27=0,"",IFERROR(COUNTIFS(Export!$E:$E,A27,Export!$H:$H,"Efectivo",Export!$M:$M,"&lt;="&amp;11)/B27*100,0))</f>
        <v/>
      </c>
      <c r="Q27" s="46">
        <f>IF(B27=0,"",IFERROR(COUNTIFS(Export!$E:$E,A27,Export!$H:$H,"Efectivo",Export!$M:$M,"&lt;="&amp;12)/B27*100,0))</f>
        <v/>
      </c>
      <c r="R27" s="46">
        <f>IF(B27=0,"",IFERROR(COUNTIFS(Export!$E:$E,A27,Export!$H:$H,"Efectivo",Export!$M:$M,"&lt;="&amp;13)/B27*100,0))</f>
        <v/>
      </c>
      <c r="S27" s="46">
        <f>IF(B27=0,"",IFERROR(COUNTIFS(Export!$E:$E,A27,Export!$H:$H,"Efectivo",Export!$M:$M,"&lt;="&amp;14)/B27*100,0))</f>
        <v/>
      </c>
      <c r="T27" s="46">
        <f>IF(B27=0,"",IFERROR(COUNTIFS(Export!$E:$E,A27,Export!$H:$H,"Efectivo",Export!$M:$M,"&lt;="&amp;15)/B27*100,0))</f>
        <v/>
      </c>
      <c r="U27" s="46">
        <f>IF(B27=0,"",IFERROR(COUNTIFS(Export!$E:$E,A27,Export!$H:$H,"Efectivo",Export!$M:$M,"&lt;="&amp;16)/B27*100,0))</f>
        <v/>
      </c>
      <c r="V27" s="46">
        <f>IF(B27=0,"",IFERROR(COUNTIFS(Export!$E:$E,A27,Export!$H:$H,"Efectivo",Export!$M:$M,"&lt;="&amp;17)/B27*100,0))</f>
        <v/>
      </c>
      <c r="W27" s="46">
        <f>IF(B27=0,"",IFERROR(COUNTIFS(Export!$E:$E,A27,Export!$H:$H,"Efectivo",Export!$M:$M,"&lt;="&amp;18)/B27*100,0))</f>
        <v/>
      </c>
      <c r="X27" s="46">
        <f>IF(B27=0,"",IFERROR(COUNTIFS(Export!$E:$E,A27,Export!$H:$H,"Efectivo",Export!$M:$M,"&lt;="&amp;19)/B27*100,0))</f>
        <v/>
      </c>
      <c r="Y27" s="46">
        <f>IF(B27=0,"",IFERROR(COUNTIFS(Export!$E:$E,A27,Export!$H:$H,"Efectivo",Export!$M:$M,"&lt;="&amp;20)/B27*100,0))</f>
        <v/>
      </c>
      <c r="Z27" s="46">
        <f>IF(B27=0,"",IFERROR(COUNTIFS(Export!$E:$E,A27,Export!$H:$H,"Efectivo",Export!$M:$M,"&lt;="&amp;21)/B27*100,0))</f>
        <v/>
      </c>
      <c r="AA27" s="46">
        <f>IF(B27=0,"",IFERROR(COUNTIFS(Export!$E:$E,A27,Export!$H:$H,"Efectivo",Export!$M:$M,"&lt;="&amp;22)/B27*100,0))</f>
        <v/>
      </c>
      <c r="AB27" s="46">
        <f>IF(B27=0,"",IFERROR(COUNTIFS(Export!$E:$E,A27,Export!$H:$H,"Efectivo",Export!$M:$M,"&lt;="&amp;23)/B27*100,0))</f>
        <v/>
      </c>
      <c r="AC27" s="46">
        <f>IF(B27=0,"",IFERROR(COUNTIFS(Export!$E:$E,A27,Export!$H:$H,"Efectivo",Export!$M:$M,"&lt;="&amp;24)/B27*100,0))</f>
        <v/>
      </c>
      <c r="AD27" s="46">
        <f>IF(B27=0,"",IFERROR(COUNTIFS(Export!$E:$E,A27,Export!$H:$H,"Efectivo",Export!$M:$M,"&lt;="&amp;25)/B27*100,0))</f>
        <v/>
      </c>
      <c r="AE27" s="46">
        <f>IF(B27=0,"",IFERROR(COUNTIFS(Export!$E:$E,A27,Export!$H:$H,"Efectivo",Export!$M:$M,"&lt;="&amp;26)/B27*100,0))</f>
        <v/>
      </c>
      <c r="AF27" s="46">
        <f>IF(B27=0,"",IFERROR(COUNTIFS(Export!$E:$E,A27,Export!$H:$H,"Efectivo",Export!$M:$M,"&lt;="&amp;27)/B27*100,0))</f>
        <v/>
      </c>
      <c r="AG27" s="46">
        <f>IF(B27=0,"",IFERROR(COUNTIFS(Export!$E:$E,A27,Export!$H:$H,"Efectivo",Export!$M:$M,"&lt;="&amp;28)/B27*100,0))</f>
        <v/>
      </c>
      <c r="AH27" s="46">
        <f>IF(B27=0,"",IFERROR(COUNTIFS(Export!$E:$E,A27,Export!$H:$H,"Efectivo",Export!$M:$M,"&lt;="&amp;29)/B27*100,0))</f>
        <v/>
      </c>
      <c r="AI27" s="46">
        <f>IF(B27=0,"",IFERROR(COUNTIFS(Export!$E:$E,A27,Export!$H:$H,"Efectivo",Export!$M:$M,"&lt;="&amp;30)/B27*100,0))</f>
        <v/>
      </c>
      <c r="AJ27" s="46">
        <f>IF(B27=0,"",IFERROR(COUNTIFS(Export!$E:$E,A27,Export!$H:$H,"Efectivo",Export!$M:$M,"&lt;="&amp;31)/B27*100,0))</f>
        <v/>
      </c>
      <c r="AK27" s="46">
        <f>IF(B27=0,"",IFERROR(COUNTIFS(Export!$E:$E,A27,Export!$H:$H,"Efectivo",Export!$M:$M,"&lt;="&amp;32)/B27*100,0))</f>
        <v/>
      </c>
      <c r="AL27" s="46">
        <f>IF(B27=0,"",IFERROR(COUNTIFS(Export!$E:$E,A27,Export!$H:$H,"Efectivo",Export!$M:$M,"&lt;="&amp;33)/B27*100,0))</f>
        <v/>
      </c>
      <c r="AM27" s="46">
        <f>IF(B27=0,"",IFERROR(COUNTIFS(Export!$E:$E,A27,Export!$H:$H,"Efectivo",Export!$M:$M,"&lt;="&amp;34)/B27*100,0))</f>
        <v/>
      </c>
      <c r="AN27" s="46">
        <f>IF(B27=0,"",IFERROR(COUNTIFS(Export!$E:$E,A27,Export!$H:$H,"Efectivo",Export!$M:$M,"&lt;="&amp;35)/B27*100,0))</f>
        <v/>
      </c>
      <c r="AO27" s="46">
        <f>IF(B27=0,"",IFERROR(COUNTIFS(Export!$E:$E,A27,Export!$H:$H,"Efectivo",Export!$M:$M,"&lt;="&amp;36)/B27*100,0))</f>
        <v/>
      </c>
    </row>
    <row r="28">
      <c r="A28" s="48" t="inlineStr">
        <is>
          <t>02-2026</t>
        </is>
      </c>
      <c r="B28" s="44">
        <f>IFERROR(COUNTIF(Export!$E:$E,A28),0)</f>
        <v/>
      </c>
      <c r="C28" s="45">
        <f>IFERROR(VLOOKUP(A28,Originaciones!$A:$B,2,0),"")</f>
        <v/>
      </c>
      <c r="D28">
        <f>IFERROR(VLOOKUP(A28,'Flota Activa'!$A:$B,2,0),"")</f>
        <v/>
      </c>
      <c r="E28" s="46">
        <f>IF(B28=0,"",IFERROR(COUNTIFS(Export!$E:$E,A28,Export!$H:$H,"Efectivo",Export!$M:$M,"&lt;="&amp;0)/B28*100,0))</f>
        <v/>
      </c>
      <c r="F28" s="46">
        <f>IF(B28=0,"",IFERROR(COUNTIFS(Export!$E:$E,A28,Export!$H:$H,"Efectivo",Export!$M:$M,"&lt;="&amp;1)/B28*100,0))</f>
        <v/>
      </c>
      <c r="G28" s="46">
        <f>IF(B28=0,"",IFERROR(COUNTIFS(Export!$E:$E,A28,Export!$H:$H,"Efectivo",Export!$M:$M,"&lt;="&amp;2)/B28*100,0))</f>
        <v/>
      </c>
      <c r="H28" s="46">
        <f>IF(B28=0,"",IFERROR(COUNTIFS(Export!$E:$E,A28,Export!$H:$H,"Efectivo",Export!$M:$M,"&lt;="&amp;3)/B28*100,0))</f>
        <v/>
      </c>
      <c r="I28" s="46">
        <f>IF(B28=0,"",IFERROR(COUNTIFS(Export!$E:$E,A28,Export!$H:$H,"Efectivo",Export!$M:$M,"&lt;="&amp;4)/B28*100,0))</f>
        <v/>
      </c>
      <c r="J28" s="46">
        <f>IF(B28=0,"",IFERROR(COUNTIFS(Export!$E:$E,A28,Export!$H:$H,"Efectivo",Export!$M:$M,"&lt;="&amp;5)/B28*100,0))</f>
        <v/>
      </c>
      <c r="K28" s="46">
        <f>IF(B28=0,"",IFERROR(COUNTIFS(Export!$E:$E,A28,Export!$H:$H,"Efectivo",Export!$M:$M,"&lt;="&amp;6)/B28*100,0))</f>
        <v/>
      </c>
      <c r="L28" s="46">
        <f>IF(B28=0,"",IFERROR(COUNTIFS(Export!$E:$E,A28,Export!$H:$H,"Efectivo",Export!$M:$M,"&lt;="&amp;7)/B28*100,0))</f>
        <v/>
      </c>
      <c r="M28" s="46">
        <f>IF(B28=0,"",IFERROR(COUNTIFS(Export!$E:$E,A28,Export!$H:$H,"Efectivo",Export!$M:$M,"&lt;="&amp;8)/B28*100,0))</f>
        <v/>
      </c>
      <c r="N28" s="46">
        <f>IF(B28=0,"",IFERROR(COUNTIFS(Export!$E:$E,A28,Export!$H:$H,"Efectivo",Export!$M:$M,"&lt;="&amp;9)/B28*100,0))</f>
        <v/>
      </c>
      <c r="O28" s="46">
        <f>IF(B28=0,"",IFERROR(COUNTIFS(Export!$E:$E,A28,Export!$H:$H,"Efectivo",Export!$M:$M,"&lt;="&amp;10)/B28*100,0))</f>
        <v/>
      </c>
      <c r="P28" s="46">
        <f>IF(B28=0,"",IFERROR(COUNTIFS(Export!$E:$E,A28,Export!$H:$H,"Efectivo",Export!$M:$M,"&lt;="&amp;11)/B28*100,0))</f>
        <v/>
      </c>
      <c r="Q28" s="46">
        <f>IF(B28=0,"",IFERROR(COUNTIFS(Export!$E:$E,A28,Export!$H:$H,"Efectivo",Export!$M:$M,"&lt;="&amp;12)/B28*100,0))</f>
        <v/>
      </c>
      <c r="R28" s="46">
        <f>IF(B28=0,"",IFERROR(COUNTIFS(Export!$E:$E,A28,Export!$H:$H,"Efectivo",Export!$M:$M,"&lt;="&amp;13)/B28*100,0))</f>
        <v/>
      </c>
      <c r="S28" s="46">
        <f>IF(B28=0,"",IFERROR(COUNTIFS(Export!$E:$E,A28,Export!$H:$H,"Efectivo",Export!$M:$M,"&lt;="&amp;14)/B28*100,0))</f>
        <v/>
      </c>
      <c r="T28" s="46">
        <f>IF(B28=0,"",IFERROR(COUNTIFS(Export!$E:$E,A28,Export!$H:$H,"Efectivo",Export!$M:$M,"&lt;="&amp;15)/B28*100,0))</f>
        <v/>
      </c>
      <c r="U28" s="46">
        <f>IF(B28=0,"",IFERROR(COUNTIFS(Export!$E:$E,A28,Export!$H:$H,"Efectivo",Export!$M:$M,"&lt;="&amp;16)/B28*100,0))</f>
        <v/>
      </c>
      <c r="V28" s="46">
        <f>IF(B28=0,"",IFERROR(COUNTIFS(Export!$E:$E,A28,Export!$H:$H,"Efectivo",Export!$M:$M,"&lt;="&amp;17)/B28*100,0))</f>
        <v/>
      </c>
      <c r="W28" s="46">
        <f>IF(B28=0,"",IFERROR(COUNTIFS(Export!$E:$E,A28,Export!$H:$H,"Efectivo",Export!$M:$M,"&lt;="&amp;18)/B28*100,0))</f>
        <v/>
      </c>
      <c r="X28" s="46">
        <f>IF(B28=0,"",IFERROR(COUNTIFS(Export!$E:$E,A28,Export!$H:$H,"Efectivo",Export!$M:$M,"&lt;="&amp;19)/B28*100,0))</f>
        <v/>
      </c>
      <c r="Y28" s="46">
        <f>IF(B28=0,"",IFERROR(COUNTIFS(Export!$E:$E,A28,Export!$H:$H,"Efectivo",Export!$M:$M,"&lt;="&amp;20)/B28*100,0))</f>
        <v/>
      </c>
      <c r="Z28" s="46">
        <f>IF(B28=0,"",IFERROR(COUNTIFS(Export!$E:$E,A28,Export!$H:$H,"Efectivo",Export!$M:$M,"&lt;="&amp;21)/B28*100,0))</f>
        <v/>
      </c>
      <c r="AA28" s="46">
        <f>IF(B28=0,"",IFERROR(COUNTIFS(Export!$E:$E,A28,Export!$H:$H,"Efectivo",Export!$M:$M,"&lt;="&amp;22)/B28*100,0))</f>
        <v/>
      </c>
      <c r="AB28" s="46">
        <f>IF(B28=0,"",IFERROR(COUNTIFS(Export!$E:$E,A28,Export!$H:$H,"Efectivo",Export!$M:$M,"&lt;="&amp;23)/B28*100,0))</f>
        <v/>
      </c>
      <c r="AC28" s="46">
        <f>IF(B28=0,"",IFERROR(COUNTIFS(Export!$E:$E,A28,Export!$H:$H,"Efectivo",Export!$M:$M,"&lt;="&amp;24)/B28*100,0))</f>
        <v/>
      </c>
      <c r="AD28" s="46">
        <f>IF(B28=0,"",IFERROR(COUNTIFS(Export!$E:$E,A28,Export!$H:$H,"Efectivo",Export!$M:$M,"&lt;="&amp;25)/B28*100,0))</f>
        <v/>
      </c>
      <c r="AE28" s="46">
        <f>IF(B28=0,"",IFERROR(COUNTIFS(Export!$E:$E,A28,Export!$H:$H,"Efectivo",Export!$M:$M,"&lt;="&amp;26)/B28*100,0))</f>
        <v/>
      </c>
      <c r="AF28" s="46">
        <f>IF(B28=0,"",IFERROR(COUNTIFS(Export!$E:$E,A28,Export!$H:$H,"Efectivo",Export!$M:$M,"&lt;="&amp;27)/B28*100,0))</f>
        <v/>
      </c>
      <c r="AG28" s="46">
        <f>IF(B28=0,"",IFERROR(COUNTIFS(Export!$E:$E,A28,Export!$H:$H,"Efectivo",Export!$M:$M,"&lt;="&amp;28)/B28*100,0))</f>
        <v/>
      </c>
      <c r="AH28" s="46">
        <f>IF(B28=0,"",IFERROR(COUNTIFS(Export!$E:$E,A28,Export!$H:$H,"Efectivo",Export!$M:$M,"&lt;="&amp;29)/B28*100,0))</f>
        <v/>
      </c>
      <c r="AI28" s="46">
        <f>IF(B28=0,"",IFERROR(COUNTIFS(Export!$E:$E,A28,Export!$H:$H,"Efectivo",Export!$M:$M,"&lt;="&amp;30)/B28*100,0))</f>
        <v/>
      </c>
      <c r="AJ28" s="46">
        <f>IF(B28=0,"",IFERROR(COUNTIFS(Export!$E:$E,A28,Export!$H:$H,"Efectivo",Export!$M:$M,"&lt;="&amp;31)/B28*100,0))</f>
        <v/>
      </c>
      <c r="AK28" s="46">
        <f>IF(B28=0,"",IFERROR(COUNTIFS(Export!$E:$E,A28,Export!$H:$H,"Efectivo",Export!$M:$M,"&lt;="&amp;32)/B28*100,0))</f>
        <v/>
      </c>
      <c r="AL28" s="46">
        <f>IF(B28=0,"",IFERROR(COUNTIFS(Export!$E:$E,A28,Export!$H:$H,"Efectivo",Export!$M:$M,"&lt;="&amp;33)/B28*100,0))</f>
        <v/>
      </c>
      <c r="AM28" s="46">
        <f>IF(B28=0,"",IFERROR(COUNTIFS(Export!$E:$E,A28,Export!$H:$H,"Efectivo",Export!$M:$M,"&lt;="&amp;34)/B28*100,0))</f>
        <v/>
      </c>
      <c r="AN28" s="46">
        <f>IF(B28=0,"",IFERROR(COUNTIFS(Export!$E:$E,A28,Export!$H:$H,"Efectivo",Export!$M:$M,"&lt;="&amp;35)/B28*100,0))</f>
        <v/>
      </c>
      <c r="AO28" s="46">
        <f>IF(B28=0,"",IFERROR(COUNTIFS(Export!$E:$E,A28,Export!$H:$H,"Efectivo",Export!$M:$M,"&lt;="&amp;36)/B28*100,0))</f>
        <v/>
      </c>
    </row>
    <row r="29">
      <c r="A29" s="48" t="inlineStr">
        <is>
          <t>03-2026</t>
        </is>
      </c>
      <c r="B29" s="44">
        <f>IFERROR(COUNTIF(Export!$E:$E,A29),0)</f>
        <v/>
      </c>
      <c r="C29" s="45">
        <f>IFERROR(VLOOKUP(A29,Originaciones!$A:$B,2,0),"")</f>
        <v/>
      </c>
      <c r="D29">
        <f>IFERROR(VLOOKUP(A29,'Flota Activa'!$A:$B,2,0),"")</f>
        <v/>
      </c>
      <c r="E29" s="46">
        <f>IF(B29=0,"",IFERROR(COUNTIFS(Export!$E:$E,A29,Export!$H:$H,"Efectivo",Export!$M:$M,"&lt;="&amp;0)/B29*100,0))</f>
        <v/>
      </c>
      <c r="F29" s="46">
        <f>IF(B29=0,"",IFERROR(COUNTIFS(Export!$E:$E,A29,Export!$H:$H,"Efectivo",Export!$M:$M,"&lt;="&amp;1)/B29*100,0))</f>
        <v/>
      </c>
      <c r="G29" s="46">
        <f>IF(B29=0,"",IFERROR(COUNTIFS(Export!$E:$E,A29,Export!$H:$H,"Efectivo",Export!$M:$M,"&lt;="&amp;2)/B29*100,0))</f>
        <v/>
      </c>
      <c r="H29" s="46">
        <f>IF(B29=0,"",IFERROR(COUNTIFS(Export!$E:$E,A29,Export!$H:$H,"Efectivo",Export!$M:$M,"&lt;="&amp;3)/B29*100,0))</f>
        <v/>
      </c>
      <c r="I29" s="46">
        <f>IF(B29=0,"",IFERROR(COUNTIFS(Export!$E:$E,A29,Export!$H:$H,"Efectivo",Export!$M:$M,"&lt;="&amp;4)/B29*100,0))</f>
        <v/>
      </c>
      <c r="J29" s="46">
        <f>IF(B29=0,"",IFERROR(COUNTIFS(Export!$E:$E,A29,Export!$H:$H,"Efectivo",Export!$M:$M,"&lt;="&amp;5)/B29*100,0))</f>
        <v/>
      </c>
      <c r="K29" s="46">
        <f>IF(B29=0,"",IFERROR(COUNTIFS(Export!$E:$E,A29,Export!$H:$H,"Efectivo",Export!$M:$M,"&lt;="&amp;6)/B29*100,0))</f>
        <v/>
      </c>
      <c r="L29" s="46">
        <f>IF(B29=0,"",IFERROR(COUNTIFS(Export!$E:$E,A29,Export!$H:$H,"Efectivo",Export!$M:$M,"&lt;="&amp;7)/B29*100,0))</f>
        <v/>
      </c>
      <c r="M29" s="46">
        <f>IF(B29=0,"",IFERROR(COUNTIFS(Export!$E:$E,A29,Export!$H:$H,"Efectivo",Export!$M:$M,"&lt;="&amp;8)/B29*100,0))</f>
        <v/>
      </c>
      <c r="N29" s="46">
        <f>IF(B29=0,"",IFERROR(COUNTIFS(Export!$E:$E,A29,Export!$H:$H,"Efectivo",Export!$M:$M,"&lt;="&amp;9)/B29*100,0))</f>
        <v/>
      </c>
      <c r="O29" s="46">
        <f>IF(B29=0,"",IFERROR(COUNTIFS(Export!$E:$E,A29,Export!$H:$H,"Efectivo",Export!$M:$M,"&lt;="&amp;10)/B29*100,0))</f>
        <v/>
      </c>
      <c r="P29" s="46">
        <f>IF(B29=0,"",IFERROR(COUNTIFS(Export!$E:$E,A29,Export!$H:$H,"Efectivo",Export!$M:$M,"&lt;="&amp;11)/B29*100,0))</f>
        <v/>
      </c>
      <c r="Q29" s="46">
        <f>IF(B29=0,"",IFERROR(COUNTIFS(Export!$E:$E,A29,Export!$H:$H,"Efectivo",Export!$M:$M,"&lt;="&amp;12)/B29*100,0))</f>
        <v/>
      </c>
      <c r="R29" s="46">
        <f>IF(B29=0,"",IFERROR(COUNTIFS(Export!$E:$E,A29,Export!$H:$H,"Efectivo",Export!$M:$M,"&lt;="&amp;13)/B29*100,0))</f>
        <v/>
      </c>
      <c r="S29" s="46">
        <f>IF(B29=0,"",IFERROR(COUNTIFS(Export!$E:$E,A29,Export!$H:$H,"Efectivo",Export!$M:$M,"&lt;="&amp;14)/B29*100,0))</f>
        <v/>
      </c>
      <c r="T29" s="46">
        <f>IF(B29=0,"",IFERROR(COUNTIFS(Export!$E:$E,A29,Export!$H:$H,"Efectivo",Export!$M:$M,"&lt;="&amp;15)/B29*100,0))</f>
        <v/>
      </c>
      <c r="U29" s="46">
        <f>IF(B29=0,"",IFERROR(COUNTIFS(Export!$E:$E,A29,Export!$H:$H,"Efectivo",Export!$M:$M,"&lt;="&amp;16)/B29*100,0))</f>
        <v/>
      </c>
      <c r="V29" s="46">
        <f>IF(B29=0,"",IFERROR(COUNTIFS(Export!$E:$E,A29,Export!$H:$H,"Efectivo",Export!$M:$M,"&lt;="&amp;17)/B29*100,0))</f>
        <v/>
      </c>
      <c r="W29" s="46">
        <f>IF(B29=0,"",IFERROR(COUNTIFS(Export!$E:$E,A29,Export!$H:$H,"Efectivo",Export!$M:$M,"&lt;="&amp;18)/B29*100,0))</f>
        <v/>
      </c>
      <c r="X29" s="46">
        <f>IF(B29=0,"",IFERROR(COUNTIFS(Export!$E:$E,A29,Export!$H:$H,"Efectivo",Export!$M:$M,"&lt;="&amp;19)/B29*100,0))</f>
        <v/>
      </c>
      <c r="Y29" s="46">
        <f>IF(B29=0,"",IFERROR(COUNTIFS(Export!$E:$E,A29,Export!$H:$H,"Efectivo",Export!$M:$M,"&lt;="&amp;20)/B29*100,0))</f>
        <v/>
      </c>
      <c r="Z29" s="46">
        <f>IF(B29=0,"",IFERROR(COUNTIFS(Export!$E:$E,A29,Export!$H:$H,"Efectivo",Export!$M:$M,"&lt;="&amp;21)/B29*100,0))</f>
        <v/>
      </c>
      <c r="AA29" s="46">
        <f>IF(B29=0,"",IFERROR(COUNTIFS(Export!$E:$E,A29,Export!$H:$H,"Efectivo",Export!$M:$M,"&lt;="&amp;22)/B29*100,0))</f>
        <v/>
      </c>
      <c r="AB29" s="46">
        <f>IF(B29=0,"",IFERROR(COUNTIFS(Export!$E:$E,A29,Export!$H:$H,"Efectivo",Export!$M:$M,"&lt;="&amp;23)/B29*100,0))</f>
        <v/>
      </c>
      <c r="AC29" s="46">
        <f>IF(B29=0,"",IFERROR(COUNTIFS(Export!$E:$E,A29,Export!$H:$H,"Efectivo",Export!$M:$M,"&lt;="&amp;24)/B29*100,0))</f>
        <v/>
      </c>
      <c r="AD29" s="46">
        <f>IF(B29=0,"",IFERROR(COUNTIFS(Export!$E:$E,A29,Export!$H:$H,"Efectivo",Export!$M:$M,"&lt;="&amp;25)/B29*100,0))</f>
        <v/>
      </c>
      <c r="AE29" s="46">
        <f>IF(B29=0,"",IFERROR(COUNTIFS(Export!$E:$E,A29,Export!$H:$H,"Efectivo",Export!$M:$M,"&lt;="&amp;26)/B29*100,0))</f>
        <v/>
      </c>
      <c r="AF29" s="46">
        <f>IF(B29=0,"",IFERROR(COUNTIFS(Export!$E:$E,A29,Export!$H:$H,"Efectivo",Export!$M:$M,"&lt;="&amp;27)/B29*100,0))</f>
        <v/>
      </c>
      <c r="AG29" s="46">
        <f>IF(B29=0,"",IFERROR(COUNTIFS(Export!$E:$E,A29,Export!$H:$H,"Efectivo",Export!$M:$M,"&lt;="&amp;28)/B29*100,0))</f>
        <v/>
      </c>
      <c r="AH29" s="46">
        <f>IF(B29=0,"",IFERROR(COUNTIFS(Export!$E:$E,A29,Export!$H:$H,"Efectivo",Export!$M:$M,"&lt;="&amp;29)/B29*100,0))</f>
        <v/>
      </c>
      <c r="AI29" s="46">
        <f>IF(B29=0,"",IFERROR(COUNTIFS(Export!$E:$E,A29,Export!$H:$H,"Efectivo",Export!$M:$M,"&lt;="&amp;30)/B29*100,0))</f>
        <v/>
      </c>
      <c r="AJ29" s="46">
        <f>IF(B29=0,"",IFERROR(COUNTIFS(Export!$E:$E,A29,Export!$H:$H,"Efectivo",Export!$M:$M,"&lt;="&amp;31)/B29*100,0))</f>
        <v/>
      </c>
      <c r="AK29" s="46">
        <f>IF(B29=0,"",IFERROR(COUNTIFS(Export!$E:$E,A29,Export!$H:$H,"Efectivo",Export!$M:$M,"&lt;="&amp;32)/B29*100,0))</f>
        <v/>
      </c>
      <c r="AL29" s="46">
        <f>IF(B29=0,"",IFERROR(COUNTIFS(Export!$E:$E,A29,Export!$H:$H,"Efectivo",Export!$M:$M,"&lt;="&amp;33)/B29*100,0))</f>
        <v/>
      </c>
      <c r="AM29" s="46">
        <f>IF(B29=0,"",IFERROR(COUNTIFS(Export!$E:$E,A29,Export!$H:$H,"Efectivo",Export!$M:$M,"&lt;="&amp;34)/B29*100,0))</f>
        <v/>
      </c>
      <c r="AN29" s="46">
        <f>IF(B29=0,"",IFERROR(COUNTIFS(Export!$E:$E,A29,Export!$H:$H,"Efectivo",Export!$M:$M,"&lt;="&amp;35)/B29*100,0))</f>
        <v/>
      </c>
      <c r="AO29" s="46">
        <f>IF(B29=0,"",IFERROR(COUNTIFS(Export!$E:$E,A29,Export!$H:$H,"Efectivo",Export!$M:$M,"&lt;="&amp;36)/B29*100,0))</f>
        <v/>
      </c>
    </row>
    <row r="30">
      <c r="A30" s="48" t="inlineStr">
        <is>
          <t>04-2026</t>
        </is>
      </c>
      <c r="B30" s="44">
        <f>IFERROR(COUNTIF(Export!$E:$E,A30),0)</f>
        <v/>
      </c>
      <c r="C30" s="45">
        <f>IFERROR(VLOOKUP(A30,Originaciones!$A:$B,2,0),"")</f>
        <v/>
      </c>
      <c r="D30">
        <f>IFERROR(VLOOKUP(A30,'Flota Activa'!$A:$B,2,0),"")</f>
        <v/>
      </c>
      <c r="E30" s="46">
        <f>IF(B30=0,"",IFERROR(COUNTIFS(Export!$E:$E,A30,Export!$H:$H,"Efectivo",Export!$M:$M,"&lt;="&amp;0)/B30*100,0))</f>
        <v/>
      </c>
      <c r="F30" s="46">
        <f>IF(B30=0,"",IFERROR(COUNTIFS(Export!$E:$E,A30,Export!$H:$H,"Efectivo",Export!$M:$M,"&lt;="&amp;1)/B30*100,0))</f>
        <v/>
      </c>
      <c r="G30" s="46">
        <f>IF(B30=0,"",IFERROR(COUNTIFS(Export!$E:$E,A30,Export!$H:$H,"Efectivo",Export!$M:$M,"&lt;="&amp;2)/B30*100,0))</f>
        <v/>
      </c>
      <c r="H30" s="46">
        <f>IF(B30=0,"",IFERROR(COUNTIFS(Export!$E:$E,A30,Export!$H:$H,"Efectivo",Export!$M:$M,"&lt;="&amp;3)/B30*100,0))</f>
        <v/>
      </c>
      <c r="I30" s="46">
        <f>IF(B30=0,"",IFERROR(COUNTIFS(Export!$E:$E,A30,Export!$H:$H,"Efectivo",Export!$M:$M,"&lt;="&amp;4)/B30*100,0))</f>
        <v/>
      </c>
      <c r="J30" s="46">
        <f>IF(B30=0,"",IFERROR(COUNTIFS(Export!$E:$E,A30,Export!$H:$H,"Efectivo",Export!$M:$M,"&lt;="&amp;5)/B30*100,0))</f>
        <v/>
      </c>
      <c r="K30" s="46">
        <f>IF(B30=0,"",IFERROR(COUNTIFS(Export!$E:$E,A30,Export!$H:$H,"Efectivo",Export!$M:$M,"&lt;="&amp;6)/B30*100,0))</f>
        <v/>
      </c>
      <c r="L30" s="46">
        <f>IF(B30=0,"",IFERROR(COUNTIFS(Export!$E:$E,A30,Export!$H:$H,"Efectivo",Export!$M:$M,"&lt;="&amp;7)/B30*100,0))</f>
        <v/>
      </c>
      <c r="M30" s="46">
        <f>IF(B30=0,"",IFERROR(COUNTIFS(Export!$E:$E,A30,Export!$H:$H,"Efectivo",Export!$M:$M,"&lt;="&amp;8)/B30*100,0))</f>
        <v/>
      </c>
      <c r="N30" s="46">
        <f>IF(B30=0,"",IFERROR(COUNTIFS(Export!$E:$E,A30,Export!$H:$H,"Efectivo",Export!$M:$M,"&lt;="&amp;9)/B30*100,0))</f>
        <v/>
      </c>
      <c r="O30" s="46">
        <f>IF(B30=0,"",IFERROR(COUNTIFS(Export!$E:$E,A30,Export!$H:$H,"Efectivo",Export!$M:$M,"&lt;="&amp;10)/B30*100,0))</f>
        <v/>
      </c>
      <c r="P30" s="46">
        <f>IF(B30=0,"",IFERROR(COUNTIFS(Export!$E:$E,A30,Export!$H:$H,"Efectivo",Export!$M:$M,"&lt;="&amp;11)/B30*100,0))</f>
        <v/>
      </c>
      <c r="Q30" s="46">
        <f>IF(B30=0,"",IFERROR(COUNTIFS(Export!$E:$E,A30,Export!$H:$H,"Efectivo",Export!$M:$M,"&lt;="&amp;12)/B30*100,0))</f>
        <v/>
      </c>
      <c r="R30" s="46">
        <f>IF(B30=0,"",IFERROR(COUNTIFS(Export!$E:$E,A30,Export!$H:$H,"Efectivo",Export!$M:$M,"&lt;="&amp;13)/B30*100,0))</f>
        <v/>
      </c>
      <c r="S30" s="46">
        <f>IF(B30=0,"",IFERROR(COUNTIFS(Export!$E:$E,A30,Export!$H:$H,"Efectivo",Export!$M:$M,"&lt;="&amp;14)/B30*100,0))</f>
        <v/>
      </c>
      <c r="T30" s="46">
        <f>IF(B30=0,"",IFERROR(COUNTIFS(Export!$E:$E,A30,Export!$H:$H,"Efectivo",Export!$M:$M,"&lt;="&amp;15)/B30*100,0))</f>
        <v/>
      </c>
      <c r="U30" s="46">
        <f>IF(B30=0,"",IFERROR(COUNTIFS(Export!$E:$E,A30,Export!$H:$H,"Efectivo",Export!$M:$M,"&lt;="&amp;16)/B30*100,0))</f>
        <v/>
      </c>
      <c r="V30" s="46">
        <f>IF(B30=0,"",IFERROR(COUNTIFS(Export!$E:$E,A30,Export!$H:$H,"Efectivo",Export!$M:$M,"&lt;="&amp;17)/B30*100,0))</f>
        <v/>
      </c>
      <c r="W30" s="46">
        <f>IF(B30=0,"",IFERROR(COUNTIFS(Export!$E:$E,A30,Export!$H:$H,"Efectivo",Export!$M:$M,"&lt;="&amp;18)/B30*100,0))</f>
        <v/>
      </c>
      <c r="X30" s="46">
        <f>IF(B30=0,"",IFERROR(COUNTIFS(Export!$E:$E,A30,Export!$H:$H,"Efectivo",Export!$M:$M,"&lt;="&amp;19)/B30*100,0))</f>
        <v/>
      </c>
      <c r="Y30" s="46">
        <f>IF(B30=0,"",IFERROR(COUNTIFS(Export!$E:$E,A30,Export!$H:$H,"Efectivo",Export!$M:$M,"&lt;="&amp;20)/B30*100,0))</f>
        <v/>
      </c>
      <c r="Z30" s="46">
        <f>IF(B30=0,"",IFERROR(COUNTIFS(Export!$E:$E,A30,Export!$H:$H,"Efectivo",Export!$M:$M,"&lt;="&amp;21)/B30*100,0))</f>
        <v/>
      </c>
      <c r="AA30" s="46">
        <f>IF(B30=0,"",IFERROR(COUNTIFS(Export!$E:$E,A30,Export!$H:$H,"Efectivo",Export!$M:$M,"&lt;="&amp;22)/B30*100,0))</f>
        <v/>
      </c>
      <c r="AB30" s="46">
        <f>IF(B30=0,"",IFERROR(COUNTIFS(Export!$E:$E,A30,Export!$H:$H,"Efectivo",Export!$M:$M,"&lt;="&amp;23)/B30*100,0))</f>
        <v/>
      </c>
      <c r="AC30" s="46">
        <f>IF(B30=0,"",IFERROR(COUNTIFS(Export!$E:$E,A30,Export!$H:$H,"Efectivo",Export!$M:$M,"&lt;="&amp;24)/B30*100,0))</f>
        <v/>
      </c>
      <c r="AD30" s="46">
        <f>IF(B30=0,"",IFERROR(COUNTIFS(Export!$E:$E,A30,Export!$H:$H,"Efectivo",Export!$M:$M,"&lt;="&amp;25)/B30*100,0))</f>
        <v/>
      </c>
      <c r="AE30" s="46">
        <f>IF(B30=0,"",IFERROR(COUNTIFS(Export!$E:$E,A30,Export!$H:$H,"Efectivo",Export!$M:$M,"&lt;="&amp;26)/B30*100,0))</f>
        <v/>
      </c>
      <c r="AF30" s="46">
        <f>IF(B30=0,"",IFERROR(COUNTIFS(Export!$E:$E,A30,Export!$H:$H,"Efectivo",Export!$M:$M,"&lt;="&amp;27)/B30*100,0))</f>
        <v/>
      </c>
      <c r="AG30" s="46">
        <f>IF(B30=0,"",IFERROR(COUNTIFS(Export!$E:$E,A30,Export!$H:$H,"Efectivo",Export!$M:$M,"&lt;="&amp;28)/B30*100,0))</f>
        <v/>
      </c>
      <c r="AH30" s="46">
        <f>IF(B30=0,"",IFERROR(COUNTIFS(Export!$E:$E,A30,Export!$H:$H,"Efectivo",Export!$M:$M,"&lt;="&amp;29)/B30*100,0))</f>
        <v/>
      </c>
      <c r="AI30" s="46">
        <f>IF(B30=0,"",IFERROR(COUNTIFS(Export!$E:$E,A30,Export!$H:$H,"Efectivo",Export!$M:$M,"&lt;="&amp;30)/B30*100,0))</f>
        <v/>
      </c>
      <c r="AJ30" s="46">
        <f>IF(B30=0,"",IFERROR(COUNTIFS(Export!$E:$E,A30,Export!$H:$H,"Efectivo",Export!$M:$M,"&lt;="&amp;31)/B30*100,0))</f>
        <v/>
      </c>
      <c r="AK30" s="46">
        <f>IF(B30=0,"",IFERROR(COUNTIFS(Export!$E:$E,A30,Export!$H:$H,"Efectivo",Export!$M:$M,"&lt;="&amp;32)/B30*100,0))</f>
        <v/>
      </c>
      <c r="AL30" s="46">
        <f>IF(B30=0,"",IFERROR(COUNTIFS(Export!$E:$E,A30,Export!$H:$H,"Efectivo",Export!$M:$M,"&lt;="&amp;33)/B30*100,0))</f>
        <v/>
      </c>
      <c r="AM30" s="46">
        <f>IF(B30=0,"",IFERROR(COUNTIFS(Export!$E:$E,A30,Export!$H:$H,"Efectivo",Export!$M:$M,"&lt;="&amp;34)/B30*100,0))</f>
        <v/>
      </c>
      <c r="AN30" s="46">
        <f>IF(B30=0,"",IFERROR(COUNTIFS(Export!$E:$E,A30,Export!$H:$H,"Efectivo",Export!$M:$M,"&lt;="&amp;35)/B30*100,0))</f>
        <v/>
      </c>
      <c r="AO30" s="46">
        <f>IF(B30=0,"",IFERROR(COUNTIFS(Export!$E:$E,A30,Export!$H:$H,"Efectivo",Export!$M:$M,"&lt;="&amp;36)/B30*100,0))</f>
        <v/>
      </c>
    </row>
    <row r="31">
      <c r="A31" s="48" t="inlineStr">
        <is>
          <t>05-2026</t>
        </is>
      </c>
      <c r="B31" s="44">
        <f>IFERROR(COUNTIF(Export!$E:$E,A31),0)</f>
        <v/>
      </c>
      <c r="C31" s="45">
        <f>IFERROR(VLOOKUP(A31,Originaciones!$A:$B,2,0),"")</f>
        <v/>
      </c>
      <c r="D31">
        <f>IFERROR(VLOOKUP(A31,'Flota Activa'!$A:$B,2,0),"")</f>
        <v/>
      </c>
      <c r="E31" s="46">
        <f>IF(B31=0,"",IFERROR(COUNTIFS(Export!$E:$E,A31,Export!$H:$H,"Efectivo",Export!$M:$M,"&lt;="&amp;0)/B31*100,0))</f>
        <v/>
      </c>
      <c r="F31" s="46">
        <f>IF(B31=0,"",IFERROR(COUNTIFS(Export!$E:$E,A31,Export!$H:$H,"Efectivo",Export!$M:$M,"&lt;="&amp;1)/B31*100,0))</f>
        <v/>
      </c>
      <c r="G31" s="46">
        <f>IF(B31=0,"",IFERROR(COUNTIFS(Export!$E:$E,A31,Export!$H:$H,"Efectivo",Export!$M:$M,"&lt;="&amp;2)/B31*100,0))</f>
        <v/>
      </c>
      <c r="H31" s="46">
        <f>IF(B31=0,"",IFERROR(COUNTIFS(Export!$E:$E,A31,Export!$H:$H,"Efectivo",Export!$M:$M,"&lt;="&amp;3)/B31*100,0))</f>
        <v/>
      </c>
      <c r="I31" s="46">
        <f>IF(B31=0,"",IFERROR(COUNTIFS(Export!$E:$E,A31,Export!$H:$H,"Efectivo",Export!$M:$M,"&lt;="&amp;4)/B31*100,0))</f>
        <v/>
      </c>
      <c r="J31" s="46">
        <f>IF(B31=0,"",IFERROR(COUNTIFS(Export!$E:$E,A31,Export!$H:$H,"Efectivo",Export!$M:$M,"&lt;="&amp;5)/B31*100,0))</f>
        <v/>
      </c>
      <c r="K31" s="46">
        <f>IF(B31=0,"",IFERROR(COUNTIFS(Export!$E:$E,A31,Export!$H:$H,"Efectivo",Export!$M:$M,"&lt;="&amp;6)/B31*100,0))</f>
        <v/>
      </c>
      <c r="L31" s="46">
        <f>IF(B31=0,"",IFERROR(COUNTIFS(Export!$E:$E,A31,Export!$H:$H,"Efectivo",Export!$M:$M,"&lt;="&amp;7)/B31*100,0))</f>
        <v/>
      </c>
      <c r="M31" s="46">
        <f>IF(B31=0,"",IFERROR(COUNTIFS(Export!$E:$E,A31,Export!$H:$H,"Efectivo",Export!$M:$M,"&lt;="&amp;8)/B31*100,0))</f>
        <v/>
      </c>
      <c r="N31" s="46">
        <f>IF(B31=0,"",IFERROR(COUNTIFS(Export!$E:$E,A31,Export!$H:$H,"Efectivo",Export!$M:$M,"&lt;="&amp;9)/B31*100,0))</f>
        <v/>
      </c>
      <c r="O31" s="46">
        <f>IF(B31=0,"",IFERROR(COUNTIFS(Export!$E:$E,A31,Export!$H:$H,"Efectivo",Export!$M:$M,"&lt;="&amp;10)/B31*100,0))</f>
        <v/>
      </c>
      <c r="P31" s="46">
        <f>IF(B31=0,"",IFERROR(COUNTIFS(Export!$E:$E,A31,Export!$H:$H,"Efectivo",Export!$M:$M,"&lt;="&amp;11)/B31*100,0))</f>
        <v/>
      </c>
      <c r="Q31" s="46">
        <f>IF(B31=0,"",IFERROR(COUNTIFS(Export!$E:$E,A31,Export!$H:$H,"Efectivo",Export!$M:$M,"&lt;="&amp;12)/B31*100,0))</f>
        <v/>
      </c>
      <c r="R31" s="46">
        <f>IF(B31=0,"",IFERROR(COUNTIFS(Export!$E:$E,A31,Export!$H:$H,"Efectivo",Export!$M:$M,"&lt;="&amp;13)/B31*100,0))</f>
        <v/>
      </c>
      <c r="S31" s="46">
        <f>IF(B31=0,"",IFERROR(COUNTIFS(Export!$E:$E,A31,Export!$H:$H,"Efectivo",Export!$M:$M,"&lt;="&amp;14)/B31*100,0))</f>
        <v/>
      </c>
      <c r="T31" s="46">
        <f>IF(B31=0,"",IFERROR(COUNTIFS(Export!$E:$E,A31,Export!$H:$H,"Efectivo",Export!$M:$M,"&lt;="&amp;15)/B31*100,0))</f>
        <v/>
      </c>
      <c r="U31" s="46">
        <f>IF(B31=0,"",IFERROR(COUNTIFS(Export!$E:$E,A31,Export!$H:$H,"Efectivo",Export!$M:$M,"&lt;="&amp;16)/B31*100,0))</f>
        <v/>
      </c>
      <c r="V31" s="46">
        <f>IF(B31=0,"",IFERROR(COUNTIFS(Export!$E:$E,A31,Export!$H:$H,"Efectivo",Export!$M:$M,"&lt;="&amp;17)/B31*100,0))</f>
        <v/>
      </c>
      <c r="W31" s="46">
        <f>IF(B31=0,"",IFERROR(COUNTIFS(Export!$E:$E,A31,Export!$H:$H,"Efectivo",Export!$M:$M,"&lt;="&amp;18)/B31*100,0))</f>
        <v/>
      </c>
      <c r="X31" s="46">
        <f>IF(B31=0,"",IFERROR(COUNTIFS(Export!$E:$E,A31,Export!$H:$H,"Efectivo",Export!$M:$M,"&lt;="&amp;19)/B31*100,0))</f>
        <v/>
      </c>
      <c r="Y31" s="46">
        <f>IF(B31=0,"",IFERROR(COUNTIFS(Export!$E:$E,A31,Export!$H:$H,"Efectivo",Export!$M:$M,"&lt;="&amp;20)/B31*100,0))</f>
        <v/>
      </c>
      <c r="Z31" s="46">
        <f>IF(B31=0,"",IFERROR(COUNTIFS(Export!$E:$E,A31,Export!$H:$H,"Efectivo",Export!$M:$M,"&lt;="&amp;21)/B31*100,0))</f>
        <v/>
      </c>
      <c r="AA31" s="46">
        <f>IF(B31=0,"",IFERROR(COUNTIFS(Export!$E:$E,A31,Export!$H:$H,"Efectivo",Export!$M:$M,"&lt;="&amp;22)/B31*100,0))</f>
        <v/>
      </c>
      <c r="AB31" s="46">
        <f>IF(B31=0,"",IFERROR(COUNTIFS(Export!$E:$E,A31,Export!$H:$H,"Efectivo",Export!$M:$M,"&lt;="&amp;23)/B31*100,0))</f>
        <v/>
      </c>
      <c r="AC31" s="46">
        <f>IF(B31=0,"",IFERROR(COUNTIFS(Export!$E:$E,A31,Export!$H:$H,"Efectivo",Export!$M:$M,"&lt;="&amp;24)/B31*100,0))</f>
        <v/>
      </c>
      <c r="AD31" s="46">
        <f>IF(B31=0,"",IFERROR(COUNTIFS(Export!$E:$E,A31,Export!$H:$H,"Efectivo",Export!$M:$M,"&lt;="&amp;25)/B31*100,0))</f>
        <v/>
      </c>
      <c r="AE31" s="46">
        <f>IF(B31=0,"",IFERROR(COUNTIFS(Export!$E:$E,A31,Export!$H:$H,"Efectivo",Export!$M:$M,"&lt;="&amp;26)/B31*100,0))</f>
        <v/>
      </c>
      <c r="AF31" s="46">
        <f>IF(B31=0,"",IFERROR(COUNTIFS(Export!$E:$E,A31,Export!$H:$H,"Efectivo",Export!$M:$M,"&lt;="&amp;27)/B31*100,0))</f>
        <v/>
      </c>
      <c r="AG31" s="46">
        <f>IF(B31=0,"",IFERROR(COUNTIFS(Export!$E:$E,A31,Export!$H:$H,"Efectivo",Export!$M:$M,"&lt;="&amp;28)/B31*100,0))</f>
        <v/>
      </c>
      <c r="AH31" s="46">
        <f>IF(B31=0,"",IFERROR(COUNTIFS(Export!$E:$E,A31,Export!$H:$H,"Efectivo",Export!$M:$M,"&lt;="&amp;29)/B31*100,0))</f>
        <v/>
      </c>
      <c r="AI31" s="46">
        <f>IF(B31=0,"",IFERROR(COUNTIFS(Export!$E:$E,A31,Export!$H:$H,"Efectivo",Export!$M:$M,"&lt;="&amp;30)/B31*100,0))</f>
        <v/>
      </c>
      <c r="AJ31" s="46">
        <f>IF(B31=0,"",IFERROR(COUNTIFS(Export!$E:$E,A31,Export!$H:$H,"Efectivo",Export!$M:$M,"&lt;="&amp;31)/B31*100,0))</f>
        <v/>
      </c>
      <c r="AK31" s="46">
        <f>IF(B31=0,"",IFERROR(COUNTIFS(Export!$E:$E,A31,Export!$H:$H,"Efectivo",Export!$M:$M,"&lt;="&amp;32)/B31*100,0))</f>
        <v/>
      </c>
      <c r="AL31" s="46">
        <f>IF(B31=0,"",IFERROR(COUNTIFS(Export!$E:$E,A31,Export!$H:$H,"Efectivo",Export!$M:$M,"&lt;="&amp;33)/B31*100,0))</f>
        <v/>
      </c>
      <c r="AM31" s="46">
        <f>IF(B31=0,"",IFERROR(COUNTIFS(Export!$E:$E,A31,Export!$H:$H,"Efectivo",Export!$M:$M,"&lt;="&amp;34)/B31*100,0))</f>
        <v/>
      </c>
      <c r="AN31" s="46">
        <f>IF(B31=0,"",IFERROR(COUNTIFS(Export!$E:$E,A31,Export!$H:$H,"Efectivo",Export!$M:$M,"&lt;="&amp;35)/B31*100,0))</f>
        <v/>
      </c>
      <c r="AO31" s="46">
        <f>IF(B31=0,"",IFERROR(COUNTIFS(Export!$E:$E,A31,Export!$H:$H,"Efectivo",Export!$M:$M,"&lt;="&amp;36)/B31*100,0))</f>
        <v/>
      </c>
    </row>
    <row r="32">
      <c r="A32" s="48" t="inlineStr">
        <is>
          <t>06-2026</t>
        </is>
      </c>
      <c r="B32" s="44">
        <f>IFERROR(COUNTIF(Export!$E:$E,A32),0)</f>
        <v/>
      </c>
      <c r="C32" s="45">
        <f>IFERROR(VLOOKUP(A32,Originaciones!$A:$B,2,0),"")</f>
        <v/>
      </c>
      <c r="D32">
        <f>IFERROR(VLOOKUP(A32,'Flota Activa'!$A:$B,2,0),"")</f>
        <v/>
      </c>
      <c r="E32" s="46">
        <f>IF(B32=0,"",IFERROR(COUNTIFS(Export!$E:$E,A32,Export!$H:$H,"Efectivo",Export!$M:$M,"&lt;="&amp;0)/B32*100,0))</f>
        <v/>
      </c>
      <c r="F32" s="46">
        <f>IF(B32=0,"",IFERROR(COUNTIFS(Export!$E:$E,A32,Export!$H:$H,"Efectivo",Export!$M:$M,"&lt;="&amp;1)/B32*100,0))</f>
        <v/>
      </c>
      <c r="G32" s="46">
        <f>IF(B32=0,"",IFERROR(COUNTIFS(Export!$E:$E,A32,Export!$H:$H,"Efectivo",Export!$M:$M,"&lt;="&amp;2)/B32*100,0))</f>
        <v/>
      </c>
      <c r="H32" s="46">
        <f>IF(B32=0,"",IFERROR(COUNTIFS(Export!$E:$E,A32,Export!$H:$H,"Efectivo",Export!$M:$M,"&lt;="&amp;3)/B32*100,0))</f>
        <v/>
      </c>
      <c r="I32" s="46">
        <f>IF(B32=0,"",IFERROR(COUNTIFS(Export!$E:$E,A32,Export!$H:$H,"Efectivo",Export!$M:$M,"&lt;="&amp;4)/B32*100,0))</f>
        <v/>
      </c>
      <c r="J32" s="46">
        <f>IF(B32=0,"",IFERROR(COUNTIFS(Export!$E:$E,A32,Export!$H:$H,"Efectivo",Export!$M:$M,"&lt;="&amp;5)/B32*100,0))</f>
        <v/>
      </c>
      <c r="K32" s="46">
        <f>IF(B32=0,"",IFERROR(COUNTIFS(Export!$E:$E,A32,Export!$H:$H,"Efectivo",Export!$M:$M,"&lt;="&amp;6)/B32*100,0))</f>
        <v/>
      </c>
      <c r="L32" s="46">
        <f>IF(B32=0,"",IFERROR(COUNTIFS(Export!$E:$E,A32,Export!$H:$H,"Efectivo",Export!$M:$M,"&lt;="&amp;7)/B32*100,0))</f>
        <v/>
      </c>
      <c r="M32" s="46">
        <f>IF(B32=0,"",IFERROR(COUNTIFS(Export!$E:$E,A32,Export!$H:$H,"Efectivo",Export!$M:$M,"&lt;="&amp;8)/B32*100,0))</f>
        <v/>
      </c>
      <c r="N32" s="46">
        <f>IF(B32=0,"",IFERROR(COUNTIFS(Export!$E:$E,A32,Export!$H:$H,"Efectivo",Export!$M:$M,"&lt;="&amp;9)/B32*100,0))</f>
        <v/>
      </c>
      <c r="O32" s="46">
        <f>IF(B32=0,"",IFERROR(COUNTIFS(Export!$E:$E,A32,Export!$H:$H,"Efectivo",Export!$M:$M,"&lt;="&amp;10)/B32*100,0))</f>
        <v/>
      </c>
      <c r="P32" s="46">
        <f>IF(B32=0,"",IFERROR(COUNTIFS(Export!$E:$E,A32,Export!$H:$H,"Efectivo",Export!$M:$M,"&lt;="&amp;11)/B32*100,0))</f>
        <v/>
      </c>
      <c r="Q32" s="46">
        <f>IF(B32=0,"",IFERROR(COUNTIFS(Export!$E:$E,A32,Export!$H:$H,"Efectivo",Export!$M:$M,"&lt;="&amp;12)/B32*100,0))</f>
        <v/>
      </c>
      <c r="R32" s="46">
        <f>IF(B32=0,"",IFERROR(COUNTIFS(Export!$E:$E,A32,Export!$H:$H,"Efectivo",Export!$M:$M,"&lt;="&amp;13)/B32*100,0))</f>
        <v/>
      </c>
      <c r="S32" s="46">
        <f>IF(B32=0,"",IFERROR(COUNTIFS(Export!$E:$E,A32,Export!$H:$H,"Efectivo",Export!$M:$M,"&lt;="&amp;14)/B32*100,0))</f>
        <v/>
      </c>
      <c r="T32" s="46">
        <f>IF(B32=0,"",IFERROR(COUNTIFS(Export!$E:$E,A32,Export!$H:$H,"Efectivo",Export!$M:$M,"&lt;="&amp;15)/B32*100,0))</f>
        <v/>
      </c>
      <c r="U32" s="46">
        <f>IF(B32=0,"",IFERROR(COUNTIFS(Export!$E:$E,A32,Export!$H:$H,"Efectivo",Export!$M:$M,"&lt;="&amp;16)/B32*100,0))</f>
        <v/>
      </c>
      <c r="V32" s="46">
        <f>IF(B32=0,"",IFERROR(COUNTIFS(Export!$E:$E,A32,Export!$H:$H,"Efectivo",Export!$M:$M,"&lt;="&amp;17)/B32*100,0))</f>
        <v/>
      </c>
      <c r="W32" s="46">
        <f>IF(B32=0,"",IFERROR(COUNTIFS(Export!$E:$E,A32,Export!$H:$H,"Efectivo",Export!$M:$M,"&lt;="&amp;18)/B32*100,0))</f>
        <v/>
      </c>
      <c r="X32" s="46">
        <f>IF(B32=0,"",IFERROR(COUNTIFS(Export!$E:$E,A32,Export!$H:$H,"Efectivo",Export!$M:$M,"&lt;="&amp;19)/B32*100,0))</f>
        <v/>
      </c>
      <c r="Y32" s="46">
        <f>IF(B32=0,"",IFERROR(COUNTIFS(Export!$E:$E,A32,Export!$H:$H,"Efectivo",Export!$M:$M,"&lt;="&amp;20)/B32*100,0))</f>
        <v/>
      </c>
      <c r="Z32" s="46">
        <f>IF(B32=0,"",IFERROR(COUNTIFS(Export!$E:$E,A32,Export!$H:$H,"Efectivo",Export!$M:$M,"&lt;="&amp;21)/B32*100,0))</f>
        <v/>
      </c>
      <c r="AA32" s="46">
        <f>IF(B32=0,"",IFERROR(COUNTIFS(Export!$E:$E,A32,Export!$H:$H,"Efectivo",Export!$M:$M,"&lt;="&amp;22)/B32*100,0))</f>
        <v/>
      </c>
      <c r="AB32" s="46">
        <f>IF(B32=0,"",IFERROR(COUNTIFS(Export!$E:$E,A32,Export!$H:$H,"Efectivo",Export!$M:$M,"&lt;="&amp;23)/B32*100,0))</f>
        <v/>
      </c>
      <c r="AC32" s="46">
        <f>IF(B32=0,"",IFERROR(COUNTIFS(Export!$E:$E,A32,Export!$H:$H,"Efectivo",Export!$M:$M,"&lt;="&amp;24)/B32*100,0))</f>
        <v/>
      </c>
      <c r="AD32" s="46">
        <f>IF(B32=0,"",IFERROR(COUNTIFS(Export!$E:$E,A32,Export!$H:$H,"Efectivo",Export!$M:$M,"&lt;="&amp;25)/B32*100,0))</f>
        <v/>
      </c>
      <c r="AE32" s="46">
        <f>IF(B32=0,"",IFERROR(COUNTIFS(Export!$E:$E,A32,Export!$H:$H,"Efectivo",Export!$M:$M,"&lt;="&amp;26)/B32*100,0))</f>
        <v/>
      </c>
      <c r="AF32" s="46">
        <f>IF(B32=0,"",IFERROR(COUNTIFS(Export!$E:$E,A32,Export!$H:$H,"Efectivo",Export!$M:$M,"&lt;="&amp;27)/B32*100,0))</f>
        <v/>
      </c>
      <c r="AG32" s="46">
        <f>IF(B32=0,"",IFERROR(COUNTIFS(Export!$E:$E,A32,Export!$H:$H,"Efectivo",Export!$M:$M,"&lt;="&amp;28)/B32*100,0))</f>
        <v/>
      </c>
      <c r="AH32" s="46">
        <f>IF(B32=0,"",IFERROR(COUNTIFS(Export!$E:$E,A32,Export!$H:$H,"Efectivo",Export!$M:$M,"&lt;="&amp;29)/B32*100,0))</f>
        <v/>
      </c>
      <c r="AI32" s="46">
        <f>IF(B32=0,"",IFERROR(COUNTIFS(Export!$E:$E,A32,Export!$H:$H,"Efectivo",Export!$M:$M,"&lt;="&amp;30)/B32*100,0))</f>
        <v/>
      </c>
      <c r="AJ32" s="46">
        <f>IF(B32=0,"",IFERROR(COUNTIFS(Export!$E:$E,A32,Export!$H:$H,"Efectivo",Export!$M:$M,"&lt;="&amp;31)/B32*100,0))</f>
        <v/>
      </c>
      <c r="AK32" s="46">
        <f>IF(B32=0,"",IFERROR(COUNTIFS(Export!$E:$E,A32,Export!$H:$H,"Efectivo",Export!$M:$M,"&lt;="&amp;32)/B32*100,0))</f>
        <v/>
      </c>
      <c r="AL32" s="46">
        <f>IF(B32=0,"",IFERROR(COUNTIFS(Export!$E:$E,A32,Export!$H:$H,"Efectivo",Export!$M:$M,"&lt;="&amp;33)/B32*100,0))</f>
        <v/>
      </c>
      <c r="AM32" s="46">
        <f>IF(B32=0,"",IFERROR(COUNTIFS(Export!$E:$E,A32,Export!$H:$H,"Efectivo",Export!$M:$M,"&lt;="&amp;34)/B32*100,0))</f>
        <v/>
      </c>
      <c r="AN32" s="46">
        <f>IF(B32=0,"",IFERROR(COUNTIFS(Export!$E:$E,A32,Export!$H:$H,"Efectivo",Export!$M:$M,"&lt;="&amp;35)/B32*100,0))</f>
        <v/>
      </c>
      <c r="AO32" s="46">
        <f>IF(B32=0,"",IFERROR(COUNTIFS(Export!$E:$E,A32,Export!$H:$H,"Efectivo",Export!$M:$M,"&lt;="&amp;36)/B32*100,0))</f>
        <v/>
      </c>
    </row>
    <row r="33">
      <c r="A33" s="48" t="inlineStr">
        <is>
          <t>07-2026</t>
        </is>
      </c>
      <c r="B33" s="44">
        <f>IFERROR(COUNTIF(Export!$E:$E,A33),0)</f>
        <v/>
      </c>
      <c r="C33" s="45">
        <f>IFERROR(VLOOKUP(A33,Originaciones!$A:$B,2,0),"")</f>
        <v/>
      </c>
      <c r="D33">
        <f>IFERROR(VLOOKUP(A33,'Flota Activa'!$A:$B,2,0),"")</f>
        <v/>
      </c>
      <c r="E33" s="46">
        <f>IF(B33=0,"",IFERROR(COUNTIFS(Export!$E:$E,A33,Export!$H:$H,"Efectivo",Export!$M:$M,"&lt;="&amp;0)/B33*100,0))</f>
        <v/>
      </c>
      <c r="F33" s="46">
        <f>IF(B33=0,"",IFERROR(COUNTIFS(Export!$E:$E,A33,Export!$H:$H,"Efectivo",Export!$M:$M,"&lt;="&amp;1)/B33*100,0))</f>
        <v/>
      </c>
      <c r="G33" s="46">
        <f>IF(B33=0,"",IFERROR(COUNTIFS(Export!$E:$E,A33,Export!$H:$H,"Efectivo",Export!$M:$M,"&lt;="&amp;2)/B33*100,0))</f>
        <v/>
      </c>
      <c r="H33" s="46">
        <f>IF(B33=0,"",IFERROR(COUNTIFS(Export!$E:$E,A33,Export!$H:$H,"Efectivo",Export!$M:$M,"&lt;="&amp;3)/B33*100,0))</f>
        <v/>
      </c>
      <c r="I33" s="46">
        <f>IF(B33=0,"",IFERROR(COUNTIFS(Export!$E:$E,A33,Export!$H:$H,"Efectivo",Export!$M:$M,"&lt;="&amp;4)/B33*100,0))</f>
        <v/>
      </c>
      <c r="J33" s="46">
        <f>IF(B33=0,"",IFERROR(COUNTIFS(Export!$E:$E,A33,Export!$H:$H,"Efectivo",Export!$M:$M,"&lt;="&amp;5)/B33*100,0))</f>
        <v/>
      </c>
      <c r="K33" s="46">
        <f>IF(B33=0,"",IFERROR(COUNTIFS(Export!$E:$E,A33,Export!$H:$H,"Efectivo",Export!$M:$M,"&lt;="&amp;6)/B33*100,0))</f>
        <v/>
      </c>
      <c r="L33" s="46">
        <f>IF(B33=0,"",IFERROR(COUNTIFS(Export!$E:$E,A33,Export!$H:$H,"Efectivo",Export!$M:$M,"&lt;="&amp;7)/B33*100,0))</f>
        <v/>
      </c>
      <c r="M33" s="46">
        <f>IF(B33=0,"",IFERROR(COUNTIFS(Export!$E:$E,A33,Export!$H:$H,"Efectivo",Export!$M:$M,"&lt;="&amp;8)/B33*100,0))</f>
        <v/>
      </c>
      <c r="N33" s="46">
        <f>IF(B33=0,"",IFERROR(COUNTIFS(Export!$E:$E,A33,Export!$H:$H,"Efectivo",Export!$M:$M,"&lt;="&amp;9)/B33*100,0))</f>
        <v/>
      </c>
      <c r="O33" s="46">
        <f>IF(B33=0,"",IFERROR(COUNTIFS(Export!$E:$E,A33,Export!$H:$H,"Efectivo",Export!$M:$M,"&lt;="&amp;10)/B33*100,0))</f>
        <v/>
      </c>
      <c r="P33" s="46">
        <f>IF(B33=0,"",IFERROR(COUNTIFS(Export!$E:$E,A33,Export!$H:$H,"Efectivo",Export!$M:$M,"&lt;="&amp;11)/B33*100,0))</f>
        <v/>
      </c>
      <c r="Q33" s="46">
        <f>IF(B33=0,"",IFERROR(COUNTIFS(Export!$E:$E,A33,Export!$H:$H,"Efectivo",Export!$M:$M,"&lt;="&amp;12)/B33*100,0))</f>
        <v/>
      </c>
      <c r="R33" s="46">
        <f>IF(B33=0,"",IFERROR(COUNTIFS(Export!$E:$E,A33,Export!$H:$H,"Efectivo",Export!$M:$M,"&lt;="&amp;13)/B33*100,0))</f>
        <v/>
      </c>
      <c r="S33" s="46">
        <f>IF(B33=0,"",IFERROR(COUNTIFS(Export!$E:$E,A33,Export!$H:$H,"Efectivo",Export!$M:$M,"&lt;="&amp;14)/B33*100,0))</f>
        <v/>
      </c>
      <c r="T33" s="46">
        <f>IF(B33=0,"",IFERROR(COUNTIFS(Export!$E:$E,A33,Export!$H:$H,"Efectivo",Export!$M:$M,"&lt;="&amp;15)/B33*100,0))</f>
        <v/>
      </c>
      <c r="U33" s="46">
        <f>IF(B33=0,"",IFERROR(COUNTIFS(Export!$E:$E,A33,Export!$H:$H,"Efectivo",Export!$M:$M,"&lt;="&amp;16)/B33*100,0))</f>
        <v/>
      </c>
      <c r="V33" s="46">
        <f>IF(B33=0,"",IFERROR(COUNTIFS(Export!$E:$E,A33,Export!$H:$H,"Efectivo",Export!$M:$M,"&lt;="&amp;17)/B33*100,0))</f>
        <v/>
      </c>
      <c r="W33" s="46">
        <f>IF(B33=0,"",IFERROR(COUNTIFS(Export!$E:$E,A33,Export!$H:$H,"Efectivo",Export!$M:$M,"&lt;="&amp;18)/B33*100,0))</f>
        <v/>
      </c>
      <c r="X33" s="46">
        <f>IF(B33=0,"",IFERROR(COUNTIFS(Export!$E:$E,A33,Export!$H:$H,"Efectivo",Export!$M:$M,"&lt;="&amp;19)/B33*100,0))</f>
        <v/>
      </c>
      <c r="Y33" s="46">
        <f>IF(B33=0,"",IFERROR(COUNTIFS(Export!$E:$E,A33,Export!$H:$H,"Efectivo",Export!$M:$M,"&lt;="&amp;20)/B33*100,0))</f>
        <v/>
      </c>
      <c r="Z33" s="46">
        <f>IF(B33=0,"",IFERROR(COUNTIFS(Export!$E:$E,A33,Export!$H:$H,"Efectivo",Export!$M:$M,"&lt;="&amp;21)/B33*100,0))</f>
        <v/>
      </c>
      <c r="AA33" s="46">
        <f>IF(B33=0,"",IFERROR(COUNTIFS(Export!$E:$E,A33,Export!$H:$H,"Efectivo",Export!$M:$M,"&lt;="&amp;22)/B33*100,0))</f>
        <v/>
      </c>
      <c r="AB33" s="46">
        <f>IF(B33=0,"",IFERROR(COUNTIFS(Export!$E:$E,A33,Export!$H:$H,"Efectivo",Export!$M:$M,"&lt;="&amp;23)/B33*100,0))</f>
        <v/>
      </c>
      <c r="AC33" s="46">
        <f>IF(B33=0,"",IFERROR(COUNTIFS(Export!$E:$E,A33,Export!$H:$H,"Efectivo",Export!$M:$M,"&lt;="&amp;24)/B33*100,0))</f>
        <v/>
      </c>
      <c r="AD33" s="46">
        <f>IF(B33=0,"",IFERROR(COUNTIFS(Export!$E:$E,A33,Export!$H:$H,"Efectivo",Export!$M:$M,"&lt;="&amp;25)/B33*100,0))</f>
        <v/>
      </c>
      <c r="AE33" s="46">
        <f>IF(B33=0,"",IFERROR(COUNTIFS(Export!$E:$E,A33,Export!$H:$H,"Efectivo",Export!$M:$M,"&lt;="&amp;26)/B33*100,0))</f>
        <v/>
      </c>
      <c r="AF33" s="46">
        <f>IF(B33=0,"",IFERROR(COUNTIFS(Export!$E:$E,A33,Export!$H:$H,"Efectivo",Export!$M:$M,"&lt;="&amp;27)/B33*100,0))</f>
        <v/>
      </c>
      <c r="AG33" s="46">
        <f>IF(B33=0,"",IFERROR(COUNTIFS(Export!$E:$E,A33,Export!$H:$H,"Efectivo",Export!$M:$M,"&lt;="&amp;28)/B33*100,0))</f>
        <v/>
      </c>
      <c r="AH33" s="46">
        <f>IF(B33=0,"",IFERROR(COUNTIFS(Export!$E:$E,A33,Export!$H:$H,"Efectivo",Export!$M:$M,"&lt;="&amp;29)/B33*100,0))</f>
        <v/>
      </c>
      <c r="AI33" s="46">
        <f>IF(B33=0,"",IFERROR(COUNTIFS(Export!$E:$E,A33,Export!$H:$H,"Efectivo",Export!$M:$M,"&lt;="&amp;30)/B33*100,0))</f>
        <v/>
      </c>
      <c r="AJ33" s="46">
        <f>IF(B33=0,"",IFERROR(COUNTIFS(Export!$E:$E,A33,Export!$H:$H,"Efectivo",Export!$M:$M,"&lt;="&amp;31)/B33*100,0))</f>
        <v/>
      </c>
      <c r="AK33" s="46">
        <f>IF(B33=0,"",IFERROR(COUNTIFS(Export!$E:$E,A33,Export!$H:$H,"Efectivo",Export!$M:$M,"&lt;="&amp;32)/B33*100,0))</f>
        <v/>
      </c>
      <c r="AL33" s="46">
        <f>IF(B33=0,"",IFERROR(COUNTIFS(Export!$E:$E,A33,Export!$H:$H,"Efectivo",Export!$M:$M,"&lt;="&amp;33)/B33*100,0))</f>
        <v/>
      </c>
      <c r="AM33" s="46">
        <f>IF(B33=0,"",IFERROR(COUNTIFS(Export!$E:$E,A33,Export!$H:$H,"Efectivo",Export!$M:$M,"&lt;="&amp;34)/B33*100,0))</f>
        <v/>
      </c>
      <c r="AN33" s="46">
        <f>IF(B33=0,"",IFERROR(COUNTIFS(Export!$E:$E,A33,Export!$H:$H,"Efectivo",Export!$M:$M,"&lt;="&amp;35)/B33*100,0))</f>
        <v/>
      </c>
      <c r="AO33" s="46">
        <f>IF(B33=0,"",IFERROR(COUNTIFS(Export!$E:$E,A33,Export!$H:$H,"Efectivo",Export!$M:$M,"&lt;="&amp;36)/B33*100,0))</f>
        <v/>
      </c>
    </row>
    <row r="34">
      <c r="A34" s="48" t="inlineStr">
        <is>
          <t>08-2026</t>
        </is>
      </c>
      <c r="B34" s="44">
        <f>IFERROR(COUNTIF(Export!$E:$E,A34),0)</f>
        <v/>
      </c>
      <c r="C34" s="45">
        <f>IFERROR(VLOOKUP(A34,Originaciones!$A:$B,2,0),"")</f>
        <v/>
      </c>
      <c r="D34">
        <f>IFERROR(VLOOKUP(A34,'Flota Activa'!$A:$B,2,0),"")</f>
        <v/>
      </c>
      <c r="E34" s="46">
        <f>IF(B34=0,"",IFERROR(COUNTIFS(Export!$E:$E,A34,Export!$H:$H,"Efectivo",Export!$M:$M,"&lt;="&amp;0)/B34*100,0))</f>
        <v/>
      </c>
      <c r="F34" s="46">
        <f>IF(B34=0,"",IFERROR(COUNTIFS(Export!$E:$E,A34,Export!$H:$H,"Efectivo",Export!$M:$M,"&lt;="&amp;1)/B34*100,0))</f>
        <v/>
      </c>
      <c r="G34" s="46">
        <f>IF(B34=0,"",IFERROR(COUNTIFS(Export!$E:$E,A34,Export!$H:$H,"Efectivo",Export!$M:$M,"&lt;="&amp;2)/B34*100,0))</f>
        <v/>
      </c>
      <c r="H34" s="46">
        <f>IF(B34=0,"",IFERROR(COUNTIFS(Export!$E:$E,A34,Export!$H:$H,"Efectivo",Export!$M:$M,"&lt;="&amp;3)/B34*100,0))</f>
        <v/>
      </c>
      <c r="I34" s="46">
        <f>IF(B34=0,"",IFERROR(COUNTIFS(Export!$E:$E,A34,Export!$H:$H,"Efectivo",Export!$M:$M,"&lt;="&amp;4)/B34*100,0))</f>
        <v/>
      </c>
      <c r="J34" s="46">
        <f>IF(B34=0,"",IFERROR(COUNTIFS(Export!$E:$E,A34,Export!$H:$H,"Efectivo",Export!$M:$M,"&lt;="&amp;5)/B34*100,0))</f>
        <v/>
      </c>
      <c r="K34" s="46">
        <f>IF(B34=0,"",IFERROR(COUNTIFS(Export!$E:$E,A34,Export!$H:$H,"Efectivo",Export!$M:$M,"&lt;="&amp;6)/B34*100,0))</f>
        <v/>
      </c>
      <c r="L34" s="46">
        <f>IF(B34=0,"",IFERROR(COUNTIFS(Export!$E:$E,A34,Export!$H:$H,"Efectivo",Export!$M:$M,"&lt;="&amp;7)/B34*100,0))</f>
        <v/>
      </c>
      <c r="M34" s="46">
        <f>IF(B34=0,"",IFERROR(COUNTIFS(Export!$E:$E,A34,Export!$H:$H,"Efectivo",Export!$M:$M,"&lt;="&amp;8)/B34*100,0))</f>
        <v/>
      </c>
      <c r="N34" s="46">
        <f>IF(B34=0,"",IFERROR(COUNTIFS(Export!$E:$E,A34,Export!$H:$H,"Efectivo",Export!$M:$M,"&lt;="&amp;9)/B34*100,0))</f>
        <v/>
      </c>
      <c r="O34" s="46">
        <f>IF(B34=0,"",IFERROR(COUNTIFS(Export!$E:$E,A34,Export!$H:$H,"Efectivo",Export!$M:$M,"&lt;="&amp;10)/B34*100,0))</f>
        <v/>
      </c>
      <c r="P34" s="46">
        <f>IF(B34=0,"",IFERROR(COUNTIFS(Export!$E:$E,A34,Export!$H:$H,"Efectivo",Export!$M:$M,"&lt;="&amp;11)/B34*100,0))</f>
        <v/>
      </c>
      <c r="Q34" s="46">
        <f>IF(B34=0,"",IFERROR(COUNTIFS(Export!$E:$E,A34,Export!$H:$H,"Efectivo",Export!$M:$M,"&lt;="&amp;12)/B34*100,0))</f>
        <v/>
      </c>
      <c r="R34" s="46">
        <f>IF(B34=0,"",IFERROR(COUNTIFS(Export!$E:$E,A34,Export!$H:$H,"Efectivo",Export!$M:$M,"&lt;="&amp;13)/B34*100,0))</f>
        <v/>
      </c>
      <c r="S34" s="46">
        <f>IF(B34=0,"",IFERROR(COUNTIFS(Export!$E:$E,A34,Export!$H:$H,"Efectivo",Export!$M:$M,"&lt;="&amp;14)/B34*100,0))</f>
        <v/>
      </c>
      <c r="T34" s="46">
        <f>IF(B34=0,"",IFERROR(COUNTIFS(Export!$E:$E,A34,Export!$H:$H,"Efectivo",Export!$M:$M,"&lt;="&amp;15)/B34*100,0))</f>
        <v/>
      </c>
      <c r="U34" s="46">
        <f>IF(B34=0,"",IFERROR(COUNTIFS(Export!$E:$E,A34,Export!$H:$H,"Efectivo",Export!$M:$M,"&lt;="&amp;16)/B34*100,0))</f>
        <v/>
      </c>
      <c r="V34" s="46">
        <f>IF(B34=0,"",IFERROR(COUNTIFS(Export!$E:$E,A34,Export!$H:$H,"Efectivo",Export!$M:$M,"&lt;="&amp;17)/B34*100,0))</f>
        <v/>
      </c>
      <c r="W34" s="46">
        <f>IF(B34=0,"",IFERROR(COUNTIFS(Export!$E:$E,A34,Export!$H:$H,"Efectivo",Export!$M:$M,"&lt;="&amp;18)/B34*100,0))</f>
        <v/>
      </c>
      <c r="X34" s="46">
        <f>IF(B34=0,"",IFERROR(COUNTIFS(Export!$E:$E,A34,Export!$H:$H,"Efectivo",Export!$M:$M,"&lt;="&amp;19)/B34*100,0))</f>
        <v/>
      </c>
      <c r="Y34" s="46">
        <f>IF(B34=0,"",IFERROR(COUNTIFS(Export!$E:$E,A34,Export!$H:$H,"Efectivo",Export!$M:$M,"&lt;="&amp;20)/B34*100,0))</f>
        <v/>
      </c>
      <c r="Z34" s="46">
        <f>IF(B34=0,"",IFERROR(COUNTIFS(Export!$E:$E,A34,Export!$H:$H,"Efectivo",Export!$M:$M,"&lt;="&amp;21)/B34*100,0))</f>
        <v/>
      </c>
      <c r="AA34" s="46">
        <f>IF(B34=0,"",IFERROR(COUNTIFS(Export!$E:$E,A34,Export!$H:$H,"Efectivo",Export!$M:$M,"&lt;="&amp;22)/B34*100,0))</f>
        <v/>
      </c>
      <c r="AB34" s="46">
        <f>IF(B34=0,"",IFERROR(COUNTIFS(Export!$E:$E,A34,Export!$H:$H,"Efectivo",Export!$M:$M,"&lt;="&amp;23)/B34*100,0))</f>
        <v/>
      </c>
      <c r="AC34" s="46">
        <f>IF(B34=0,"",IFERROR(COUNTIFS(Export!$E:$E,A34,Export!$H:$H,"Efectivo",Export!$M:$M,"&lt;="&amp;24)/B34*100,0))</f>
        <v/>
      </c>
      <c r="AD34" s="46">
        <f>IF(B34=0,"",IFERROR(COUNTIFS(Export!$E:$E,A34,Export!$H:$H,"Efectivo",Export!$M:$M,"&lt;="&amp;25)/B34*100,0))</f>
        <v/>
      </c>
      <c r="AE34" s="46">
        <f>IF(B34=0,"",IFERROR(COUNTIFS(Export!$E:$E,A34,Export!$H:$H,"Efectivo",Export!$M:$M,"&lt;="&amp;26)/B34*100,0))</f>
        <v/>
      </c>
      <c r="AF34" s="46">
        <f>IF(B34=0,"",IFERROR(COUNTIFS(Export!$E:$E,A34,Export!$H:$H,"Efectivo",Export!$M:$M,"&lt;="&amp;27)/B34*100,0))</f>
        <v/>
      </c>
      <c r="AG34" s="46">
        <f>IF(B34=0,"",IFERROR(COUNTIFS(Export!$E:$E,A34,Export!$H:$H,"Efectivo",Export!$M:$M,"&lt;="&amp;28)/B34*100,0))</f>
        <v/>
      </c>
      <c r="AH34" s="46">
        <f>IF(B34=0,"",IFERROR(COUNTIFS(Export!$E:$E,A34,Export!$H:$H,"Efectivo",Export!$M:$M,"&lt;="&amp;29)/B34*100,0))</f>
        <v/>
      </c>
      <c r="AI34" s="46">
        <f>IF(B34=0,"",IFERROR(COUNTIFS(Export!$E:$E,A34,Export!$H:$H,"Efectivo",Export!$M:$M,"&lt;="&amp;30)/B34*100,0))</f>
        <v/>
      </c>
      <c r="AJ34" s="46">
        <f>IF(B34=0,"",IFERROR(COUNTIFS(Export!$E:$E,A34,Export!$H:$H,"Efectivo",Export!$M:$M,"&lt;="&amp;31)/B34*100,0))</f>
        <v/>
      </c>
      <c r="AK34" s="46">
        <f>IF(B34=0,"",IFERROR(COUNTIFS(Export!$E:$E,A34,Export!$H:$H,"Efectivo",Export!$M:$M,"&lt;="&amp;32)/B34*100,0))</f>
        <v/>
      </c>
      <c r="AL34" s="46">
        <f>IF(B34=0,"",IFERROR(COUNTIFS(Export!$E:$E,A34,Export!$H:$H,"Efectivo",Export!$M:$M,"&lt;="&amp;33)/B34*100,0))</f>
        <v/>
      </c>
      <c r="AM34" s="46">
        <f>IF(B34=0,"",IFERROR(COUNTIFS(Export!$E:$E,A34,Export!$H:$H,"Efectivo",Export!$M:$M,"&lt;="&amp;34)/B34*100,0))</f>
        <v/>
      </c>
      <c r="AN34" s="46">
        <f>IF(B34=0,"",IFERROR(COUNTIFS(Export!$E:$E,A34,Export!$H:$H,"Efectivo",Export!$M:$M,"&lt;="&amp;35)/B34*100,0))</f>
        <v/>
      </c>
      <c r="AO34" s="46">
        <f>IF(B34=0,"",IFERROR(COUNTIFS(Export!$E:$E,A34,Export!$H:$H,"Efectivo",Export!$M:$M,"&lt;="&amp;36)/B34*100,0))</f>
        <v/>
      </c>
    </row>
    <row r="35">
      <c r="A35" s="48" t="inlineStr">
        <is>
          <t>09-2026</t>
        </is>
      </c>
      <c r="B35" s="44">
        <f>IFERROR(COUNTIF(Export!$E:$E,A35),0)</f>
        <v/>
      </c>
      <c r="C35" s="45">
        <f>IFERROR(VLOOKUP(A35,Originaciones!$A:$B,2,0),"")</f>
        <v/>
      </c>
      <c r="D35">
        <f>IFERROR(VLOOKUP(A35,'Flota Activa'!$A:$B,2,0),"")</f>
        <v/>
      </c>
      <c r="E35" s="46">
        <f>IF(B35=0,"",IFERROR(COUNTIFS(Export!$E:$E,A35,Export!$H:$H,"Efectivo",Export!$M:$M,"&lt;="&amp;0)/B35*100,0))</f>
        <v/>
      </c>
      <c r="F35" s="46">
        <f>IF(B35=0,"",IFERROR(COUNTIFS(Export!$E:$E,A35,Export!$H:$H,"Efectivo",Export!$M:$M,"&lt;="&amp;1)/B35*100,0))</f>
        <v/>
      </c>
      <c r="G35" s="46">
        <f>IF(B35=0,"",IFERROR(COUNTIFS(Export!$E:$E,A35,Export!$H:$H,"Efectivo",Export!$M:$M,"&lt;="&amp;2)/B35*100,0))</f>
        <v/>
      </c>
      <c r="H35" s="46">
        <f>IF(B35=0,"",IFERROR(COUNTIFS(Export!$E:$E,A35,Export!$H:$H,"Efectivo",Export!$M:$M,"&lt;="&amp;3)/B35*100,0))</f>
        <v/>
      </c>
      <c r="I35" s="46">
        <f>IF(B35=0,"",IFERROR(COUNTIFS(Export!$E:$E,A35,Export!$H:$H,"Efectivo",Export!$M:$M,"&lt;="&amp;4)/B35*100,0))</f>
        <v/>
      </c>
      <c r="J35" s="46">
        <f>IF(B35=0,"",IFERROR(COUNTIFS(Export!$E:$E,A35,Export!$H:$H,"Efectivo",Export!$M:$M,"&lt;="&amp;5)/B35*100,0))</f>
        <v/>
      </c>
      <c r="K35" s="46">
        <f>IF(B35=0,"",IFERROR(COUNTIFS(Export!$E:$E,A35,Export!$H:$H,"Efectivo",Export!$M:$M,"&lt;="&amp;6)/B35*100,0))</f>
        <v/>
      </c>
      <c r="L35" s="46">
        <f>IF(B35=0,"",IFERROR(COUNTIFS(Export!$E:$E,A35,Export!$H:$H,"Efectivo",Export!$M:$M,"&lt;="&amp;7)/B35*100,0))</f>
        <v/>
      </c>
      <c r="M35" s="46">
        <f>IF(B35=0,"",IFERROR(COUNTIFS(Export!$E:$E,A35,Export!$H:$H,"Efectivo",Export!$M:$M,"&lt;="&amp;8)/B35*100,0))</f>
        <v/>
      </c>
      <c r="N35" s="46">
        <f>IF(B35=0,"",IFERROR(COUNTIFS(Export!$E:$E,A35,Export!$H:$H,"Efectivo",Export!$M:$M,"&lt;="&amp;9)/B35*100,0))</f>
        <v/>
      </c>
      <c r="O35" s="46">
        <f>IF(B35=0,"",IFERROR(COUNTIFS(Export!$E:$E,A35,Export!$H:$H,"Efectivo",Export!$M:$M,"&lt;="&amp;10)/B35*100,0))</f>
        <v/>
      </c>
      <c r="P35" s="46">
        <f>IF(B35=0,"",IFERROR(COUNTIFS(Export!$E:$E,A35,Export!$H:$H,"Efectivo",Export!$M:$M,"&lt;="&amp;11)/B35*100,0))</f>
        <v/>
      </c>
      <c r="Q35" s="46">
        <f>IF(B35=0,"",IFERROR(COUNTIFS(Export!$E:$E,A35,Export!$H:$H,"Efectivo",Export!$M:$M,"&lt;="&amp;12)/B35*100,0))</f>
        <v/>
      </c>
      <c r="R35" s="46">
        <f>IF(B35=0,"",IFERROR(COUNTIFS(Export!$E:$E,A35,Export!$H:$H,"Efectivo",Export!$M:$M,"&lt;="&amp;13)/B35*100,0))</f>
        <v/>
      </c>
      <c r="S35" s="46">
        <f>IF(B35=0,"",IFERROR(COUNTIFS(Export!$E:$E,A35,Export!$H:$H,"Efectivo",Export!$M:$M,"&lt;="&amp;14)/B35*100,0))</f>
        <v/>
      </c>
      <c r="T35" s="46">
        <f>IF(B35=0,"",IFERROR(COUNTIFS(Export!$E:$E,A35,Export!$H:$H,"Efectivo",Export!$M:$M,"&lt;="&amp;15)/B35*100,0))</f>
        <v/>
      </c>
      <c r="U35" s="46">
        <f>IF(B35=0,"",IFERROR(COUNTIFS(Export!$E:$E,A35,Export!$H:$H,"Efectivo",Export!$M:$M,"&lt;="&amp;16)/B35*100,0))</f>
        <v/>
      </c>
      <c r="V35" s="46">
        <f>IF(B35=0,"",IFERROR(COUNTIFS(Export!$E:$E,A35,Export!$H:$H,"Efectivo",Export!$M:$M,"&lt;="&amp;17)/B35*100,0))</f>
        <v/>
      </c>
      <c r="W35" s="46">
        <f>IF(B35=0,"",IFERROR(COUNTIFS(Export!$E:$E,A35,Export!$H:$H,"Efectivo",Export!$M:$M,"&lt;="&amp;18)/B35*100,0))</f>
        <v/>
      </c>
      <c r="X35" s="46">
        <f>IF(B35=0,"",IFERROR(COUNTIFS(Export!$E:$E,A35,Export!$H:$H,"Efectivo",Export!$M:$M,"&lt;="&amp;19)/B35*100,0))</f>
        <v/>
      </c>
      <c r="Y35" s="46">
        <f>IF(B35=0,"",IFERROR(COUNTIFS(Export!$E:$E,A35,Export!$H:$H,"Efectivo",Export!$M:$M,"&lt;="&amp;20)/B35*100,0))</f>
        <v/>
      </c>
      <c r="Z35" s="46">
        <f>IF(B35=0,"",IFERROR(COUNTIFS(Export!$E:$E,A35,Export!$H:$H,"Efectivo",Export!$M:$M,"&lt;="&amp;21)/B35*100,0))</f>
        <v/>
      </c>
      <c r="AA35" s="46">
        <f>IF(B35=0,"",IFERROR(COUNTIFS(Export!$E:$E,A35,Export!$H:$H,"Efectivo",Export!$M:$M,"&lt;="&amp;22)/B35*100,0))</f>
        <v/>
      </c>
      <c r="AB35" s="46">
        <f>IF(B35=0,"",IFERROR(COUNTIFS(Export!$E:$E,A35,Export!$H:$H,"Efectivo",Export!$M:$M,"&lt;="&amp;23)/B35*100,0))</f>
        <v/>
      </c>
      <c r="AC35" s="46">
        <f>IF(B35=0,"",IFERROR(COUNTIFS(Export!$E:$E,A35,Export!$H:$H,"Efectivo",Export!$M:$M,"&lt;="&amp;24)/B35*100,0))</f>
        <v/>
      </c>
      <c r="AD35" s="46">
        <f>IF(B35=0,"",IFERROR(COUNTIFS(Export!$E:$E,A35,Export!$H:$H,"Efectivo",Export!$M:$M,"&lt;="&amp;25)/B35*100,0))</f>
        <v/>
      </c>
      <c r="AE35" s="46">
        <f>IF(B35=0,"",IFERROR(COUNTIFS(Export!$E:$E,A35,Export!$H:$H,"Efectivo",Export!$M:$M,"&lt;="&amp;26)/B35*100,0))</f>
        <v/>
      </c>
      <c r="AF35" s="46">
        <f>IF(B35=0,"",IFERROR(COUNTIFS(Export!$E:$E,A35,Export!$H:$H,"Efectivo",Export!$M:$M,"&lt;="&amp;27)/B35*100,0))</f>
        <v/>
      </c>
      <c r="AG35" s="46">
        <f>IF(B35=0,"",IFERROR(COUNTIFS(Export!$E:$E,A35,Export!$H:$H,"Efectivo",Export!$M:$M,"&lt;="&amp;28)/B35*100,0))</f>
        <v/>
      </c>
      <c r="AH35" s="46">
        <f>IF(B35=0,"",IFERROR(COUNTIFS(Export!$E:$E,A35,Export!$H:$H,"Efectivo",Export!$M:$M,"&lt;="&amp;29)/B35*100,0))</f>
        <v/>
      </c>
      <c r="AI35" s="46">
        <f>IF(B35=0,"",IFERROR(COUNTIFS(Export!$E:$E,A35,Export!$H:$H,"Efectivo",Export!$M:$M,"&lt;="&amp;30)/B35*100,0))</f>
        <v/>
      </c>
      <c r="AJ35" s="46">
        <f>IF(B35=0,"",IFERROR(COUNTIFS(Export!$E:$E,A35,Export!$H:$H,"Efectivo",Export!$M:$M,"&lt;="&amp;31)/B35*100,0))</f>
        <v/>
      </c>
      <c r="AK35" s="46">
        <f>IF(B35=0,"",IFERROR(COUNTIFS(Export!$E:$E,A35,Export!$H:$H,"Efectivo",Export!$M:$M,"&lt;="&amp;32)/B35*100,0))</f>
        <v/>
      </c>
      <c r="AL35" s="46">
        <f>IF(B35=0,"",IFERROR(COUNTIFS(Export!$E:$E,A35,Export!$H:$H,"Efectivo",Export!$M:$M,"&lt;="&amp;33)/B35*100,0))</f>
        <v/>
      </c>
      <c r="AM35" s="46">
        <f>IF(B35=0,"",IFERROR(COUNTIFS(Export!$E:$E,A35,Export!$H:$H,"Efectivo",Export!$M:$M,"&lt;="&amp;34)/B35*100,0))</f>
        <v/>
      </c>
      <c r="AN35" s="46">
        <f>IF(B35=0,"",IFERROR(COUNTIFS(Export!$E:$E,A35,Export!$H:$H,"Efectivo",Export!$M:$M,"&lt;="&amp;35)/B35*100,0))</f>
        <v/>
      </c>
      <c r="AO35" s="46">
        <f>IF(B35=0,"",IFERROR(COUNTIFS(Export!$E:$E,A35,Export!$H:$H,"Efectivo",Export!$M:$M,"&lt;="&amp;36)/B35*100,0))</f>
        <v/>
      </c>
    </row>
    <row r="36">
      <c r="A36" s="48" t="inlineStr">
        <is>
          <t>10-2026</t>
        </is>
      </c>
      <c r="B36" s="44">
        <f>IFERROR(COUNTIF(Export!$E:$E,A36),0)</f>
        <v/>
      </c>
      <c r="C36" s="45">
        <f>IFERROR(VLOOKUP(A36,Originaciones!$A:$B,2,0),"")</f>
        <v/>
      </c>
      <c r="D36">
        <f>IFERROR(VLOOKUP(A36,'Flota Activa'!$A:$B,2,0),"")</f>
        <v/>
      </c>
      <c r="E36" s="46">
        <f>IF(B36=0,"",IFERROR(COUNTIFS(Export!$E:$E,A36,Export!$H:$H,"Efectivo",Export!$M:$M,"&lt;="&amp;0)/B36*100,0))</f>
        <v/>
      </c>
      <c r="F36" s="46">
        <f>IF(B36=0,"",IFERROR(COUNTIFS(Export!$E:$E,A36,Export!$H:$H,"Efectivo",Export!$M:$M,"&lt;="&amp;1)/B36*100,0))</f>
        <v/>
      </c>
      <c r="G36" s="46">
        <f>IF(B36=0,"",IFERROR(COUNTIFS(Export!$E:$E,A36,Export!$H:$H,"Efectivo",Export!$M:$M,"&lt;="&amp;2)/B36*100,0))</f>
        <v/>
      </c>
      <c r="H36" s="46">
        <f>IF(B36=0,"",IFERROR(COUNTIFS(Export!$E:$E,A36,Export!$H:$H,"Efectivo",Export!$M:$M,"&lt;="&amp;3)/B36*100,0))</f>
        <v/>
      </c>
      <c r="I36" s="46">
        <f>IF(B36=0,"",IFERROR(COUNTIFS(Export!$E:$E,A36,Export!$H:$H,"Efectivo",Export!$M:$M,"&lt;="&amp;4)/B36*100,0))</f>
        <v/>
      </c>
      <c r="J36" s="46">
        <f>IF(B36=0,"",IFERROR(COUNTIFS(Export!$E:$E,A36,Export!$H:$H,"Efectivo",Export!$M:$M,"&lt;="&amp;5)/B36*100,0))</f>
        <v/>
      </c>
      <c r="K36" s="46">
        <f>IF(B36=0,"",IFERROR(COUNTIFS(Export!$E:$E,A36,Export!$H:$H,"Efectivo",Export!$M:$M,"&lt;="&amp;6)/B36*100,0))</f>
        <v/>
      </c>
      <c r="L36" s="46">
        <f>IF(B36=0,"",IFERROR(COUNTIFS(Export!$E:$E,A36,Export!$H:$H,"Efectivo",Export!$M:$M,"&lt;="&amp;7)/B36*100,0))</f>
        <v/>
      </c>
      <c r="M36" s="46">
        <f>IF(B36=0,"",IFERROR(COUNTIFS(Export!$E:$E,A36,Export!$H:$H,"Efectivo",Export!$M:$M,"&lt;="&amp;8)/B36*100,0))</f>
        <v/>
      </c>
      <c r="N36" s="46">
        <f>IF(B36=0,"",IFERROR(COUNTIFS(Export!$E:$E,A36,Export!$H:$H,"Efectivo",Export!$M:$M,"&lt;="&amp;9)/B36*100,0))</f>
        <v/>
      </c>
      <c r="O36" s="46">
        <f>IF(B36=0,"",IFERROR(COUNTIFS(Export!$E:$E,A36,Export!$H:$H,"Efectivo",Export!$M:$M,"&lt;="&amp;10)/B36*100,0))</f>
        <v/>
      </c>
      <c r="P36" s="46">
        <f>IF(B36=0,"",IFERROR(COUNTIFS(Export!$E:$E,A36,Export!$H:$H,"Efectivo",Export!$M:$M,"&lt;="&amp;11)/B36*100,0))</f>
        <v/>
      </c>
      <c r="Q36" s="46">
        <f>IF(B36=0,"",IFERROR(COUNTIFS(Export!$E:$E,A36,Export!$H:$H,"Efectivo",Export!$M:$M,"&lt;="&amp;12)/B36*100,0))</f>
        <v/>
      </c>
      <c r="R36" s="46">
        <f>IF(B36=0,"",IFERROR(COUNTIFS(Export!$E:$E,A36,Export!$H:$H,"Efectivo",Export!$M:$M,"&lt;="&amp;13)/B36*100,0))</f>
        <v/>
      </c>
      <c r="S36" s="46">
        <f>IF(B36=0,"",IFERROR(COUNTIFS(Export!$E:$E,A36,Export!$H:$H,"Efectivo",Export!$M:$M,"&lt;="&amp;14)/B36*100,0))</f>
        <v/>
      </c>
      <c r="T36" s="46">
        <f>IF(B36=0,"",IFERROR(COUNTIFS(Export!$E:$E,A36,Export!$H:$H,"Efectivo",Export!$M:$M,"&lt;="&amp;15)/B36*100,0))</f>
        <v/>
      </c>
      <c r="U36" s="46">
        <f>IF(B36=0,"",IFERROR(COUNTIFS(Export!$E:$E,A36,Export!$H:$H,"Efectivo",Export!$M:$M,"&lt;="&amp;16)/B36*100,0))</f>
        <v/>
      </c>
      <c r="V36" s="46">
        <f>IF(B36=0,"",IFERROR(COUNTIFS(Export!$E:$E,A36,Export!$H:$H,"Efectivo",Export!$M:$M,"&lt;="&amp;17)/B36*100,0))</f>
        <v/>
      </c>
      <c r="W36" s="46">
        <f>IF(B36=0,"",IFERROR(COUNTIFS(Export!$E:$E,A36,Export!$H:$H,"Efectivo",Export!$M:$M,"&lt;="&amp;18)/B36*100,0))</f>
        <v/>
      </c>
      <c r="X36" s="46">
        <f>IF(B36=0,"",IFERROR(COUNTIFS(Export!$E:$E,A36,Export!$H:$H,"Efectivo",Export!$M:$M,"&lt;="&amp;19)/B36*100,0))</f>
        <v/>
      </c>
      <c r="Y36" s="46">
        <f>IF(B36=0,"",IFERROR(COUNTIFS(Export!$E:$E,A36,Export!$H:$H,"Efectivo",Export!$M:$M,"&lt;="&amp;20)/B36*100,0))</f>
        <v/>
      </c>
      <c r="Z36" s="46">
        <f>IF(B36=0,"",IFERROR(COUNTIFS(Export!$E:$E,A36,Export!$H:$H,"Efectivo",Export!$M:$M,"&lt;="&amp;21)/B36*100,0))</f>
        <v/>
      </c>
      <c r="AA36" s="46">
        <f>IF(B36=0,"",IFERROR(COUNTIFS(Export!$E:$E,A36,Export!$H:$H,"Efectivo",Export!$M:$M,"&lt;="&amp;22)/B36*100,0))</f>
        <v/>
      </c>
      <c r="AB36" s="46">
        <f>IF(B36=0,"",IFERROR(COUNTIFS(Export!$E:$E,A36,Export!$H:$H,"Efectivo",Export!$M:$M,"&lt;="&amp;23)/B36*100,0))</f>
        <v/>
      </c>
      <c r="AC36" s="46">
        <f>IF(B36=0,"",IFERROR(COUNTIFS(Export!$E:$E,A36,Export!$H:$H,"Efectivo",Export!$M:$M,"&lt;="&amp;24)/B36*100,0))</f>
        <v/>
      </c>
      <c r="AD36" s="46">
        <f>IF(B36=0,"",IFERROR(COUNTIFS(Export!$E:$E,A36,Export!$H:$H,"Efectivo",Export!$M:$M,"&lt;="&amp;25)/B36*100,0))</f>
        <v/>
      </c>
      <c r="AE36" s="46">
        <f>IF(B36=0,"",IFERROR(COUNTIFS(Export!$E:$E,A36,Export!$H:$H,"Efectivo",Export!$M:$M,"&lt;="&amp;26)/B36*100,0))</f>
        <v/>
      </c>
      <c r="AF36" s="46">
        <f>IF(B36=0,"",IFERROR(COUNTIFS(Export!$E:$E,A36,Export!$H:$H,"Efectivo",Export!$M:$M,"&lt;="&amp;27)/B36*100,0))</f>
        <v/>
      </c>
      <c r="AG36" s="46">
        <f>IF(B36=0,"",IFERROR(COUNTIFS(Export!$E:$E,A36,Export!$H:$H,"Efectivo",Export!$M:$M,"&lt;="&amp;28)/B36*100,0))</f>
        <v/>
      </c>
      <c r="AH36" s="46">
        <f>IF(B36=0,"",IFERROR(COUNTIFS(Export!$E:$E,A36,Export!$H:$H,"Efectivo",Export!$M:$M,"&lt;="&amp;29)/B36*100,0))</f>
        <v/>
      </c>
      <c r="AI36" s="46">
        <f>IF(B36=0,"",IFERROR(COUNTIFS(Export!$E:$E,A36,Export!$H:$H,"Efectivo",Export!$M:$M,"&lt;="&amp;30)/B36*100,0))</f>
        <v/>
      </c>
      <c r="AJ36" s="46">
        <f>IF(B36=0,"",IFERROR(COUNTIFS(Export!$E:$E,A36,Export!$H:$H,"Efectivo",Export!$M:$M,"&lt;="&amp;31)/B36*100,0))</f>
        <v/>
      </c>
      <c r="AK36" s="46">
        <f>IF(B36=0,"",IFERROR(COUNTIFS(Export!$E:$E,A36,Export!$H:$H,"Efectivo",Export!$M:$M,"&lt;="&amp;32)/B36*100,0))</f>
        <v/>
      </c>
      <c r="AL36" s="46">
        <f>IF(B36=0,"",IFERROR(COUNTIFS(Export!$E:$E,A36,Export!$H:$H,"Efectivo",Export!$M:$M,"&lt;="&amp;33)/B36*100,0))</f>
        <v/>
      </c>
      <c r="AM36" s="46">
        <f>IF(B36=0,"",IFERROR(COUNTIFS(Export!$E:$E,A36,Export!$H:$H,"Efectivo",Export!$M:$M,"&lt;="&amp;34)/B36*100,0))</f>
        <v/>
      </c>
      <c r="AN36" s="46">
        <f>IF(B36=0,"",IFERROR(COUNTIFS(Export!$E:$E,A36,Export!$H:$H,"Efectivo",Export!$M:$M,"&lt;="&amp;35)/B36*100,0))</f>
        <v/>
      </c>
      <c r="AO36" s="46">
        <f>IF(B36=0,"",IFERROR(COUNTIFS(Export!$E:$E,A36,Export!$H:$H,"Efectivo",Export!$M:$M,"&lt;="&amp;36)/B36*100,0))</f>
        <v/>
      </c>
    </row>
    <row r="37">
      <c r="A37" s="48" t="inlineStr">
        <is>
          <t>11-2026</t>
        </is>
      </c>
      <c r="B37" s="44">
        <f>IFERROR(COUNTIF(Export!$E:$E,A37),0)</f>
        <v/>
      </c>
      <c r="C37" s="45">
        <f>IFERROR(VLOOKUP(A37,Originaciones!$A:$B,2,0),"")</f>
        <v/>
      </c>
      <c r="D37">
        <f>IFERROR(VLOOKUP(A37,'Flota Activa'!$A:$B,2,0),"")</f>
        <v/>
      </c>
      <c r="E37" s="46">
        <f>IF(B37=0,"",IFERROR(COUNTIFS(Export!$E:$E,A37,Export!$H:$H,"Efectivo",Export!$M:$M,"&lt;="&amp;0)/B37*100,0))</f>
        <v/>
      </c>
      <c r="F37" s="46">
        <f>IF(B37=0,"",IFERROR(COUNTIFS(Export!$E:$E,A37,Export!$H:$H,"Efectivo",Export!$M:$M,"&lt;="&amp;1)/B37*100,0))</f>
        <v/>
      </c>
      <c r="G37" s="46">
        <f>IF(B37=0,"",IFERROR(COUNTIFS(Export!$E:$E,A37,Export!$H:$H,"Efectivo",Export!$M:$M,"&lt;="&amp;2)/B37*100,0))</f>
        <v/>
      </c>
      <c r="H37" s="46">
        <f>IF(B37=0,"",IFERROR(COUNTIFS(Export!$E:$E,A37,Export!$H:$H,"Efectivo",Export!$M:$M,"&lt;="&amp;3)/B37*100,0))</f>
        <v/>
      </c>
      <c r="I37" s="46">
        <f>IF(B37=0,"",IFERROR(COUNTIFS(Export!$E:$E,A37,Export!$H:$H,"Efectivo",Export!$M:$M,"&lt;="&amp;4)/B37*100,0))</f>
        <v/>
      </c>
      <c r="J37" s="46">
        <f>IF(B37=0,"",IFERROR(COUNTIFS(Export!$E:$E,A37,Export!$H:$H,"Efectivo",Export!$M:$M,"&lt;="&amp;5)/B37*100,0))</f>
        <v/>
      </c>
      <c r="K37" s="46">
        <f>IF(B37=0,"",IFERROR(COUNTIFS(Export!$E:$E,A37,Export!$H:$H,"Efectivo",Export!$M:$M,"&lt;="&amp;6)/B37*100,0))</f>
        <v/>
      </c>
      <c r="L37" s="46">
        <f>IF(B37=0,"",IFERROR(COUNTIFS(Export!$E:$E,A37,Export!$H:$H,"Efectivo",Export!$M:$M,"&lt;="&amp;7)/B37*100,0))</f>
        <v/>
      </c>
      <c r="M37" s="46">
        <f>IF(B37=0,"",IFERROR(COUNTIFS(Export!$E:$E,A37,Export!$H:$H,"Efectivo",Export!$M:$M,"&lt;="&amp;8)/B37*100,0))</f>
        <v/>
      </c>
      <c r="N37" s="46">
        <f>IF(B37=0,"",IFERROR(COUNTIFS(Export!$E:$E,A37,Export!$H:$H,"Efectivo",Export!$M:$M,"&lt;="&amp;9)/B37*100,0))</f>
        <v/>
      </c>
      <c r="O37" s="46">
        <f>IF(B37=0,"",IFERROR(COUNTIFS(Export!$E:$E,A37,Export!$H:$H,"Efectivo",Export!$M:$M,"&lt;="&amp;10)/B37*100,0))</f>
        <v/>
      </c>
      <c r="P37" s="46">
        <f>IF(B37=0,"",IFERROR(COUNTIFS(Export!$E:$E,A37,Export!$H:$H,"Efectivo",Export!$M:$M,"&lt;="&amp;11)/B37*100,0))</f>
        <v/>
      </c>
      <c r="Q37" s="46">
        <f>IF(B37=0,"",IFERROR(COUNTIFS(Export!$E:$E,A37,Export!$H:$H,"Efectivo",Export!$M:$M,"&lt;="&amp;12)/B37*100,0))</f>
        <v/>
      </c>
      <c r="R37" s="46">
        <f>IF(B37=0,"",IFERROR(COUNTIFS(Export!$E:$E,A37,Export!$H:$H,"Efectivo",Export!$M:$M,"&lt;="&amp;13)/B37*100,0))</f>
        <v/>
      </c>
      <c r="S37" s="46">
        <f>IF(B37=0,"",IFERROR(COUNTIFS(Export!$E:$E,A37,Export!$H:$H,"Efectivo",Export!$M:$M,"&lt;="&amp;14)/B37*100,0))</f>
        <v/>
      </c>
      <c r="T37" s="46">
        <f>IF(B37=0,"",IFERROR(COUNTIFS(Export!$E:$E,A37,Export!$H:$H,"Efectivo",Export!$M:$M,"&lt;="&amp;15)/B37*100,0))</f>
        <v/>
      </c>
      <c r="U37" s="46">
        <f>IF(B37=0,"",IFERROR(COUNTIFS(Export!$E:$E,A37,Export!$H:$H,"Efectivo",Export!$M:$M,"&lt;="&amp;16)/B37*100,0))</f>
        <v/>
      </c>
      <c r="V37" s="46">
        <f>IF(B37=0,"",IFERROR(COUNTIFS(Export!$E:$E,A37,Export!$H:$H,"Efectivo",Export!$M:$M,"&lt;="&amp;17)/B37*100,0))</f>
        <v/>
      </c>
      <c r="W37" s="46">
        <f>IF(B37=0,"",IFERROR(COUNTIFS(Export!$E:$E,A37,Export!$H:$H,"Efectivo",Export!$M:$M,"&lt;="&amp;18)/B37*100,0))</f>
        <v/>
      </c>
      <c r="X37" s="46">
        <f>IF(B37=0,"",IFERROR(COUNTIFS(Export!$E:$E,A37,Export!$H:$H,"Efectivo",Export!$M:$M,"&lt;="&amp;19)/B37*100,0))</f>
        <v/>
      </c>
      <c r="Y37" s="46">
        <f>IF(B37=0,"",IFERROR(COUNTIFS(Export!$E:$E,A37,Export!$H:$H,"Efectivo",Export!$M:$M,"&lt;="&amp;20)/B37*100,0))</f>
        <v/>
      </c>
      <c r="Z37" s="46">
        <f>IF(B37=0,"",IFERROR(COUNTIFS(Export!$E:$E,A37,Export!$H:$H,"Efectivo",Export!$M:$M,"&lt;="&amp;21)/B37*100,0))</f>
        <v/>
      </c>
      <c r="AA37" s="46">
        <f>IF(B37=0,"",IFERROR(COUNTIFS(Export!$E:$E,A37,Export!$H:$H,"Efectivo",Export!$M:$M,"&lt;="&amp;22)/B37*100,0))</f>
        <v/>
      </c>
      <c r="AB37" s="46">
        <f>IF(B37=0,"",IFERROR(COUNTIFS(Export!$E:$E,A37,Export!$H:$H,"Efectivo",Export!$M:$M,"&lt;="&amp;23)/B37*100,0))</f>
        <v/>
      </c>
      <c r="AC37" s="46">
        <f>IF(B37=0,"",IFERROR(COUNTIFS(Export!$E:$E,A37,Export!$H:$H,"Efectivo",Export!$M:$M,"&lt;="&amp;24)/B37*100,0))</f>
        <v/>
      </c>
      <c r="AD37" s="46">
        <f>IF(B37=0,"",IFERROR(COUNTIFS(Export!$E:$E,A37,Export!$H:$H,"Efectivo",Export!$M:$M,"&lt;="&amp;25)/B37*100,0))</f>
        <v/>
      </c>
      <c r="AE37" s="46">
        <f>IF(B37=0,"",IFERROR(COUNTIFS(Export!$E:$E,A37,Export!$H:$H,"Efectivo",Export!$M:$M,"&lt;="&amp;26)/B37*100,0))</f>
        <v/>
      </c>
      <c r="AF37" s="46">
        <f>IF(B37=0,"",IFERROR(COUNTIFS(Export!$E:$E,A37,Export!$H:$H,"Efectivo",Export!$M:$M,"&lt;="&amp;27)/B37*100,0))</f>
        <v/>
      </c>
      <c r="AG37" s="46">
        <f>IF(B37=0,"",IFERROR(COUNTIFS(Export!$E:$E,A37,Export!$H:$H,"Efectivo",Export!$M:$M,"&lt;="&amp;28)/B37*100,0))</f>
        <v/>
      </c>
      <c r="AH37" s="46">
        <f>IF(B37=0,"",IFERROR(COUNTIFS(Export!$E:$E,A37,Export!$H:$H,"Efectivo",Export!$M:$M,"&lt;="&amp;29)/B37*100,0))</f>
        <v/>
      </c>
      <c r="AI37" s="46">
        <f>IF(B37=0,"",IFERROR(COUNTIFS(Export!$E:$E,A37,Export!$H:$H,"Efectivo",Export!$M:$M,"&lt;="&amp;30)/B37*100,0))</f>
        <v/>
      </c>
      <c r="AJ37" s="46">
        <f>IF(B37=0,"",IFERROR(COUNTIFS(Export!$E:$E,A37,Export!$H:$H,"Efectivo",Export!$M:$M,"&lt;="&amp;31)/B37*100,0))</f>
        <v/>
      </c>
      <c r="AK37" s="46">
        <f>IF(B37=0,"",IFERROR(COUNTIFS(Export!$E:$E,A37,Export!$H:$H,"Efectivo",Export!$M:$M,"&lt;="&amp;32)/B37*100,0))</f>
        <v/>
      </c>
      <c r="AL37" s="46">
        <f>IF(B37=0,"",IFERROR(COUNTIFS(Export!$E:$E,A37,Export!$H:$H,"Efectivo",Export!$M:$M,"&lt;="&amp;33)/B37*100,0))</f>
        <v/>
      </c>
      <c r="AM37" s="46">
        <f>IF(B37=0,"",IFERROR(COUNTIFS(Export!$E:$E,A37,Export!$H:$H,"Efectivo",Export!$M:$M,"&lt;="&amp;34)/B37*100,0))</f>
        <v/>
      </c>
      <c r="AN37" s="46">
        <f>IF(B37=0,"",IFERROR(COUNTIFS(Export!$E:$E,A37,Export!$H:$H,"Efectivo",Export!$M:$M,"&lt;="&amp;35)/B37*100,0))</f>
        <v/>
      </c>
      <c r="AO37" s="46">
        <f>IF(B37=0,"",IFERROR(COUNTIFS(Export!$E:$E,A37,Export!$H:$H,"Efectivo",Export!$M:$M,"&lt;="&amp;36)/B37*100,0))</f>
        <v/>
      </c>
    </row>
    <row r="38">
      <c r="A38" s="48" t="inlineStr">
        <is>
          <t>12-2026</t>
        </is>
      </c>
      <c r="B38" s="44">
        <f>IFERROR(COUNTIF(Export!$E:$E,A38),0)</f>
        <v/>
      </c>
      <c r="C38" s="45">
        <f>IFERROR(VLOOKUP(A38,Originaciones!$A:$B,2,0),"")</f>
        <v/>
      </c>
      <c r="D38">
        <f>IFERROR(VLOOKUP(A38,'Flota Activa'!$A:$B,2,0),"")</f>
        <v/>
      </c>
      <c r="E38" s="46">
        <f>IF(B38=0,"",IFERROR(COUNTIFS(Export!$E:$E,A38,Export!$H:$H,"Efectivo",Export!$M:$M,"&lt;="&amp;0)/B38*100,0))</f>
        <v/>
      </c>
      <c r="F38" s="46">
        <f>IF(B38=0,"",IFERROR(COUNTIFS(Export!$E:$E,A38,Export!$H:$H,"Efectivo",Export!$M:$M,"&lt;="&amp;1)/B38*100,0))</f>
        <v/>
      </c>
      <c r="G38" s="46">
        <f>IF(B38=0,"",IFERROR(COUNTIFS(Export!$E:$E,A38,Export!$H:$H,"Efectivo",Export!$M:$M,"&lt;="&amp;2)/B38*100,0))</f>
        <v/>
      </c>
      <c r="H38" s="46">
        <f>IF(B38=0,"",IFERROR(COUNTIFS(Export!$E:$E,A38,Export!$H:$H,"Efectivo",Export!$M:$M,"&lt;="&amp;3)/B38*100,0))</f>
        <v/>
      </c>
      <c r="I38" s="46">
        <f>IF(B38=0,"",IFERROR(COUNTIFS(Export!$E:$E,A38,Export!$H:$H,"Efectivo",Export!$M:$M,"&lt;="&amp;4)/B38*100,0))</f>
        <v/>
      </c>
      <c r="J38" s="46">
        <f>IF(B38=0,"",IFERROR(COUNTIFS(Export!$E:$E,A38,Export!$H:$H,"Efectivo",Export!$M:$M,"&lt;="&amp;5)/B38*100,0))</f>
        <v/>
      </c>
      <c r="K38" s="46">
        <f>IF(B38=0,"",IFERROR(COUNTIFS(Export!$E:$E,A38,Export!$H:$H,"Efectivo",Export!$M:$M,"&lt;="&amp;6)/B38*100,0))</f>
        <v/>
      </c>
      <c r="L38" s="46">
        <f>IF(B38=0,"",IFERROR(COUNTIFS(Export!$E:$E,A38,Export!$H:$H,"Efectivo",Export!$M:$M,"&lt;="&amp;7)/B38*100,0))</f>
        <v/>
      </c>
      <c r="M38" s="46">
        <f>IF(B38=0,"",IFERROR(COUNTIFS(Export!$E:$E,A38,Export!$H:$H,"Efectivo",Export!$M:$M,"&lt;="&amp;8)/B38*100,0))</f>
        <v/>
      </c>
      <c r="N38" s="46">
        <f>IF(B38=0,"",IFERROR(COUNTIFS(Export!$E:$E,A38,Export!$H:$H,"Efectivo",Export!$M:$M,"&lt;="&amp;9)/B38*100,0))</f>
        <v/>
      </c>
      <c r="O38" s="46">
        <f>IF(B38=0,"",IFERROR(COUNTIFS(Export!$E:$E,A38,Export!$H:$H,"Efectivo",Export!$M:$M,"&lt;="&amp;10)/B38*100,0))</f>
        <v/>
      </c>
      <c r="P38" s="46">
        <f>IF(B38=0,"",IFERROR(COUNTIFS(Export!$E:$E,A38,Export!$H:$H,"Efectivo",Export!$M:$M,"&lt;="&amp;11)/B38*100,0))</f>
        <v/>
      </c>
      <c r="Q38" s="46">
        <f>IF(B38=0,"",IFERROR(COUNTIFS(Export!$E:$E,A38,Export!$H:$H,"Efectivo",Export!$M:$M,"&lt;="&amp;12)/B38*100,0))</f>
        <v/>
      </c>
      <c r="R38" s="46">
        <f>IF(B38=0,"",IFERROR(COUNTIFS(Export!$E:$E,A38,Export!$H:$H,"Efectivo",Export!$M:$M,"&lt;="&amp;13)/B38*100,0))</f>
        <v/>
      </c>
      <c r="S38" s="46">
        <f>IF(B38=0,"",IFERROR(COUNTIFS(Export!$E:$E,A38,Export!$H:$H,"Efectivo",Export!$M:$M,"&lt;="&amp;14)/B38*100,0))</f>
        <v/>
      </c>
      <c r="T38" s="46">
        <f>IF(B38=0,"",IFERROR(COUNTIFS(Export!$E:$E,A38,Export!$H:$H,"Efectivo",Export!$M:$M,"&lt;="&amp;15)/B38*100,0))</f>
        <v/>
      </c>
      <c r="U38" s="46">
        <f>IF(B38=0,"",IFERROR(COUNTIFS(Export!$E:$E,A38,Export!$H:$H,"Efectivo",Export!$M:$M,"&lt;="&amp;16)/B38*100,0))</f>
        <v/>
      </c>
      <c r="V38" s="46">
        <f>IF(B38=0,"",IFERROR(COUNTIFS(Export!$E:$E,A38,Export!$H:$H,"Efectivo",Export!$M:$M,"&lt;="&amp;17)/B38*100,0))</f>
        <v/>
      </c>
      <c r="W38" s="46">
        <f>IF(B38=0,"",IFERROR(COUNTIFS(Export!$E:$E,A38,Export!$H:$H,"Efectivo",Export!$M:$M,"&lt;="&amp;18)/B38*100,0))</f>
        <v/>
      </c>
      <c r="X38" s="46">
        <f>IF(B38=0,"",IFERROR(COUNTIFS(Export!$E:$E,A38,Export!$H:$H,"Efectivo",Export!$M:$M,"&lt;="&amp;19)/B38*100,0))</f>
        <v/>
      </c>
      <c r="Y38" s="46">
        <f>IF(B38=0,"",IFERROR(COUNTIFS(Export!$E:$E,A38,Export!$H:$H,"Efectivo",Export!$M:$M,"&lt;="&amp;20)/B38*100,0))</f>
        <v/>
      </c>
      <c r="Z38" s="46">
        <f>IF(B38=0,"",IFERROR(COUNTIFS(Export!$E:$E,A38,Export!$H:$H,"Efectivo",Export!$M:$M,"&lt;="&amp;21)/B38*100,0))</f>
        <v/>
      </c>
      <c r="AA38" s="46">
        <f>IF(B38=0,"",IFERROR(COUNTIFS(Export!$E:$E,A38,Export!$H:$H,"Efectivo",Export!$M:$M,"&lt;="&amp;22)/B38*100,0))</f>
        <v/>
      </c>
      <c r="AB38" s="46">
        <f>IF(B38=0,"",IFERROR(COUNTIFS(Export!$E:$E,A38,Export!$H:$H,"Efectivo",Export!$M:$M,"&lt;="&amp;23)/B38*100,0))</f>
        <v/>
      </c>
      <c r="AC38" s="46">
        <f>IF(B38=0,"",IFERROR(COUNTIFS(Export!$E:$E,A38,Export!$H:$H,"Efectivo",Export!$M:$M,"&lt;="&amp;24)/B38*100,0))</f>
        <v/>
      </c>
      <c r="AD38" s="46">
        <f>IF(B38=0,"",IFERROR(COUNTIFS(Export!$E:$E,A38,Export!$H:$H,"Efectivo",Export!$M:$M,"&lt;="&amp;25)/B38*100,0))</f>
        <v/>
      </c>
      <c r="AE38" s="46">
        <f>IF(B38=0,"",IFERROR(COUNTIFS(Export!$E:$E,A38,Export!$H:$H,"Efectivo",Export!$M:$M,"&lt;="&amp;26)/B38*100,0))</f>
        <v/>
      </c>
      <c r="AF38" s="46">
        <f>IF(B38=0,"",IFERROR(COUNTIFS(Export!$E:$E,A38,Export!$H:$H,"Efectivo",Export!$M:$M,"&lt;="&amp;27)/B38*100,0))</f>
        <v/>
      </c>
      <c r="AG38" s="46">
        <f>IF(B38=0,"",IFERROR(COUNTIFS(Export!$E:$E,A38,Export!$H:$H,"Efectivo",Export!$M:$M,"&lt;="&amp;28)/B38*100,0))</f>
        <v/>
      </c>
      <c r="AH38" s="46">
        <f>IF(B38=0,"",IFERROR(COUNTIFS(Export!$E:$E,A38,Export!$H:$H,"Efectivo",Export!$M:$M,"&lt;="&amp;29)/B38*100,0))</f>
        <v/>
      </c>
      <c r="AI38" s="46">
        <f>IF(B38=0,"",IFERROR(COUNTIFS(Export!$E:$E,A38,Export!$H:$H,"Efectivo",Export!$M:$M,"&lt;="&amp;30)/B38*100,0))</f>
        <v/>
      </c>
      <c r="AJ38" s="46">
        <f>IF(B38=0,"",IFERROR(COUNTIFS(Export!$E:$E,A38,Export!$H:$H,"Efectivo",Export!$M:$M,"&lt;="&amp;31)/B38*100,0))</f>
        <v/>
      </c>
      <c r="AK38" s="46">
        <f>IF(B38=0,"",IFERROR(COUNTIFS(Export!$E:$E,A38,Export!$H:$H,"Efectivo",Export!$M:$M,"&lt;="&amp;32)/B38*100,0))</f>
        <v/>
      </c>
      <c r="AL38" s="46">
        <f>IF(B38=0,"",IFERROR(COUNTIFS(Export!$E:$E,A38,Export!$H:$H,"Efectivo",Export!$M:$M,"&lt;="&amp;33)/B38*100,0))</f>
        <v/>
      </c>
      <c r="AM38" s="46">
        <f>IF(B38=0,"",IFERROR(COUNTIFS(Export!$E:$E,A38,Export!$H:$H,"Efectivo",Export!$M:$M,"&lt;="&amp;34)/B38*100,0))</f>
        <v/>
      </c>
      <c r="AN38" s="46">
        <f>IF(B38=0,"",IFERROR(COUNTIFS(Export!$E:$E,A38,Export!$H:$H,"Efectivo",Export!$M:$M,"&lt;="&amp;35)/B38*100,0))</f>
        <v/>
      </c>
      <c r="AO38" s="46">
        <f>IF(B38=0,"",IFERROR(COUNTIFS(Export!$E:$E,A38,Export!$H:$H,"Efectivo",Export!$M:$M,"&lt;="&amp;36)/B38*100,0))</f>
        <v/>
      </c>
    </row>
    <row r="39">
      <c r="A39" s="49" t="inlineStr">
        <is>
          <t>01-2027</t>
        </is>
      </c>
      <c r="B39" s="44">
        <f>IFERROR(COUNTIF(Export!$E:$E,A39),0)</f>
        <v/>
      </c>
      <c r="C39" s="45">
        <f>IFERROR(VLOOKUP(A39,Originaciones!$A:$B,2,0),"")</f>
        <v/>
      </c>
      <c r="D39">
        <f>IFERROR(VLOOKUP(A39,'Flota Activa'!$A:$B,2,0),"")</f>
        <v/>
      </c>
      <c r="E39" s="46">
        <f>IF(B39=0,"",IFERROR(COUNTIFS(Export!$E:$E,A39,Export!$H:$H,"Efectivo",Export!$M:$M,"&lt;="&amp;0)/B39*100,0))</f>
        <v/>
      </c>
      <c r="F39" s="46">
        <f>IF(B39=0,"",IFERROR(COUNTIFS(Export!$E:$E,A39,Export!$H:$H,"Efectivo",Export!$M:$M,"&lt;="&amp;1)/B39*100,0))</f>
        <v/>
      </c>
      <c r="G39" s="46">
        <f>IF(B39=0,"",IFERROR(COUNTIFS(Export!$E:$E,A39,Export!$H:$H,"Efectivo",Export!$M:$M,"&lt;="&amp;2)/B39*100,0))</f>
        <v/>
      </c>
      <c r="H39" s="46">
        <f>IF(B39=0,"",IFERROR(COUNTIFS(Export!$E:$E,A39,Export!$H:$H,"Efectivo",Export!$M:$M,"&lt;="&amp;3)/B39*100,0))</f>
        <v/>
      </c>
      <c r="I39" s="46">
        <f>IF(B39=0,"",IFERROR(COUNTIFS(Export!$E:$E,A39,Export!$H:$H,"Efectivo",Export!$M:$M,"&lt;="&amp;4)/B39*100,0))</f>
        <v/>
      </c>
      <c r="J39" s="46">
        <f>IF(B39=0,"",IFERROR(COUNTIFS(Export!$E:$E,A39,Export!$H:$H,"Efectivo",Export!$M:$M,"&lt;="&amp;5)/B39*100,0))</f>
        <v/>
      </c>
      <c r="K39" s="46">
        <f>IF(B39=0,"",IFERROR(COUNTIFS(Export!$E:$E,A39,Export!$H:$H,"Efectivo",Export!$M:$M,"&lt;="&amp;6)/B39*100,0))</f>
        <v/>
      </c>
      <c r="L39" s="46">
        <f>IF(B39=0,"",IFERROR(COUNTIFS(Export!$E:$E,A39,Export!$H:$H,"Efectivo",Export!$M:$M,"&lt;="&amp;7)/B39*100,0))</f>
        <v/>
      </c>
      <c r="M39" s="46">
        <f>IF(B39=0,"",IFERROR(COUNTIFS(Export!$E:$E,A39,Export!$H:$H,"Efectivo",Export!$M:$M,"&lt;="&amp;8)/B39*100,0))</f>
        <v/>
      </c>
      <c r="N39" s="46">
        <f>IF(B39=0,"",IFERROR(COUNTIFS(Export!$E:$E,A39,Export!$H:$H,"Efectivo",Export!$M:$M,"&lt;="&amp;9)/B39*100,0))</f>
        <v/>
      </c>
      <c r="O39" s="46">
        <f>IF(B39=0,"",IFERROR(COUNTIFS(Export!$E:$E,A39,Export!$H:$H,"Efectivo",Export!$M:$M,"&lt;="&amp;10)/B39*100,0))</f>
        <v/>
      </c>
      <c r="P39" s="46">
        <f>IF(B39=0,"",IFERROR(COUNTIFS(Export!$E:$E,A39,Export!$H:$H,"Efectivo",Export!$M:$M,"&lt;="&amp;11)/B39*100,0))</f>
        <v/>
      </c>
      <c r="Q39" s="46">
        <f>IF(B39=0,"",IFERROR(COUNTIFS(Export!$E:$E,A39,Export!$H:$H,"Efectivo",Export!$M:$M,"&lt;="&amp;12)/B39*100,0))</f>
        <v/>
      </c>
      <c r="R39" s="46">
        <f>IF(B39=0,"",IFERROR(COUNTIFS(Export!$E:$E,A39,Export!$H:$H,"Efectivo",Export!$M:$M,"&lt;="&amp;13)/B39*100,0))</f>
        <v/>
      </c>
      <c r="S39" s="46">
        <f>IF(B39=0,"",IFERROR(COUNTIFS(Export!$E:$E,A39,Export!$H:$H,"Efectivo",Export!$M:$M,"&lt;="&amp;14)/B39*100,0))</f>
        <v/>
      </c>
      <c r="T39" s="46">
        <f>IF(B39=0,"",IFERROR(COUNTIFS(Export!$E:$E,A39,Export!$H:$H,"Efectivo",Export!$M:$M,"&lt;="&amp;15)/B39*100,0))</f>
        <v/>
      </c>
      <c r="U39" s="46">
        <f>IF(B39=0,"",IFERROR(COUNTIFS(Export!$E:$E,A39,Export!$H:$H,"Efectivo",Export!$M:$M,"&lt;="&amp;16)/B39*100,0))</f>
        <v/>
      </c>
      <c r="V39" s="46">
        <f>IF(B39=0,"",IFERROR(COUNTIFS(Export!$E:$E,A39,Export!$H:$H,"Efectivo",Export!$M:$M,"&lt;="&amp;17)/B39*100,0))</f>
        <v/>
      </c>
      <c r="W39" s="46">
        <f>IF(B39=0,"",IFERROR(COUNTIFS(Export!$E:$E,A39,Export!$H:$H,"Efectivo",Export!$M:$M,"&lt;="&amp;18)/B39*100,0))</f>
        <v/>
      </c>
      <c r="X39" s="46">
        <f>IF(B39=0,"",IFERROR(COUNTIFS(Export!$E:$E,A39,Export!$H:$H,"Efectivo",Export!$M:$M,"&lt;="&amp;19)/B39*100,0))</f>
        <v/>
      </c>
      <c r="Y39" s="46">
        <f>IF(B39=0,"",IFERROR(COUNTIFS(Export!$E:$E,A39,Export!$H:$H,"Efectivo",Export!$M:$M,"&lt;="&amp;20)/B39*100,0))</f>
        <v/>
      </c>
      <c r="Z39" s="46">
        <f>IF(B39=0,"",IFERROR(COUNTIFS(Export!$E:$E,A39,Export!$H:$H,"Efectivo",Export!$M:$M,"&lt;="&amp;21)/B39*100,0))</f>
        <v/>
      </c>
      <c r="AA39" s="46">
        <f>IF(B39=0,"",IFERROR(COUNTIFS(Export!$E:$E,A39,Export!$H:$H,"Efectivo",Export!$M:$M,"&lt;="&amp;22)/B39*100,0))</f>
        <v/>
      </c>
      <c r="AB39" s="46">
        <f>IF(B39=0,"",IFERROR(COUNTIFS(Export!$E:$E,A39,Export!$H:$H,"Efectivo",Export!$M:$M,"&lt;="&amp;23)/B39*100,0))</f>
        <v/>
      </c>
      <c r="AC39" s="46">
        <f>IF(B39=0,"",IFERROR(COUNTIFS(Export!$E:$E,A39,Export!$H:$H,"Efectivo",Export!$M:$M,"&lt;="&amp;24)/B39*100,0))</f>
        <v/>
      </c>
      <c r="AD39" s="46">
        <f>IF(B39=0,"",IFERROR(COUNTIFS(Export!$E:$E,A39,Export!$H:$H,"Efectivo",Export!$M:$M,"&lt;="&amp;25)/B39*100,0))</f>
        <v/>
      </c>
      <c r="AE39" s="46">
        <f>IF(B39=0,"",IFERROR(COUNTIFS(Export!$E:$E,A39,Export!$H:$H,"Efectivo",Export!$M:$M,"&lt;="&amp;26)/B39*100,0))</f>
        <v/>
      </c>
      <c r="AF39" s="46">
        <f>IF(B39=0,"",IFERROR(COUNTIFS(Export!$E:$E,A39,Export!$H:$H,"Efectivo",Export!$M:$M,"&lt;="&amp;27)/B39*100,0))</f>
        <v/>
      </c>
      <c r="AG39" s="46">
        <f>IF(B39=0,"",IFERROR(COUNTIFS(Export!$E:$E,A39,Export!$H:$H,"Efectivo",Export!$M:$M,"&lt;="&amp;28)/B39*100,0))</f>
        <v/>
      </c>
      <c r="AH39" s="46">
        <f>IF(B39=0,"",IFERROR(COUNTIFS(Export!$E:$E,A39,Export!$H:$H,"Efectivo",Export!$M:$M,"&lt;="&amp;29)/B39*100,0))</f>
        <v/>
      </c>
      <c r="AI39" s="46">
        <f>IF(B39=0,"",IFERROR(COUNTIFS(Export!$E:$E,A39,Export!$H:$H,"Efectivo",Export!$M:$M,"&lt;="&amp;30)/B39*100,0))</f>
        <v/>
      </c>
      <c r="AJ39" s="46">
        <f>IF(B39=0,"",IFERROR(COUNTIFS(Export!$E:$E,A39,Export!$H:$H,"Efectivo",Export!$M:$M,"&lt;="&amp;31)/B39*100,0))</f>
        <v/>
      </c>
      <c r="AK39" s="46">
        <f>IF(B39=0,"",IFERROR(COUNTIFS(Export!$E:$E,A39,Export!$H:$H,"Efectivo",Export!$M:$M,"&lt;="&amp;32)/B39*100,0))</f>
        <v/>
      </c>
      <c r="AL39" s="46">
        <f>IF(B39=0,"",IFERROR(COUNTIFS(Export!$E:$E,A39,Export!$H:$H,"Efectivo",Export!$M:$M,"&lt;="&amp;33)/B39*100,0))</f>
        <v/>
      </c>
      <c r="AM39" s="46">
        <f>IF(B39=0,"",IFERROR(COUNTIFS(Export!$E:$E,A39,Export!$H:$H,"Efectivo",Export!$M:$M,"&lt;="&amp;34)/B39*100,0))</f>
        <v/>
      </c>
      <c r="AN39" s="46">
        <f>IF(B39=0,"",IFERROR(COUNTIFS(Export!$E:$E,A39,Export!$H:$H,"Efectivo",Export!$M:$M,"&lt;="&amp;35)/B39*100,0))</f>
        <v/>
      </c>
      <c r="AO39" s="46">
        <f>IF(B39=0,"",IFERROR(COUNTIFS(Export!$E:$E,A39,Export!$H:$H,"Efectivo",Export!$M:$M,"&lt;="&amp;36)/B39*100,0))</f>
        <v/>
      </c>
    </row>
    <row r="40">
      <c r="A40" s="49" t="inlineStr">
        <is>
          <t>02-2027</t>
        </is>
      </c>
      <c r="B40" s="44">
        <f>IFERROR(COUNTIF(Export!$E:$E,A40),0)</f>
        <v/>
      </c>
      <c r="C40" s="45">
        <f>IFERROR(VLOOKUP(A40,Originaciones!$A:$B,2,0),"")</f>
        <v/>
      </c>
      <c r="D40">
        <f>IFERROR(VLOOKUP(A40,'Flota Activa'!$A:$B,2,0),"")</f>
        <v/>
      </c>
      <c r="E40" s="46">
        <f>IF(B40=0,"",IFERROR(COUNTIFS(Export!$E:$E,A40,Export!$H:$H,"Efectivo",Export!$M:$M,"&lt;="&amp;0)/B40*100,0))</f>
        <v/>
      </c>
      <c r="F40" s="46">
        <f>IF(B40=0,"",IFERROR(COUNTIFS(Export!$E:$E,A40,Export!$H:$H,"Efectivo",Export!$M:$M,"&lt;="&amp;1)/B40*100,0))</f>
        <v/>
      </c>
      <c r="G40" s="46">
        <f>IF(B40=0,"",IFERROR(COUNTIFS(Export!$E:$E,A40,Export!$H:$H,"Efectivo",Export!$M:$M,"&lt;="&amp;2)/B40*100,0))</f>
        <v/>
      </c>
      <c r="H40" s="46">
        <f>IF(B40=0,"",IFERROR(COUNTIFS(Export!$E:$E,A40,Export!$H:$H,"Efectivo",Export!$M:$M,"&lt;="&amp;3)/B40*100,0))</f>
        <v/>
      </c>
      <c r="I40" s="46">
        <f>IF(B40=0,"",IFERROR(COUNTIFS(Export!$E:$E,A40,Export!$H:$H,"Efectivo",Export!$M:$M,"&lt;="&amp;4)/B40*100,0))</f>
        <v/>
      </c>
      <c r="J40" s="46">
        <f>IF(B40=0,"",IFERROR(COUNTIFS(Export!$E:$E,A40,Export!$H:$H,"Efectivo",Export!$M:$M,"&lt;="&amp;5)/B40*100,0))</f>
        <v/>
      </c>
      <c r="K40" s="46">
        <f>IF(B40=0,"",IFERROR(COUNTIFS(Export!$E:$E,A40,Export!$H:$H,"Efectivo",Export!$M:$M,"&lt;="&amp;6)/B40*100,0))</f>
        <v/>
      </c>
      <c r="L40" s="46">
        <f>IF(B40=0,"",IFERROR(COUNTIFS(Export!$E:$E,A40,Export!$H:$H,"Efectivo",Export!$M:$M,"&lt;="&amp;7)/B40*100,0))</f>
        <v/>
      </c>
      <c r="M40" s="46">
        <f>IF(B40=0,"",IFERROR(COUNTIFS(Export!$E:$E,A40,Export!$H:$H,"Efectivo",Export!$M:$M,"&lt;="&amp;8)/B40*100,0))</f>
        <v/>
      </c>
      <c r="N40" s="46">
        <f>IF(B40=0,"",IFERROR(COUNTIFS(Export!$E:$E,A40,Export!$H:$H,"Efectivo",Export!$M:$M,"&lt;="&amp;9)/B40*100,0))</f>
        <v/>
      </c>
      <c r="O40" s="46">
        <f>IF(B40=0,"",IFERROR(COUNTIFS(Export!$E:$E,A40,Export!$H:$H,"Efectivo",Export!$M:$M,"&lt;="&amp;10)/B40*100,0))</f>
        <v/>
      </c>
      <c r="P40" s="46">
        <f>IF(B40=0,"",IFERROR(COUNTIFS(Export!$E:$E,A40,Export!$H:$H,"Efectivo",Export!$M:$M,"&lt;="&amp;11)/B40*100,0))</f>
        <v/>
      </c>
      <c r="Q40" s="46">
        <f>IF(B40=0,"",IFERROR(COUNTIFS(Export!$E:$E,A40,Export!$H:$H,"Efectivo",Export!$M:$M,"&lt;="&amp;12)/B40*100,0))</f>
        <v/>
      </c>
      <c r="R40" s="46">
        <f>IF(B40=0,"",IFERROR(COUNTIFS(Export!$E:$E,A40,Export!$H:$H,"Efectivo",Export!$M:$M,"&lt;="&amp;13)/B40*100,0))</f>
        <v/>
      </c>
      <c r="S40" s="46">
        <f>IF(B40=0,"",IFERROR(COUNTIFS(Export!$E:$E,A40,Export!$H:$H,"Efectivo",Export!$M:$M,"&lt;="&amp;14)/B40*100,0))</f>
        <v/>
      </c>
      <c r="T40" s="46">
        <f>IF(B40=0,"",IFERROR(COUNTIFS(Export!$E:$E,A40,Export!$H:$H,"Efectivo",Export!$M:$M,"&lt;="&amp;15)/B40*100,0))</f>
        <v/>
      </c>
      <c r="U40" s="46">
        <f>IF(B40=0,"",IFERROR(COUNTIFS(Export!$E:$E,A40,Export!$H:$H,"Efectivo",Export!$M:$M,"&lt;="&amp;16)/B40*100,0))</f>
        <v/>
      </c>
      <c r="V40" s="46">
        <f>IF(B40=0,"",IFERROR(COUNTIFS(Export!$E:$E,A40,Export!$H:$H,"Efectivo",Export!$M:$M,"&lt;="&amp;17)/B40*100,0))</f>
        <v/>
      </c>
      <c r="W40" s="46">
        <f>IF(B40=0,"",IFERROR(COUNTIFS(Export!$E:$E,A40,Export!$H:$H,"Efectivo",Export!$M:$M,"&lt;="&amp;18)/B40*100,0))</f>
        <v/>
      </c>
      <c r="X40" s="46">
        <f>IF(B40=0,"",IFERROR(COUNTIFS(Export!$E:$E,A40,Export!$H:$H,"Efectivo",Export!$M:$M,"&lt;="&amp;19)/B40*100,0))</f>
        <v/>
      </c>
      <c r="Y40" s="46">
        <f>IF(B40=0,"",IFERROR(COUNTIFS(Export!$E:$E,A40,Export!$H:$H,"Efectivo",Export!$M:$M,"&lt;="&amp;20)/B40*100,0))</f>
        <v/>
      </c>
      <c r="Z40" s="46">
        <f>IF(B40=0,"",IFERROR(COUNTIFS(Export!$E:$E,A40,Export!$H:$H,"Efectivo",Export!$M:$M,"&lt;="&amp;21)/B40*100,0))</f>
        <v/>
      </c>
      <c r="AA40" s="46">
        <f>IF(B40=0,"",IFERROR(COUNTIFS(Export!$E:$E,A40,Export!$H:$H,"Efectivo",Export!$M:$M,"&lt;="&amp;22)/B40*100,0))</f>
        <v/>
      </c>
      <c r="AB40" s="46">
        <f>IF(B40=0,"",IFERROR(COUNTIFS(Export!$E:$E,A40,Export!$H:$H,"Efectivo",Export!$M:$M,"&lt;="&amp;23)/B40*100,0))</f>
        <v/>
      </c>
      <c r="AC40" s="46">
        <f>IF(B40=0,"",IFERROR(COUNTIFS(Export!$E:$E,A40,Export!$H:$H,"Efectivo",Export!$M:$M,"&lt;="&amp;24)/B40*100,0))</f>
        <v/>
      </c>
      <c r="AD40" s="46">
        <f>IF(B40=0,"",IFERROR(COUNTIFS(Export!$E:$E,A40,Export!$H:$H,"Efectivo",Export!$M:$M,"&lt;="&amp;25)/B40*100,0))</f>
        <v/>
      </c>
      <c r="AE40" s="46">
        <f>IF(B40=0,"",IFERROR(COUNTIFS(Export!$E:$E,A40,Export!$H:$H,"Efectivo",Export!$M:$M,"&lt;="&amp;26)/B40*100,0))</f>
        <v/>
      </c>
      <c r="AF40" s="46">
        <f>IF(B40=0,"",IFERROR(COUNTIFS(Export!$E:$E,A40,Export!$H:$H,"Efectivo",Export!$M:$M,"&lt;="&amp;27)/B40*100,0))</f>
        <v/>
      </c>
      <c r="AG40" s="46">
        <f>IF(B40=0,"",IFERROR(COUNTIFS(Export!$E:$E,A40,Export!$H:$H,"Efectivo",Export!$M:$M,"&lt;="&amp;28)/B40*100,0))</f>
        <v/>
      </c>
      <c r="AH40" s="46">
        <f>IF(B40=0,"",IFERROR(COUNTIFS(Export!$E:$E,A40,Export!$H:$H,"Efectivo",Export!$M:$M,"&lt;="&amp;29)/B40*100,0))</f>
        <v/>
      </c>
      <c r="AI40" s="46">
        <f>IF(B40=0,"",IFERROR(COUNTIFS(Export!$E:$E,A40,Export!$H:$H,"Efectivo",Export!$M:$M,"&lt;="&amp;30)/B40*100,0))</f>
        <v/>
      </c>
      <c r="AJ40" s="46">
        <f>IF(B40=0,"",IFERROR(COUNTIFS(Export!$E:$E,A40,Export!$H:$H,"Efectivo",Export!$M:$M,"&lt;="&amp;31)/B40*100,0))</f>
        <v/>
      </c>
      <c r="AK40" s="46">
        <f>IF(B40=0,"",IFERROR(COUNTIFS(Export!$E:$E,A40,Export!$H:$H,"Efectivo",Export!$M:$M,"&lt;="&amp;32)/B40*100,0))</f>
        <v/>
      </c>
      <c r="AL40" s="46">
        <f>IF(B40=0,"",IFERROR(COUNTIFS(Export!$E:$E,A40,Export!$H:$H,"Efectivo",Export!$M:$M,"&lt;="&amp;33)/B40*100,0))</f>
        <v/>
      </c>
      <c r="AM40" s="46">
        <f>IF(B40=0,"",IFERROR(COUNTIFS(Export!$E:$E,A40,Export!$H:$H,"Efectivo",Export!$M:$M,"&lt;="&amp;34)/B40*100,0))</f>
        <v/>
      </c>
      <c r="AN40" s="46">
        <f>IF(B40=0,"",IFERROR(COUNTIFS(Export!$E:$E,A40,Export!$H:$H,"Efectivo",Export!$M:$M,"&lt;="&amp;35)/B40*100,0))</f>
        <v/>
      </c>
      <c r="AO40" s="46">
        <f>IF(B40=0,"",IFERROR(COUNTIFS(Export!$E:$E,A40,Export!$H:$H,"Efectivo",Export!$M:$M,"&lt;="&amp;36)/B40*100,0))</f>
        <v/>
      </c>
    </row>
    <row r="41">
      <c r="A41" s="49" t="inlineStr">
        <is>
          <t>03-2027</t>
        </is>
      </c>
      <c r="B41" s="44">
        <f>IFERROR(COUNTIF(Export!$E:$E,A41),0)</f>
        <v/>
      </c>
      <c r="C41" s="45">
        <f>IFERROR(VLOOKUP(A41,Originaciones!$A:$B,2,0),"")</f>
        <v/>
      </c>
      <c r="D41">
        <f>IFERROR(VLOOKUP(A41,'Flota Activa'!$A:$B,2,0),"")</f>
        <v/>
      </c>
      <c r="E41" s="46">
        <f>IF(B41=0,"",IFERROR(COUNTIFS(Export!$E:$E,A41,Export!$H:$H,"Efectivo",Export!$M:$M,"&lt;="&amp;0)/B41*100,0))</f>
        <v/>
      </c>
      <c r="F41" s="46">
        <f>IF(B41=0,"",IFERROR(COUNTIFS(Export!$E:$E,A41,Export!$H:$H,"Efectivo",Export!$M:$M,"&lt;="&amp;1)/B41*100,0))</f>
        <v/>
      </c>
      <c r="G41" s="46">
        <f>IF(B41=0,"",IFERROR(COUNTIFS(Export!$E:$E,A41,Export!$H:$H,"Efectivo",Export!$M:$M,"&lt;="&amp;2)/B41*100,0))</f>
        <v/>
      </c>
      <c r="H41" s="46">
        <f>IF(B41=0,"",IFERROR(COUNTIFS(Export!$E:$E,A41,Export!$H:$H,"Efectivo",Export!$M:$M,"&lt;="&amp;3)/B41*100,0))</f>
        <v/>
      </c>
      <c r="I41" s="46">
        <f>IF(B41=0,"",IFERROR(COUNTIFS(Export!$E:$E,A41,Export!$H:$H,"Efectivo",Export!$M:$M,"&lt;="&amp;4)/B41*100,0))</f>
        <v/>
      </c>
      <c r="J41" s="46">
        <f>IF(B41=0,"",IFERROR(COUNTIFS(Export!$E:$E,A41,Export!$H:$H,"Efectivo",Export!$M:$M,"&lt;="&amp;5)/B41*100,0))</f>
        <v/>
      </c>
      <c r="K41" s="46">
        <f>IF(B41=0,"",IFERROR(COUNTIFS(Export!$E:$E,A41,Export!$H:$H,"Efectivo",Export!$M:$M,"&lt;="&amp;6)/B41*100,0))</f>
        <v/>
      </c>
      <c r="L41" s="46">
        <f>IF(B41=0,"",IFERROR(COUNTIFS(Export!$E:$E,A41,Export!$H:$H,"Efectivo",Export!$M:$M,"&lt;="&amp;7)/B41*100,0))</f>
        <v/>
      </c>
      <c r="M41" s="46">
        <f>IF(B41=0,"",IFERROR(COUNTIFS(Export!$E:$E,A41,Export!$H:$H,"Efectivo",Export!$M:$M,"&lt;="&amp;8)/B41*100,0))</f>
        <v/>
      </c>
      <c r="N41" s="46">
        <f>IF(B41=0,"",IFERROR(COUNTIFS(Export!$E:$E,A41,Export!$H:$H,"Efectivo",Export!$M:$M,"&lt;="&amp;9)/B41*100,0))</f>
        <v/>
      </c>
      <c r="O41" s="46">
        <f>IF(B41=0,"",IFERROR(COUNTIFS(Export!$E:$E,A41,Export!$H:$H,"Efectivo",Export!$M:$M,"&lt;="&amp;10)/B41*100,0))</f>
        <v/>
      </c>
      <c r="P41" s="46">
        <f>IF(B41=0,"",IFERROR(COUNTIFS(Export!$E:$E,A41,Export!$H:$H,"Efectivo",Export!$M:$M,"&lt;="&amp;11)/B41*100,0))</f>
        <v/>
      </c>
      <c r="Q41" s="46">
        <f>IF(B41=0,"",IFERROR(COUNTIFS(Export!$E:$E,A41,Export!$H:$H,"Efectivo",Export!$M:$M,"&lt;="&amp;12)/B41*100,0))</f>
        <v/>
      </c>
      <c r="R41" s="46">
        <f>IF(B41=0,"",IFERROR(COUNTIFS(Export!$E:$E,A41,Export!$H:$H,"Efectivo",Export!$M:$M,"&lt;="&amp;13)/B41*100,0))</f>
        <v/>
      </c>
      <c r="S41" s="46">
        <f>IF(B41=0,"",IFERROR(COUNTIFS(Export!$E:$E,A41,Export!$H:$H,"Efectivo",Export!$M:$M,"&lt;="&amp;14)/B41*100,0))</f>
        <v/>
      </c>
      <c r="T41" s="46">
        <f>IF(B41=0,"",IFERROR(COUNTIFS(Export!$E:$E,A41,Export!$H:$H,"Efectivo",Export!$M:$M,"&lt;="&amp;15)/B41*100,0))</f>
        <v/>
      </c>
      <c r="U41" s="46">
        <f>IF(B41=0,"",IFERROR(COUNTIFS(Export!$E:$E,A41,Export!$H:$H,"Efectivo",Export!$M:$M,"&lt;="&amp;16)/B41*100,0))</f>
        <v/>
      </c>
      <c r="V41" s="46">
        <f>IF(B41=0,"",IFERROR(COUNTIFS(Export!$E:$E,A41,Export!$H:$H,"Efectivo",Export!$M:$M,"&lt;="&amp;17)/B41*100,0))</f>
        <v/>
      </c>
      <c r="W41" s="46">
        <f>IF(B41=0,"",IFERROR(COUNTIFS(Export!$E:$E,A41,Export!$H:$H,"Efectivo",Export!$M:$M,"&lt;="&amp;18)/B41*100,0))</f>
        <v/>
      </c>
      <c r="X41" s="46">
        <f>IF(B41=0,"",IFERROR(COUNTIFS(Export!$E:$E,A41,Export!$H:$H,"Efectivo",Export!$M:$M,"&lt;="&amp;19)/B41*100,0))</f>
        <v/>
      </c>
      <c r="Y41" s="46">
        <f>IF(B41=0,"",IFERROR(COUNTIFS(Export!$E:$E,A41,Export!$H:$H,"Efectivo",Export!$M:$M,"&lt;="&amp;20)/B41*100,0))</f>
        <v/>
      </c>
      <c r="Z41" s="46">
        <f>IF(B41=0,"",IFERROR(COUNTIFS(Export!$E:$E,A41,Export!$H:$H,"Efectivo",Export!$M:$M,"&lt;="&amp;21)/B41*100,0))</f>
        <v/>
      </c>
      <c r="AA41" s="46">
        <f>IF(B41=0,"",IFERROR(COUNTIFS(Export!$E:$E,A41,Export!$H:$H,"Efectivo",Export!$M:$M,"&lt;="&amp;22)/B41*100,0))</f>
        <v/>
      </c>
      <c r="AB41" s="46">
        <f>IF(B41=0,"",IFERROR(COUNTIFS(Export!$E:$E,A41,Export!$H:$H,"Efectivo",Export!$M:$M,"&lt;="&amp;23)/B41*100,0))</f>
        <v/>
      </c>
      <c r="AC41" s="46">
        <f>IF(B41=0,"",IFERROR(COUNTIFS(Export!$E:$E,A41,Export!$H:$H,"Efectivo",Export!$M:$M,"&lt;="&amp;24)/B41*100,0))</f>
        <v/>
      </c>
      <c r="AD41" s="46">
        <f>IF(B41=0,"",IFERROR(COUNTIFS(Export!$E:$E,A41,Export!$H:$H,"Efectivo",Export!$M:$M,"&lt;="&amp;25)/B41*100,0))</f>
        <v/>
      </c>
      <c r="AE41" s="46">
        <f>IF(B41=0,"",IFERROR(COUNTIFS(Export!$E:$E,A41,Export!$H:$H,"Efectivo",Export!$M:$M,"&lt;="&amp;26)/B41*100,0))</f>
        <v/>
      </c>
      <c r="AF41" s="46">
        <f>IF(B41=0,"",IFERROR(COUNTIFS(Export!$E:$E,A41,Export!$H:$H,"Efectivo",Export!$M:$M,"&lt;="&amp;27)/B41*100,0))</f>
        <v/>
      </c>
      <c r="AG41" s="46">
        <f>IF(B41=0,"",IFERROR(COUNTIFS(Export!$E:$E,A41,Export!$H:$H,"Efectivo",Export!$M:$M,"&lt;="&amp;28)/B41*100,0))</f>
        <v/>
      </c>
      <c r="AH41" s="46">
        <f>IF(B41=0,"",IFERROR(COUNTIFS(Export!$E:$E,A41,Export!$H:$H,"Efectivo",Export!$M:$M,"&lt;="&amp;29)/B41*100,0))</f>
        <v/>
      </c>
      <c r="AI41" s="46">
        <f>IF(B41=0,"",IFERROR(COUNTIFS(Export!$E:$E,A41,Export!$H:$H,"Efectivo",Export!$M:$M,"&lt;="&amp;30)/B41*100,0))</f>
        <v/>
      </c>
      <c r="AJ41" s="46">
        <f>IF(B41=0,"",IFERROR(COUNTIFS(Export!$E:$E,A41,Export!$H:$H,"Efectivo",Export!$M:$M,"&lt;="&amp;31)/B41*100,0))</f>
        <v/>
      </c>
      <c r="AK41" s="46">
        <f>IF(B41=0,"",IFERROR(COUNTIFS(Export!$E:$E,A41,Export!$H:$H,"Efectivo",Export!$M:$M,"&lt;="&amp;32)/B41*100,0))</f>
        <v/>
      </c>
      <c r="AL41" s="46">
        <f>IF(B41=0,"",IFERROR(COUNTIFS(Export!$E:$E,A41,Export!$H:$H,"Efectivo",Export!$M:$M,"&lt;="&amp;33)/B41*100,0))</f>
        <v/>
      </c>
      <c r="AM41" s="46">
        <f>IF(B41=0,"",IFERROR(COUNTIFS(Export!$E:$E,A41,Export!$H:$H,"Efectivo",Export!$M:$M,"&lt;="&amp;34)/B41*100,0))</f>
        <v/>
      </c>
      <c r="AN41" s="46">
        <f>IF(B41=0,"",IFERROR(COUNTIFS(Export!$E:$E,A41,Export!$H:$H,"Efectivo",Export!$M:$M,"&lt;="&amp;35)/B41*100,0))</f>
        <v/>
      </c>
      <c r="AO41" s="46">
        <f>IF(B41=0,"",IFERROR(COUNTIFS(Export!$E:$E,A41,Export!$H:$H,"Efectivo",Export!$M:$M,"&lt;="&amp;36)/B41*100,0))</f>
        <v/>
      </c>
    </row>
    <row r="42">
      <c r="A42" s="49" t="inlineStr">
        <is>
          <t>04-2027</t>
        </is>
      </c>
      <c r="B42" s="44">
        <f>IFERROR(COUNTIF(Export!$E:$E,A42),0)</f>
        <v/>
      </c>
      <c r="C42" s="45">
        <f>IFERROR(VLOOKUP(A42,Originaciones!$A:$B,2,0),"")</f>
        <v/>
      </c>
      <c r="D42">
        <f>IFERROR(VLOOKUP(A42,'Flota Activa'!$A:$B,2,0),"")</f>
        <v/>
      </c>
      <c r="E42" s="46">
        <f>IF(B42=0,"",IFERROR(COUNTIFS(Export!$E:$E,A42,Export!$H:$H,"Efectivo",Export!$M:$M,"&lt;="&amp;0)/B42*100,0))</f>
        <v/>
      </c>
      <c r="F42" s="46">
        <f>IF(B42=0,"",IFERROR(COUNTIFS(Export!$E:$E,A42,Export!$H:$H,"Efectivo",Export!$M:$M,"&lt;="&amp;1)/B42*100,0))</f>
        <v/>
      </c>
      <c r="G42" s="46">
        <f>IF(B42=0,"",IFERROR(COUNTIFS(Export!$E:$E,A42,Export!$H:$H,"Efectivo",Export!$M:$M,"&lt;="&amp;2)/B42*100,0))</f>
        <v/>
      </c>
      <c r="H42" s="46">
        <f>IF(B42=0,"",IFERROR(COUNTIFS(Export!$E:$E,A42,Export!$H:$H,"Efectivo",Export!$M:$M,"&lt;="&amp;3)/B42*100,0))</f>
        <v/>
      </c>
      <c r="I42" s="46">
        <f>IF(B42=0,"",IFERROR(COUNTIFS(Export!$E:$E,A42,Export!$H:$H,"Efectivo",Export!$M:$M,"&lt;="&amp;4)/B42*100,0))</f>
        <v/>
      </c>
      <c r="J42" s="46">
        <f>IF(B42=0,"",IFERROR(COUNTIFS(Export!$E:$E,A42,Export!$H:$H,"Efectivo",Export!$M:$M,"&lt;="&amp;5)/B42*100,0))</f>
        <v/>
      </c>
      <c r="K42" s="46">
        <f>IF(B42=0,"",IFERROR(COUNTIFS(Export!$E:$E,A42,Export!$H:$H,"Efectivo",Export!$M:$M,"&lt;="&amp;6)/B42*100,0))</f>
        <v/>
      </c>
      <c r="L42" s="46">
        <f>IF(B42=0,"",IFERROR(COUNTIFS(Export!$E:$E,A42,Export!$H:$H,"Efectivo",Export!$M:$M,"&lt;="&amp;7)/B42*100,0))</f>
        <v/>
      </c>
      <c r="M42" s="46">
        <f>IF(B42=0,"",IFERROR(COUNTIFS(Export!$E:$E,A42,Export!$H:$H,"Efectivo",Export!$M:$M,"&lt;="&amp;8)/B42*100,0))</f>
        <v/>
      </c>
      <c r="N42" s="46">
        <f>IF(B42=0,"",IFERROR(COUNTIFS(Export!$E:$E,A42,Export!$H:$H,"Efectivo",Export!$M:$M,"&lt;="&amp;9)/B42*100,0))</f>
        <v/>
      </c>
      <c r="O42" s="46">
        <f>IF(B42=0,"",IFERROR(COUNTIFS(Export!$E:$E,A42,Export!$H:$H,"Efectivo",Export!$M:$M,"&lt;="&amp;10)/B42*100,0))</f>
        <v/>
      </c>
      <c r="P42" s="46">
        <f>IF(B42=0,"",IFERROR(COUNTIFS(Export!$E:$E,A42,Export!$H:$H,"Efectivo",Export!$M:$M,"&lt;="&amp;11)/B42*100,0))</f>
        <v/>
      </c>
      <c r="Q42" s="46">
        <f>IF(B42=0,"",IFERROR(COUNTIFS(Export!$E:$E,A42,Export!$H:$H,"Efectivo",Export!$M:$M,"&lt;="&amp;12)/B42*100,0))</f>
        <v/>
      </c>
      <c r="R42" s="46">
        <f>IF(B42=0,"",IFERROR(COUNTIFS(Export!$E:$E,A42,Export!$H:$H,"Efectivo",Export!$M:$M,"&lt;="&amp;13)/B42*100,0))</f>
        <v/>
      </c>
      <c r="S42" s="46">
        <f>IF(B42=0,"",IFERROR(COUNTIFS(Export!$E:$E,A42,Export!$H:$H,"Efectivo",Export!$M:$M,"&lt;="&amp;14)/B42*100,0))</f>
        <v/>
      </c>
      <c r="T42" s="46">
        <f>IF(B42=0,"",IFERROR(COUNTIFS(Export!$E:$E,A42,Export!$H:$H,"Efectivo",Export!$M:$M,"&lt;="&amp;15)/B42*100,0))</f>
        <v/>
      </c>
      <c r="U42" s="46">
        <f>IF(B42=0,"",IFERROR(COUNTIFS(Export!$E:$E,A42,Export!$H:$H,"Efectivo",Export!$M:$M,"&lt;="&amp;16)/B42*100,0))</f>
        <v/>
      </c>
      <c r="V42" s="46">
        <f>IF(B42=0,"",IFERROR(COUNTIFS(Export!$E:$E,A42,Export!$H:$H,"Efectivo",Export!$M:$M,"&lt;="&amp;17)/B42*100,0))</f>
        <v/>
      </c>
      <c r="W42" s="46">
        <f>IF(B42=0,"",IFERROR(COUNTIFS(Export!$E:$E,A42,Export!$H:$H,"Efectivo",Export!$M:$M,"&lt;="&amp;18)/B42*100,0))</f>
        <v/>
      </c>
      <c r="X42" s="46">
        <f>IF(B42=0,"",IFERROR(COUNTIFS(Export!$E:$E,A42,Export!$H:$H,"Efectivo",Export!$M:$M,"&lt;="&amp;19)/B42*100,0))</f>
        <v/>
      </c>
      <c r="Y42" s="46">
        <f>IF(B42=0,"",IFERROR(COUNTIFS(Export!$E:$E,A42,Export!$H:$H,"Efectivo",Export!$M:$M,"&lt;="&amp;20)/B42*100,0))</f>
        <v/>
      </c>
      <c r="Z42" s="46">
        <f>IF(B42=0,"",IFERROR(COUNTIFS(Export!$E:$E,A42,Export!$H:$H,"Efectivo",Export!$M:$M,"&lt;="&amp;21)/B42*100,0))</f>
        <v/>
      </c>
      <c r="AA42" s="46">
        <f>IF(B42=0,"",IFERROR(COUNTIFS(Export!$E:$E,A42,Export!$H:$H,"Efectivo",Export!$M:$M,"&lt;="&amp;22)/B42*100,0))</f>
        <v/>
      </c>
      <c r="AB42" s="46">
        <f>IF(B42=0,"",IFERROR(COUNTIFS(Export!$E:$E,A42,Export!$H:$H,"Efectivo",Export!$M:$M,"&lt;="&amp;23)/B42*100,0))</f>
        <v/>
      </c>
      <c r="AC42" s="46">
        <f>IF(B42=0,"",IFERROR(COUNTIFS(Export!$E:$E,A42,Export!$H:$H,"Efectivo",Export!$M:$M,"&lt;="&amp;24)/B42*100,0))</f>
        <v/>
      </c>
      <c r="AD42" s="46">
        <f>IF(B42=0,"",IFERROR(COUNTIFS(Export!$E:$E,A42,Export!$H:$H,"Efectivo",Export!$M:$M,"&lt;="&amp;25)/B42*100,0))</f>
        <v/>
      </c>
      <c r="AE42" s="46">
        <f>IF(B42=0,"",IFERROR(COUNTIFS(Export!$E:$E,A42,Export!$H:$H,"Efectivo",Export!$M:$M,"&lt;="&amp;26)/B42*100,0))</f>
        <v/>
      </c>
      <c r="AF42" s="46">
        <f>IF(B42=0,"",IFERROR(COUNTIFS(Export!$E:$E,A42,Export!$H:$H,"Efectivo",Export!$M:$M,"&lt;="&amp;27)/B42*100,0))</f>
        <v/>
      </c>
      <c r="AG42" s="46">
        <f>IF(B42=0,"",IFERROR(COUNTIFS(Export!$E:$E,A42,Export!$H:$H,"Efectivo",Export!$M:$M,"&lt;="&amp;28)/B42*100,0))</f>
        <v/>
      </c>
      <c r="AH42" s="46">
        <f>IF(B42=0,"",IFERROR(COUNTIFS(Export!$E:$E,A42,Export!$H:$H,"Efectivo",Export!$M:$M,"&lt;="&amp;29)/B42*100,0))</f>
        <v/>
      </c>
      <c r="AI42" s="46">
        <f>IF(B42=0,"",IFERROR(COUNTIFS(Export!$E:$E,A42,Export!$H:$H,"Efectivo",Export!$M:$M,"&lt;="&amp;30)/B42*100,0))</f>
        <v/>
      </c>
      <c r="AJ42" s="46">
        <f>IF(B42=0,"",IFERROR(COUNTIFS(Export!$E:$E,A42,Export!$H:$H,"Efectivo",Export!$M:$M,"&lt;="&amp;31)/B42*100,0))</f>
        <v/>
      </c>
      <c r="AK42" s="46">
        <f>IF(B42=0,"",IFERROR(COUNTIFS(Export!$E:$E,A42,Export!$H:$H,"Efectivo",Export!$M:$M,"&lt;="&amp;32)/B42*100,0))</f>
        <v/>
      </c>
      <c r="AL42" s="46">
        <f>IF(B42=0,"",IFERROR(COUNTIFS(Export!$E:$E,A42,Export!$H:$H,"Efectivo",Export!$M:$M,"&lt;="&amp;33)/B42*100,0))</f>
        <v/>
      </c>
      <c r="AM42" s="46">
        <f>IF(B42=0,"",IFERROR(COUNTIFS(Export!$E:$E,A42,Export!$H:$H,"Efectivo",Export!$M:$M,"&lt;="&amp;34)/B42*100,0))</f>
        <v/>
      </c>
      <c r="AN42" s="46">
        <f>IF(B42=0,"",IFERROR(COUNTIFS(Export!$E:$E,A42,Export!$H:$H,"Efectivo",Export!$M:$M,"&lt;="&amp;35)/B42*100,0))</f>
        <v/>
      </c>
      <c r="AO42" s="46">
        <f>IF(B42=0,"",IFERROR(COUNTIFS(Export!$E:$E,A42,Export!$H:$H,"Efectivo",Export!$M:$M,"&lt;="&amp;36)/B42*100,0))</f>
        <v/>
      </c>
    </row>
    <row r="43">
      <c r="A43" s="49" t="inlineStr">
        <is>
          <t>05-2027</t>
        </is>
      </c>
      <c r="B43" s="44">
        <f>IFERROR(COUNTIF(Export!$E:$E,A43),0)</f>
        <v/>
      </c>
      <c r="C43" s="45">
        <f>IFERROR(VLOOKUP(A43,Originaciones!$A:$B,2,0),"")</f>
        <v/>
      </c>
      <c r="D43">
        <f>IFERROR(VLOOKUP(A43,'Flota Activa'!$A:$B,2,0),"")</f>
        <v/>
      </c>
      <c r="E43" s="46">
        <f>IF(B43=0,"",IFERROR(COUNTIFS(Export!$E:$E,A43,Export!$H:$H,"Efectivo",Export!$M:$M,"&lt;="&amp;0)/B43*100,0))</f>
        <v/>
      </c>
      <c r="F43" s="46">
        <f>IF(B43=0,"",IFERROR(COUNTIFS(Export!$E:$E,A43,Export!$H:$H,"Efectivo",Export!$M:$M,"&lt;="&amp;1)/B43*100,0))</f>
        <v/>
      </c>
      <c r="G43" s="46">
        <f>IF(B43=0,"",IFERROR(COUNTIFS(Export!$E:$E,A43,Export!$H:$H,"Efectivo",Export!$M:$M,"&lt;="&amp;2)/B43*100,0))</f>
        <v/>
      </c>
      <c r="H43" s="46">
        <f>IF(B43=0,"",IFERROR(COUNTIFS(Export!$E:$E,A43,Export!$H:$H,"Efectivo",Export!$M:$M,"&lt;="&amp;3)/B43*100,0))</f>
        <v/>
      </c>
      <c r="I43" s="46">
        <f>IF(B43=0,"",IFERROR(COUNTIFS(Export!$E:$E,A43,Export!$H:$H,"Efectivo",Export!$M:$M,"&lt;="&amp;4)/B43*100,0))</f>
        <v/>
      </c>
      <c r="J43" s="46">
        <f>IF(B43=0,"",IFERROR(COUNTIFS(Export!$E:$E,A43,Export!$H:$H,"Efectivo",Export!$M:$M,"&lt;="&amp;5)/B43*100,0))</f>
        <v/>
      </c>
      <c r="K43" s="46">
        <f>IF(B43=0,"",IFERROR(COUNTIFS(Export!$E:$E,A43,Export!$H:$H,"Efectivo",Export!$M:$M,"&lt;="&amp;6)/B43*100,0))</f>
        <v/>
      </c>
      <c r="L43" s="46">
        <f>IF(B43=0,"",IFERROR(COUNTIFS(Export!$E:$E,A43,Export!$H:$H,"Efectivo",Export!$M:$M,"&lt;="&amp;7)/B43*100,0))</f>
        <v/>
      </c>
      <c r="M43" s="46">
        <f>IF(B43=0,"",IFERROR(COUNTIFS(Export!$E:$E,A43,Export!$H:$H,"Efectivo",Export!$M:$M,"&lt;="&amp;8)/B43*100,0))</f>
        <v/>
      </c>
      <c r="N43" s="46">
        <f>IF(B43=0,"",IFERROR(COUNTIFS(Export!$E:$E,A43,Export!$H:$H,"Efectivo",Export!$M:$M,"&lt;="&amp;9)/B43*100,0))</f>
        <v/>
      </c>
      <c r="O43" s="46">
        <f>IF(B43=0,"",IFERROR(COUNTIFS(Export!$E:$E,A43,Export!$H:$H,"Efectivo",Export!$M:$M,"&lt;="&amp;10)/B43*100,0))</f>
        <v/>
      </c>
      <c r="P43" s="46">
        <f>IF(B43=0,"",IFERROR(COUNTIFS(Export!$E:$E,A43,Export!$H:$H,"Efectivo",Export!$M:$M,"&lt;="&amp;11)/B43*100,0))</f>
        <v/>
      </c>
      <c r="Q43" s="46">
        <f>IF(B43=0,"",IFERROR(COUNTIFS(Export!$E:$E,A43,Export!$H:$H,"Efectivo",Export!$M:$M,"&lt;="&amp;12)/B43*100,0))</f>
        <v/>
      </c>
      <c r="R43" s="46">
        <f>IF(B43=0,"",IFERROR(COUNTIFS(Export!$E:$E,A43,Export!$H:$H,"Efectivo",Export!$M:$M,"&lt;="&amp;13)/B43*100,0))</f>
        <v/>
      </c>
      <c r="S43" s="46">
        <f>IF(B43=0,"",IFERROR(COUNTIFS(Export!$E:$E,A43,Export!$H:$H,"Efectivo",Export!$M:$M,"&lt;="&amp;14)/B43*100,0))</f>
        <v/>
      </c>
      <c r="T43" s="46">
        <f>IF(B43=0,"",IFERROR(COUNTIFS(Export!$E:$E,A43,Export!$H:$H,"Efectivo",Export!$M:$M,"&lt;="&amp;15)/B43*100,0))</f>
        <v/>
      </c>
      <c r="U43" s="46">
        <f>IF(B43=0,"",IFERROR(COUNTIFS(Export!$E:$E,A43,Export!$H:$H,"Efectivo",Export!$M:$M,"&lt;="&amp;16)/B43*100,0))</f>
        <v/>
      </c>
      <c r="V43" s="46">
        <f>IF(B43=0,"",IFERROR(COUNTIFS(Export!$E:$E,A43,Export!$H:$H,"Efectivo",Export!$M:$M,"&lt;="&amp;17)/B43*100,0))</f>
        <v/>
      </c>
      <c r="W43" s="46">
        <f>IF(B43=0,"",IFERROR(COUNTIFS(Export!$E:$E,A43,Export!$H:$H,"Efectivo",Export!$M:$M,"&lt;="&amp;18)/B43*100,0))</f>
        <v/>
      </c>
      <c r="X43" s="46">
        <f>IF(B43=0,"",IFERROR(COUNTIFS(Export!$E:$E,A43,Export!$H:$H,"Efectivo",Export!$M:$M,"&lt;="&amp;19)/B43*100,0))</f>
        <v/>
      </c>
      <c r="Y43" s="46">
        <f>IF(B43=0,"",IFERROR(COUNTIFS(Export!$E:$E,A43,Export!$H:$H,"Efectivo",Export!$M:$M,"&lt;="&amp;20)/B43*100,0))</f>
        <v/>
      </c>
      <c r="Z43" s="46">
        <f>IF(B43=0,"",IFERROR(COUNTIFS(Export!$E:$E,A43,Export!$H:$H,"Efectivo",Export!$M:$M,"&lt;="&amp;21)/B43*100,0))</f>
        <v/>
      </c>
      <c r="AA43" s="46">
        <f>IF(B43=0,"",IFERROR(COUNTIFS(Export!$E:$E,A43,Export!$H:$H,"Efectivo",Export!$M:$M,"&lt;="&amp;22)/B43*100,0))</f>
        <v/>
      </c>
      <c r="AB43" s="46">
        <f>IF(B43=0,"",IFERROR(COUNTIFS(Export!$E:$E,A43,Export!$H:$H,"Efectivo",Export!$M:$M,"&lt;="&amp;23)/B43*100,0))</f>
        <v/>
      </c>
      <c r="AC43" s="46">
        <f>IF(B43=0,"",IFERROR(COUNTIFS(Export!$E:$E,A43,Export!$H:$H,"Efectivo",Export!$M:$M,"&lt;="&amp;24)/B43*100,0))</f>
        <v/>
      </c>
      <c r="AD43" s="46">
        <f>IF(B43=0,"",IFERROR(COUNTIFS(Export!$E:$E,A43,Export!$H:$H,"Efectivo",Export!$M:$M,"&lt;="&amp;25)/B43*100,0))</f>
        <v/>
      </c>
      <c r="AE43" s="46">
        <f>IF(B43=0,"",IFERROR(COUNTIFS(Export!$E:$E,A43,Export!$H:$H,"Efectivo",Export!$M:$M,"&lt;="&amp;26)/B43*100,0))</f>
        <v/>
      </c>
      <c r="AF43" s="46">
        <f>IF(B43=0,"",IFERROR(COUNTIFS(Export!$E:$E,A43,Export!$H:$H,"Efectivo",Export!$M:$M,"&lt;="&amp;27)/B43*100,0))</f>
        <v/>
      </c>
      <c r="AG43" s="46">
        <f>IF(B43=0,"",IFERROR(COUNTIFS(Export!$E:$E,A43,Export!$H:$H,"Efectivo",Export!$M:$M,"&lt;="&amp;28)/B43*100,0))</f>
        <v/>
      </c>
      <c r="AH43" s="46">
        <f>IF(B43=0,"",IFERROR(COUNTIFS(Export!$E:$E,A43,Export!$H:$H,"Efectivo",Export!$M:$M,"&lt;="&amp;29)/B43*100,0))</f>
        <v/>
      </c>
      <c r="AI43" s="46">
        <f>IF(B43=0,"",IFERROR(COUNTIFS(Export!$E:$E,A43,Export!$H:$H,"Efectivo",Export!$M:$M,"&lt;="&amp;30)/B43*100,0))</f>
        <v/>
      </c>
      <c r="AJ43" s="46">
        <f>IF(B43=0,"",IFERROR(COUNTIFS(Export!$E:$E,A43,Export!$H:$H,"Efectivo",Export!$M:$M,"&lt;="&amp;31)/B43*100,0))</f>
        <v/>
      </c>
      <c r="AK43" s="46">
        <f>IF(B43=0,"",IFERROR(COUNTIFS(Export!$E:$E,A43,Export!$H:$H,"Efectivo",Export!$M:$M,"&lt;="&amp;32)/B43*100,0))</f>
        <v/>
      </c>
      <c r="AL43" s="46">
        <f>IF(B43=0,"",IFERROR(COUNTIFS(Export!$E:$E,A43,Export!$H:$H,"Efectivo",Export!$M:$M,"&lt;="&amp;33)/B43*100,0))</f>
        <v/>
      </c>
      <c r="AM43" s="46">
        <f>IF(B43=0,"",IFERROR(COUNTIFS(Export!$E:$E,A43,Export!$H:$H,"Efectivo",Export!$M:$M,"&lt;="&amp;34)/B43*100,0))</f>
        <v/>
      </c>
      <c r="AN43" s="46">
        <f>IF(B43=0,"",IFERROR(COUNTIFS(Export!$E:$E,A43,Export!$H:$H,"Efectivo",Export!$M:$M,"&lt;="&amp;35)/B43*100,0))</f>
        <v/>
      </c>
      <c r="AO43" s="46">
        <f>IF(B43=0,"",IFERROR(COUNTIFS(Export!$E:$E,A43,Export!$H:$H,"Efectivo",Export!$M:$M,"&lt;="&amp;36)/B43*100,0))</f>
        <v/>
      </c>
    </row>
    <row r="44">
      <c r="A44" s="49" t="inlineStr">
        <is>
          <t>06-2027</t>
        </is>
      </c>
      <c r="B44" s="44">
        <f>IFERROR(COUNTIF(Export!$E:$E,A44),0)</f>
        <v/>
      </c>
      <c r="C44" s="45">
        <f>IFERROR(VLOOKUP(A44,Originaciones!$A:$B,2,0),"")</f>
        <v/>
      </c>
      <c r="D44">
        <f>IFERROR(VLOOKUP(A44,'Flota Activa'!$A:$B,2,0),"")</f>
        <v/>
      </c>
      <c r="E44" s="46">
        <f>IF(B44=0,"",IFERROR(COUNTIFS(Export!$E:$E,A44,Export!$H:$H,"Efectivo",Export!$M:$M,"&lt;="&amp;0)/B44*100,0))</f>
        <v/>
      </c>
      <c r="F44" s="46">
        <f>IF(B44=0,"",IFERROR(COUNTIFS(Export!$E:$E,A44,Export!$H:$H,"Efectivo",Export!$M:$M,"&lt;="&amp;1)/B44*100,0))</f>
        <v/>
      </c>
      <c r="G44" s="46">
        <f>IF(B44=0,"",IFERROR(COUNTIFS(Export!$E:$E,A44,Export!$H:$H,"Efectivo",Export!$M:$M,"&lt;="&amp;2)/B44*100,0))</f>
        <v/>
      </c>
      <c r="H44" s="46">
        <f>IF(B44=0,"",IFERROR(COUNTIFS(Export!$E:$E,A44,Export!$H:$H,"Efectivo",Export!$M:$M,"&lt;="&amp;3)/B44*100,0))</f>
        <v/>
      </c>
      <c r="I44" s="46">
        <f>IF(B44=0,"",IFERROR(COUNTIFS(Export!$E:$E,A44,Export!$H:$H,"Efectivo",Export!$M:$M,"&lt;="&amp;4)/B44*100,0))</f>
        <v/>
      </c>
      <c r="J44" s="46">
        <f>IF(B44=0,"",IFERROR(COUNTIFS(Export!$E:$E,A44,Export!$H:$H,"Efectivo",Export!$M:$M,"&lt;="&amp;5)/B44*100,0))</f>
        <v/>
      </c>
      <c r="K44" s="46">
        <f>IF(B44=0,"",IFERROR(COUNTIFS(Export!$E:$E,A44,Export!$H:$H,"Efectivo",Export!$M:$M,"&lt;="&amp;6)/B44*100,0))</f>
        <v/>
      </c>
      <c r="L44" s="46">
        <f>IF(B44=0,"",IFERROR(COUNTIFS(Export!$E:$E,A44,Export!$H:$H,"Efectivo",Export!$M:$M,"&lt;="&amp;7)/B44*100,0))</f>
        <v/>
      </c>
      <c r="M44" s="46">
        <f>IF(B44=0,"",IFERROR(COUNTIFS(Export!$E:$E,A44,Export!$H:$H,"Efectivo",Export!$M:$M,"&lt;="&amp;8)/B44*100,0))</f>
        <v/>
      </c>
      <c r="N44" s="46">
        <f>IF(B44=0,"",IFERROR(COUNTIFS(Export!$E:$E,A44,Export!$H:$H,"Efectivo",Export!$M:$M,"&lt;="&amp;9)/B44*100,0))</f>
        <v/>
      </c>
      <c r="O44" s="46">
        <f>IF(B44=0,"",IFERROR(COUNTIFS(Export!$E:$E,A44,Export!$H:$H,"Efectivo",Export!$M:$M,"&lt;="&amp;10)/B44*100,0))</f>
        <v/>
      </c>
      <c r="P44" s="46">
        <f>IF(B44=0,"",IFERROR(COUNTIFS(Export!$E:$E,A44,Export!$H:$H,"Efectivo",Export!$M:$M,"&lt;="&amp;11)/B44*100,0))</f>
        <v/>
      </c>
      <c r="Q44" s="46">
        <f>IF(B44=0,"",IFERROR(COUNTIFS(Export!$E:$E,A44,Export!$H:$H,"Efectivo",Export!$M:$M,"&lt;="&amp;12)/B44*100,0))</f>
        <v/>
      </c>
      <c r="R44" s="46">
        <f>IF(B44=0,"",IFERROR(COUNTIFS(Export!$E:$E,A44,Export!$H:$H,"Efectivo",Export!$M:$M,"&lt;="&amp;13)/B44*100,0))</f>
        <v/>
      </c>
      <c r="S44" s="46">
        <f>IF(B44=0,"",IFERROR(COUNTIFS(Export!$E:$E,A44,Export!$H:$H,"Efectivo",Export!$M:$M,"&lt;="&amp;14)/B44*100,0))</f>
        <v/>
      </c>
      <c r="T44" s="46">
        <f>IF(B44=0,"",IFERROR(COUNTIFS(Export!$E:$E,A44,Export!$H:$H,"Efectivo",Export!$M:$M,"&lt;="&amp;15)/B44*100,0))</f>
        <v/>
      </c>
      <c r="U44" s="46">
        <f>IF(B44=0,"",IFERROR(COUNTIFS(Export!$E:$E,A44,Export!$H:$H,"Efectivo",Export!$M:$M,"&lt;="&amp;16)/B44*100,0))</f>
        <v/>
      </c>
      <c r="V44" s="46">
        <f>IF(B44=0,"",IFERROR(COUNTIFS(Export!$E:$E,A44,Export!$H:$H,"Efectivo",Export!$M:$M,"&lt;="&amp;17)/B44*100,0))</f>
        <v/>
      </c>
      <c r="W44" s="46">
        <f>IF(B44=0,"",IFERROR(COUNTIFS(Export!$E:$E,A44,Export!$H:$H,"Efectivo",Export!$M:$M,"&lt;="&amp;18)/B44*100,0))</f>
        <v/>
      </c>
      <c r="X44" s="46">
        <f>IF(B44=0,"",IFERROR(COUNTIFS(Export!$E:$E,A44,Export!$H:$H,"Efectivo",Export!$M:$M,"&lt;="&amp;19)/B44*100,0))</f>
        <v/>
      </c>
      <c r="Y44" s="46">
        <f>IF(B44=0,"",IFERROR(COUNTIFS(Export!$E:$E,A44,Export!$H:$H,"Efectivo",Export!$M:$M,"&lt;="&amp;20)/B44*100,0))</f>
        <v/>
      </c>
      <c r="Z44" s="46">
        <f>IF(B44=0,"",IFERROR(COUNTIFS(Export!$E:$E,A44,Export!$H:$H,"Efectivo",Export!$M:$M,"&lt;="&amp;21)/B44*100,0))</f>
        <v/>
      </c>
      <c r="AA44" s="46">
        <f>IF(B44=0,"",IFERROR(COUNTIFS(Export!$E:$E,A44,Export!$H:$H,"Efectivo",Export!$M:$M,"&lt;="&amp;22)/B44*100,0))</f>
        <v/>
      </c>
      <c r="AB44" s="46">
        <f>IF(B44=0,"",IFERROR(COUNTIFS(Export!$E:$E,A44,Export!$H:$H,"Efectivo",Export!$M:$M,"&lt;="&amp;23)/B44*100,0))</f>
        <v/>
      </c>
      <c r="AC44" s="46">
        <f>IF(B44=0,"",IFERROR(COUNTIFS(Export!$E:$E,A44,Export!$H:$H,"Efectivo",Export!$M:$M,"&lt;="&amp;24)/B44*100,0))</f>
        <v/>
      </c>
      <c r="AD44" s="46">
        <f>IF(B44=0,"",IFERROR(COUNTIFS(Export!$E:$E,A44,Export!$H:$H,"Efectivo",Export!$M:$M,"&lt;="&amp;25)/B44*100,0))</f>
        <v/>
      </c>
      <c r="AE44" s="46">
        <f>IF(B44=0,"",IFERROR(COUNTIFS(Export!$E:$E,A44,Export!$H:$H,"Efectivo",Export!$M:$M,"&lt;="&amp;26)/B44*100,0))</f>
        <v/>
      </c>
      <c r="AF44" s="46">
        <f>IF(B44=0,"",IFERROR(COUNTIFS(Export!$E:$E,A44,Export!$H:$H,"Efectivo",Export!$M:$M,"&lt;="&amp;27)/B44*100,0))</f>
        <v/>
      </c>
      <c r="AG44" s="46">
        <f>IF(B44=0,"",IFERROR(COUNTIFS(Export!$E:$E,A44,Export!$H:$H,"Efectivo",Export!$M:$M,"&lt;="&amp;28)/B44*100,0))</f>
        <v/>
      </c>
      <c r="AH44" s="46">
        <f>IF(B44=0,"",IFERROR(COUNTIFS(Export!$E:$E,A44,Export!$H:$H,"Efectivo",Export!$M:$M,"&lt;="&amp;29)/B44*100,0))</f>
        <v/>
      </c>
      <c r="AI44" s="46">
        <f>IF(B44=0,"",IFERROR(COUNTIFS(Export!$E:$E,A44,Export!$H:$H,"Efectivo",Export!$M:$M,"&lt;="&amp;30)/B44*100,0))</f>
        <v/>
      </c>
      <c r="AJ44" s="46">
        <f>IF(B44=0,"",IFERROR(COUNTIFS(Export!$E:$E,A44,Export!$H:$H,"Efectivo",Export!$M:$M,"&lt;="&amp;31)/B44*100,0))</f>
        <v/>
      </c>
      <c r="AK44" s="46">
        <f>IF(B44=0,"",IFERROR(COUNTIFS(Export!$E:$E,A44,Export!$H:$H,"Efectivo",Export!$M:$M,"&lt;="&amp;32)/B44*100,0))</f>
        <v/>
      </c>
      <c r="AL44" s="46">
        <f>IF(B44=0,"",IFERROR(COUNTIFS(Export!$E:$E,A44,Export!$H:$H,"Efectivo",Export!$M:$M,"&lt;="&amp;33)/B44*100,0))</f>
        <v/>
      </c>
      <c r="AM44" s="46">
        <f>IF(B44=0,"",IFERROR(COUNTIFS(Export!$E:$E,A44,Export!$H:$H,"Efectivo",Export!$M:$M,"&lt;="&amp;34)/B44*100,0))</f>
        <v/>
      </c>
      <c r="AN44" s="46">
        <f>IF(B44=0,"",IFERROR(COUNTIFS(Export!$E:$E,A44,Export!$H:$H,"Efectivo",Export!$M:$M,"&lt;="&amp;35)/B44*100,0))</f>
        <v/>
      </c>
      <c r="AO44" s="46">
        <f>IF(B44=0,"",IFERROR(COUNTIFS(Export!$E:$E,A44,Export!$H:$H,"Efectivo",Export!$M:$M,"&lt;="&amp;36)/B44*100,0))</f>
        <v/>
      </c>
    </row>
    <row r="45">
      <c r="A45" s="49" t="inlineStr">
        <is>
          <t>07-2027</t>
        </is>
      </c>
      <c r="B45" s="44">
        <f>IFERROR(COUNTIF(Export!$E:$E,A45),0)</f>
        <v/>
      </c>
      <c r="C45" s="45">
        <f>IFERROR(VLOOKUP(A45,Originaciones!$A:$B,2,0),"")</f>
        <v/>
      </c>
      <c r="D45">
        <f>IFERROR(VLOOKUP(A45,'Flota Activa'!$A:$B,2,0),"")</f>
        <v/>
      </c>
      <c r="E45" s="46">
        <f>IF(B45=0,"",IFERROR(COUNTIFS(Export!$E:$E,A45,Export!$H:$H,"Efectivo",Export!$M:$M,"&lt;="&amp;0)/B45*100,0))</f>
        <v/>
      </c>
      <c r="F45" s="46">
        <f>IF(B45=0,"",IFERROR(COUNTIFS(Export!$E:$E,A45,Export!$H:$H,"Efectivo",Export!$M:$M,"&lt;="&amp;1)/B45*100,0))</f>
        <v/>
      </c>
      <c r="G45" s="46">
        <f>IF(B45=0,"",IFERROR(COUNTIFS(Export!$E:$E,A45,Export!$H:$H,"Efectivo",Export!$M:$M,"&lt;="&amp;2)/B45*100,0))</f>
        <v/>
      </c>
      <c r="H45" s="46">
        <f>IF(B45=0,"",IFERROR(COUNTIFS(Export!$E:$E,A45,Export!$H:$H,"Efectivo",Export!$M:$M,"&lt;="&amp;3)/B45*100,0))</f>
        <v/>
      </c>
      <c r="I45" s="46">
        <f>IF(B45=0,"",IFERROR(COUNTIFS(Export!$E:$E,A45,Export!$H:$H,"Efectivo",Export!$M:$M,"&lt;="&amp;4)/B45*100,0))</f>
        <v/>
      </c>
      <c r="J45" s="46">
        <f>IF(B45=0,"",IFERROR(COUNTIFS(Export!$E:$E,A45,Export!$H:$H,"Efectivo",Export!$M:$M,"&lt;="&amp;5)/B45*100,0))</f>
        <v/>
      </c>
      <c r="K45" s="46">
        <f>IF(B45=0,"",IFERROR(COUNTIFS(Export!$E:$E,A45,Export!$H:$H,"Efectivo",Export!$M:$M,"&lt;="&amp;6)/B45*100,0))</f>
        <v/>
      </c>
      <c r="L45" s="46">
        <f>IF(B45=0,"",IFERROR(COUNTIFS(Export!$E:$E,A45,Export!$H:$H,"Efectivo",Export!$M:$M,"&lt;="&amp;7)/B45*100,0))</f>
        <v/>
      </c>
      <c r="M45" s="46">
        <f>IF(B45=0,"",IFERROR(COUNTIFS(Export!$E:$E,A45,Export!$H:$H,"Efectivo",Export!$M:$M,"&lt;="&amp;8)/B45*100,0))</f>
        <v/>
      </c>
      <c r="N45" s="46">
        <f>IF(B45=0,"",IFERROR(COUNTIFS(Export!$E:$E,A45,Export!$H:$H,"Efectivo",Export!$M:$M,"&lt;="&amp;9)/B45*100,0))</f>
        <v/>
      </c>
      <c r="O45" s="46">
        <f>IF(B45=0,"",IFERROR(COUNTIFS(Export!$E:$E,A45,Export!$H:$H,"Efectivo",Export!$M:$M,"&lt;="&amp;10)/B45*100,0))</f>
        <v/>
      </c>
      <c r="P45" s="46">
        <f>IF(B45=0,"",IFERROR(COUNTIFS(Export!$E:$E,A45,Export!$H:$H,"Efectivo",Export!$M:$M,"&lt;="&amp;11)/B45*100,0))</f>
        <v/>
      </c>
      <c r="Q45" s="46">
        <f>IF(B45=0,"",IFERROR(COUNTIFS(Export!$E:$E,A45,Export!$H:$H,"Efectivo",Export!$M:$M,"&lt;="&amp;12)/B45*100,0))</f>
        <v/>
      </c>
      <c r="R45" s="46">
        <f>IF(B45=0,"",IFERROR(COUNTIFS(Export!$E:$E,A45,Export!$H:$H,"Efectivo",Export!$M:$M,"&lt;="&amp;13)/B45*100,0))</f>
        <v/>
      </c>
      <c r="S45" s="46">
        <f>IF(B45=0,"",IFERROR(COUNTIFS(Export!$E:$E,A45,Export!$H:$H,"Efectivo",Export!$M:$M,"&lt;="&amp;14)/B45*100,0))</f>
        <v/>
      </c>
      <c r="T45" s="46">
        <f>IF(B45=0,"",IFERROR(COUNTIFS(Export!$E:$E,A45,Export!$H:$H,"Efectivo",Export!$M:$M,"&lt;="&amp;15)/B45*100,0))</f>
        <v/>
      </c>
      <c r="U45" s="46">
        <f>IF(B45=0,"",IFERROR(COUNTIFS(Export!$E:$E,A45,Export!$H:$H,"Efectivo",Export!$M:$M,"&lt;="&amp;16)/B45*100,0))</f>
        <v/>
      </c>
      <c r="V45" s="46">
        <f>IF(B45=0,"",IFERROR(COUNTIFS(Export!$E:$E,A45,Export!$H:$H,"Efectivo",Export!$M:$M,"&lt;="&amp;17)/B45*100,0))</f>
        <v/>
      </c>
      <c r="W45" s="46">
        <f>IF(B45=0,"",IFERROR(COUNTIFS(Export!$E:$E,A45,Export!$H:$H,"Efectivo",Export!$M:$M,"&lt;="&amp;18)/B45*100,0))</f>
        <v/>
      </c>
      <c r="X45" s="46">
        <f>IF(B45=0,"",IFERROR(COUNTIFS(Export!$E:$E,A45,Export!$H:$H,"Efectivo",Export!$M:$M,"&lt;="&amp;19)/B45*100,0))</f>
        <v/>
      </c>
      <c r="Y45" s="46">
        <f>IF(B45=0,"",IFERROR(COUNTIFS(Export!$E:$E,A45,Export!$H:$H,"Efectivo",Export!$M:$M,"&lt;="&amp;20)/B45*100,0))</f>
        <v/>
      </c>
      <c r="Z45" s="46">
        <f>IF(B45=0,"",IFERROR(COUNTIFS(Export!$E:$E,A45,Export!$H:$H,"Efectivo",Export!$M:$M,"&lt;="&amp;21)/B45*100,0))</f>
        <v/>
      </c>
      <c r="AA45" s="46">
        <f>IF(B45=0,"",IFERROR(COUNTIFS(Export!$E:$E,A45,Export!$H:$H,"Efectivo",Export!$M:$M,"&lt;="&amp;22)/B45*100,0))</f>
        <v/>
      </c>
      <c r="AB45" s="46">
        <f>IF(B45=0,"",IFERROR(COUNTIFS(Export!$E:$E,A45,Export!$H:$H,"Efectivo",Export!$M:$M,"&lt;="&amp;23)/B45*100,0))</f>
        <v/>
      </c>
      <c r="AC45" s="46">
        <f>IF(B45=0,"",IFERROR(COUNTIFS(Export!$E:$E,A45,Export!$H:$H,"Efectivo",Export!$M:$M,"&lt;="&amp;24)/B45*100,0))</f>
        <v/>
      </c>
      <c r="AD45" s="46">
        <f>IF(B45=0,"",IFERROR(COUNTIFS(Export!$E:$E,A45,Export!$H:$H,"Efectivo",Export!$M:$M,"&lt;="&amp;25)/B45*100,0))</f>
        <v/>
      </c>
      <c r="AE45" s="46">
        <f>IF(B45=0,"",IFERROR(COUNTIFS(Export!$E:$E,A45,Export!$H:$H,"Efectivo",Export!$M:$M,"&lt;="&amp;26)/B45*100,0))</f>
        <v/>
      </c>
      <c r="AF45" s="46">
        <f>IF(B45=0,"",IFERROR(COUNTIFS(Export!$E:$E,A45,Export!$H:$H,"Efectivo",Export!$M:$M,"&lt;="&amp;27)/B45*100,0))</f>
        <v/>
      </c>
      <c r="AG45" s="46">
        <f>IF(B45=0,"",IFERROR(COUNTIFS(Export!$E:$E,A45,Export!$H:$H,"Efectivo",Export!$M:$M,"&lt;="&amp;28)/B45*100,0))</f>
        <v/>
      </c>
      <c r="AH45" s="46">
        <f>IF(B45=0,"",IFERROR(COUNTIFS(Export!$E:$E,A45,Export!$H:$H,"Efectivo",Export!$M:$M,"&lt;="&amp;29)/B45*100,0))</f>
        <v/>
      </c>
      <c r="AI45" s="46">
        <f>IF(B45=0,"",IFERROR(COUNTIFS(Export!$E:$E,A45,Export!$H:$H,"Efectivo",Export!$M:$M,"&lt;="&amp;30)/B45*100,0))</f>
        <v/>
      </c>
      <c r="AJ45" s="46">
        <f>IF(B45=0,"",IFERROR(COUNTIFS(Export!$E:$E,A45,Export!$H:$H,"Efectivo",Export!$M:$M,"&lt;="&amp;31)/B45*100,0))</f>
        <v/>
      </c>
      <c r="AK45" s="46">
        <f>IF(B45=0,"",IFERROR(COUNTIFS(Export!$E:$E,A45,Export!$H:$H,"Efectivo",Export!$M:$M,"&lt;="&amp;32)/B45*100,0))</f>
        <v/>
      </c>
      <c r="AL45" s="46">
        <f>IF(B45=0,"",IFERROR(COUNTIFS(Export!$E:$E,A45,Export!$H:$H,"Efectivo",Export!$M:$M,"&lt;="&amp;33)/B45*100,0))</f>
        <v/>
      </c>
      <c r="AM45" s="46">
        <f>IF(B45=0,"",IFERROR(COUNTIFS(Export!$E:$E,A45,Export!$H:$H,"Efectivo",Export!$M:$M,"&lt;="&amp;34)/B45*100,0))</f>
        <v/>
      </c>
      <c r="AN45" s="46">
        <f>IF(B45=0,"",IFERROR(COUNTIFS(Export!$E:$E,A45,Export!$H:$H,"Efectivo",Export!$M:$M,"&lt;="&amp;35)/B45*100,0))</f>
        <v/>
      </c>
      <c r="AO45" s="46">
        <f>IF(B45=0,"",IFERROR(COUNTIFS(Export!$E:$E,A45,Export!$H:$H,"Efectivo",Export!$M:$M,"&lt;="&amp;36)/B45*100,0))</f>
        <v/>
      </c>
    </row>
    <row r="46">
      <c r="A46" s="49" t="inlineStr">
        <is>
          <t>08-2027</t>
        </is>
      </c>
      <c r="B46" s="44">
        <f>IFERROR(COUNTIF(Export!$E:$E,A46),0)</f>
        <v/>
      </c>
      <c r="C46" s="45">
        <f>IFERROR(VLOOKUP(A46,Originaciones!$A:$B,2,0),"")</f>
        <v/>
      </c>
      <c r="D46">
        <f>IFERROR(VLOOKUP(A46,'Flota Activa'!$A:$B,2,0),"")</f>
        <v/>
      </c>
      <c r="E46" s="46">
        <f>IF(B46=0,"",IFERROR(COUNTIFS(Export!$E:$E,A46,Export!$H:$H,"Efectivo",Export!$M:$M,"&lt;="&amp;0)/B46*100,0))</f>
        <v/>
      </c>
      <c r="F46" s="46">
        <f>IF(B46=0,"",IFERROR(COUNTIFS(Export!$E:$E,A46,Export!$H:$H,"Efectivo",Export!$M:$M,"&lt;="&amp;1)/B46*100,0))</f>
        <v/>
      </c>
      <c r="G46" s="46">
        <f>IF(B46=0,"",IFERROR(COUNTIFS(Export!$E:$E,A46,Export!$H:$H,"Efectivo",Export!$M:$M,"&lt;="&amp;2)/B46*100,0))</f>
        <v/>
      </c>
      <c r="H46" s="46">
        <f>IF(B46=0,"",IFERROR(COUNTIFS(Export!$E:$E,A46,Export!$H:$H,"Efectivo",Export!$M:$M,"&lt;="&amp;3)/B46*100,0))</f>
        <v/>
      </c>
      <c r="I46" s="46">
        <f>IF(B46=0,"",IFERROR(COUNTIFS(Export!$E:$E,A46,Export!$H:$H,"Efectivo",Export!$M:$M,"&lt;="&amp;4)/B46*100,0))</f>
        <v/>
      </c>
      <c r="J46" s="46">
        <f>IF(B46=0,"",IFERROR(COUNTIFS(Export!$E:$E,A46,Export!$H:$H,"Efectivo",Export!$M:$M,"&lt;="&amp;5)/B46*100,0))</f>
        <v/>
      </c>
      <c r="K46" s="46">
        <f>IF(B46=0,"",IFERROR(COUNTIFS(Export!$E:$E,A46,Export!$H:$H,"Efectivo",Export!$M:$M,"&lt;="&amp;6)/B46*100,0))</f>
        <v/>
      </c>
      <c r="L46" s="46">
        <f>IF(B46=0,"",IFERROR(COUNTIFS(Export!$E:$E,A46,Export!$H:$H,"Efectivo",Export!$M:$M,"&lt;="&amp;7)/B46*100,0))</f>
        <v/>
      </c>
      <c r="M46" s="46">
        <f>IF(B46=0,"",IFERROR(COUNTIFS(Export!$E:$E,A46,Export!$H:$H,"Efectivo",Export!$M:$M,"&lt;="&amp;8)/B46*100,0))</f>
        <v/>
      </c>
      <c r="N46" s="46">
        <f>IF(B46=0,"",IFERROR(COUNTIFS(Export!$E:$E,A46,Export!$H:$H,"Efectivo",Export!$M:$M,"&lt;="&amp;9)/B46*100,0))</f>
        <v/>
      </c>
      <c r="O46" s="46">
        <f>IF(B46=0,"",IFERROR(COUNTIFS(Export!$E:$E,A46,Export!$H:$H,"Efectivo",Export!$M:$M,"&lt;="&amp;10)/B46*100,0))</f>
        <v/>
      </c>
      <c r="P46" s="46">
        <f>IF(B46=0,"",IFERROR(COUNTIFS(Export!$E:$E,A46,Export!$H:$H,"Efectivo",Export!$M:$M,"&lt;="&amp;11)/B46*100,0))</f>
        <v/>
      </c>
      <c r="Q46" s="46">
        <f>IF(B46=0,"",IFERROR(COUNTIFS(Export!$E:$E,A46,Export!$H:$H,"Efectivo",Export!$M:$M,"&lt;="&amp;12)/B46*100,0))</f>
        <v/>
      </c>
      <c r="R46" s="46">
        <f>IF(B46=0,"",IFERROR(COUNTIFS(Export!$E:$E,A46,Export!$H:$H,"Efectivo",Export!$M:$M,"&lt;="&amp;13)/B46*100,0))</f>
        <v/>
      </c>
      <c r="S46" s="46">
        <f>IF(B46=0,"",IFERROR(COUNTIFS(Export!$E:$E,A46,Export!$H:$H,"Efectivo",Export!$M:$M,"&lt;="&amp;14)/B46*100,0))</f>
        <v/>
      </c>
      <c r="T46" s="46">
        <f>IF(B46=0,"",IFERROR(COUNTIFS(Export!$E:$E,A46,Export!$H:$H,"Efectivo",Export!$M:$M,"&lt;="&amp;15)/B46*100,0))</f>
        <v/>
      </c>
      <c r="U46" s="46">
        <f>IF(B46=0,"",IFERROR(COUNTIFS(Export!$E:$E,A46,Export!$H:$H,"Efectivo",Export!$M:$M,"&lt;="&amp;16)/B46*100,0))</f>
        <v/>
      </c>
      <c r="V46" s="46">
        <f>IF(B46=0,"",IFERROR(COUNTIFS(Export!$E:$E,A46,Export!$H:$H,"Efectivo",Export!$M:$M,"&lt;="&amp;17)/B46*100,0))</f>
        <v/>
      </c>
      <c r="W46" s="46">
        <f>IF(B46=0,"",IFERROR(COUNTIFS(Export!$E:$E,A46,Export!$H:$H,"Efectivo",Export!$M:$M,"&lt;="&amp;18)/B46*100,0))</f>
        <v/>
      </c>
      <c r="X46" s="46">
        <f>IF(B46=0,"",IFERROR(COUNTIFS(Export!$E:$E,A46,Export!$H:$H,"Efectivo",Export!$M:$M,"&lt;="&amp;19)/B46*100,0))</f>
        <v/>
      </c>
      <c r="Y46" s="46">
        <f>IF(B46=0,"",IFERROR(COUNTIFS(Export!$E:$E,A46,Export!$H:$H,"Efectivo",Export!$M:$M,"&lt;="&amp;20)/B46*100,0))</f>
        <v/>
      </c>
      <c r="Z46" s="46">
        <f>IF(B46=0,"",IFERROR(COUNTIFS(Export!$E:$E,A46,Export!$H:$H,"Efectivo",Export!$M:$M,"&lt;="&amp;21)/B46*100,0))</f>
        <v/>
      </c>
      <c r="AA46" s="46">
        <f>IF(B46=0,"",IFERROR(COUNTIFS(Export!$E:$E,A46,Export!$H:$H,"Efectivo",Export!$M:$M,"&lt;="&amp;22)/B46*100,0))</f>
        <v/>
      </c>
      <c r="AB46" s="46">
        <f>IF(B46=0,"",IFERROR(COUNTIFS(Export!$E:$E,A46,Export!$H:$H,"Efectivo",Export!$M:$M,"&lt;="&amp;23)/B46*100,0))</f>
        <v/>
      </c>
      <c r="AC46" s="46">
        <f>IF(B46=0,"",IFERROR(COUNTIFS(Export!$E:$E,A46,Export!$H:$H,"Efectivo",Export!$M:$M,"&lt;="&amp;24)/B46*100,0))</f>
        <v/>
      </c>
      <c r="AD46" s="46">
        <f>IF(B46=0,"",IFERROR(COUNTIFS(Export!$E:$E,A46,Export!$H:$H,"Efectivo",Export!$M:$M,"&lt;="&amp;25)/B46*100,0))</f>
        <v/>
      </c>
      <c r="AE46" s="46">
        <f>IF(B46=0,"",IFERROR(COUNTIFS(Export!$E:$E,A46,Export!$H:$H,"Efectivo",Export!$M:$M,"&lt;="&amp;26)/B46*100,0))</f>
        <v/>
      </c>
      <c r="AF46" s="46">
        <f>IF(B46=0,"",IFERROR(COUNTIFS(Export!$E:$E,A46,Export!$H:$H,"Efectivo",Export!$M:$M,"&lt;="&amp;27)/B46*100,0))</f>
        <v/>
      </c>
      <c r="AG46" s="46">
        <f>IF(B46=0,"",IFERROR(COUNTIFS(Export!$E:$E,A46,Export!$H:$H,"Efectivo",Export!$M:$M,"&lt;="&amp;28)/B46*100,0))</f>
        <v/>
      </c>
      <c r="AH46" s="46">
        <f>IF(B46=0,"",IFERROR(COUNTIFS(Export!$E:$E,A46,Export!$H:$H,"Efectivo",Export!$M:$M,"&lt;="&amp;29)/B46*100,0))</f>
        <v/>
      </c>
      <c r="AI46" s="46">
        <f>IF(B46=0,"",IFERROR(COUNTIFS(Export!$E:$E,A46,Export!$H:$H,"Efectivo",Export!$M:$M,"&lt;="&amp;30)/B46*100,0))</f>
        <v/>
      </c>
      <c r="AJ46" s="46">
        <f>IF(B46=0,"",IFERROR(COUNTIFS(Export!$E:$E,A46,Export!$H:$H,"Efectivo",Export!$M:$M,"&lt;="&amp;31)/B46*100,0))</f>
        <v/>
      </c>
      <c r="AK46" s="46">
        <f>IF(B46=0,"",IFERROR(COUNTIFS(Export!$E:$E,A46,Export!$H:$H,"Efectivo",Export!$M:$M,"&lt;="&amp;32)/B46*100,0))</f>
        <v/>
      </c>
      <c r="AL46" s="46">
        <f>IF(B46=0,"",IFERROR(COUNTIFS(Export!$E:$E,A46,Export!$H:$H,"Efectivo",Export!$M:$M,"&lt;="&amp;33)/B46*100,0))</f>
        <v/>
      </c>
      <c r="AM46" s="46">
        <f>IF(B46=0,"",IFERROR(COUNTIFS(Export!$E:$E,A46,Export!$H:$H,"Efectivo",Export!$M:$M,"&lt;="&amp;34)/B46*100,0))</f>
        <v/>
      </c>
      <c r="AN46" s="46">
        <f>IF(B46=0,"",IFERROR(COUNTIFS(Export!$E:$E,A46,Export!$H:$H,"Efectivo",Export!$M:$M,"&lt;="&amp;35)/B46*100,0))</f>
        <v/>
      </c>
      <c r="AO46" s="46">
        <f>IF(B46=0,"",IFERROR(COUNTIFS(Export!$E:$E,A46,Export!$H:$H,"Efectivo",Export!$M:$M,"&lt;="&amp;36)/B46*100,0))</f>
        <v/>
      </c>
    </row>
    <row r="47">
      <c r="A47" s="49" t="inlineStr">
        <is>
          <t>09-2027</t>
        </is>
      </c>
      <c r="B47" s="44">
        <f>IFERROR(COUNTIF(Export!$E:$E,A47),0)</f>
        <v/>
      </c>
      <c r="C47" s="45">
        <f>IFERROR(VLOOKUP(A47,Originaciones!$A:$B,2,0),"")</f>
        <v/>
      </c>
      <c r="D47">
        <f>IFERROR(VLOOKUP(A47,'Flota Activa'!$A:$B,2,0),"")</f>
        <v/>
      </c>
      <c r="E47" s="46">
        <f>IF(B47=0,"",IFERROR(COUNTIFS(Export!$E:$E,A47,Export!$H:$H,"Efectivo",Export!$M:$M,"&lt;="&amp;0)/B47*100,0))</f>
        <v/>
      </c>
      <c r="F47" s="46">
        <f>IF(B47=0,"",IFERROR(COUNTIFS(Export!$E:$E,A47,Export!$H:$H,"Efectivo",Export!$M:$M,"&lt;="&amp;1)/B47*100,0))</f>
        <v/>
      </c>
      <c r="G47" s="46">
        <f>IF(B47=0,"",IFERROR(COUNTIFS(Export!$E:$E,A47,Export!$H:$H,"Efectivo",Export!$M:$M,"&lt;="&amp;2)/B47*100,0))</f>
        <v/>
      </c>
      <c r="H47" s="46">
        <f>IF(B47=0,"",IFERROR(COUNTIFS(Export!$E:$E,A47,Export!$H:$H,"Efectivo",Export!$M:$M,"&lt;="&amp;3)/B47*100,0))</f>
        <v/>
      </c>
      <c r="I47" s="46">
        <f>IF(B47=0,"",IFERROR(COUNTIFS(Export!$E:$E,A47,Export!$H:$H,"Efectivo",Export!$M:$M,"&lt;="&amp;4)/B47*100,0))</f>
        <v/>
      </c>
      <c r="J47" s="46">
        <f>IF(B47=0,"",IFERROR(COUNTIFS(Export!$E:$E,A47,Export!$H:$H,"Efectivo",Export!$M:$M,"&lt;="&amp;5)/B47*100,0))</f>
        <v/>
      </c>
      <c r="K47" s="46">
        <f>IF(B47=0,"",IFERROR(COUNTIFS(Export!$E:$E,A47,Export!$H:$H,"Efectivo",Export!$M:$M,"&lt;="&amp;6)/B47*100,0))</f>
        <v/>
      </c>
      <c r="L47" s="46">
        <f>IF(B47=0,"",IFERROR(COUNTIFS(Export!$E:$E,A47,Export!$H:$H,"Efectivo",Export!$M:$M,"&lt;="&amp;7)/B47*100,0))</f>
        <v/>
      </c>
      <c r="M47" s="46">
        <f>IF(B47=0,"",IFERROR(COUNTIFS(Export!$E:$E,A47,Export!$H:$H,"Efectivo",Export!$M:$M,"&lt;="&amp;8)/B47*100,0))</f>
        <v/>
      </c>
      <c r="N47" s="46">
        <f>IF(B47=0,"",IFERROR(COUNTIFS(Export!$E:$E,A47,Export!$H:$H,"Efectivo",Export!$M:$M,"&lt;="&amp;9)/B47*100,0))</f>
        <v/>
      </c>
      <c r="O47" s="46">
        <f>IF(B47=0,"",IFERROR(COUNTIFS(Export!$E:$E,A47,Export!$H:$H,"Efectivo",Export!$M:$M,"&lt;="&amp;10)/B47*100,0))</f>
        <v/>
      </c>
      <c r="P47" s="46">
        <f>IF(B47=0,"",IFERROR(COUNTIFS(Export!$E:$E,A47,Export!$H:$H,"Efectivo",Export!$M:$M,"&lt;="&amp;11)/B47*100,0))</f>
        <v/>
      </c>
      <c r="Q47" s="46">
        <f>IF(B47=0,"",IFERROR(COUNTIFS(Export!$E:$E,A47,Export!$H:$H,"Efectivo",Export!$M:$M,"&lt;="&amp;12)/B47*100,0))</f>
        <v/>
      </c>
      <c r="R47" s="46">
        <f>IF(B47=0,"",IFERROR(COUNTIFS(Export!$E:$E,A47,Export!$H:$H,"Efectivo",Export!$M:$M,"&lt;="&amp;13)/B47*100,0))</f>
        <v/>
      </c>
      <c r="S47" s="46">
        <f>IF(B47=0,"",IFERROR(COUNTIFS(Export!$E:$E,A47,Export!$H:$H,"Efectivo",Export!$M:$M,"&lt;="&amp;14)/B47*100,0))</f>
        <v/>
      </c>
      <c r="T47" s="46">
        <f>IF(B47=0,"",IFERROR(COUNTIFS(Export!$E:$E,A47,Export!$H:$H,"Efectivo",Export!$M:$M,"&lt;="&amp;15)/B47*100,0))</f>
        <v/>
      </c>
      <c r="U47" s="46">
        <f>IF(B47=0,"",IFERROR(COUNTIFS(Export!$E:$E,A47,Export!$H:$H,"Efectivo",Export!$M:$M,"&lt;="&amp;16)/B47*100,0))</f>
        <v/>
      </c>
      <c r="V47" s="46">
        <f>IF(B47=0,"",IFERROR(COUNTIFS(Export!$E:$E,A47,Export!$H:$H,"Efectivo",Export!$M:$M,"&lt;="&amp;17)/B47*100,0))</f>
        <v/>
      </c>
      <c r="W47" s="46">
        <f>IF(B47=0,"",IFERROR(COUNTIFS(Export!$E:$E,A47,Export!$H:$H,"Efectivo",Export!$M:$M,"&lt;="&amp;18)/B47*100,0))</f>
        <v/>
      </c>
      <c r="X47" s="46">
        <f>IF(B47=0,"",IFERROR(COUNTIFS(Export!$E:$E,A47,Export!$H:$H,"Efectivo",Export!$M:$M,"&lt;="&amp;19)/B47*100,0))</f>
        <v/>
      </c>
      <c r="Y47" s="46">
        <f>IF(B47=0,"",IFERROR(COUNTIFS(Export!$E:$E,A47,Export!$H:$H,"Efectivo",Export!$M:$M,"&lt;="&amp;20)/B47*100,0))</f>
        <v/>
      </c>
      <c r="Z47" s="46">
        <f>IF(B47=0,"",IFERROR(COUNTIFS(Export!$E:$E,A47,Export!$H:$H,"Efectivo",Export!$M:$M,"&lt;="&amp;21)/B47*100,0))</f>
        <v/>
      </c>
      <c r="AA47" s="46">
        <f>IF(B47=0,"",IFERROR(COUNTIFS(Export!$E:$E,A47,Export!$H:$H,"Efectivo",Export!$M:$M,"&lt;="&amp;22)/B47*100,0))</f>
        <v/>
      </c>
      <c r="AB47" s="46">
        <f>IF(B47=0,"",IFERROR(COUNTIFS(Export!$E:$E,A47,Export!$H:$H,"Efectivo",Export!$M:$M,"&lt;="&amp;23)/B47*100,0))</f>
        <v/>
      </c>
      <c r="AC47" s="46">
        <f>IF(B47=0,"",IFERROR(COUNTIFS(Export!$E:$E,A47,Export!$H:$H,"Efectivo",Export!$M:$M,"&lt;="&amp;24)/B47*100,0))</f>
        <v/>
      </c>
      <c r="AD47" s="46">
        <f>IF(B47=0,"",IFERROR(COUNTIFS(Export!$E:$E,A47,Export!$H:$H,"Efectivo",Export!$M:$M,"&lt;="&amp;25)/B47*100,0))</f>
        <v/>
      </c>
      <c r="AE47" s="46">
        <f>IF(B47=0,"",IFERROR(COUNTIFS(Export!$E:$E,A47,Export!$H:$H,"Efectivo",Export!$M:$M,"&lt;="&amp;26)/B47*100,0))</f>
        <v/>
      </c>
      <c r="AF47" s="46">
        <f>IF(B47=0,"",IFERROR(COUNTIFS(Export!$E:$E,A47,Export!$H:$H,"Efectivo",Export!$M:$M,"&lt;="&amp;27)/B47*100,0))</f>
        <v/>
      </c>
      <c r="AG47" s="46">
        <f>IF(B47=0,"",IFERROR(COUNTIFS(Export!$E:$E,A47,Export!$H:$H,"Efectivo",Export!$M:$M,"&lt;="&amp;28)/B47*100,0))</f>
        <v/>
      </c>
      <c r="AH47" s="46">
        <f>IF(B47=0,"",IFERROR(COUNTIFS(Export!$E:$E,A47,Export!$H:$H,"Efectivo",Export!$M:$M,"&lt;="&amp;29)/B47*100,0))</f>
        <v/>
      </c>
      <c r="AI47" s="46">
        <f>IF(B47=0,"",IFERROR(COUNTIFS(Export!$E:$E,A47,Export!$H:$H,"Efectivo",Export!$M:$M,"&lt;="&amp;30)/B47*100,0))</f>
        <v/>
      </c>
      <c r="AJ47" s="46">
        <f>IF(B47=0,"",IFERROR(COUNTIFS(Export!$E:$E,A47,Export!$H:$H,"Efectivo",Export!$M:$M,"&lt;="&amp;31)/B47*100,0))</f>
        <v/>
      </c>
      <c r="AK47" s="46">
        <f>IF(B47=0,"",IFERROR(COUNTIFS(Export!$E:$E,A47,Export!$H:$H,"Efectivo",Export!$M:$M,"&lt;="&amp;32)/B47*100,0))</f>
        <v/>
      </c>
      <c r="AL47" s="46">
        <f>IF(B47=0,"",IFERROR(COUNTIFS(Export!$E:$E,A47,Export!$H:$H,"Efectivo",Export!$M:$M,"&lt;="&amp;33)/B47*100,0))</f>
        <v/>
      </c>
      <c r="AM47" s="46">
        <f>IF(B47=0,"",IFERROR(COUNTIFS(Export!$E:$E,A47,Export!$H:$H,"Efectivo",Export!$M:$M,"&lt;="&amp;34)/B47*100,0))</f>
        <v/>
      </c>
      <c r="AN47" s="46">
        <f>IF(B47=0,"",IFERROR(COUNTIFS(Export!$E:$E,A47,Export!$H:$H,"Efectivo",Export!$M:$M,"&lt;="&amp;35)/B47*100,0))</f>
        <v/>
      </c>
      <c r="AO47" s="46">
        <f>IF(B47=0,"",IFERROR(COUNTIFS(Export!$E:$E,A47,Export!$H:$H,"Efectivo",Export!$M:$M,"&lt;="&amp;36)/B47*100,0))</f>
        <v/>
      </c>
    </row>
    <row r="48">
      <c r="A48" s="49" t="inlineStr">
        <is>
          <t>10-2027</t>
        </is>
      </c>
      <c r="B48" s="44">
        <f>IFERROR(COUNTIF(Export!$E:$E,A48),0)</f>
        <v/>
      </c>
      <c r="C48" s="45">
        <f>IFERROR(VLOOKUP(A48,Originaciones!$A:$B,2,0),"")</f>
        <v/>
      </c>
      <c r="D48">
        <f>IFERROR(VLOOKUP(A48,'Flota Activa'!$A:$B,2,0),"")</f>
        <v/>
      </c>
      <c r="E48" s="46">
        <f>IF(B48=0,"",IFERROR(COUNTIFS(Export!$E:$E,A48,Export!$H:$H,"Efectivo",Export!$M:$M,"&lt;="&amp;0)/B48*100,0))</f>
        <v/>
      </c>
      <c r="F48" s="46">
        <f>IF(B48=0,"",IFERROR(COUNTIFS(Export!$E:$E,A48,Export!$H:$H,"Efectivo",Export!$M:$M,"&lt;="&amp;1)/B48*100,0))</f>
        <v/>
      </c>
      <c r="G48" s="46">
        <f>IF(B48=0,"",IFERROR(COUNTIFS(Export!$E:$E,A48,Export!$H:$H,"Efectivo",Export!$M:$M,"&lt;="&amp;2)/B48*100,0))</f>
        <v/>
      </c>
      <c r="H48" s="46">
        <f>IF(B48=0,"",IFERROR(COUNTIFS(Export!$E:$E,A48,Export!$H:$H,"Efectivo",Export!$M:$M,"&lt;="&amp;3)/B48*100,0))</f>
        <v/>
      </c>
      <c r="I48" s="46">
        <f>IF(B48=0,"",IFERROR(COUNTIFS(Export!$E:$E,A48,Export!$H:$H,"Efectivo",Export!$M:$M,"&lt;="&amp;4)/B48*100,0))</f>
        <v/>
      </c>
      <c r="J48" s="46">
        <f>IF(B48=0,"",IFERROR(COUNTIFS(Export!$E:$E,A48,Export!$H:$H,"Efectivo",Export!$M:$M,"&lt;="&amp;5)/B48*100,0))</f>
        <v/>
      </c>
      <c r="K48" s="46">
        <f>IF(B48=0,"",IFERROR(COUNTIFS(Export!$E:$E,A48,Export!$H:$H,"Efectivo",Export!$M:$M,"&lt;="&amp;6)/B48*100,0))</f>
        <v/>
      </c>
      <c r="L48" s="46">
        <f>IF(B48=0,"",IFERROR(COUNTIFS(Export!$E:$E,A48,Export!$H:$H,"Efectivo",Export!$M:$M,"&lt;="&amp;7)/B48*100,0))</f>
        <v/>
      </c>
      <c r="M48" s="46">
        <f>IF(B48=0,"",IFERROR(COUNTIFS(Export!$E:$E,A48,Export!$H:$H,"Efectivo",Export!$M:$M,"&lt;="&amp;8)/B48*100,0))</f>
        <v/>
      </c>
      <c r="N48" s="46">
        <f>IF(B48=0,"",IFERROR(COUNTIFS(Export!$E:$E,A48,Export!$H:$H,"Efectivo",Export!$M:$M,"&lt;="&amp;9)/B48*100,0))</f>
        <v/>
      </c>
      <c r="O48" s="46">
        <f>IF(B48=0,"",IFERROR(COUNTIFS(Export!$E:$E,A48,Export!$H:$H,"Efectivo",Export!$M:$M,"&lt;="&amp;10)/B48*100,0))</f>
        <v/>
      </c>
      <c r="P48" s="46">
        <f>IF(B48=0,"",IFERROR(COUNTIFS(Export!$E:$E,A48,Export!$H:$H,"Efectivo",Export!$M:$M,"&lt;="&amp;11)/B48*100,0))</f>
        <v/>
      </c>
      <c r="Q48" s="46">
        <f>IF(B48=0,"",IFERROR(COUNTIFS(Export!$E:$E,A48,Export!$H:$H,"Efectivo",Export!$M:$M,"&lt;="&amp;12)/B48*100,0))</f>
        <v/>
      </c>
      <c r="R48" s="46">
        <f>IF(B48=0,"",IFERROR(COUNTIFS(Export!$E:$E,A48,Export!$H:$H,"Efectivo",Export!$M:$M,"&lt;="&amp;13)/B48*100,0))</f>
        <v/>
      </c>
      <c r="S48" s="46">
        <f>IF(B48=0,"",IFERROR(COUNTIFS(Export!$E:$E,A48,Export!$H:$H,"Efectivo",Export!$M:$M,"&lt;="&amp;14)/B48*100,0))</f>
        <v/>
      </c>
      <c r="T48" s="46">
        <f>IF(B48=0,"",IFERROR(COUNTIFS(Export!$E:$E,A48,Export!$H:$H,"Efectivo",Export!$M:$M,"&lt;="&amp;15)/B48*100,0))</f>
        <v/>
      </c>
      <c r="U48" s="46">
        <f>IF(B48=0,"",IFERROR(COUNTIFS(Export!$E:$E,A48,Export!$H:$H,"Efectivo",Export!$M:$M,"&lt;="&amp;16)/B48*100,0))</f>
        <v/>
      </c>
      <c r="V48" s="46">
        <f>IF(B48=0,"",IFERROR(COUNTIFS(Export!$E:$E,A48,Export!$H:$H,"Efectivo",Export!$M:$M,"&lt;="&amp;17)/B48*100,0))</f>
        <v/>
      </c>
      <c r="W48" s="46">
        <f>IF(B48=0,"",IFERROR(COUNTIFS(Export!$E:$E,A48,Export!$H:$H,"Efectivo",Export!$M:$M,"&lt;="&amp;18)/B48*100,0))</f>
        <v/>
      </c>
      <c r="X48" s="46">
        <f>IF(B48=0,"",IFERROR(COUNTIFS(Export!$E:$E,A48,Export!$H:$H,"Efectivo",Export!$M:$M,"&lt;="&amp;19)/B48*100,0))</f>
        <v/>
      </c>
      <c r="Y48" s="46">
        <f>IF(B48=0,"",IFERROR(COUNTIFS(Export!$E:$E,A48,Export!$H:$H,"Efectivo",Export!$M:$M,"&lt;="&amp;20)/B48*100,0))</f>
        <v/>
      </c>
      <c r="Z48" s="46">
        <f>IF(B48=0,"",IFERROR(COUNTIFS(Export!$E:$E,A48,Export!$H:$H,"Efectivo",Export!$M:$M,"&lt;="&amp;21)/B48*100,0))</f>
        <v/>
      </c>
      <c r="AA48" s="46">
        <f>IF(B48=0,"",IFERROR(COUNTIFS(Export!$E:$E,A48,Export!$H:$H,"Efectivo",Export!$M:$M,"&lt;="&amp;22)/B48*100,0))</f>
        <v/>
      </c>
      <c r="AB48" s="46">
        <f>IF(B48=0,"",IFERROR(COUNTIFS(Export!$E:$E,A48,Export!$H:$H,"Efectivo",Export!$M:$M,"&lt;="&amp;23)/B48*100,0))</f>
        <v/>
      </c>
      <c r="AC48" s="46">
        <f>IF(B48=0,"",IFERROR(COUNTIFS(Export!$E:$E,A48,Export!$H:$H,"Efectivo",Export!$M:$M,"&lt;="&amp;24)/B48*100,0))</f>
        <v/>
      </c>
      <c r="AD48" s="46">
        <f>IF(B48=0,"",IFERROR(COUNTIFS(Export!$E:$E,A48,Export!$H:$H,"Efectivo",Export!$M:$M,"&lt;="&amp;25)/B48*100,0))</f>
        <v/>
      </c>
      <c r="AE48" s="46">
        <f>IF(B48=0,"",IFERROR(COUNTIFS(Export!$E:$E,A48,Export!$H:$H,"Efectivo",Export!$M:$M,"&lt;="&amp;26)/B48*100,0))</f>
        <v/>
      </c>
      <c r="AF48" s="46">
        <f>IF(B48=0,"",IFERROR(COUNTIFS(Export!$E:$E,A48,Export!$H:$H,"Efectivo",Export!$M:$M,"&lt;="&amp;27)/B48*100,0))</f>
        <v/>
      </c>
      <c r="AG48" s="46">
        <f>IF(B48=0,"",IFERROR(COUNTIFS(Export!$E:$E,A48,Export!$H:$H,"Efectivo",Export!$M:$M,"&lt;="&amp;28)/B48*100,0))</f>
        <v/>
      </c>
      <c r="AH48" s="46">
        <f>IF(B48=0,"",IFERROR(COUNTIFS(Export!$E:$E,A48,Export!$H:$H,"Efectivo",Export!$M:$M,"&lt;="&amp;29)/B48*100,0))</f>
        <v/>
      </c>
      <c r="AI48" s="46">
        <f>IF(B48=0,"",IFERROR(COUNTIFS(Export!$E:$E,A48,Export!$H:$H,"Efectivo",Export!$M:$M,"&lt;="&amp;30)/B48*100,0))</f>
        <v/>
      </c>
      <c r="AJ48" s="46">
        <f>IF(B48=0,"",IFERROR(COUNTIFS(Export!$E:$E,A48,Export!$H:$H,"Efectivo",Export!$M:$M,"&lt;="&amp;31)/B48*100,0))</f>
        <v/>
      </c>
      <c r="AK48" s="46">
        <f>IF(B48=0,"",IFERROR(COUNTIFS(Export!$E:$E,A48,Export!$H:$H,"Efectivo",Export!$M:$M,"&lt;="&amp;32)/B48*100,0))</f>
        <v/>
      </c>
      <c r="AL48" s="46">
        <f>IF(B48=0,"",IFERROR(COUNTIFS(Export!$E:$E,A48,Export!$H:$H,"Efectivo",Export!$M:$M,"&lt;="&amp;33)/B48*100,0))</f>
        <v/>
      </c>
      <c r="AM48" s="46">
        <f>IF(B48=0,"",IFERROR(COUNTIFS(Export!$E:$E,A48,Export!$H:$H,"Efectivo",Export!$M:$M,"&lt;="&amp;34)/B48*100,0))</f>
        <v/>
      </c>
      <c r="AN48" s="46">
        <f>IF(B48=0,"",IFERROR(COUNTIFS(Export!$E:$E,A48,Export!$H:$H,"Efectivo",Export!$M:$M,"&lt;="&amp;35)/B48*100,0))</f>
        <v/>
      </c>
      <c r="AO48" s="46">
        <f>IF(B48=0,"",IFERROR(COUNTIFS(Export!$E:$E,A48,Export!$H:$H,"Efectivo",Export!$M:$M,"&lt;="&amp;36)/B48*100,0))</f>
        <v/>
      </c>
    </row>
    <row r="49">
      <c r="A49" s="49" t="inlineStr">
        <is>
          <t>11-2027</t>
        </is>
      </c>
      <c r="B49" s="44">
        <f>IFERROR(COUNTIF(Export!$E:$E,A49),0)</f>
        <v/>
      </c>
      <c r="C49" s="45">
        <f>IFERROR(VLOOKUP(A49,Originaciones!$A:$B,2,0),"")</f>
        <v/>
      </c>
      <c r="D49">
        <f>IFERROR(VLOOKUP(A49,'Flota Activa'!$A:$B,2,0),"")</f>
        <v/>
      </c>
      <c r="E49" s="46">
        <f>IF(B49=0,"",IFERROR(COUNTIFS(Export!$E:$E,A49,Export!$H:$H,"Efectivo",Export!$M:$M,"&lt;="&amp;0)/B49*100,0))</f>
        <v/>
      </c>
      <c r="F49" s="46">
        <f>IF(B49=0,"",IFERROR(COUNTIFS(Export!$E:$E,A49,Export!$H:$H,"Efectivo",Export!$M:$M,"&lt;="&amp;1)/B49*100,0))</f>
        <v/>
      </c>
      <c r="G49" s="46">
        <f>IF(B49=0,"",IFERROR(COUNTIFS(Export!$E:$E,A49,Export!$H:$H,"Efectivo",Export!$M:$M,"&lt;="&amp;2)/B49*100,0))</f>
        <v/>
      </c>
      <c r="H49" s="46">
        <f>IF(B49=0,"",IFERROR(COUNTIFS(Export!$E:$E,A49,Export!$H:$H,"Efectivo",Export!$M:$M,"&lt;="&amp;3)/B49*100,0))</f>
        <v/>
      </c>
      <c r="I49" s="46">
        <f>IF(B49=0,"",IFERROR(COUNTIFS(Export!$E:$E,A49,Export!$H:$H,"Efectivo",Export!$M:$M,"&lt;="&amp;4)/B49*100,0))</f>
        <v/>
      </c>
      <c r="J49" s="46">
        <f>IF(B49=0,"",IFERROR(COUNTIFS(Export!$E:$E,A49,Export!$H:$H,"Efectivo",Export!$M:$M,"&lt;="&amp;5)/B49*100,0))</f>
        <v/>
      </c>
      <c r="K49" s="46">
        <f>IF(B49=0,"",IFERROR(COUNTIFS(Export!$E:$E,A49,Export!$H:$H,"Efectivo",Export!$M:$M,"&lt;="&amp;6)/B49*100,0))</f>
        <v/>
      </c>
      <c r="L49" s="46">
        <f>IF(B49=0,"",IFERROR(COUNTIFS(Export!$E:$E,A49,Export!$H:$H,"Efectivo",Export!$M:$M,"&lt;="&amp;7)/B49*100,0))</f>
        <v/>
      </c>
      <c r="M49" s="46">
        <f>IF(B49=0,"",IFERROR(COUNTIFS(Export!$E:$E,A49,Export!$H:$H,"Efectivo",Export!$M:$M,"&lt;="&amp;8)/B49*100,0))</f>
        <v/>
      </c>
      <c r="N49" s="46">
        <f>IF(B49=0,"",IFERROR(COUNTIFS(Export!$E:$E,A49,Export!$H:$H,"Efectivo",Export!$M:$M,"&lt;="&amp;9)/B49*100,0))</f>
        <v/>
      </c>
      <c r="O49" s="46">
        <f>IF(B49=0,"",IFERROR(COUNTIFS(Export!$E:$E,A49,Export!$H:$H,"Efectivo",Export!$M:$M,"&lt;="&amp;10)/B49*100,0))</f>
        <v/>
      </c>
      <c r="P49" s="46">
        <f>IF(B49=0,"",IFERROR(COUNTIFS(Export!$E:$E,A49,Export!$H:$H,"Efectivo",Export!$M:$M,"&lt;="&amp;11)/B49*100,0))</f>
        <v/>
      </c>
      <c r="Q49" s="46">
        <f>IF(B49=0,"",IFERROR(COUNTIFS(Export!$E:$E,A49,Export!$H:$H,"Efectivo",Export!$M:$M,"&lt;="&amp;12)/B49*100,0))</f>
        <v/>
      </c>
      <c r="R49" s="46">
        <f>IF(B49=0,"",IFERROR(COUNTIFS(Export!$E:$E,A49,Export!$H:$H,"Efectivo",Export!$M:$M,"&lt;="&amp;13)/B49*100,0))</f>
        <v/>
      </c>
      <c r="S49" s="46">
        <f>IF(B49=0,"",IFERROR(COUNTIFS(Export!$E:$E,A49,Export!$H:$H,"Efectivo",Export!$M:$M,"&lt;="&amp;14)/B49*100,0))</f>
        <v/>
      </c>
      <c r="T49" s="46">
        <f>IF(B49=0,"",IFERROR(COUNTIFS(Export!$E:$E,A49,Export!$H:$H,"Efectivo",Export!$M:$M,"&lt;="&amp;15)/B49*100,0))</f>
        <v/>
      </c>
      <c r="U49" s="46">
        <f>IF(B49=0,"",IFERROR(COUNTIFS(Export!$E:$E,A49,Export!$H:$H,"Efectivo",Export!$M:$M,"&lt;="&amp;16)/B49*100,0))</f>
        <v/>
      </c>
      <c r="V49" s="46">
        <f>IF(B49=0,"",IFERROR(COUNTIFS(Export!$E:$E,A49,Export!$H:$H,"Efectivo",Export!$M:$M,"&lt;="&amp;17)/B49*100,0))</f>
        <v/>
      </c>
      <c r="W49" s="46">
        <f>IF(B49=0,"",IFERROR(COUNTIFS(Export!$E:$E,A49,Export!$H:$H,"Efectivo",Export!$M:$M,"&lt;="&amp;18)/B49*100,0))</f>
        <v/>
      </c>
      <c r="X49" s="46">
        <f>IF(B49=0,"",IFERROR(COUNTIFS(Export!$E:$E,A49,Export!$H:$H,"Efectivo",Export!$M:$M,"&lt;="&amp;19)/B49*100,0))</f>
        <v/>
      </c>
      <c r="Y49" s="46">
        <f>IF(B49=0,"",IFERROR(COUNTIFS(Export!$E:$E,A49,Export!$H:$H,"Efectivo",Export!$M:$M,"&lt;="&amp;20)/B49*100,0))</f>
        <v/>
      </c>
      <c r="Z49" s="46">
        <f>IF(B49=0,"",IFERROR(COUNTIFS(Export!$E:$E,A49,Export!$H:$H,"Efectivo",Export!$M:$M,"&lt;="&amp;21)/B49*100,0))</f>
        <v/>
      </c>
      <c r="AA49" s="46">
        <f>IF(B49=0,"",IFERROR(COUNTIFS(Export!$E:$E,A49,Export!$H:$H,"Efectivo",Export!$M:$M,"&lt;="&amp;22)/B49*100,0))</f>
        <v/>
      </c>
      <c r="AB49" s="46">
        <f>IF(B49=0,"",IFERROR(COUNTIFS(Export!$E:$E,A49,Export!$H:$H,"Efectivo",Export!$M:$M,"&lt;="&amp;23)/B49*100,0))</f>
        <v/>
      </c>
      <c r="AC49" s="46">
        <f>IF(B49=0,"",IFERROR(COUNTIFS(Export!$E:$E,A49,Export!$H:$H,"Efectivo",Export!$M:$M,"&lt;="&amp;24)/B49*100,0))</f>
        <v/>
      </c>
      <c r="AD49" s="46">
        <f>IF(B49=0,"",IFERROR(COUNTIFS(Export!$E:$E,A49,Export!$H:$H,"Efectivo",Export!$M:$M,"&lt;="&amp;25)/B49*100,0))</f>
        <v/>
      </c>
      <c r="AE49" s="46">
        <f>IF(B49=0,"",IFERROR(COUNTIFS(Export!$E:$E,A49,Export!$H:$H,"Efectivo",Export!$M:$M,"&lt;="&amp;26)/B49*100,0))</f>
        <v/>
      </c>
      <c r="AF49" s="46">
        <f>IF(B49=0,"",IFERROR(COUNTIFS(Export!$E:$E,A49,Export!$H:$H,"Efectivo",Export!$M:$M,"&lt;="&amp;27)/B49*100,0))</f>
        <v/>
      </c>
      <c r="AG49" s="46">
        <f>IF(B49=0,"",IFERROR(COUNTIFS(Export!$E:$E,A49,Export!$H:$H,"Efectivo",Export!$M:$M,"&lt;="&amp;28)/B49*100,0))</f>
        <v/>
      </c>
      <c r="AH49" s="46">
        <f>IF(B49=0,"",IFERROR(COUNTIFS(Export!$E:$E,A49,Export!$H:$H,"Efectivo",Export!$M:$M,"&lt;="&amp;29)/B49*100,0))</f>
        <v/>
      </c>
      <c r="AI49" s="46">
        <f>IF(B49=0,"",IFERROR(COUNTIFS(Export!$E:$E,A49,Export!$H:$H,"Efectivo",Export!$M:$M,"&lt;="&amp;30)/B49*100,0))</f>
        <v/>
      </c>
      <c r="AJ49" s="46">
        <f>IF(B49=0,"",IFERROR(COUNTIFS(Export!$E:$E,A49,Export!$H:$H,"Efectivo",Export!$M:$M,"&lt;="&amp;31)/B49*100,0))</f>
        <v/>
      </c>
      <c r="AK49" s="46">
        <f>IF(B49=0,"",IFERROR(COUNTIFS(Export!$E:$E,A49,Export!$H:$H,"Efectivo",Export!$M:$M,"&lt;="&amp;32)/B49*100,0))</f>
        <v/>
      </c>
      <c r="AL49" s="46">
        <f>IF(B49=0,"",IFERROR(COUNTIFS(Export!$E:$E,A49,Export!$H:$H,"Efectivo",Export!$M:$M,"&lt;="&amp;33)/B49*100,0))</f>
        <v/>
      </c>
      <c r="AM49" s="46">
        <f>IF(B49=0,"",IFERROR(COUNTIFS(Export!$E:$E,A49,Export!$H:$H,"Efectivo",Export!$M:$M,"&lt;="&amp;34)/B49*100,0))</f>
        <v/>
      </c>
      <c r="AN49" s="46">
        <f>IF(B49=0,"",IFERROR(COUNTIFS(Export!$E:$E,A49,Export!$H:$H,"Efectivo",Export!$M:$M,"&lt;="&amp;35)/B49*100,0))</f>
        <v/>
      </c>
      <c r="AO49" s="46">
        <f>IF(B49=0,"",IFERROR(COUNTIFS(Export!$E:$E,A49,Export!$H:$H,"Efectivo",Export!$M:$M,"&lt;="&amp;36)/B49*100,0))</f>
        <v/>
      </c>
    </row>
    <row r="50">
      <c r="A50" s="49" t="inlineStr">
        <is>
          <t>12-2027</t>
        </is>
      </c>
      <c r="B50" s="44">
        <f>IFERROR(COUNTIF(Export!$E:$E,A50),0)</f>
        <v/>
      </c>
      <c r="C50" s="45">
        <f>IFERROR(VLOOKUP(A50,Originaciones!$A:$B,2,0),"")</f>
        <v/>
      </c>
      <c r="D50">
        <f>IFERROR(VLOOKUP(A50,'Flota Activa'!$A:$B,2,0),"")</f>
        <v/>
      </c>
      <c r="E50" s="46">
        <f>IF(B50=0,"",IFERROR(COUNTIFS(Export!$E:$E,A50,Export!$H:$H,"Efectivo",Export!$M:$M,"&lt;="&amp;0)/B50*100,0))</f>
        <v/>
      </c>
      <c r="F50" s="46">
        <f>IF(B50=0,"",IFERROR(COUNTIFS(Export!$E:$E,A50,Export!$H:$H,"Efectivo",Export!$M:$M,"&lt;="&amp;1)/B50*100,0))</f>
        <v/>
      </c>
      <c r="G50" s="46">
        <f>IF(B50=0,"",IFERROR(COUNTIFS(Export!$E:$E,A50,Export!$H:$H,"Efectivo",Export!$M:$M,"&lt;="&amp;2)/B50*100,0))</f>
        <v/>
      </c>
      <c r="H50" s="46">
        <f>IF(B50=0,"",IFERROR(COUNTIFS(Export!$E:$E,A50,Export!$H:$H,"Efectivo",Export!$M:$M,"&lt;="&amp;3)/B50*100,0))</f>
        <v/>
      </c>
      <c r="I50" s="46">
        <f>IF(B50=0,"",IFERROR(COUNTIFS(Export!$E:$E,A50,Export!$H:$H,"Efectivo",Export!$M:$M,"&lt;="&amp;4)/B50*100,0))</f>
        <v/>
      </c>
      <c r="J50" s="46">
        <f>IF(B50=0,"",IFERROR(COUNTIFS(Export!$E:$E,A50,Export!$H:$H,"Efectivo",Export!$M:$M,"&lt;="&amp;5)/B50*100,0))</f>
        <v/>
      </c>
      <c r="K50" s="46">
        <f>IF(B50=0,"",IFERROR(COUNTIFS(Export!$E:$E,A50,Export!$H:$H,"Efectivo",Export!$M:$M,"&lt;="&amp;6)/B50*100,0))</f>
        <v/>
      </c>
      <c r="L50" s="46">
        <f>IF(B50=0,"",IFERROR(COUNTIFS(Export!$E:$E,A50,Export!$H:$H,"Efectivo",Export!$M:$M,"&lt;="&amp;7)/B50*100,0))</f>
        <v/>
      </c>
      <c r="M50" s="46">
        <f>IF(B50=0,"",IFERROR(COUNTIFS(Export!$E:$E,A50,Export!$H:$H,"Efectivo",Export!$M:$M,"&lt;="&amp;8)/B50*100,0))</f>
        <v/>
      </c>
      <c r="N50" s="46">
        <f>IF(B50=0,"",IFERROR(COUNTIFS(Export!$E:$E,A50,Export!$H:$H,"Efectivo",Export!$M:$M,"&lt;="&amp;9)/B50*100,0))</f>
        <v/>
      </c>
      <c r="O50" s="46">
        <f>IF(B50=0,"",IFERROR(COUNTIFS(Export!$E:$E,A50,Export!$H:$H,"Efectivo",Export!$M:$M,"&lt;="&amp;10)/B50*100,0))</f>
        <v/>
      </c>
      <c r="P50" s="46">
        <f>IF(B50=0,"",IFERROR(COUNTIFS(Export!$E:$E,A50,Export!$H:$H,"Efectivo",Export!$M:$M,"&lt;="&amp;11)/B50*100,0))</f>
        <v/>
      </c>
      <c r="Q50" s="46">
        <f>IF(B50=0,"",IFERROR(COUNTIFS(Export!$E:$E,A50,Export!$H:$H,"Efectivo",Export!$M:$M,"&lt;="&amp;12)/B50*100,0))</f>
        <v/>
      </c>
      <c r="R50" s="46">
        <f>IF(B50=0,"",IFERROR(COUNTIFS(Export!$E:$E,A50,Export!$H:$H,"Efectivo",Export!$M:$M,"&lt;="&amp;13)/B50*100,0))</f>
        <v/>
      </c>
      <c r="S50" s="46">
        <f>IF(B50=0,"",IFERROR(COUNTIFS(Export!$E:$E,A50,Export!$H:$H,"Efectivo",Export!$M:$M,"&lt;="&amp;14)/B50*100,0))</f>
        <v/>
      </c>
      <c r="T50" s="46">
        <f>IF(B50=0,"",IFERROR(COUNTIFS(Export!$E:$E,A50,Export!$H:$H,"Efectivo",Export!$M:$M,"&lt;="&amp;15)/B50*100,0))</f>
        <v/>
      </c>
      <c r="U50" s="46">
        <f>IF(B50=0,"",IFERROR(COUNTIFS(Export!$E:$E,A50,Export!$H:$H,"Efectivo",Export!$M:$M,"&lt;="&amp;16)/B50*100,0))</f>
        <v/>
      </c>
      <c r="V50" s="46">
        <f>IF(B50=0,"",IFERROR(COUNTIFS(Export!$E:$E,A50,Export!$H:$H,"Efectivo",Export!$M:$M,"&lt;="&amp;17)/B50*100,0))</f>
        <v/>
      </c>
      <c r="W50" s="46">
        <f>IF(B50=0,"",IFERROR(COUNTIFS(Export!$E:$E,A50,Export!$H:$H,"Efectivo",Export!$M:$M,"&lt;="&amp;18)/B50*100,0))</f>
        <v/>
      </c>
      <c r="X50" s="46">
        <f>IF(B50=0,"",IFERROR(COUNTIFS(Export!$E:$E,A50,Export!$H:$H,"Efectivo",Export!$M:$M,"&lt;="&amp;19)/B50*100,0))</f>
        <v/>
      </c>
      <c r="Y50" s="46">
        <f>IF(B50=0,"",IFERROR(COUNTIFS(Export!$E:$E,A50,Export!$H:$H,"Efectivo",Export!$M:$M,"&lt;="&amp;20)/B50*100,0))</f>
        <v/>
      </c>
      <c r="Z50" s="46">
        <f>IF(B50=0,"",IFERROR(COUNTIFS(Export!$E:$E,A50,Export!$H:$H,"Efectivo",Export!$M:$M,"&lt;="&amp;21)/B50*100,0))</f>
        <v/>
      </c>
      <c r="AA50" s="46">
        <f>IF(B50=0,"",IFERROR(COUNTIFS(Export!$E:$E,A50,Export!$H:$H,"Efectivo",Export!$M:$M,"&lt;="&amp;22)/B50*100,0))</f>
        <v/>
      </c>
      <c r="AB50" s="46">
        <f>IF(B50=0,"",IFERROR(COUNTIFS(Export!$E:$E,A50,Export!$H:$H,"Efectivo",Export!$M:$M,"&lt;="&amp;23)/B50*100,0))</f>
        <v/>
      </c>
      <c r="AC50" s="46">
        <f>IF(B50=0,"",IFERROR(COUNTIFS(Export!$E:$E,A50,Export!$H:$H,"Efectivo",Export!$M:$M,"&lt;="&amp;24)/B50*100,0))</f>
        <v/>
      </c>
      <c r="AD50" s="46">
        <f>IF(B50=0,"",IFERROR(COUNTIFS(Export!$E:$E,A50,Export!$H:$H,"Efectivo",Export!$M:$M,"&lt;="&amp;25)/B50*100,0))</f>
        <v/>
      </c>
      <c r="AE50" s="46">
        <f>IF(B50=0,"",IFERROR(COUNTIFS(Export!$E:$E,A50,Export!$H:$H,"Efectivo",Export!$M:$M,"&lt;="&amp;26)/B50*100,0))</f>
        <v/>
      </c>
      <c r="AF50" s="46">
        <f>IF(B50=0,"",IFERROR(COUNTIFS(Export!$E:$E,A50,Export!$H:$H,"Efectivo",Export!$M:$M,"&lt;="&amp;27)/B50*100,0))</f>
        <v/>
      </c>
      <c r="AG50" s="46">
        <f>IF(B50=0,"",IFERROR(COUNTIFS(Export!$E:$E,A50,Export!$H:$H,"Efectivo",Export!$M:$M,"&lt;="&amp;28)/B50*100,0))</f>
        <v/>
      </c>
      <c r="AH50" s="46">
        <f>IF(B50=0,"",IFERROR(COUNTIFS(Export!$E:$E,A50,Export!$H:$H,"Efectivo",Export!$M:$M,"&lt;="&amp;29)/B50*100,0))</f>
        <v/>
      </c>
      <c r="AI50" s="46">
        <f>IF(B50=0,"",IFERROR(COUNTIFS(Export!$E:$E,A50,Export!$H:$H,"Efectivo",Export!$M:$M,"&lt;="&amp;30)/B50*100,0))</f>
        <v/>
      </c>
      <c r="AJ50" s="46">
        <f>IF(B50=0,"",IFERROR(COUNTIFS(Export!$E:$E,A50,Export!$H:$H,"Efectivo",Export!$M:$M,"&lt;="&amp;31)/B50*100,0))</f>
        <v/>
      </c>
      <c r="AK50" s="46">
        <f>IF(B50=0,"",IFERROR(COUNTIFS(Export!$E:$E,A50,Export!$H:$H,"Efectivo",Export!$M:$M,"&lt;="&amp;32)/B50*100,0))</f>
        <v/>
      </c>
      <c r="AL50" s="46">
        <f>IF(B50=0,"",IFERROR(COUNTIFS(Export!$E:$E,A50,Export!$H:$H,"Efectivo",Export!$M:$M,"&lt;="&amp;33)/B50*100,0))</f>
        <v/>
      </c>
      <c r="AM50" s="46">
        <f>IF(B50=0,"",IFERROR(COUNTIFS(Export!$E:$E,A50,Export!$H:$H,"Efectivo",Export!$M:$M,"&lt;="&amp;34)/B50*100,0))</f>
        <v/>
      </c>
      <c r="AN50" s="46">
        <f>IF(B50=0,"",IFERROR(COUNTIFS(Export!$E:$E,A50,Export!$H:$H,"Efectivo",Export!$M:$M,"&lt;="&amp;35)/B50*100,0))</f>
        <v/>
      </c>
      <c r="AO50" s="46">
        <f>IF(B50=0,"",IFERROR(COUNTIFS(Export!$E:$E,A50,Export!$H:$H,"Efectivo",Export!$M:$M,"&lt;="&amp;36)/B50*100,0))</f>
        <v/>
      </c>
    </row>
  </sheetData>
  <mergeCells count="1">
    <mergeCell ref="A1:A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498DB"/>
    <outlinePr summaryBelow="1" summaryRight="1"/>
    <pageSetUpPr/>
  </sheetPr>
  <dimension ref="A1:D38"/>
  <sheetViews>
    <sheetView workbookViewId="0">
      <pane ySplit="2" topLeftCell="A3" activePane="bottomLeft" state="frozen"/>
      <selection pane="bottomLeft" activeCell="D19" sqref="D19"/>
    </sheetView>
  </sheetViews>
  <sheetFormatPr baseColWidth="10" defaultColWidth="8.7265625" defaultRowHeight="14.5"/>
  <cols>
    <col width="16" customWidth="1" style="65" min="1" max="1"/>
    <col width="18" customWidth="1" style="65" min="2" max="2"/>
    <col width="24" customWidth="1" style="65" min="3" max="3"/>
    <col width="14" customWidth="1" style="65" min="4" max="4"/>
  </cols>
  <sheetData>
    <row r="1" ht="22" customHeight="1" s="65">
      <c r="A1" s="66" t="inlineStr">
        <is>
          <t xml:space="preserve">  ORIGINACIONES vs RECUPERACIONES — por mes calendario (2025+)</t>
        </is>
      </c>
    </row>
    <row r="2" ht="26" customHeight="1" s="65">
      <c r="A2" s="1" t="inlineStr">
        <is>
          <t>Mes (MM-YYYY)</t>
        </is>
      </c>
      <c r="B2" s="1" t="inlineStr">
        <is>
          <t>N Originaciones</t>
        </is>
      </c>
      <c r="C2" s="1" t="inlineStr">
        <is>
          <t>Recuperaciones Efectivas</t>
        </is>
      </c>
      <c r="D2" s="1" t="inlineStr">
        <is>
          <t>Tasa Rec/Orig</t>
        </is>
      </c>
    </row>
    <row r="3">
      <c r="A3" s="10" t="inlineStr">
        <is>
          <t>01-2025</t>
        </is>
      </c>
      <c r="B3" s="33">
        <f>IFERROR(VLOOKUP(A3,Originaciones!$A:$B,2,0),0)</f>
        <v/>
      </c>
      <c r="C3" s="35">
        <f>IFERROR(COUNTIFS(Export!$I:$I,A3,Export!$H:$H,"Efectivo"),0)</f>
        <v/>
      </c>
      <c r="D3" s="37">
        <f>IFERROR(C3/B3,"")</f>
        <v/>
      </c>
    </row>
    <row r="4">
      <c r="A4" s="10" t="inlineStr">
        <is>
          <t>02-2025</t>
        </is>
      </c>
      <c r="B4" s="33">
        <f>IFERROR(VLOOKUP(A4,Originaciones!$A:$B,2,0),0)</f>
        <v/>
      </c>
      <c r="C4" s="35">
        <f>IFERROR(COUNTIFS(Export!$I:$I,A4,Export!$H:$H,"Efectivo"),0)</f>
        <v/>
      </c>
      <c r="D4" s="37">
        <f>IFERROR(C4/B4,"")</f>
        <v/>
      </c>
    </row>
    <row r="5">
      <c r="A5" s="10" t="inlineStr">
        <is>
          <t>03-2025</t>
        </is>
      </c>
      <c r="B5" s="33">
        <f>IFERROR(VLOOKUP(A5,Originaciones!$A:$B,2,0),0)</f>
        <v/>
      </c>
      <c r="C5" s="35">
        <f>IFERROR(COUNTIFS(Export!$I:$I,A5,Export!$H:$H,"Efectivo"),0)</f>
        <v/>
      </c>
      <c r="D5" s="37">
        <f>IFERROR(C5/B5,"")</f>
        <v/>
      </c>
    </row>
    <row r="6">
      <c r="A6" s="10" t="inlineStr">
        <is>
          <t>04-2025</t>
        </is>
      </c>
      <c r="B6" s="33">
        <f>IFERROR(VLOOKUP(A6,Originaciones!$A:$B,2,0),0)</f>
        <v/>
      </c>
      <c r="C6" s="35">
        <f>IFERROR(COUNTIFS(Export!$I:$I,A6,Export!$H:$H,"Efectivo"),0)</f>
        <v/>
      </c>
      <c r="D6" s="37">
        <f>IFERROR(C6/B6,"")</f>
        <v/>
      </c>
    </row>
    <row r="7">
      <c r="A7" s="10" t="inlineStr">
        <is>
          <t>05-2025</t>
        </is>
      </c>
      <c r="B7" s="33">
        <f>IFERROR(VLOOKUP(A7,Originaciones!$A:$B,2,0),0)</f>
        <v/>
      </c>
      <c r="C7" s="35">
        <f>IFERROR(COUNTIFS(Export!$I:$I,A7,Export!$H:$H,"Efectivo"),0)</f>
        <v/>
      </c>
      <c r="D7" s="37">
        <f>IFERROR(C7/B7,"")</f>
        <v/>
      </c>
    </row>
    <row r="8">
      <c r="A8" s="10" t="inlineStr">
        <is>
          <t>06-2025</t>
        </is>
      </c>
      <c r="B8" s="33">
        <f>IFERROR(VLOOKUP(A8,Originaciones!$A:$B,2,0),0)</f>
        <v/>
      </c>
      <c r="C8" s="35">
        <f>IFERROR(COUNTIFS(Export!$I:$I,A8,Export!$H:$H,"Efectivo"),0)</f>
        <v/>
      </c>
      <c r="D8" s="37">
        <f>IFERROR(C8/B8,"")</f>
        <v/>
      </c>
    </row>
    <row r="9">
      <c r="A9" s="10" t="inlineStr">
        <is>
          <t>07-2025</t>
        </is>
      </c>
      <c r="B9" s="33">
        <f>IFERROR(VLOOKUP(A9,Originaciones!$A:$B,2,0),0)</f>
        <v/>
      </c>
      <c r="C9" s="35">
        <f>IFERROR(COUNTIFS(Export!$I:$I,A9,Export!$H:$H,"Efectivo"),0)</f>
        <v/>
      </c>
      <c r="D9" s="37">
        <f>IFERROR(C9/B9,"")</f>
        <v/>
      </c>
    </row>
    <row r="10">
      <c r="A10" s="10" t="inlineStr">
        <is>
          <t>08-2025</t>
        </is>
      </c>
      <c r="B10" s="33">
        <f>IFERROR(VLOOKUP(A10,Originaciones!$A:$B,2,0),0)</f>
        <v/>
      </c>
      <c r="C10" s="35">
        <f>IFERROR(COUNTIFS(Export!$I:$I,A10,Export!$H:$H,"Efectivo"),0)</f>
        <v/>
      </c>
      <c r="D10" s="37">
        <f>IFERROR(C10/B10,"")</f>
        <v/>
      </c>
    </row>
    <row r="11">
      <c r="A11" s="10" t="inlineStr">
        <is>
          <t>09-2025</t>
        </is>
      </c>
      <c r="B11" s="33">
        <f>IFERROR(VLOOKUP(A11,Originaciones!$A:$B,2,0),0)</f>
        <v/>
      </c>
      <c r="C11" s="35">
        <f>IFERROR(COUNTIFS(Export!$I:$I,A11,Export!$H:$H,"Efectivo"),0)</f>
        <v/>
      </c>
      <c r="D11" s="37">
        <f>IFERROR(C11/B11,"")</f>
        <v/>
      </c>
    </row>
    <row r="12">
      <c r="A12" s="10" t="inlineStr">
        <is>
          <t>10-2025</t>
        </is>
      </c>
      <c r="B12" s="33">
        <f>IFERROR(VLOOKUP(A12,Originaciones!$A:$B,2,0),0)</f>
        <v/>
      </c>
      <c r="C12" s="35">
        <f>IFERROR(COUNTIFS(Export!$I:$I,A12,Export!$H:$H,"Efectivo"),0)</f>
        <v/>
      </c>
      <c r="D12" s="37">
        <f>IFERROR(C12/B12,"")</f>
        <v/>
      </c>
    </row>
    <row r="13">
      <c r="A13" s="10" t="inlineStr">
        <is>
          <t>11-2025</t>
        </is>
      </c>
      <c r="B13" s="33">
        <f>IFERROR(VLOOKUP(A13,Originaciones!$A:$B,2,0),0)</f>
        <v/>
      </c>
      <c r="C13" s="35">
        <f>IFERROR(COUNTIFS(Export!$I:$I,A13,Export!$H:$H,"Efectivo"),0)</f>
        <v/>
      </c>
      <c r="D13" s="37">
        <f>IFERROR(C13/B13,"")</f>
        <v/>
      </c>
    </row>
    <row r="14">
      <c r="A14" s="10" t="inlineStr">
        <is>
          <t>12-2025</t>
        </is>
      </c>
      <c r="B14" s="33">
        <f>IFERROR(VLOOKUP(A14,Originaciones!$A:$B,2,0),0)</f>
        <v/>
      </c>
      <c r="C14" s="35">
        <f>IFERROR(COUNTIFS(Export!$I:$I,A14,Export!$H:$H,"Efectivo"),0)</f>
        <v/>
      </c>
      <c r="D14" s="37">
        <f>IFERROR(C14/B14,"")</f>
        <v/>
      </c>
    </row>
    <row r="15">
      <c r="A15" s="13" t="inlineStr">
        <is>
          <t>01-2026</t>
        </is>
      </c>
      <c r="B15" s="33">
        <f>IFERROR(VLOOKUP(A15,Originaciones!$A:$B,2,0),0)</f>
        <v/>
      </c>
      <c r="C15" s="35">
        <f>IFERROR(COUNTIFS(Export!$I:$I,A15,Export!$H:$H,"Efectivo"),0)</f>
        <v/>
      </c>
      <c r="D15" s="37">
        <f>IFERROR(C15/B15,"")</f>
        <v/>
      </c>
    </row>
    <row r="16">
      <c r="A16" s="13" t="inlineStr">
        <is>
          <t>02-2026</t>
        </is>
      </c>
      <c r="B16" s="33">
        <f>IFERROR(VLOOKUP(A16,Originaciones!$A:$B,2,0),0)</f>
        <v/>
      </c>
      <c r="C16" s="35">
        <f>IFERROR(COUNTIFS(Export!$I:$I,A16,Export!$H:$H,"Efectivo"),0)</f>
        <v/>
      </c>
      <c r="D16" s="37">
        <f>IFERROR(C16/B16,"")</f>
        <v/>
      </c>
    </row>
    <row r="17">
      <c r="A17" s="13" t="inlineStr">
        <is>
          <t>03-2026</t>
        </is>
      </c>
      <c r="B17" s="33">
        <f>IFERROR(VLOOKUP(A17,Originaciones!$A:$B,2,0),0)</f>
        <v/>
      </c>
      <c r="C17" s="35">
        <f>IFERROR(COUNTIFS(Export!$I:$I,A17,Export!$H:$H,"Efectivo"),0)</f>
        <v/>
      </c>
      <c r="D17" s="37">
        <f>IFERROR(C17/B17,"")</f>
        <v/>
      </c>
    </row>
    <row r="18">
      <c r="A18" s="13" t="inlineStr">
        <is>
          <t>04-2026</t>
        </is>
      </c>
      <c r="B18" s="33">
        <f>IFERROR(VLOOKUP(A18,Originaciones!$A:$B,2,0),0)</f>
        <v/>
      </c>
      <c r="C18" s="35">
        <f>IFERROR(COUNTIFS(Export!$I:$I,A18,Export!$H:$H,"Efectivo"),0)</f>
        <v/>
      </c>
      <c r="D18" s="37">
        <f>IFERROR(C18/B18,"")</f>
        <v/>
      </c>
    </row>
    <row r="19">
      <c r="A19" s="13" t="inlineStr">
        <is>
          <t>05-2026</t>
        </is>
      </c>
      <c r="B19" s="33">
        <f>IFERROR(VLOOKUP(A19,Originaciones!$A:$B,2,0),0)</f>
        <v/>
      </c>
      <c r="C19" s="35">
        <f>IFERROR(COUNTIFS(Export!$I:$I,A19,Export!$H:$H,"Efectivo"),0)</f>
        <v/>
      </c>
      <c r="D19" s="37">
        <f>IFERROR(C19/B19,"")</f>
        <v/>
      </c>
    </row>
    <row r="20">
      <c r="A20" s="13" t="inlineStr">
        <is>
          <t>06-2026</t>
        </is>
      </c>
      <c r="B20" s="33">
        <f>IFERROR(VLOOKUP(A20,Originaciones!$A:$B,2,0),0)</f>
        <v/>
      </c>
      <c r="C20" s="35">
        <f>IFERROR(COUNTIFS(Export!$I:$I,A20,Export!$H:$H,"Efectivo"),0)</f>
        <v/>
      </c>
      <c r="D20" s="37">
        <f>IFERROR(C20/B20,"")</f>
        <v/>
      </c>
    </row>
    <row r="21">
      <c r="A21" s="13" t="inlineStr">
        <is>
          <t>07-2026</t>
        </is>
      </c>
      <c r="B21" s="33">
        <f>IFERROR(VLOOKUP(A21,Originaciones!$A:$B,2,0),0)</f>
        <v/>
      </c>
      <c r="C21" s="35">
        <f>IFERROR(COUNTIFS(Export!$I:$I,A21,Export!$H:$H,"Efectivo"),0)</f>
        <v/>
      </c>
      <c r="D21" s="37">
        <f>IFERROR(C21/B21,"")</f>
        <v/>
      </c>
    </row>
    <row r="22">
      <c r="A22" s="13" t="inlineStr">
        <is>
          <t>08-2026</t>
        </is>
      </c>
      <c r="B22" s="33">
        <f>IFERROR(VLOOKUP(A22,Originaciones!$A:$B,2,0),0)</f>
        <v/>
      </c>
      <c r="C22" s="35">
        <f>IFERROR(COUNTIFS(Export!$I:$I,A22,Export!$H:$H,"Efectivo"),0)</f>
        <v/>
      </c>
      <c r="D22" s="37">
        <f>IFERROR(C22/B22,"")</f>
        <v/>
      </c>
    </row>
    <row r="23">
      <c r="A23" s="13" t="inlineStr">
        <is>
          <t>09-2026</t>
        </is>
      </c>
      <c r="B23" s="33">
        <f>IFERROR(VLOOKUP(A23,Originaciones!$A:$B,2,0),0)</f>
        <v/>
      </c>
      <c r="C23" s="35">
        <f>IFERROR(COUNTIFS(Export!$I:$I,A23,Export!$H:$H,"Efectivo"),0)</f>
        <v/>
      </c>
      <c r="D23" s="37">
        <f>IFERROR(C23/B23,"")</f>
        <v/>
      </c>
    </row>
    <row r="24">
      <c r="A24" s="13" t="inlineStr">
        <is>
          <t>10-2026</t>
        </is>
      </c>
      <c r="B24" s="33">
        <f>IFERROR(VLOOKUP(A24,Originaciones!$A:$B,2,0),0)</f>
        <v/>
      </c>
      <c r="C24" s="35">
        <f>IFERROR(COUNTIFS(Export!$I:$I,A24,Export!$H:$H,"Efectivo"),0)</f>
        <v/>
      </c>
      <c r="D24" s="37">
        <f>IFERROR(C24/B24,"")</f>
        <v/>
      </c>
    </row>
    <row r="25">
      <c r="A25" s="13" t="inlineStr">
        <is>
          <t>11-2026</t>
        </is>
      </c>
      <c r="B25" s="33">
        <f>IFERROR(VLOOKUP(A25,Originaciones!$A:$B,2,0),0)</f>
        <v/>
      </c>
      <c r="C25" s="35">
        <f>IFERROR(COUNTIFS(Export!$I:$I,A25,Export!$H:$H,"Efectivo"),0)</f>
        <v/>
      </c>
      <c r="D25" s="37">
        <f>IFERROR(C25/B25,"")</f>
        <v/>
      </c>
    </row>
    <row r="26">
      <c r="A26" s="13" t="inlineStr">
        <is>
          <t>12-2026</t>
        </is>
      </c>
      <c r="B26" s="33">
        <f>IFERROR(VLOOKUP(A26,Originaciones!$A:$B,2,0),0)</f>
        <v/>
      </c>
      <c r="C26" s="35">
        <f>IFERROR(COUNTIFS(Export!$I:$I,A26,Export!$H:$H,"Efectivo"),0)</f>
        <v/>
      </c>
      <c r="D26" s="37">
        <f>IFERROR(C26/B26,"")</f>
        <v/>
      </c>
    </row>
    <row r="27">
      <c r="A27" s="50" t="inlineStr">
        <is>
          <t>01-2027</t>
        </is>
      </c>
      <c r="B27" s="33">
        <f>IFERROR(VLOOKUP(A27,Originaciones!$A:$B,2,0),0)</f>
        <v/>
      </c>
      <c r="C27" s="35">
        <f>IFERROR(COUNTIFS(Export!$I:$I,A27,Export!$H:$H,"Efectivo"),0)</f>
        <v/>
      </c>
      <c r="D27" s="37">
        <f>IFERROR(C27/B27,"")</f>
        <v/>
      </c>
    </row>
    <row r="28">
      <c r="A28" s="50" t="inlineStr">
        <is>
          <t>02-2027</t>
        </is>
      </c>
      <c r="B28" s="33">
        <f>IFERROR(VLOOKUP(A28,Originaciones!$A:$B,2,0),0)</f>
        <v/>
      </c>
      <c r="C28" s="35">
        <f>IFERROR(COUNTIFS(Export!$I:$I,A28,Export!$H:$H,"Efectivo"),0)</f>
        <v/>
      </c>
      <c r="D28" s="37">
        <f>IFERROR(C28/B28,"")</f>
        <v/>
      </c>
    </row>
    <row r="29">
      <c r="A29" s="50" t="inlineStr">
        <is>
          <t>03-2027</t>
        </is>
      </c>
      <c r="B29" s="33">
        <f>IFERROR(VLOOKUP(A29,Originaciones!$A:$B,2,0),0)</f>
        <v/>
      </c>
      <c r="C29" s="35">
        <f>IFERROR(COUNTIFS(Export!$I:$I,A29,Export!$H:$H,"Efectivo"),0)</f>
        <v/>
      </c>
      <c r="D29" s="37">
        <f>IFERROR(C29/B29,"")</f>
        <v/>
      </c>
    </row>
    <row r="30">
      <c r="A30" s="50" t="inlineStr">
        <is>
          <t>04-2027</t>
        </is>
      </c>
      <c r="B30" s="33">
        <f>IFERROR(VLOOKUP(A30,Originaciones!$A:$B,2,0),0)</f>
        <v/>
      </c>
      <c r="C30" s="35">
        <f>IFERROR(COUNTIFS(Export!$I:$I,A30,Export!$H:$H,"Efectivo"),0)</f>
        <v/>
      </c>
      <c r="D30" s="37">
        <f>IFERROR(C30/B30,"")</f>
        <v/>
      </c>
    </row>
    <row r="31">
      <c r="A31" s="50" t="inlineStr">
        <is>
          <t>05-2027</t>
        </is>
      </c>
      <c r="B31" s="33">
        <f>IFERROR(VLOOKUP(A31,Originaciones!$A:$B,2,0),0)</f>
        <v/>
      </c>
      <c r="C31" s="35">
        <f>IFERROR(COUNTIFS(Export!$I:$I,A31,Export!$H:$H,"Efectivo"),0)</f>
        <v/>
      </c>
      <c r="D31" s="37">
        <f>IFERROR(C31/B31,"")</f>
        <v/>
      </c>
    </row>
    <row r="32">
      <c r="A32" s="50" t="inlineStr">
        <is>
          <t>06-2027</t>
        </is>
      </c>
      <c r="B32" s="33">
        <f>IFERROR(VLOOKUP(A32,Originaciones!$A:$B,2,0),0)</f>
        <v/>
      </c>
      <c r="C32" s="35">
        <f>IFERROR(COUNTIFS(Export!$I:$I,A32,Export!$H:$H,"Efectivo"),0)</f>
        <v/>
      </c>
      <c r="D32" s="37">
        <f>IFERROR(C32/B32,"")</f>
        <v/>
      </c>
    </row>
    <row r="33">
      <c r="A33" s="50" t="inlineStr">
        <is>
          <t>07-2027</t>
        </is>
      </c>
      <c r="B33" s="33">
        <f>IFERROR(VLOOKUP(A33,Originaciones!$A:$B,2,0),0)</f>
        <v/>
      </c>
      <c r="C33" s="35">
        <f>IFERROR(COUNTIFS(Export!$I:$I,A33,Export!$H:$H,"Efectivo"),0)</f>
        <v/>
      </c>
      <c r="D33" s="37">
        <f>IFERROR(C33/B33,"")</f>
        <v/>
      </c>
    </row>
    <row r="34">
      <c r="A34" s="50" t="inlineStr">
        <is>
          <t>08-2027</t>
        </is>
      </c>
      <c r="B34" s="33">
        <f>IFERROR(VLOOKUP(A34,Originaciones!$A:$B,2,0),0)</f>
        <v/>
      </c>
      <c r="C34" s="35">
        <f>IFERROR(COUNTIFS(Export!$I:$I,A34,Export!$H:$H,"Efectivo"),0)</f>
        <v/>
      </c>
      <c r="D34" s="37">
        <f>IFERROR(C34/B34,"")</f>
        <v/>
      </c>
    </row>
    <row r="35">
      <c r="A35" s="50" t="inlineStr">
        <is>
          <t>09-2027</t>
        </is>
      </c>
      <c r="B35" s="33">
        <f>IFERROR(VLOOKUP(A35,Originaciones!$A:$B,2,0),0)</f>
        <v/>
      </c>
      <c r="C35" s="35">
        <f>IFERROR(COUNTIFS(Export!$I:$I,A35,Export!$H:$H,"Efectivo"),0)</f>
        <v/>
      </c>
      <c r="D35" s="37">
        <f>IFERROR(C35/B35,"")</f>
        <v/>
      </c>
    </row>
    <row r="36">
      <c r="A36" s="50" t="inlineStr">
        <is>
          <t>10-2027</t>
        </is>
      </c>
      <c r="B36" s="33">
        <f>IFERROR(VLOOKUP(A36,Originaciones!$A:$B,2,0),0)</f>
        <v/>
      </c>
      <c r="C36" s="35">
        <f>IFERROR(COUNTIFS(Export!$I:$I,A36,Export!$H:$H,"Efectivo"),0)</f>
        <v/>
      </c>
      <c r="D36" s="37">
        <f>IFERROR(C36/B36,"")</f>
        <v/>
      </c>
    </row>
    <row r="37">
      <c r="A37" s="50" t="inlineStr">
        <is>
          <t>11-2027</t>
        </is>
      </c>
      <c r="B37" s="33">
        <f>IFERROR(VLOOKUP(A37,Originaciones!$A:$B,2,0),0)</f>
        <v/>
      </c>
      <c r="C37" s="35">
        <f>IFERROR(COUNTIFS(Export!$I:$I,A37,Export!$H:$H,"Efectivo"),0)</f>
        <v/>
      </c>
      <c r="D37" s="37">
        <f>IFERROR(C37/B37,"")</f>
        <v/>
      </c>
    </row>
    <row r="38">
      <c r="A38" s="50" t="inlineStr">
        <is>
          <t>12-2027</t>
        </is>
      </c>
      <c r="B38" s="33">
        <f>IFERROR(VLOOKUP(A38,Originaciones!$A:$B,2,0),0)</f>
        <v/>
      </c>
      <c r="C38" s="35">
        <f>IFERROR(COUNTIFS(Export!$I:$I,A38,Export!$H:$H,"Efectivo"),0)</f>
        <v/>
      </c>
      <c r="D38" s="37">
        <f>IFERROR(C38/B38,"")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5A5A6"/>
    <outlinePr summaryBelow="1" summaryRight="1"/>
    <pageSetUpPr/>
  </sheetPr>
  <dimension ref="A2:B24"/>
  <sheetViews>
    <sheetView showGridLines="0" workbookViewId="0">
      <selection activeCell="D7" sqref="D7"/>
    </sheetView>
  </sheetViews>
  <sheetFormatPr baseColWidth="10" defaultColWidth="8.7265625" defaultRowHeight="14.5"/>
  <cols>
    <col width="5" customWidth="1" style="65" min="1" max="1"/>
    <col width="70" customWidth="1" style="65" min="2" max="2"/>
  </cols>
  <sheetData>
    <row r="2" ht="22" customHeight="1" s="65">
      <c r="B2" s="51" t="inlineStr">
        <is>
          <t>CÓMO USAR ESTE TEMPLATE</t>
        </is>
      </c>
    </row>
    <row r="3" ht="22" customHeight="1" s="65"/>
    <row r="4" ht="22" customHeight="1" s="65">
      <c r="A4" s="52" t="inlineStr">
        <is>
          <t>①</t>
        </is>
      </c>
      <c r="B4" s="53" t="inlineStr">
        <is>
          <t>PEGAR DATOS DE POWER BI</t>
        </is>
      </c>
    </row>
    <row r="5" ht="22" customHeight="1" s="65">
      <c r="B5" s="54" t="inlineStr">
        <is>
          <t>Descarga el Export de Power BI.</t>
        </is>
      </c>
    </row>
    <row r="6" ht="22" customHeight="1" s="65">
      <c r="B6" s="54" t="inlineStr">
        <is>
          <t>Abre la hoja 'Export' de este archivo.</t>
        </is>
      </c>
    </row>
    <row r="7" ht="22" customHeight="1" s="65">
      <c r="B7" s="54" t="inlineStr">
        <is>
          <t>Copia SÓLO las filas de datos (sin encabezados) y pégalas en celda A3.</t>
        </is>
      </c>
    </row>
    <row r="8" ht="22" customHeight="1" s="65">
      <c r="B8" s="55" t="inlineStr">
        <is>
          <t>La columna M (Meses_Efectivos) se calcula automáticamente.</t>
        </is>
      </c>
    </row>
    <row r="9" ht="22" customHeight="1" s="65"/>
    <row r="10" ht="22" customHeight="1" s="65">
      <c r="A10" s="52" t="inlineStr">
        <is>
          <t>②</t>
        </is>
      </c>
      <c r="B10" s="53" t="inlineStr">
        <is>
          <t>ACTUALIZAR ORIGINACIONES</t>
        </is>
      </c>
    </row>
    <row r="11" ht="22" customHeight="1" s="65">
      <c r="B11" s="54" t="inlineStr">
        <is>
          <t>Ve a la hoja 'Originaciones'.</t>
        </is>
      </c>
    </row>
    <row r="12" ht="22" customHeight="1" s="65">
      <c r="B12" s="54" t="inlineStr">
        <is>
          <t>Agrega nuevas cosechas al final de la tabla cuando sea necesario.</t>
        </is>
      </c>
    </row>
    <row r="13" ht="22" customHeight="1" s="65"/>
    <row r="14" ht="22" customHeight="1" s="65">
      <c r="A14" s="52" t="inlineStr">
        <is>
          <t>③</t>
        </is>
      </c>
      <c r="B14" s="53" t="inlineStr">
        <is>
          <t>VERIFICAR EN LAS HOJAS DE CÁLCULO</t>
        </is>
      </c>
    </row>
    <row r="15" ht="22" customHeight="1" s="65">
      <c r="B15" s="54" t="inlineStr">
        <is>
          <t>KPIs → resumen general de totales</t>
        </is>
      </c>
    </row>
    <row r="16" ht="22" customHeight="1" s="65">
      <c r="B16" s="54" t="inlineStr">
        <is>
          <t>Cohort_Detail → tabla por cohorte con todos los porcentajes</t>
        </is>
      </c>
    </row>
    <row r="17" ht="22" customHeight="1" s="65">
      <c r="B17" s="54" t="inlineStr">
        <is>
          <t>Heatmap → % acumulado M+0 a M+36 por cohorte</t>
        </is>
      </c>
    </row>
    <row r="18" ht="22" customHeight="1" s="65">
      <c r="B18" s="54" t="inlineStr">
        <is>
          <t>Orig_vs_Rec → originaciones vs recuperaciones por mes</t>
        </is>
      </c>
    </row>
    <row r="19" ht="22" customHeight="1" s="65"/>
    <row r="20" ht="22" customHeight="1" s="65">
      <c r="A20" s="52" t="inlineStr">
        <is>
          <t>④</t>
        </is>
      </c>
      <c r="B20" s="53" t="inlineStr">
        <is>
          <t>GENERAR data.json Y SUBIR A GITHUB</t>
        </is>
      </c>
    </row>
    <row r="21" ht="22" customHeight="1" s="65">
      <c r="B21" s="54" t="inlineStr">
        <is>
          <t>Guarda el archivo y abre una terminal en esta carpeta.</t>
        </is>
      </c>
    </row>
    <row r="22" ht="22" customHeight="1" s="65">
      <c r="B22" s="56" t="inlineStr">
        <is>
          <t xml:space="preserve">    python3 convert.py</t>
        </is>
      </c>
    </row>
    <row r="23" ht="22" customHeight="1" s="65">
      <c r="B23" s="56" t="inlineStr">
        <is>
          <t xml:space="preserve">    git add data.json &amp;&amp; git commit -m 'update' &amp;&amp; git push</t>
        </is>
      </c>
    </row>
    <row r="24" ht="22" customHeight="1" s="65">
      <c r="B24" s="55" t="inlineStr">
        <is>
          <t>El dashboard en GitHub Pages se actualiza solo.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2026-05-29T17:44:22Z</dcterms:created>
  <dcterms:modified xmlns:dcterms="http://purl.org/dc/terms/" xmlns:xsi="http://www.w3.org/2001/XMLSchema-instance" xsi:type="dcterms:W3CDTF">2026-06-04T06:52:18Z</dcterms:modified>
  <cp:lastModifiedBy>David Jiménez Hermosillo</cp:lastModifiedBy>
</cp:coreProperties>
</file>