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emobilidad-my.sharepoint.com/personal/carlos_galvez_vemo_com_mx/Documents/FP&amp;A/1. Fundraise/OIC/0. VF/2026/LTO/5. Vemo-Repossessed/"/>
    </mc:Choice>
  </mc:AlternateContent>
  <xr:revisionPtr revIDLastSave="21" documentId="8_{8955FB2E-2D4D-40AF-8A77-AA13E301C526}" xr6:coauthVersionLast="47" xr6:coauthVersionMax="47" xr10:uidLastSave="{77DF6897-2A86-49E6-AA52-6EF90A7873E2}"/>
  <bookViews>
    <workbookView xWindow="-110" yWindow="-110" windowWidth="19420" windowHeight="11500" activeTab="2" xr2:uid="{00000000-000D-0000-FFFF-FFFF00000000}"/>
  </bookViews>
  <sheets>
    <sheet name="Export" sheetId="1" r:id="rId1"/>
    <sheet name="Originaciones" sheetId="2" r:id="rId2"/>
    <sheet name="Flota Activa" sheetId="8" r:id="rId3"/>
    <sheet name="KPIs" sheetId="3" r:id="rId4"/>
    <sheet name="Cohort_Detail" sheetId="4" r:id="rId5"/>
    <sheet name="Heatmap" sheetId="5" r:id="rId6"/>
    <sheet name="Orig_vs_Rec" sheetId="6" r:id="rId7"/>
    <sheet name="Instruccione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 a="1"/>
  <c r="B10" i="3" s="1"/>
  <c r="B9" i="3"/>
  <c r="B8" i="3"/>
  <c r="B7" i="3"/>
  <c r="B6" i="3"/>
  <c r="B5" i="3"/>
  <c r="B4" i="3"/>
  <c r="B3" i="3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D32" i="6" s="1"/>
  <c r="C31" i="6"/>
  <c r="B31" i="6"/>
  <c r="C30" i="6"/>
  <c r="B30" i="6"/>
  <c r="C29" i="6"/>
  <c r="B29" i="6"/>
  <c r="C28" i="6"/>
  <c r="B28" i="6"/>
  <c r="D28" i="6" s="1"/>
  <c r="C27" i="6"/>
  <c r="B27" i="6"/>
  <c r="D27" i="6" s="1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D8" i="6" s="1"/>
  <c r="C7" i="6"/>
  <c r="B7" i="6"/>
  <c r="D7" i="6" s="1"/>
  <c r="C6" i="6"/>
  <c r="B6" i="6"/>
  <c r="C5" i="6"/>
  <c r="B5" i="6"/>
  <c r="C4" i="6"/>
  <c r="B4" i="6"/>
  <c r="C3" i="6"/>
  <c r="B3" i="6"/>
  <c r="D3" i="6" s="1"/>
  <c r="C50" i="5"/>
  <c r="B50" i="5"/>
  <c r="AJ49" i="5"/>
  <c r="AI49" i="5"/>
  <c r="AH49" i="5"/>
  <c r="AB49" i="5"/>
  <c r="AA49" i="5"/>
  <c r="Z49" i="5"/>
  <c r="X49" i="5"/>
  <c r="W49" i="5"/>
  <c r="N49" i="5"/>
  <c r="M49" i="5"/>
  <c r="L49" i="5"/>
  <c r="J49" i="5"/>
  <c r="I49" i="5"/>
  <c r="H49" i="5"/>
  <c r="F49" i="5"/>
  <c r="C49" i="5"/>
  <c r="B49" i="5"/>
  <c r="AG49" i="5" s="1"/>
  <c r="AE48" i="5"/>
  <c r="Z48" i="5"/>
  <c r="Y48" i="5"/>
  <c r="C48" i="5"/>
  <c r="B48" i="5"/>
  <c r="AJ48" i="5" s="1"/>
  <c r="AK47" i="5"/>
  <c r="U47" i="5"/>
  <c r="T47" i="5"/>
  <c r="N47" i="5"/>
  <c r="I47" i="5"/>
  <c r="C47" i="5"/>
  <c r="B47" i="5"/>
  <c r="AH47" i="5" s="1"/>
  <c r="T46" i="5"/>
  <c r="R46" i="5"/>
  <c r="C46" i="5"/>
  <c r="B46" i="5"/>
  <c r="S46" i="5" s="1"/>
  <c r="AK45" i="5"/>
  <c r="AJ45" i="5"/>
  <c r="AE45" i="5"/>
  <c r="AC45" i="5"/>
  <c r="AB45" i="5"/>
  <c r="AA45" i="5"/>
  <c r="W45" i="5"/>
  <c r="V45" i="5"/>
  <c r="Q45" i="5"/>
  <c r="M45" i="5"/>
  <c r="L45" i="5"/>
  <c r="K45" i="5"/>
  <c r="I45" i="5"/>
  <c r="H45" i="5"/>
  <c r="C45" i="5"/>
  <c r="B45" i="5"/>
  <c r="AD45" i="5" s="1"/>
  <c r="AN44" i="5"/>
  <c r="AM44" i="5"/>
  <c r="AG44" i="5"/>
  <c r="AF44" i="5"/>
  <c r="AA44" i="5"/>
  <c r="Z44" i="5"/>
  <c r="X44" i="5"/>
  <c r="W44" i="5"/>
  <c r="O44" i="5"/>
  <c r="N44" i="5"/>
  <c r="K44" i="5"/>
  <c r="J44" i="5"/>
  <c r="H44" i="5"/>
  <c r="G44" i="5"/>
  <c r="C44" i="5"/>
  <c r="B44" i="5"/>
  <c r="AE44" i="5" s="1"/>
  <c r="Y43" i="5"/>
  <c r="H43" i="5"/>
  <c r="C43" i="5"/>
  <c r="B43" i="5"/>
  <c r="D43" i="5" s="1"/>
  <c r="AJ42" i="5"/>
  <c r="AE42" i="5"/>
  <c r="AB42" i="5"/>
  <c r="AA42" i="5"/>
  <c r="F42" i="5"/>
  <c r="C42" i="5"/>
  <c r="B42" i="5"/>
  <c r="E42" i="5" s="1"/>
  <c r="AN41" i="5"/>
  <c r="AM41" i="5"/>
  <c r="AD41" i="5"/>
  <c r="AA41" i="5"/>
  <c r="Z41" i="5"/>
  <c r="Y41" i="5"/>
  <c r="X41" i="5"/>
  <c r="S41" i="5"/>
  <c r="R41" i="5"/>
  <c r="Q41" i="5"/>
  <c r="J41" i="5"/>
  <c r="E41" i="5"/>
  <c r="D41" i="5"/>
  <c r="C41" i="5"/>
  <c r="B41" i="5"/>
  <c r="AC41" i="5" s="1"/>
  <c r="AM40" i="5"/>
  <c r="W40" i="5"/>
  <c r="V40" i="5"/>
  <c r="I40" i="5"/>
  <c r="H40" i="5"/>
  <c r="G40" i="5"/>
  <c r="C40" i="5"/>
  <c r="B40" i="5"/>
  <c r="U40" i="5" s="1"/>
  <c r="AM39" i="5"/>
  <c r="AL39" i="5"/>
  <c r="AK39" i="5"/>
  <c r="AI39" i="5"/>
  <c r="AH39" i="5"/>
  <c r="AG39" i="5"/>
  <c r="AB39" i="5"/>
  <c r="AA39" i="5"/>
  <c r="Z39" i="5"/>
  <c r="V39" i="5"/>
  <c r="U39" i="5"/>
  <c r="T39" i="5"/>
  <c r="R39" i="5"/>
  <c r="N39" i="5"/>
  <c r="M39" i="5"/>
  <c r="K39" i="5"/>
  <c r="J39" i="5"/>
  <c r="I39" i="5"/>
  <c r="E39" i="5"/>
  <c r="D39" i="5"/>
  <c r="C39" i="5"/>
  <c r="B39" i="5"/>
  <c r="AE39" i="5" s="1"/>
  <c r="AJ38" i="5"/>
  <c r="AI38" i="5"/>
  <c r="AG38" i="5"/>
  <c r="AF38" i="5"/>
  <c r="J38" i="5"/>
  <c r="C38" i="5"/>
  <c r="B38" i="5"/>
  <c r="AC37" i="5"/>
  <c r="AB37" i="5"/>
  <c r="Z37" i="5"/>
  <c r="P37" i="5"/>
  <c r="C37" i="5"/>
  <c r="B37" i="5"/>
  <c r="D37" i="5" s="1"/>
  <c r="C36" i="5"/>
  <c r="B36" i="5"/>
  <c r="AN35" i="5"/>
  <c r="C35" i="5"/>
  <c r="B35" i="5"/>
  <c r="AH35" i="5" s="1"/>
  <c r="AI34" i="5"/>
  <c r="AH34" i="5"/>
  <c r="AE34" i="5"/>
  <c r="AA34" i="5"/>
  <c r="Y34" i="5"/>
  <c r="X34" i="5"/>
  <c r="R34" i="5"/>
  <c r="Q34" i="5"/>
  <c r="K34" i="5"/>
  <c r="J34" i="5"/>
  <c r="H34" i="5"/>
  <c r="G34" i="5"/>
  <c r="C34" i="5"/>
  <c r="B34" i="5"/>
  <c r="AD34" i="5" s="1"/>
  <c r="AI33" i="5"/>
  <c r="AH33" i="5"/>
  <c r="AF33" i="5"/>
  <c r="V33" i="5"/>
  <c r="U33" i="5"/>
  <c r="S33" i="5"/>
  <c r="R33" i="5"/>
  <c r="C33" i="5"/>
  <c r="B33" i="5"/>
  <c r="AG33" i="5" s="1"/>
  <c r="AA32" i="5"/>
  <c r="Z32" i="5"/>
  <c r="Y32" i="5"/>
  <c r="E32" i="5"/>
  <c r="D32" i="5"/>
  <c r="C32" i="5"/>
  <c r="B32" i="5"/>
  <c r="K32" i="5" s="1"/>
  <c r="AK31" i="5"/>
  <c r="AE31" i="5"/>
  <c r="AD31" i="5"/>
  <c r="Z31" i="5"/>
  <c r="X31" i="5"/>
  <c r="W31" i="5"/>
  <c r="Q31" i="5"/>
  <c r="L31" i="5"/>
  <c r="K31" i="5"/>
  <c r="I31" i="5"/>
  <c r="H31" i="5"/>
  <c r="D31" i="5"/>
  <c r="C31" i="5"/>
  <c r="B31" i="5"/>
  <c r="V31" i="5" s="1"/>
  <c r="AL30" i="5"/>
  <c r="AC30" i="5"/>
  <c r="AB30" i="5"/>
  <c r="U30" i="5"/>
  <c r="R30" i="5"/>
  <c r="L30" i="5"/>
  <c r="F30" i="5"/>
  <c r="E30" i="5"/>
  <c r="C30" i="5"/>
  <c r="B30" i="5"/>
  <c r="AH30" i="5" s="1"/>
  <c r="D29" i="5"/>
  <c r="C29" i="5"/>
  <c r="B29" i="5"/>
  <c r="W29" i="5" s="1"/>
  <c r="C28" i="5"/>
  <c r="B28" i="5"/>
  <c r="AG28" i="5" s="1"/>
  <c r="C27" i="5"/>
  <c r="B27" i="5"/>
  <c r="AD27" i="5" s="1"/>
  <c r="Q26" i="5"/>
  <c r="P26" i="5"/>
  <c r="C26" i="5"/>
  <c r="B26" i="5"/>
  <c r="C25" i="5"/>
  <c r="B25" i="5"/>
  <c r="AI25" i="5" s="1"/>
  <c r="C24" i="5"/>
  <c r="B24" i="5"/>
  <c r="M24" i="5" s="1"/>
  <c r="C23" i="5"/>
  <c r="B23" i="5"/>
  <c r="C22" i="5"/>
  <c r="B22" i="5"/>
  <c r="C21" i="5"/>
  <c r="B21" i="5"/>
  <c r="C20" i="5"/>
  <c r="B20" i="5"/>
  <c r="W19" i="5"/>
  <c r="C19" i="5"/>
  <c r="B19" i="5"/>
  <c r="C18" i="5"/>
  <c r="B18" i="5"/>
  <c r="AI18" i="5" s="1"/>
  <c r="C17" i="5"/>
  <c r="B17" i="5"/>
  <c r="C16" i="5"/>
  <c r="B16" i="5"/>
  <c r="C15" i="5"/>
  <c r="B15" i="5"/>
  <c r="C14" i="5"/>
  <c r="B14" i="5"/>
  <c r="C13" i="5"/>
  <c r="B13" i="5"/>
  <c r="I12" i="5"/>
  <c r="G12" i="5"/>
  <c r="F12" i="5"/>
  <c r="C12" i="5"/>
  <c r="B12" i="5"/>
  <c r="Y12" i="5" s="1"/>
  <c r="C11" i="5"/>
  <c r="B11" i="5"/>
  <c r="Z11" i="5" s="1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S3" i="5"/>
  <c r="R3" i="5"/>
  <c r="N3" i="5"/>
  <c r="C3" i="5"/>
  <c r="B3" i="5"/>
  <c r="AE3" i="5" s="1"/>
  <c r="I50" i="4"/>
  <c r="F50" i="4"/>
  <c r="E50" i="4"/>
  <c r="D50" i="4"/>
  <c r="C50" i="4"/>
  <c r="B50" i="4"/>
  <c r="G50" i="4" s="1"/>
  <c r="I49" i="4"/>
  <c r="H49" i="4"/>
  <c r="E49" i="4"/>
  <c r="D49" i="4"/>
  <c r="C49" i="4"/>
  <c r="B49" i="4"/>
  <c r="I48" i="4"/>
  <c r="E48" i="4"/>
  <c r="D48" i="4"/>
  <c r="C48" i="4"/>
  <c r="B48" i="4"/>
  <c r="I47" i="4"/>
  <c r="E47" i="4"/>
  <c r="D47" i="4"/>
  <c r="C47" i="4"/>
  <c r="F47" i="4" s="1"/>
  <c r="B47" i="4"/>
  <c r="H47" i="4" s="1"/>
  <c r="I46" i="4"/>
  <c r="E46" i="4"/>
  <c r="D46" i="4"/>
  <c r="C46" i="4"/>
  <c r="B46" i="4"/>
  <c r="I45" i="4"/>
  <c r="E45" i="4"/>
  <c r="D45" i="4"/>
  <c r="C45" i="4"/>
  <c r="B45" i="4"/>
  <c r="I44" i="4"/>
  <c r="E44" i="4"/>
  <c r="D44" i="4"/>
  <c r="H44" i="4" s="1"/>
  <c r="C44" i="4"/>
  <c r="B44" i="4"/>
  <c r="I43" i="4"/>
  <c r="E43" i="4"/>
  <c r="D43" i="4"/>
  <c r="C43" i="4"/>
  <c r="B43" i="4"/>
  <c r="I42" i="4"/>
  <c r="E42" i="4"/>
  <c r="D42" i="4"/>
  <c r="C42" i="4"/>
  <c r="B42" i="4"/>
  <c r="I41" i="4"/>
  <c r="F41" i="4"/>
  <c r="E41" i="4"/>
  <c r="D41" i="4"/>
  <c r="C41" i="4"/>
  <c r="B41" i="4"/>
  <c r="I40" i="4"/>
  <c r="E40" i="4"/>
  <c r="D40" i="4"/>
  <c r="C40" i="4"/>
  <c r="B40" i="4"/>
  <c r="H40" i="4" s="1"/>
  <c r="I39" i="4"/>
  <c r="E39" i="4"/>
  <c r="D39" i="4"/>
  <c r="C39" i="4"/>
  <c r="B39" i="4"/>
  <c r="I38" i="4"/>
  <c r="E38" i="4"/>
  <c r="D38" i="4"/>
  <c r="C38" i="4"/>
  <c r="B38" i="4"/>
  <c r="I37" i="4"/>
  <c r="E37" i="4"/>
  <c r="D37" i="4"/>
  <c r="C37" i="4"/>
  <c r="B37" i="4"/>
  <c r="I36" i="4"/>
  <c r="E36" i="4"/>
  <c r="D36" i="4"/>
  <c r="C36" i="4"/>
  <c r="B36" i="4"/>
  <c r="I35" i="4"/>
  <c r="E35" i="4"/>
  <c r="D35" i="4"/>
  <c r="C35" i="4"/>
  <c r="B35" i="4"/>
  <c r="I34" i="4"/>
  <c r="E34" i="4"/>
  <c r="D34" i="4"/>
  <c r="C34" i="4"/>
  <c r="B34" i="4"/>
  <c r="I33" i="4"/>
  <c r="E33" i="4"/>
  <c r="D33" i="4"/>
  <c r="C33" i="4"/>
  <c r="B33" i="4"/>
  <c r="H33" i="4" s="1"/>
  <c r="I32" i="4"/>
  <c r="E32" i="4"/>
  <c r="D32" i="4"/>
  <c r="C32" i="4"/>
  <c r="B32" i="4"/>
  <c r="I31" i="4"/>
  <c r="E31" i="4"/>
  <c r="D31" i="4"/>
  <c r="C31" i="4"/>
  <c r="B31" i="4"/>
  <c r="I30" i="4"/>
  <c r="E30" i="4"/>
  <c r="D30" i="4"/>
  <c r="C30" i="4"/>
  <c r="B30" i="4"/>
  <c r="I29" i="4"/>
  <c r="E29" i="4"/>
  <c r="D29" i="4"/>
  <c r="C29" i="4"/>
  <c r="B29" i="4"/>
  <c r="I28" i="4"/>
  <c r="E28" i="4"/>
  <c r="D28" i="4"/>
  <c r="C28" i="4"/>
  <c r="F28" i="4" s="1"/>
  <c r="B28" i="4"/>
  <c r="I27" i="4"/>
  <c r="E27" i="4"/>
  <c r="D27" i="4"/>
  <c r="C27" i="4"/>
  <c r="B27" i="4"/>
  <c r="H27" i="4" s="1"/>
  <c r="I26" i="4"/>
  <c r="E26" i="4"/>
  <c r="D26" i="4"/>
  <c r="C26" i="4"/>
  <c r="B26" i="4"/>
  <c r="G26" i="4" s="1"/>
  <c r="I25" i="4"/>
  <c r="E25" i="4"/>
  <c r="D25" i="4"/>
  <c r="C25" i="4"/>
  <c r="B25" i="4"/>
  <c r="I24" i="4"/>
  <c r="E24" i="4"/>
  <c r="D24" i="4"/>
  <c r="F24" i="4" s="1"/>
  <c r="C24" i="4"/>
  <c r="B24" i="4"/>
  <c r="I23" i="4"/>
  <c r="E23" i="4"/>
  <c r="D23" i="4"/>
  <c r="C23" i="4"/>
  <c r="G23" i="4" s="1"/>
  <c r="B23" i="4"/>
  <c r="I22" i="4"/>
  <c r="E22" i="4"/>
  <c r="D22" i="4"/>
  <c r="F22" i="4" s="1"/>
  <c r="C22" i="4"/>
  <c r="B22" i="4"/>
  <c r="I21" i="4"/>
  <c r="F21" i="4"/>
  <c r="E21" i="4"/>
  <c r="D21" i="4"/>
  <c r="C21" i="4"/>
  <c r="B21" i="4"/>
  <c r="I20" i="4"/>
  <c r="E20" i="4"/>
  <c r="D20" i="4"/>
  <c r="C20" i="4"/>
  <c r="B20" i="4"/>
  <c r="I19" i="4"/>
  <c r="E19" i="4"/>
  <c r="D19" i="4"/>
  <c r="C19" i="4"/>
  <c r="B19" i="4"/>
  <c r="I18" i="4"/>
  <c r="E18" i="4"/>
  <c r="D18" i="4"/>
  <c r="F18" i="4" s="1"/>
  <c r="C18" i="4"/>
  <c r="B18" i="4"/>
  <c r="I17" i="4"/>
  <c r="E17" i="4"/>
  <c r="D17" i="4"/>
  <c r="C17" i="4"/>
  <c r="B17" i="4"/>
  <c r="I16" i="4"/>
  <c r="E16" i="4"/>
  <c r="D16" i="4"/>
  <c r="C16" i="4"/>
  <c r="B16" i="4"/>
  <c r="I15" i="4"/>
  <c r="E15" i="4"/>
  <c r="D15" i="4"/>
  <c r="C15" i="4"/>
  <c r="B15" i="4"/>
  <c r="I14" i="4"/>
  <c r="E14" i="4"/>
  <c r="D14" i="4"/>
  <c r="F14" i="4" s="1"/>
  <c r="C14" i="4"/>
  <c r="B14" i="4"/>
  <c r="G14" i="4" s="1"/>
  <c r="I13" i="4"/>
  <c r="E13" i="4"/>
  <c r="D13" i="4"/>
  <c r="H13" i="4" s="1"/>
  <c r="C13" i="4"/>
  <c r="G13" i="4" s="1"/>
  <c r="B13" i="4"/>
  <c r="I12" i="4"/>
  <c r="E12" i="4"/>
  <c r="D12" i="4"/>
  <c r="F12" i="4" s="1"/>
  <c r="C12" i="4"/>
  <c r="B12" i="4"/>
  <c r="I11" i="4"/>
  <c r="E11" i="4"/>
  <c r="D11" i="4"/>
  <c r="C11" i="4"/>
  <c r="B11" i="4"/>
  <c r="I10" i="4"/>
  <c r="E10" i="4"/>
  <c r="D10" i="4"/>
  <c r="C10" i="4"/>
  <c r="B10" i="4"/>
  <c r="I9" i="4"/>
  <c r="E9" i="4"/>
  <c r="D9" i="4"/>
  <c r="C9" i="4"/>
  <c r="B9" i="4"/>
  <c r="I8" i="4"/>
  <c r="E8" i="4"/>
  <c r="D8" i="4"/>
  <c r="C8" i="4"/>
  <c r="B8" i="4"/>
  <c r="I7" i="4"/>
  <c r="H7" i="4"/>
  <c r="E7" i="4"/>
  <c r="D7" i="4"/>
  <c r="C7" i="4"/>
  <c r="B7" i="4"/>
  <c r="I6" i="4"/>
  <c r="E6" i="4"/>
  <c r="D6" i="4"/>
  <c r="C6" i="4"/>
  <c r="B6" i="4"/>
  <c r="I5" i="4"/>
  <c r="F5" i="4"/>
  <c r="E5" i="4"/>
  <c r="D5" i="4"/>
  <c r="C5" i="4"/>
  <c r="B5" i="4"/>
  <c r="H5" i="4" s="1"/>
  <c r="I4" i="4"/>
  <c r="E4" i="4"/>
  <c r="D4" i="4"/>
  <c r="H4" i="4" s="1"/>
  <c r="C4" i="4"/>
  <c r="G4" i="4" s="1"/>
  <c r="B4" i="4"/>
  <c r="I3" i="4"/>
  <c r="E3" i="4"/>
  <c r="D3" i="4"/>
  <c r="C3" i="4"/>
  <c r="B3" i="4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AH28" i="5" s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AJ9" i="5" s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AD10" i="5" s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S8" i="5" s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AM4" i="5" s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X26" i="5" s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AF5" i="5" s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AM6" i="5" s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AK29" i="5" s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AN27" i="5" s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AC3" i="5" s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S25" i="5" s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AI20" i="5" s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S4" i="5" s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AC21" i="5" s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AN19" i="5" s="1"/>
  <c r="M183" i="1"/>
  <c r="AI10" i="5" s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U10" i="5" s="1"/>
  <c r="M145" i="1"/>
  <c r="M144" i="1"/>
  <c r="M143" i="1"/>
  <c r="M142" i="1"/>
  <c r="M141" i="1"/>
  <c r="M140" i="1"/>
  <c r="M139" i="1"/>
  <c r="M138" i="1"/>
  <c r="M137" i="1"/>
  <c r="M136" i="1"/>
  <c r="E9" i="5" s="1"/>
  <c r="M135" i="1"/>
  <c r="M134" i="1"/>
  <c r="M133" i="1"/>
  <c r="D8" i="5" s="1"/>
  <c r="M132" i="1"/>
  <c r="AI6" i="5" s="1"/>
  <c r="M131" i="1"/>
  <c r="M130" i="1"/>
  <c r="M129" i="1"/>
  <c r="M128" i="1"/>
  <c r="R11" i="5" s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O9" i="5" s="1"/>
  <c r="M106" i="1"/>
  <c r="M105" i="1"/>
  <c r="S7" i="5" s="1"/>
  <c r="M104" i="1"/>
  <c r="M103" i="1"/>
  <c r="M102" i="1"/>
  <c r="M101" i="1"/>
  <c r="M100" i="1"/>
  <c r="M18" i="5" s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AG21" i="5" s="1"/>
  <c r="M84" i="1"/>
  <c r="M83" i="1"/>
  <c r="M82" i="1"/>
  <c r="M81" i="1"/>
  <c r="M80" i="1"/>
  <c r="M79" i="1"/>
  <c r="M78" i="1"/>
  <c r="M77" i="1"/>
  <c r="M76" i="1"/>
  <c r="M75" i="1"/>
  <c r="W5" i="5" s="1"/>
  <c r="M74" i="1"/>
  <c r="M73" i="1"/>
  <c r="M72" i="1"/>
  <c r="M71" i="1"/>
  <c r="V25" i="5" s="1"/>
  <c r="M70" i="1"/>
  <c r="M69" i="1"/>
  <c r="M68" i="1"/>
  <c r="M67" i="1"/>
  <c r="M66" i="1"/>
  <c r="V7" i="5" s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T21" i="5" s="1"/>
  <c r="M52" i="1"/>
  <c r="M51" i="1"/>
  <c r="M50" i="1"/>
  <c r="M49" i="1"/>
  <c r="M48" i="1"/>
  <c r="M47" i="1"/>
  <c r="M46" i="1"/>
  <c r="M45" i="1"/>
  <c r="M44" i="1"/>
  <c r="AM13" i="5" s="1"/>
  <c r="M43" i="1"/>
  <c r="AE18" i="5" s="1"/>
  <c r="M42" i="1"/>
  <c r="AM26" i="5" s="1"/>
  <c r="M41" i="1"/>
  <c r="M40" i="1"/>
  <c r="M39" i="1"/>
  <c r="M38" i="1"/>
  <c r="M37" i="1"/>
  <c r="M36" i="1"/>
  <c r="M35" i="1"/>
  <c r="AG11" i="5" s="1"/>
  <c r="M34" i="1"/>
  <c r="M33" i="1"/>
  <c r="M32" i="1"/>
  <c r="M31" i="1"/>
  <c r="M30" i="1"/>
  <c r="Z16" i="5" s="1"/>
  <c r="M29" i="1"/>
  <c r="AC16" i="5" s="1"/>
  <c r="M28" i="1"/>
  <c r="AE23" i="5" s="1"/>
  <c r="M27" i="1"/>
  <c r="M26" i="1"/>
  <c r="M25" i="1"/>
  <c r="M24" i="1"/>
  <c r="M23" i="1"/>
  <c r="M22" i="1"/>
  <c r="M21" i="1"/>
  <c r="AA22" i="5" s="1"/>
  <c r="M20" i="1"/>
  <c r="M19" i="1"/>
  <c r="M18" i="1"/>
  <c r="M17" i="1"/>
  <c r="M16" i="1"/>
  <c r="Y15" i="5" s="1"/>
  <c r="M15" i="1"/>
  <c r="M14" i="1"/>
  <c r="AH25" i="5" s="1"/>
  <c r="M13" i="1"/>
  <c r="M12" i="1"/>
  <c r="M11" i="1"/>
  <c r="M10" i="1"/>
  <c r="M9" i="1"/>
  <c r="T16" i="5" s="1"/>
  <c r="M8" i="1"/>
  <c r="M7" i="1"/>
  <c r="M6" i="1"/>
  <c r="AK12" i="5" s="1"/>
  <c r="M5" i="1"/>
  <c r="W20" i="5" s="1"/>
  <c r="M4" i="1"/>
  <c r="M3" i="1"/>
  <c r="D29" i="6" l="1"/>
  <c r="G30" i="4"/>
  <c r="H41" i="4"/>
  <c r="H11" i="4"/>
  <c r="H36" i="4"/>
  <c r="D10" i="6"/>
  <c r="D17" i="6"/>
  <c r="D24" i="6"/>
  <c r="G42" i="4"/>
  <c r="H42" i="4"/>
  <c r="H30" i="4"/>
  <c r="G11" i="4"/>
  <c r="G41" i="4"/>
  <c r="G36" i="4"/>
  <c r="D6" i="6"/>
  <c r="D21" i="6"/>
  <c r="G39" i="4"/>
  <c r="D36" i="6"/>
  <c r="G9" i="4"/>
  <c r="G20" i="4"/>
  <c r="D9" i="6"/>
  <c r="D16" i="6"/>
  <c r="H9" i="4"/>
  <c r="H20" i="4"/>
  <c r="G31" i="4"/>
  <c r="D30" i="6"/>
  <c r="H31" i="4"/>
  <c r="D37" i="6"/>
  <c r="D4" i="6"/>
  <c r="D31" i="6"/>
  <c r="G7" i="4"/>
  <c r="H45" i="4"/>
  <c r="D11" i="6"/>
  <c r="D38" i="6"/>
  <c r="G45" i="4"/>
  <c r="G18" i="4"/>
  <c r="G37" i="4"/>
  <c r="G10" i="4"/>
  <c r="G29" i="4"/>
  <c r="D12" i="6"/>
  <c r="D19" i="6"/>
  <c r="G5" i="4"/>
  <c r="G27" i="4"/>
  <c r="G35" i="4"/>
  <c r="H43" i="4"/>
  <c r="G46" i="4"/>
  <c r="D13" i="6"/>
  <c r="D20" i="6"/>
  <c r="D33" i="6"/>
  <c r="G43" i="4"/>
  <c r="H16" i="4"/>
  <c r="H35" i="4"/>
  <c r="H46" i="4"/>
  <c r="G49" i="4"/>
  <c r="D34" i="6"/>
  <c r="G33" i="4"/>
  <c r="G22" i="4"/>
  <c r="G25" i="4"/>
  <c r="G44" i="4"/>
  <c r="D15" i="6"/>
  <c r="D22" i="6"/>
  <c r="D35" i="6"/>
  <c r="R25" i="5"/>
  <c r="AI4" i="5"/>
  <c r="W13" i="5"/>
  <c r="M3" i="5"/>
  <c r="AD4" i="5"/>
  <c r="I8" i="5"/>
  <c r="AE9" i="5"/>
  <c r="X10" i="5"/>
  <c r="Q11" i="5"/>
  <c r="O13" i="5"/>
  <c r="I15" i="5"/>
  <c r="Y16" i="5"/>
  <c r="J18" i="5"/>
  <c r="AD20" i="5"/>
  <c r="AB21" i="5"/>
  <c r="N25" i="5"/>
  <c r="I26" i="5"/>
  <c r="AJ28" i="5"/>
  <c r="S48" i="5"/>
  <c r="R13" i="5"/>
  <c r="U15" i="5"/>
  <c r="AN36" i="5"/>
  <c r="AF36" i="5"/>
  <c r="K36" i="5"/>
  <c r="AE36" i="5"/>
  <c r="J36" i="5"/>
  <c r="AB36" i="5"/>
  <c r="Y36" i="5"/>
  <c r="W36" i="5"/>
  <c r="P36" i="5"/>
  <c r="N36" i="5"/>
  <c r="O36" i="5"/>
  <c r="AC5" i="5"/>
  <c r="E5" i="5"/>
  <c r="S5" i="5"/>
  <c r="F6" i="4"/>
  <c r="U3" i="5"/>
  <c r="J4" i="5"/>
  <c r="AN4" i="5"/>
  <c r="AI5" i="5"/>
  <c r="U9" i="5"/>
  <c r="N9" i="5"/>
  <c r="M9" i="5"/>
  <c r="AI9" i="5"/>
  <c r="H9" i="5"/>
  <c r="AD9" i="5"/>
  <c r="AB9" i="5"/>
  <c r="T9" i="5"/>
  <c r="AM10" i="5"/>
  <c r="AK10" i="5"/>
  <c r="W11" i="5"/>
  <c r="L12" i="5"/>
  <c r="AF13" i="5"/>
  <c r="AE16" i="5"/>
  <c r="AG16" i="5"/>
  <c r="O16" i="5"/>
  <c r="AF16" i="5"/>
  <c r="N16" i="5"/>
  <c r="AA16" i="5"/>
  <c r="K16" i="5"/>
  <c r="AN16" i="5"/>
  <c r="X16" i="5"/>
  <c r="H16" i="5"/>
  <c r="AM16" i="5"/>
  <c r="W16" i="5"/>
  <c r="G16" i="5"/>
  <c r="AL16" i="5"/>
  <c r="V16" i="5"/>
  <c r="F16" i="5"/>
  <c r="AK16" i="5"/>
  <c r="U16" i="5"/>
  <c r="E16" i="5"/>
  <c r="AH16" i="5"/>
  <c r="Q18" i="5"/>
  <c r="AL20" i="5"/>
  <c r="U20" i="5"/>
  <c r="D20" i="5"/>
  <c r="AK20" i="5"/>
  <c r="T20" i="5"/>
  <c r="AH20" i="5"/>
  <c r="O20" i="5"/>
  <c r="AC20" i="5"/>
  <c r="K20" i="5"/>
  <c r="AA20" i="5"/>
  <c r="J20" i="5"/>
  <c r="Z20" i="5"/>
  <c r="I20" i="5"/>
  <c r="Y20" i="5"/>
  <c r="H20" i="5"/>
  <c r="X20" i="5"/>
  <c r="G20" i="5"/>
  <c r="AM20" i="5"/>
  <c r="AN21" i="5"/>
  <c r="W25" i="5"/>
  <c r="Y26" i="5"/>
  <c r="L29" i="5"/>
  <c r="M30" i="5"/>
  <c r="D36" i="5"/>
  <c r="AE47" i="5"/>
  <c r="AF48" i="5"/>
  <c r="S15" i="5"/>
  <c r="AE24" i="5"/>
  <c r="Q24" i="5"/>
  <c r="N24" i="5"/>
  <c r="AM24" i="5"/>
  <c r="AJ24" i="5"/>
  <c r="AI24" i="5"/>
  <c r="V24" i="5"/>
  <c r="U24" i="5"/>
  <c r="T24" i="5"/>
  <c r="AE5" i="5"/>
  <c r="AF21" i="5"/>
  <c r="H4" i="5"/>
  <c r="AG35" i="5"/>
  <c r="AB35" i="5"/>
  <c r="J35" i="5"/>
  <c r="AA35" i="5"/>
  <c r="I35" i="5"/>
  <c r="X35" i="5"/>
  <c r="F35" i="5"/>
  <c r="AM35" i="5"/>
  <c r="U35" i="5"/>
  <c r="AL35" i="5"/>
  <c r="T35" i="5"/>
  <c r="AK35" i="5"/>
  <c r="O35" i="5"/>
  <c r="AI35" i="5"/>
  <c r="M35" i="5"/>
  <c r="AJ35" i="5"/>
  <c r="N35" i="5"/>
  <c r="Q6" i="5"/>
  <c r="F27" i="4"/>
  <c r="H37" i="4"/>
  <c r="F37" i="4"/>
  <c r="F42" i="4"/>
  <c r="X3" i="5"/>
  <c r="M4" i="5"/>
  <c r="AK5" i="5"/>
  <c r="AL5" i="5"/>
  <c r="F7" i="5"/>
  <c r="AL10" i="5"/>
  <c r="AH13" i="5"/>
  <c r="AI16" i="5"/>
  <c r="S18" i="5"/>
  <c r="AN20" i="5"/>
  <c r="AL22" i="5"/>
  <c r="Y22" i="5"/>
  <c r="S22" i="5"/>
  <c r="R22" i="5"/>
  <c r="Q22" i="5"/>
  <c r="L22" i="5"/>
  <c r="R24" i="5"/>
  <c r="AE25" i="5"/>
  <c r="AL26" i="5"/>
  <c r="G28" i="5"/>
  <c r="Q29" i="5"/>
  <c r="O30" i="5"/>
  <c r="G35" i="5"/>
  <c r="I36" i="5"/>
  <c r="AI48" i="5"/>
  <c r="X5" i="5"/>
  <c r="K18" i="5"/>
  <c r="F4" i="5"/>
  <c r="AB16" i="5"/>
  <c r="AC13" i="5"/>
  <c r="AB3" i="5"/>
  <c r="N4" i="5"/>
  <c r="AH6" i="5"/>
  <c r="P7" i="5"/>
  <c r="D9" i="5"/>
  <c r="D10" i="5"/>
  <c r="AD11" i="5"/>
  <c r="AI11" i="5"/>
  <c r="T11" i="5"/>
  <c r="E11" i="5"/>
  <c r="AH11" i="5"/>
  <c r="S11" i="5"/>
  <c r="D11" i="5"/>
  <c r="AE11" i="5"/>
  <c r="O11" i="5"/>
  <c r="AA11" i="5"/>
  <c r="L11" i="5"/>
  <c r="AN11" i="5"/>
  <c r="Y11" i="5"/>
  <c r="J11" i="5"/>
  <c r="AM11" i="5"/>
  <c r="X11" i="5"/>
  <c r="I11" i="5"/>
  <c r="AB11" i="5"/>
  <c r="AJ12" i="5"/>
  <c r="D16" i="5"/>
  <c r="AJ16" i="5"/>
  <c r="T18" i="5"/>
  <c r="E20" i="5"/>
  <c r="AI21" i="5"/>
  <c r="S24" i="5"/>
  <c r="AF25" i="5"/>
  <c r="H28" i="5"/>
  <c r="S29" i="5"/>
  <c r="H35" i="5"/>
  <c r="L36" i="5"/>
  <c r="S38" i="5"/>
  <c r="AK38" i="5"/>
  <c r="R38" i="5"/>
  <c r="AH38" i="5"/>
  <c r="O38" i="5"/>
  <c r="AE38" i="5"/>
  <c r="H38" i="5"/>
  <c r="AD38" i="5"/>
  <c r="G38" i="5"/>
  <c r="AC38" i="5"/>
  <c r="F38" i="5"/>
  <c r="X38" i="5"/>
  <c r="E38" i="5"/>
  <c r="W38" i="5"/>
  <c r="D38" i="5"/>
  <c r="AH9" i="5"/>
  <c r="AG27" i="5"/>
  <c r="AN6" i="5"/>
  <c r="D5" i="5"/>
  <c r="AC11" i="5"/>
  <c r="AN14" i="5"/>
  <c r="R14" i="5"/>
  <c r="Q14" i="5"/>
  <c r="AI14" i="5"/>
  <c r="AH14" i="5"/>
  <c r="I16" i="5"/>
  <c r="AA17" i="5"/>
  <c r="AL17" i="5"/>
  <c r="AK17" i="5"/>
  <c r="M17" i="5"/>
  <c r="AA18" i="5"/>
  <c r="F20" i="5"/>
  <c r="U22" i="5"/>
  <c r="AK24" i="5"/>
  <c r="AF27" i="5"/>
  <c r="J27" i="5"/>
  <c r="AE27" i="5"/>
  <c r="F27" i="5"/>
  <c r="AB27" i="5"/>
  <c r="S27" i="5"/>
  <c r="R27" i="5"/>
  <c r="Q27" i="5"/>
  <c r="N27" i="5"/>
  <c r="M27" i="5"/>
  <c r="L28" i="5"/>
  <c r="T29" i="5"/>
  <c r="K35" i="5"/>
  <c r="M36" i="5"/>
  <c r="AD48" i="5"/>
  <c r="AH48" i="5"/>
  <c r="Q48" i="5"/>
  <c r="AG48" i="5"/>
  <c r="M48" i="5"/>
  <c r="AA48" i="5"/>
  <c r="J48" i="5"/>
  <c r="X48" i="5"/>
  <c r="G48" i="5"/>
  <c r="AN48" i="5"/>
  <c r="W48" i="5"/>
  <c r="F48" i="5"/>
  <c r="AM48" i="5"/>
  <c r="V48" i="5"/>
  <c r="E48" i="5"/>
  <c r="AL48" i="5"/>
  <c r="U48" i="5"/>
  <c r="D48" i="5"/>
  <c r="AK48" i="5"/>
  <c r="T48" i="5"/>
  <c r="AE4" i="5"/>
  <c r="F34" i="4"/>
  <c r="AM9" i="5"/>
  <c r="N18" i="5"/>
  <c r="E10" i="5"/>
  <c r="U19" i="5"/>
  <c r="H14" i="4"/>
  <c r="H25" i="4"/>
  <c r="F25" i="4"/>
  <c r="G5" i="5"/>
  <c r="I6" i="5"/>
  <c r="K9" i="5"/>
  <c r="F10" i="5"/>
  <c r="F11" i="5"/>
  <c r="AF11" i="5"/>
  <c r="J16" i="5"/>
  <c r="AB18" i="5"/>
  <c r="L20" i="5"/>
  <c r="I21" i="5"/>
  <c r="X22" i="5"/>
  <c r="AL24" i="5"/>
  <c r="M28" i="5"/>
  <c r="X29" i="5"/>
  <c r="V30" i="5"/>
  <c r="L35" i="5"/>
  <c r="Z36" i="5"/>
  <c r="I38" i="5"/>
  <c r="Q13" i="5"/>
  <c r="P13" i="5"/>
  <c r="AG13" i="5"/>
  <c r="F13" i="5"/>
  <c r="AE13" i="5"/>
  <c r="V19" i="5"/>
  <c r="U11" i="5"/>
  <c r="H29" i="4"/>
  <c r="F29" i="4"/>
  <c r="V11" i="5"/>
  <c r="O7" i="5"/>
  <c r="N7" i="5"/>
  <c r="Z7" i="5"/>
  <c r="X7" i="5"/>
  <c r="W7" i="5"/>
  <c r="M6" i="5"/>
  <c r="Y7" i="5"/>
  <c r="L9" i="5"/>
  <c r="K10" i="5"/>
  <c r="G11" i="5"/>
  <c r="S14" i="5"/>
  <c r="L16" i="5"/>
  <c r="N17" i="5"/>
  <c r="AD18" i="5"/>
  <c r="M20" i="5"/>
  <c r="J21" i="5"/>
  <c r="Z22" i="5"/>
  <c r="AD25" i="5"/>
  <c r="AK25" i="5"/>
  <c r="U25" i="5"/>
  <c r="E25" i="5"/>
  <c r="AJ25" i="5"/>
  <c r="T25" i="5"/>
  <c r="D25" i="5"/>
  <c r="AG25" i="5"/>
  <c r="Q25" i="5"/>
  <c r="AB25" i="5"/>
  <c r="L25" i="5"/>
  <c r="AA25" i="5"/>
  <c r="K25" i="5"/>
  <c r="Z25" i="5"/>
  <c r="J25" i="5"/>
  <c r="Y25" i="5"/>
  <c r="I25" i="5"/>
  <c r="AN25" i="5"/>
  <c r="X25" i="5"/>
  <c r="H25" i="5"/>
  <c r="AL25" i="5"/>
  <c r="K27" i="5"/>
  <c r="S28" i="5"/>
  <c r="Y29" i="5"/>
  <c r="V35" i="5"/>
  <c r="AA36" i="5"/>
  <c r="H48" i="5"/>
  <c r="AC10" i="5"/>
  <c r="AE20" i="5"/>
  <c r="Y8" i="5"/>
  <c r="AA4" i="5"/>
  <c r="K4" i="5"/>
  <c r="AL4" i="5"/>
  <c r="T4" i="5"/>
  <c r="D4" i="5"/>
  <c r="AJ3" i="5"/>
  <c r="P3" i="5"/>
  <c r="AI3" i="5"/>
  <c r="O3" i="5"/>
  <c r="AD3" i="5"/>
  <c r="J3" i="5"/>
  <c r="Y3" i="5"/>
  <c r="G3" i="5"/>
  <c r="W3" i="5"/>
  <c r="D3" i="5"/>
  <c r="AN3" i="5"/>
  <c r="V3" i="5"/>
  <c r="AG3" i="5"/>
  <c r="V4" i="5"/>
  <c r="M5" i="5"/>
  <c r="P6" i="5"/>
  <c r="AL7" i="5"/>
  <c r="O10" i="5"/>
  <c r="H11" i="5"/>
  <c r="AJ11" i="5"/>
  <c r="E13" i="5"/>
  <c r="V14" i="5"/>
  <c r="M16" i="5"/>
  <c r="Q17" i="5"/>
  <c r="P20" i="5"/>
  <c r="L21" i="5"/>
  <c r="AM25" i="5"/>
  <c r="L27" i="5"/>
  <c r="T28" i="5"/>
  <c r="W35" i="5"/>
  <c r="AC36" i="5"/>
  <c r="P38" i="5"/>
  <c r="I48" i="5"/>
  <c r="L50" i="5"/>
  <c r="AB50" i="5"/>
  <c r="E4" i="5"/>
  <c r="V8" i="5"/>
  <c r="Z29" i="5"/>
  <c r="E29" i="5"/>
  <c r="H5" i="5"/>
  <c r="F7" i="4"/>
  <c r="AD23" i="5"/>
  <c r="H23" i="4"/>
  <c r="F23" i="4"/>
  <c r="E3" i="5"/>
  <c r="AL3" i="5"/>
  <c r="Y4" i="5"/>
  <c r="P5" i="5"/>
  <c r="S6" i="5"/>
  <c r="AF8" i="5"/>
  <c r="K8" i="5"/>
  <c r="J8" i="5"/>
  <c r="AB8" i="5"/>
  <c r="Z8" i="5"/>
  <c r="R9" i="5"/>
  <c r="P10" i="5"/>
  <c r="K11" i="5"/>
  <c r="AK11" i="5"/>
  <c r="I13" i="5"/>
  <c r="Z14" i="5"/>
  <c r="R16" i="5"/>
  <c r="AM17" i="5"/>
  <c r="S20" i="5"/>
  <c r="M21" i="5"/>
  <c r="AA23" i="5"/>
  <c r="F25" i="5"/>
  <c r="X27" i="5"/>
  <c r="AC28" i="5"/>
  <c r="AL29" i="5"/>
  <c r="AG30" i="5"/>
  <c r="Y35" i="5"/>
  <c r="AD36" i="5"/>
  <c r="Q38" i="5"/>
  <c r="K48" i="5"/>
  <c r="AJ20" i="5"/>
  <c r="I24" i="5"/>
  <c r="O4" i="5"/>
  <c r="F35" i="4"/>
  <c r="U4" i="5"/>
  <c r="AK3" i="5"/>
  <c r="U29" i="5"/>
  <c r="F15" i="4"/>
  <c r="H3" i="5"/>
  <c r="AM3" i="5"/>
  <c r="Z4" i="5"/>
  <c r="T5" i="5"/>
  <c r="V6" i="5"/>
  <c r="S9" i="5"/>
  <c r="T10" i="5"/>
  <c r="M11" i="5"/>
  <c r="AL11" i="5"/>
  <c r="J13" i="5"/>
  <c r="AD15" i="5"/>
  <c r="S16" i="5"/>
  <c r="AG18" i="5"/>
  <c r="P18" i="5"/>
  <c r="AF18" i="5"/>
  <c r="O18" i="5"/>
  <c r="AC18" i="5"/>
  <c r="L18" i="5"/>
  <c r="Z18" i="5"/>
  <c r="G18" i="5"/>
  <c r="Y18" i="5"/>
  <c r="F18" i="5"/>
  <c r="X18" i="5"/>
  <c r="E18" i="5"/>
  <c r="AN18" i="5"/>
  <c r="U18" i="5"/>
  <c r="D18" i="5"/>
  <c r="AM18" i="5"/>
  <c r="AL18" i="5"/>
  <c r="V20" i="5"/>
  <c r="P21" i="5"/>
  <c r="G25" i="5"/>
  <c r="AA27" i="5"/>
  <c r="AD28" i="5"/>
  <c r="AN29" i="5"/>
  <c r="Z35" i="5"/>
  <c r="AK36" i="5"/>
  <c r="U38" i="5"/>
  <c r="AJ47" i="5"/>
  <c r="H47" i="5"/>
  <c r="AI47" i="5"/>
  <c r="AD47" i="5"/>
  <c r="S47" i="5"/>
  <c r="R47" i="5"/>
  <c r="Q47" i="5"/>
  <c r="P47" i="5"/>
  <c r="O47" i="5"/>
  <c r="L48" i="5"/>
  <c r="AF50" i="5"/>
  <c r="M23" i="5"/>
  <c r="U26" i="5"/>
  <c r="T26" i="5"/>
  <c r="AK26" i="5"/>
  <c r="G26" i="5"/>
  <c r="AE26" i="5"/>
  <c r="Z26" i="5"/>
  <c r="H3" i="4"/>
  <c r="I3" i="5"/>
  <c r="AB4" i="5"/>
  <c r="AC4" i="5"/>
  <c r="U5" i="5"/>
  <c r="W6" i="5"/>
  <c r="AC9" i="5"/>
  <c r="N11" i="5"/>
  <c r="W12" i="5"/>
  <c r="M12" i="5"/>
  <c r="H12" i="5"/>
  <c r="N13" i="5"/>
  <c r="J23" i="5"/>
  <c r="M25" i="5"/>
  <c r="H26" i="5"/>
  <c r="AC27" i="5"/>
  <c r="AE30" i="5"/>
  <c r="AJ30" i="5"/>
  <c r="T30" i="5"/>
  <c r="D30" i="5"/>
  <c r="AI30" i="5"/>
  <c r="S30" i="5"/>
  <c r="AF30" i="5"/>
  <c r="N30" i="5"/>
  <c r="AA30" i="5"/>
  <c r="K30" i="5"/>
  <c r="Z30" i="5"/>
  <c r="J30" i="5"/>
  <c r="Y30" i="5"/>
  <c r="I30" i="5"/>
  <c r="AN30" i="5"/>
  <c r="X30" i="5"/>
  <c r="H30" i="5"/>
  <c r="AM30" i="5"/>
  <c r="W30" i="5"/>
  <c r="G30" i="5"/>
  <c r="AK30" i="5"/>
  <c r="AC35" i="5"/>
  <c r="AL36" i="5"/>
  <c r="V38" i="5"/>
  <c r="R48" i="5"/>
  <c r="AK50" i="5"/>
  <c r="U21" i="5"/>
  <c r="R44" i="5"/>
  <c r="AH44" i="5"/>
  <c r="G21" i="4"/>
  <c r="P4" i="5"/>
  <c r="AG4" i="5"/>
  <c r="N5" i="5"/>
  <c r="AJ5" i="5"/>
  <c r="AG6" i="5"/>
  <c r="G10" i="5"/>
  <c r="AE10" i="5"/>
  <c r="X13" i="5"/>
  <c r="AD13" i="5"/>
  <c r="X21" i="5"/>
  <c r="N23" i="5"/>
  <c r="V26" i="5"/>
  <c r="AC26" i="5"/>
  <c r="V28" i="5"/>
  <c r="F29" i="5"/>
  <c r="AF29" i="5"/>
  <c r="AA31" i="5"/>
  <c r="AB32" i="5"/>
  <c r="T34" i="5"/>
  <c r="AK34" i="5"/>
  <c r="F39" i="5"/>
  <c r="W39" i="5"/>
  <c r="AN39" i="5"/>
  <c r="S44" i="5"/>
  <c r="AI44" i="5"/>
  <c r="N45" i="5"/>
  <c r="AL45" i="5"/>
  <c r="O49" i="5"/>
  <c r="AK49" i="5"/>
  <c r="D5" i="6"/>
  <c r="U28" i="5"/>
  <c r="S34" i="5"/>
  <c r="AJ34" i="5"/>
  <c r="I51" i="4"/>
  <c r="R4" i="5"/>
  <c r="AH4" i="5"/>
  <c r="O5" i="5"/>
  <c r="H10" i="5"/>
  <c r="AF10" i="5"/>
  <c r="P19" i="5"/>
  <c r="D21" i="5"/>
  <c r="Y21" i="5"/>
  <c r="Y23" i="5"/>
  <c r="D28" i="5"/>
  <c r="W28" i="5"/>
  <c r="G29" i="5"/>
  <c r="AH29" i="5"/>
  <c r="AB31" i="5"/>
  <c r="AI32" i="5"/>
  <c r="D34" i="5"/>
  <c r="U34" i="5"/>
  <c r="AL34" i="5"/>
  <c r="M37" i="5"/>
  <c r="G39" i="5"/>
  <c r="X39" i="5"/>
  <c r="K41" i="5"/>
  <c r="D44" i="5"/>
  <c r="T44" i="5"/>
  <c r="AJ44" i="5"/>
  <c r="O45" i="5"/>
  <c r="AM45" i="5"/>
  <c r="T49" i="5"/>
  <c r="AL49" i="5"/>
  <c r="D25" i="6"/>
  <c r="E21" i="5"/>
  <c r="Z21" i="5"/>
  <c r="F26" i="5"/>
  <c r="AH26" i="5"/>
  <c r="E28" i="5"/>
  <c r="AA28" i="5"/>
  <c r="H29" i="5"/>
  <c r="AI29" i="5"/>
  <c r="AC31" i="5"/>
  <c r="E34" i="5"/>
  <c r="V34" i="5"/>
  <c r="AM34" i="5"/>
  <c r="N37" i="5"/>
  <c r="H39" i="5"/>
  <c r="Y39" i="5"/>
  <c r="L41" i="5"/>
  <c r="E44" i="5"/>
  <c r="U44" i="5"/>
  <c r="AK44" i="5"/>
  <c r="P45" i="5"/>
  <c r="AN45" i="5"/>
  <c r="U49" i="5"/>
  <c r="AM49" i="5"/>
  <c r="F16" i="4"/>
  <c r="AE6" i="5"/>
  <c r="AL6" i="5"/>
  <c r="N10" i="5"/>
  <c r="AJ10" i="5"/>
  <c r="F21" i="5"/>
  <c r="AA21" i="5"/>
  <c r="F28" i="5"/>
  <c r="AB28" i="5"/>
  <c r="I29" i="5"/>
  <c r="AJ29" i="5"/>
  <c r="F34" i="5"/>
  <c r="W34" i="5"/>
  <c r="AN34" i="5"/>
  <c r="O37" i="5"/>
  <c r="F44" i="5"/>
  <c r="V44" i="5"/>
  <c r="AL44" i="5"/>
  <c r="V49" i="5"/>
  <c r="AN49" i="5"/>
  <c r="D26" i="6"/>
  <c r="H12" i="4"/>
  <c r="F33" i="4"/>
  <c r="G4" i="5"/>
  <c r="X4" i="5"/>
  <c r="AG5" i="5"/>
  <c r="V5" i="5"/>
  <c r="L6" i="5"/>
  <c r="AM7" i="5"/>
  <c r="S10" i="5"/>
  <c r="M13" i="5"/>
  <c r="AN13" i="5"/>
  <c r="T15" i="5"/>
  <c r="AL19" i="5"/>
  <c r="K21" i="5"/>
  <c r="AD21" i="5"/>
  <c r="J26" i="5"/>
  <c r="AN26" i="5"/>
  <c r="I28" i="5"/>
  <c r="AE28" i="5"/>
  <c r="R29" i="5"/>
  <c r="AM29" i="5"/>
  <c r="J31" i="5"/>
  <c r="T33" i="5"/>
  <c r="I34" i="5"/>
  <c r="Z34" i="5"/>
  <c r="AA37" i="5"/>
  <c r="L39" i="5"/>
  <c r="AF39" i="5"/>
  <c r="I44" i="5"/>
  <c r="Y44" i="5"/>
  <c r="Z45" i="5"/>
  <c r="G49" i="5"/>
  <c r="Y49" i="5"/>
  <c r="AG10" i="5"/>
  <c r="V10" i="5"/>
  <c r="Z15" i="5"/>
  <c r="N21" i="5"/>
  <c r="AH21" i="5"/>
  <c r="N28" i="5"/>
  <c r="AK28" i="5"/>
  <c r="L34" i="5"/>
  <c r="AF34" i="5"/>
  <c r="AD37" i="5"/>
  <c r="L44" i="5"/>
  <c r="AB44" i="5"/>
  <c r="L4" i="5"/>
  <c r="F5" i="5"/>
  <c r="AD5" i="5"/>
  <c r="R6" i="5"/>
  <c r="W10" i="5"/>
  <c r="AC15" i="5"/>
  <c r="O21" i="5"/>
  <c r="AM21" i="5"/>
  <c r="AF23" i="5"/>
  <c r="Q28" i="5"/>
  <c r="M34" i="5"/>
  <c r="AG34" i="5"/>
  <c r="AH37" i="5"/>
  <c r="S39" i="5"/>
  <c r="AJ39" i="5"/>
  <c r="M44" i="5"/>
  <c r="AC44" i="5"/>
  <c r="J45" i="5"/>
  <c r="K49" i="5"/>
  <c r="AC49" i="5"/>
  <c r="G6" i="4"/>
  <c r="G16" i="4"/>
  <c r="H18" i="4"/>
  <c r="H22" i="4"/>
  <c r="C51" i="4"/>
  <c r="AG12" i="5"/>
  <c r="S12" i="5"/>
  <c r="E12" i="5"/>
  <c r="AF12" i="5"/>
  <c r="R12" i="5"/>
  <c r="D12" i="5"/>
  <c r="AA12" i="5"/>
  <c r="K12" i="5"/>
  <c r="Z12" i="5"/>
  <c r="J12" i="5"/>
  <c r="AI12" i="5"/>
  <c r="Q12" i="5"/>
  <c r="AH12" i="5"/>
  <c r="P12" i="5"/>
  <c r="V12" i="5"/>
  <c r="O12" i="5"/>
  <c r="AL12" i="5"/>
  <c r="N12" i="5"/>
  <c r="U12" i="5"/>
  <c r="AM12" i="5"/>
  <c r="AN12" i="5"/>
  <c r="T12" i="5"/>
  <c r="AE12" i="5"/>
  <c r="P14" i="5"/>
  <c r="F15" i="5"/>
  <c r="R19" i="5"/>
  <c r="H23" i="5"/>
  <c r="AL32" i="5"/>
  <c r="X32" i="5"/>
  <c r="J32" i="5"/>
  <c r="AK32" i="5"/>
  <c r="W32" i="5"/>
  <c r="I32" i="5"/>
  <c r="AJ32" i="5"/>
  <c r="V32" i="5"/>
  <c r="H32" i="5"/>
  <c r="AG32" i="5"/>
  <c r="P32" i="5"/>
  <c r="AE32" i="5"/>
  <c r="N32" i="5"/>
  <c r="AD32" i="5"/>
  <c r="M32" i="5"/>
  <c r="U32" i="5"/>
  <c r="T32" i="5"/>
  <c r="AF32" i="5"/>
  <c r="G32" i="5"/>
  <c r="AC32" i="5"/>
  <c r="F32" i="5"/>
  <c r="S32" i="5"/>
  <c r="O32" i="5"/>
  <c r="R32" i="5"/>
  <c r="L32" i="5"/>
  <c r="Q32" i="5"/>
  <c r="G19" i="4"/>
  <c r="F49" i="4"/>
  <c r="D14" i="6"/>
  <c r="G38" i="4"/>
  <c r="F11" i="4"/>
  <c r="G15" i="4"/>
  <c r="G17" i="4"/>
  <c r="F38" i="4"/>
  <c r="AH17" i="5"/>
  <c r="T17" i="5"/>
  <c r="F17" i="5"/>
  <c r="AG17" i="5"/>
  <c r="S17" i="5"/>
  <c r="E17" i="5"/>
  <c r="Z17" i="5"/>
  <c r="J17" i="5"/>
  <c r="Y17" i="5"/>
  <c r="I17" i="5"/>
  <c r="AF17" i="5"/>
  <c r="P17" i="5"/>
  <c r="AE17" i="5"/>
  <c r="O17" i="5"/>
  <c r="AJ17" i="5"/>
  <c r="L17" i="5"/>
  <c r="AC17" i="5"/>
  <c r="D17" i="5"/>
  <c r="AI17" i="5"/>
  <c r="K17" i="5"/>
  <c r="G17" i="5"/>
  <c r="AB17" i="5"/>
  <c r="AD17" i="5"/>
  <c r="H17" i="5"/>
  <c r="AN17" i="5"/>
  <c r="X19" i="5"/>
  <c r="AL46" i="5"/>
  <c r="X46" i="5"/>
  <c r="J46" i="5"/>
  <c r="AK46" i="5"/>
  <c r="W46" i="5"/>
  <c r="I46" i="5"/>
  <c r="AJ46" i="5"/>
  <c r="V46" i="5"/>
  <c r="H46" i="5"/>
  <c r="AI46" i="5"/>
  <c r="U46" i="5"/>
  <c r="G46" i="5"/>
  <c r="AB46" i="5"/>
  <c r="F46" i="5"/>
  <c r="AA46" i="5"/>
  <c r="E46" i="5"/>
  <c r="Z46" i="5"/>
  <c r="D46" i="5"/>
  <c r="Y46" i="5"/>
  <c r="P46" i="5"/>
  <c r="O46" i="5"/>
  <c r="AN46" i="5"/>
  <c r="N46" i="5"/>
  <c r="AD46" i="5"/>
  <c r="AC46" i="5"/>
  <c r="Q46" i="5"/>
  <c r="K46" i="5"/>
  <c r="M46" i="5"/>
  <c r="L46" i="5"/>
  <c r="F9" i="4"/>
  <c r="F13" i="4"/>
  <c r="H15" i="4"/>
  <c r="H17" i="4"/>
  <c r="F17" i="4"/>
  <c r="F31" i="4"/>
  <c r="G34" i="4"/>
  <c r="H34" i="4"/>
  <c r="G47" i="4"/>
  <c r="W14" i="5"/>
  <c r="V15" i="5"/>
  <c r="AI19" i="5"/>
  <c r="Z23" i="5"/>
  <c r="AC43" i="5"/>
  <c r="O43" i="5"/>
  <c r="AB43" i="5"/>
  <c r="N43" i="5"/>
  <c r="AA43" i="5"/>
  <c r="M43" i="5"/>
  <c r="AN43" i="5"/>
  <c r="Z43" i="5"/>
  <c r="L43" i="5"/>
  <c r="AJ43" i="5"/>
  <c r="R43" i="5"/>
  <c r="AI43" i="5"/>
  <c r="Q43" i="5"/>
  <c r="AH43" i="5"/>
  <c r="P43" i="5"/>
  <c r="AG43" i="5"/>
  <c r="K43" i="5"/>
  <c r="AK43" i="5"/>
  <c r="G43" i="5"/>
  <c r="AF43" i="5"/>
  <c r="F43" i="5"/>
  <c r="AE43" i="5"/>
  <c r="E43" i="5"/>
  <c r="U43" i="5"/>
  <c r="T43" i="5"/>
  <c r="X43" i="5"/>
  <c r="S43" i="5"/>
  <c r="J43" i="5"/>
  <c r="W43" i="5"/>
  <c r="V43" i="5"/>
  <c r="F32" i="4"/>
  <c r="H32" i="4"/>
  <c r="F39" i="4"/>
  <c r="AA8" i="5"/>
  <c r="X12" i="5"/>
  <c r="R17" i="5"/>
  <c r="AH32" i="5"/>
  <c r="I43" i="5"/>
  <c r="AE46" i="5"/>
  <c r="D23" i="6"/>
  <c r="G28" i="4"/>
  <c r="H28" i="4"/>
  <c r="AM14" i="5"/>
  <c r="Y14" i="5"/>
  <c r="K14" i="5"/>
  <c r="AL14" i="5"/>
  <c r="X14" i="5"/>
  <c r="J14" i="5"/>
  <c r="AE14" i="5"/>
  <c r="O14" i="5"/>
  <c r="AD14" i="5"/>
  <c r="N14" i="5"/>
  <c r="AK14" i="5"/>
  <c r="U14" i="5"/>
  <c r="E14" i="5"/>
  <c r="AJ14" i="5"/>
  <c r="T14" i="5"/>
  <c r="D14" i="5"/>
  <c r="AG14" i="5"/>
  <c r="I14" i="5"/>
  <c r="F14" i="5"/>
  <c r="AA14" i="5"/>
  <c r="AF14" i="5"/>
  <c r="H14" i="5"/>
  <c r="AB14" i="5"/>
  <c r="AC14" i="5"/>
  <c r="G14" i="5"/>
  <c r="AB15" i="5"/>
  <c r="N15" i="5"/>
  <c r="AA15" i="5"/>
  <c r="M15" i="5"/>
  <c r="AN15" i="5"/>
  <c r="X15" i="5"/>
  <c r="H15" i="5"/>
  <c r="AM15" i="5"/>
  <c r="W15" i="5"/>
  <c r="G15" i="5"/>
  <c r="AF15" i="5"/>
  <c r="P15" i="5"/>
  <c r="AE15" i="5"/>
  <c r="O15" i="5"/>
  <c r="AL15" i="5"/>
  <c r="R15" i="5"/>
  <c r="K15" i="5"/>
  <c r="AH15" i="5"/>
  <c r="J15" i="5"/>
  <c r="AK15" i="5"/>
  <c r="Q15" i="5"/>
  <c r="AI15" i="5"/>
  <c r="AJ15" i="5"/>
  <c r="L15" i="5"/>
  <c r="AG15" i="5"/>
  <c r="U17" i="5"/>
  <c r="J19" i="5"/>
  <c r="AK23" i="5"/>
  <c r="W23" i="5"/>
  <c r="I23" i="5"/>
  <c r="AI23" i="5"/>
  <c r="T23" i="5"/>
  <c r="E23" i="5"/>
  <c r="AH23" i="5"/>
  <c r="S23" i="5"/>
  <c r="D23" i="5"/>
  <c r="AC23" i="5"/>
  <c r="L23" i="5"/>
  <c r="AB23" i="5"/>
  <c r="K23" i="5"/>
  <c r="AL23" i="5"/>
  <c r="R23" i="5"/>
  <c r="AJ23" i="5"/>
  <c r="Q23" i="5"/>
  <c r="X23" i="5"/>
  <c r="V23" i="5"/>
  <c r="P23" i="5"/>
  <c r="O23" i="5"/>
  <c r="U23" i="5"/>
  <c r="AG23" i="5"/>
  <c r="AF46" i="5"/>
  <c r="AJ50" i="5"/>
  <c r="V50" i="5"/>
  <c r="H50" i="5"/>
  <c r="AI50" i="5"/>
  <c r="U50" i="5"/>
  <c r="G50" i="5"/>
  <c r="AH50" i="5"/>
  <c r="T50" i="5"/>
  <c r="F50" i="5"/>
  <c r="AG50" i="5"/>
  <c r="S50" i="5"/>
  <c r="E50" i="5"/>
  <c r="AN50" i="5"/>
  <c r="W50" i="5"/>
  <c r="R50" i="5"/>
  <c r="AM50" i="5"/>
  <c r="Q50" i="5"/>
  <c r="AL50" i="5"/>
  <c r="P50" i="5"/>
  <c r="AE50" i="5"/>
  <c r="I50" i="5"/>
  <c r="AD50" i="5"/>
  <c r="D50" i="5"/>
  <c r="AC50" i="5"/>
  <c r="O50" i="5"/>
  <c r="N50" i="5"/>
  <c r="AA50" i="5"/>
  <c r="X50" i="5"/>
  <c r="M50" i="5"/>
  <c r="Z50" i="5"/>
  <c r="Y50" i="5"/>
  <c r="F4" i="4"/>
  <c r="H6" i="4"/>
  <c r="G8" i="4"/>
  <c r="H10" i="4"/>
  <c r="F20" i="4"/>
  <c r="G24" i="4"/>
  <c r="F43" i="4"/>
  <c r="G48" i="4"/>
  <c r="AE8" i="5"/>
  <c r="AB12" i="5"/>
  <c r="V17" i="5"/>
  <c r="O19" i="5"/>
  <c r="AM23" i="5"/>
  <c r="AM32" i="5"/>
  <c r="AN42" i="5"/>
  <c r="Z42" i="5"/>
  <c r="L42" i="5"/>
  <c r="AM42" i="5"/>
  <c r="Y42" i="5"/>
  <c r="K42" i="5"/>
  <c r="AL42" i="5"/>
  <c r="X42" i="5"/>
  <c r="J42" i="5"/>
  <c r="AK42" i="5"/>
  <c r="W42" i="5"/>
  <c r="I42" i="5"/>
  <c r="AI42" i="5"/>
  <c r="Q42" i="5"/>
  <c r="AH42" i="5"/>
  <c r="P42" i="5"/>
  <c r="AG42" i="5"/>
  <c r="O42" i="5"/>
  <c r="AF42" i="5"/>
  <c r="N42" i="5"/>
  <c r="T42" i="5"/>
  <c r="S42" i="5"/>
  <c r="R42" i="5"/>
  <c r="AD42" i="5"/>
  <c r="D42" i="5"/>
  <c r="AC42" i="5"/>
  <c r="V42" i="5"/>
  <c r="H42" i="5"/>
  <c r="G42" i="5"/>
  <c r="U42" i="5"/>
  <c r="M42" i="5"/>
  <c r="AD43" i="5"/>
  <c r="AG46" i="5"/>
  <c r="F8" i="4"/>
  <c r="H8" i="4"/>
  <c r="G12" i="4"/>
  <c r="H24" i="4"/>
  <c r="F26" i="4"/>
  <c r="H26" i="4"/>
  <c r="H39" i="4"/>
  <c r="F48" i="4"/>
  <c r="H48" i="4"/>
  <c r="AF7" i="5"/>
  <c r="R7" i="5"/>
  <c r="D7" i="5"/>
  <c r="AE7" i="5"/>
  <c r="Q7" i="5"/>
  <c r="AC7" i="5"/>
  <c r="M7" i="5"/>
  <c r="AB7" i="5"/>
  <c r="L7" i="5"/>
  <c r="AK7" i="5"/>
  <c r="U7" i="5"/>
  <c r="E7" i="5"/>
  <c r="AJ7" i="5"/>
  <c r="T7" i="5"/>
  <c r="AI7" i="5"/>
  <c r="K7" i="5"/>
  <c r="H7" i="5"/>
  <c r="AA7" i="5"/>
  <c r="G7" i="5"/>
  <c r="AH7" i="5"/>
  <c r="J7" i="5"/>
  <c r="AD7" i="5"/>
  <c r="AG7" i="5"/>
  <c r="I7" i="5"/>
  <c r="AN7" i="5"/>
  <c r="AC12" i="5"/>
  <c r="L14" i="5"/>
  <c r="D15" i="5"/>
  <c r="W17" i="5"/>
  <c r="AH22" i="5"/>
  <c r="T22" i="5"/>
  <c r="F22" i="5"/>
  <c r="AC22" i="5"/>
  <c r="N22" i="5"/>
  <c r="AB22" i="5"/>
  <c r="M22" i="5"/>
  <c r="AG22" i="5"/>
  <c r="P22" i="5"/>
  <c r="AF22" i="5"/>
  <c r="O22" i="5"/>
  <c r="AN22" i="5"/>
  <c r="W22" i="5"/>
  <c r="E22" i="5"/>
  <c r="AM22" i="5"/>
  <c r="V22" i="5"/>
  <c r="D22" i="5"/>
  <c r="AK22" i="5"/>
  <c r="K22" i="5"/>
  <c r="AE22" i="5"/>
  <c r="AJ22" i="5"/>
  <c r="J22" i="5"/>
  <c r="H22" i="5"/>
  <c r="AD22" i="5"/>
  <c r="G22" i="5"/>
  <c r="AI22" i="5"/>
  <c r="I22" i="5"/>
  <c r="F23" i="5"/>
  <c r="AN23" i="5"/>
  <c r="AN32" i="5"/>
  <c r="AH40" i="5"/>
  <c r="T40" i="5"/>
  <c r="F40" i="5"/>
  <c r="AG40" i="5"/>
  <c r="S40" i="5"/>
  <c r="E40" i="5"/>
  <c r="AF40" i="5"/>
  <c r="R40" i="5"/>
  <c r="D40" i="5"/>
  <c r="AE40" i="5"/>
  <c r="Q40" i="5"/>
  <c r="AK40" i="5"/>
  <c r="O40" i="5"/>
  <c r="AJ40" i="5"/>
  <c r="N40" i="5"/>
  <c r="AI40" i="5"/>
  <c r="M40" i="5"/>
  <c r="AD40" i="5"/>
  <c r="L40" i="5"/>
  <c r="P40" i="5"/>
  <c r="K40" i="5"/>
  <c r="AN40" i="5"/>
  <c r="J40" i="5"/>
  <c r="Z40" i="5"/>
  <c r="Y40" i="5"/>
  <c r="AL40" i="5"/>
  <c r="AA40" i="5"/>
  <c r="AC40" i="5"/>
  <c r="X40" i="5"/>
  <c r="AB40" i="5"/>
  <c r="AL43" i="5"/>
  <c r="AH46" i="5"/>
  <c r="J50" i="5"/>
  <c r="B51" i="4"/>
  <c r="F40" i="4"/>
  <c r="G40" i="4"/>
  <c r="H21" i="4"/>
  <c r="G32" i="4"/>
  <c r="F45" i="4"/>
  <c r="AM19" i="5"/>
  <c r="Y19" i="5"/>
  <c r="AA19" i="5"/>
  <c r="L19" i="5"/>
  <c r="Z19" i="5"/>
  <c r="K19" i="5"/>
  <c r="AE19" i="5"/>
  <c r="N19" i="5"/>
  <c r="AD19" i="5"/>
  <c r="M19" i="5"/>
  <c r="AK19" i="5"/>
  <c r="T19" i="5"/>
  <c r="D19" i="5"/>
  <c r="AJ19" i="5"/>
  <c r="S19" i="5"/>
  <c r="AH19" i="5"/>
  <c r="I19" i="5"/>
  <c r="AC19" i="5"/>
  <c r="F19" i="5"/>
  <c r="AB19" i="5"/>
  <c r="AG19" i="5"/>
  <c r="H19" i="5"/>
  <c r="E19" i="5"/>
  <c r="AF19" i="5"/>
  <c r="G19" i="5"/>
  <c r="AI8" i="5"/>
  <c r="U8" i="5"/>
  <c r="G8" i="5"/>
  <c r="AH8" i="5"/>
  <c r="T8" i="5"/>
  <c r="F8" i="5"/>
  <c r="AN8" i="5"/>
  <c r="X8" i="5"/>
  <c r="H8" i="5"/>
  <c r="AM8" i="5"/>
  <c r="W8" i="5"/>
  <c r="E8" i="5"/>
  <c r="AD8" i="5"/>
  <c r="N8" i="5"/>
  <c r="AC8" i="5"/>
  <c r="M8" i="5"/>
  <c r="R8" i="5"/>
  <c r="O8" i="5"/>
  <c r="AJ8" i="5"/>
  <c r="L8" i="5"/>
  <c r="Q8" i="5"/>
  <c r="AK8" i="5"/>
  <c r="AL8" i="5"/>
  <c r="P8" i="5"/>
  <c r="AG8" i="5"/>
  <c r="AD12" i="5"/>
  <c r="M14" i="5"/>
  <c r="E15" i="5"/>
  <c r="X17" i="5"/>
  <c r="Q19" i="5"/>
  <c r="G23" i="5"/>
  <c r="AA33" i="5"/>
  <c r="M33" i="5"/>
  <c r="AN33" i="5"/>
  <c r="Z33" i="5"/>
  <c r="L33" i="5"/>
  <c r="AM33" i="5"/>
  <c r="Y33" i="5"/>
  <c r="K33" i="5"/>
  <c r="AE33" i="5"/>
  <c r="N33" i="5"/>
  <c r="AC33" i="5"/>
  <c r="I33" i="5"/>
  <c r="AB33" i="5"/>
  <c r="H33" i="5"/>
  <c r="AD33" i="5"/>
  <c r="E33" i="5"/>
  <c r="X33" i="5"/>
  <c r="D33" i="5"/>
  <c r="W33" i="5"/>
  <c r="AK33" i="5"/>
  <c r="Q33" i="5"/>
  <c r="AJ33" i="5"/>
  <c r="P33" i="5"/>
  <c r="O33" i="5"/>
  <c r="F33" i="5"/>
  <c r="AL33" i="5"/>
  <c r="J33" i="5"/>
  <c r="G33" i="5"/>
  <c r="AM43" i="5"/>
  <c r="AM46" i="5"/>
  <c r="K50" i="5"/>
  <c r="D51" i="4"/>
  <c r="F30" i="4"/>
  <c r="F36" i="4"/>
  <c r="F6" i="5"/>
  <c r="AD6" i="5"/>
  <c r="D24" i="5"/>
  <c r="AD24" i="5"/>
  <c r="G3" i="4"/>
  <c r="F10" i="4"/>
  <c r="F44" i="4"/>
  <c r="F46" i="4"/>
  <c r="G6" i="5"/>
  <c r="AL9" i="5"/>
  <c r="X9" i="5"/>
  <c r="J9" i="5"/>
  <c r="AK9" i="5"/>
  <c r="W9" i="5"/>
  <c r="I9" i="5"/>
  <c r="AG9" i="5"/>
  <c r="Q9" i="5"/>
  <c r="AF9" i="5"/>
  <c r="P9" i="5"/>
  <c r="Y9" i="5"/>
  <c r="G9" i="5"/>
  <c r="AN9" i="5"/>
  <c r="V9" i="5"/>
  <c r="F9" i="5"/>
  <c r="Z9" i="5"/>
  <c r="AJ13" i="5"/>
  <c r="V13" i="5"/>
  <c r="H13" i="5"/>
  <c r="AI13" i="5"/>
  <c r="U13" i="5"/>
  <c r="G13" i="5"/>
  <c r="AL13" i="5"/>
  <c r="T13" i="5"/>
  <c r="D13" i="5"/>
  <c r="AK13" i="5"/>
  <c r="S13" i="5"/>
  <c r="AB13" i="5"/>
  <c r="L13" i="5"/>
  <c r="AA13" i="5"/>
  <c r="K13" i="5"/>
  <c r="Y13" i="5"/>
  <c r="E24" i="5"/>
  <c r="F19" i="4"/>
  <c r="H38" i="4"/>
  <c r="AC6" i="5"/>
  <c r="O6" i="5"/>
  <c r="AB6" i="5"/>
  <c r="N6" i="5"/>
  <c r="AK6" i="5"/>
  <c r="U6" i="5"/>
  <c r="E6" i="5"/>
  <c r="AJ6" i="5"/>
  <c r="T6" i="5"/>
  <c r="D6" i="5"/>
  <c r="AA6" i="5"/>
  <c r="K6" i="5"/>
  <c r="Z6" i="5"/>
  <c r="J6" i="5"/>
  <c r="X6" i="5"/>
  <c r="AN24" i="5"/>
  <c r="Z24" i="5"/>
  <c r="L24" i="5"/>
  <c r="AA24" i="5"/>
  <c r="K24" i="5"/>
  <c r="Y24" i="5"/>
  <c r="J24" i="5"/>
  <c r="X24" i="5"/>
  <c r="G24" i="5"/>
  <c r="W24" i="5"/>
  <c r="F24" i="5"/>
  <c r="AG24" i="5"/>
  <c r="P24" i="5"/>
  <c r="AF24" i="5"/>
  <c r="O24" i="5"/>
  <c r="AB24" i="5"/>
  <c r="Y6" i="5"/>
  <c r="AC24" i="5"/>
  <c r="AM37" i="5"/>
  <c r="Y37" i="5"/>
  <c r="K37" i="5"/>
  <c r="AL37" i="5"/>
  <c r="X37" i="5"/>
  <c r="J37" i="5"/>
  <c r="AK37" i="5"/>
  <c r="W37" i="5"/>
  <c r="I37" i="5"/>
  <c r="AJ37" i="5"/>
  <c r="V37" i="5"/>
  <c r="H37" i="5"/>
  <c r="U37" i="5"/>
  <c r="S37" i="5"/>
  <c r="AN37" i="5"/>
  <c r="R37" i="5"/>
  <c r="AG37" i="5"/>
  <c r="L37" i="5"/>
  <c r="AF37" i="5"/>
  <c r="G37" i="5"/>
  <c r="AE37" i="5"/>
  <c r="F37" i="5"/>
  <c r="T37" i="5"/>
  <c r="Q37" i="5"/>
  <c r="AI37" i="5"/>
  <c r="E51" i="4"/>
  <c r="H19" i="4"/>
  <c r="F3" i="4"/>
  <c r="H6" i="5"/>
  <c r="AF6" i="5"/>
  <c r="AA9" i="5"/>
  <c r="Z13" i="5"/>
  <c r="H24" i="5"/>
  <c r="AH24" i="5"/>
  <c r="E37" i="5"/>
  <c r="AH3" i="5"/>
  <c r="T3" i="5"/>
  <c r="F3" i="5"/>
  <c r="Q3" i="5"/>
  <c r="AF3" i="5"/>
  <c r="Q5" i="5"/>
  <c r="Q10" i="5"/>
  <c r="AJ27" i="5"/>
  <c r="V27" i="5"/>
  <c r="H27" i="5"/>
  <c r="AI27" i="5"/>
  <c r="U27" i="5"/>
  <c r="G27" i="5"/>
  <c r="Y27" i="5"/>
  <c r="I27" i="5"/>
  <c r="AM27" i="5"/>
  <c r="W27" i="5"/>
  <c r="E27" i="5"/>
  <c r="AL27" i="5"/>
  <c r="T27" i="5"/>
  <c r="D27" i="5"/>
  <c r="Z27" i="5"/>
  <c r="AI31" i="5"/>
  <c r="U31" i="5"/>
  <c r="G31" i="5"/>
  <c r="AH31" i="5"/>
  <c r="T31" i="5"/>
  <c r="F31" i="5"/>
  <c r="AG31" i="5"/>
  <c r="S31" i="5"/>
  <c r="E31" i="5"/>
  <c r="AL31" i="5"/>
  <c r="R31" i="5"/>
  <c r="AJ31" i="5"/>
  <c r="P31" i="5"/>
  <c r="AF31" i="5"/>
  <c r="O31" i="5"/>
  <c r="Y31" i="5"/>
  <c r="H50" i="4"/>
  <c r="AN5" i="5"/>
  <c r="Z5" i="5"/>
  <c r="L5" i="5"/>
  <c r="AM5" i="5"/>
  <c r="Y5" i="5"/>
  <c r="K5" i="5"/>
  <c r="R5" i="5"/>
  <c r="AH5" i="5"/>
  <c r="AA10" i="5"/>
  <c r="M10" i="5"/>
  <c r="AN10" i="5"/>
  <c r="Z10" i="5"/>
  <c r="L10" i="5"/>
  <c r="R10" i="5"/>
  <c r="AH10" i="5"/>
  <c r="AG26" i="5"/>
  <c r="S26" i="5"/>
  <c r="E26" i="5"/>
  <c r="AF26" i="5"/>
  <c r="R26" i="5"/>
  <c r="D26" i="5"/>
  <c r="AD26" i="5"/>
  <c r="N26" i="5"/>
  <c r="AB26" i="5"/>
  <c r="L26" i="5"/>
  <c r="AA26" i="5"/>
  <c r="K26" i="5"/>
  <c r="W26" i="5"/>
  <c r="D18" i="6"/>
  <c r="K3" i="5"/>
  <c r="Z3" i="5"/>
  <c r="AK4" i="5"/>
  <c r="W4" i="5"/>
  <c r="I4" i="5"/>
  <c r="AJ4" i="5"/>
  <c r="Q4" i="5"/>
  <c r="AF4" i="5"/>
  <c r="I5" i="5"/>
  <c r="AA5" i="5"/>
  <c r="I10" i="5"/>
  <c r="Y10" i="5"/>
  <c r="AK18" i="5"/>
  <c r="W18" i="5"/>
  <c r="I18" i="5"/>
  <c r="AJ18" i="5"/>
  <c r="V18" i="5"/>
  <c r="H18" i="5"/>
  <c r="R18" i="5"/>
  <c r="AH18" i="5"/>
  <c r="R21" i="5"/>
  <c r="M26" i="5"/>
  <c r="AI26" i="5"/>
  <c r="O27" i="5"/>
  <c r="AH27" i="5"/>
  <c r="AC29" i="5"/>
  <c r="O29" i="5"/>
  <c r="AB29" i="5"/>
  <c r="N29" i="5"/>
  <c r="AA29" i="5"/>
  <c r="M29" i="5"/>
  <c r="AG29" i="5"/>
  <c r="P29" i="5"/>
  <c r="AE29" i="5"/>
  <c r="K29" i="5"/>
  <c r="AD29" i="5"/>
  <c r="J29" i="5"/>
  <c r="V29" i="5"/>
  <c r="M31" i="5"/>
  <c r="AM31" i="5"/>
  <c r="AK41" i="5"/>
  <c r="W41" i="5"/>
  <c r="I41" i="5"/>
  <c r="AJ41" i="5"/>
  <c r="V41" i="5"/>
  <c r="H41" i="5"/>
  <c r="AI41" i="5"/>
  <c r="U41" i="5"/>
  <c r="G41" i="5"/>
  <c r="AH41" i="5"/>
  <c r="T41" i="5"/>
  <c r="F41" i="5"/>
  <c r="AL41" i="5"/>
  <c r="P41" i="5"/>
  <c r="AG41" i="5"/>
  <c r="O41" i="5"/>
  <c r="AF41" i="5"/>
  <c r="N41" i="5"/>
  <c r="AE41" i="5"/>
  <c r="M41" i="5"/>
  <c r="AB41" i="5"/>
  <c r="AA47" i="5"/>
  <c r="M47" i="5"/>
  <c r="AN47" i="5"/>
  <c r="Z47" i="5"/>
  <c r="L47" i="5"/>
  <c r="AM47" i="5"/>
  <c r="Y47" i="5"/>
  <c r="K47" i="5"/>
  <c r="AL47" i="5"/>
  <c r="X47" i="5"/>
  <c r="J47" i="5"/>
  <c r="AC47" i="5"/>
  <c r="G47" i="5"/>
  <c r="AB47" i="5"/>
  <c r="F47" i="5"/>
  <c r="W47" i="5"/>
  <c r="E47" i="5"/>
  <c r="V47" i="5"/>
  <c r="D47" i="5"/>
  <c r="AF47" i="5"/>
  <c r="L3" i="5"/>
  <c r="AA3" i="5"/>
  <c r="J5" i="5"/>
  <c r="AB5" i="5"/>
  <c r="J10" i="5"/>
  <c r="AB10" i="5"/>
  <c r="AE21" i="5"/>
  <c r="Q21" i="5"/>
  <c r="AL21" i="5"/>
  <c r="W21" i="5"/>
  <c r="H21" i="5"/>
  <c r="AK21" i="5"/>
  <c r="V21" i="5"/>
  <c r="G21" i="5"/>
  <c r="S21" i="5"/>
  <c r="AJ21" i="5"/>
  <c r="O26" i="5"/>
  <c r="AJ26" i="5"/>
  <c r="P27" i="5"/>
  <c r="AK27" i="5"/>
  <c r="N31" i="5"/>
  <c r="AN31" i="5"/>
  <c r="AG47" i="5"/>
  <c r="P16" i="5"/>
  <c r="AD16" i="5"/>
  <c r="AB20" i="5"/>
  <c r="N20" i="5"/>
  <c r="Q20" i="5"/>
  <c r="AF20" i="5"/>
  <c r="O28" i="5"/>
  <c r="AF28" i="5"/>
  <c r="Q36" i="5"/>
  <c r="AM36" i="5"/>
  <c r="AI45" i="5"/>
  <c r="U45" i="5"/>
  <c r="G45" i="5"/>
  <c r="AH45" i="5"/>
  <c r="T45" i="5"/>
  <c r="F45" i="5"/>
  <c r="AG45" i="5"/>
  <c r="S45" i="5"/>
  <c r="E45" i="5"/>
  <c r="AF45" i="5"/>
  <c r="R45" i="5"/>
  <c r="D45" i="5"/>
  <c r="X45" i="5"/>
  <c r="P11" i="5"/>
  <c r="Q16" i="5"/>
  <c r="R20" i="5"/>
  <c r="AG20" i="5"/>
  <c r="P28" i="5"/>
  <c r="R36" i="5"/>
  <c r="AB38" i="5"/>
  <c r="N38" i="5"/>
  <c r="AA38" i="5"/>
  <c r="M38" i="5"/>
  <c r="AN38" i="5"/>
  <c r="Z38" i="5"/>
  <c r="L38" i="5"/>
  <c r="AM38" i="5"/>
  <c r="Y38" i="5"/>
  <c r="K38" i="5"/>
  <c r="T38" i="5"/>
  <c r="AL38" i="5"/>
  <c r="Y45" i="5"/>
  <c r="AN28" i="5"/>
  <c r="Z28" i="5"/>
  <c r="AM28" i="5"/>
  <c r="Y28" i="5"/>
  <c r="K28" i="5"/>
  <c r="AL28" i="5"/>
  <c r="X28" i="5"/>
  <c r="J28" i="5"/>
  <c r="R28" i="5"/>
  <c r="AI28" i="5"/>
  <c r="AJ36" i="5"/>
  <c r="V36" i="5"/>
  <c r="H36" i="5"/>
  <c r="AI36" i="5"/>
  <c r="U36" i="5"/>
  <c r="G36" i="5"/>
  <c r="AH36" i="5"/>
  <c r="T36" i="5"/>
  <c r="F36" i="5"/>
  <c r="AG36" i="5"/>
  <c r="S36" i="5"/>
  <c r="E36" i="5"/>
  <c r="X36" i="5"/>
  <c r="P35" i="5"/>
  <c r="AD35" i="5"/>
  <c r="P49" i="5"/>
  <c r="AD49" i="5"/>
  <c r="O25" i="5"/>
  <c r="AC25" i="5"/>
  <c r="P30" i="5"/>
  <c r="AD30" i="5"/>
  <c r="N34" i="5"/>
  <c r="AB34" i="5"/>
  <c r="Q35" i="5"/>
  <c r="AE35" i="5"/>
  <c r="O39" i="5"/>
  <c r="AC39" i="5"/>
  <c r="P44" i="5"/>
  <c r="AD44" i="5"/>
  <c r="N48" i="5"/>
  <c r="AB48" i="5"/>
  <c r="Q49" i="5"/>
  <c r="AE49" i="5"/>
  <c r="P25" i="5"/>
  <c r="Q30" i="5"/>
  <c r="O34" i="5"/>
  <c r="AC34" i="5"/>
  <c r="D35" i="5"/>
  <c r="R35" i="5"/>
  <c r="AF35" i="5"/>
  <c r="P39" i="5"/>
  <c r="AD39" i="5"/>
  <c r="Q44" i="5"/>
  <c r="O48" i="5"/>
  <c r="AC48" i="5"/>
  <c r="D49" i="5"/>
  <c r="R49" i="5"/>
  <c r="AF49" i="5"/>
  <c r="P34" i="5"/>
  <c r="E35" i="5"/>
  <c r="S35" i="5"/>
  <c r="Q39" i="5"/>
  <c r="P48" i="5"/>
  <c r="E49" i="5"/>
  <c r="S49" i="5"/>
  <c r="G51" i="4" l="1"/>
  <c r="F51" i="4"/>
  <c r="H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<sst xmlns="http://schemas.openxmlformats.org/spreadsheetml/2006/main" count="14219" uniqueCount="3907">
  <si>
    <t xml:space="preserve">  ① PEGA AQUÍ EL EXPORT DE POWER BI (desde fila 3, sin encabezados) — Columna M se calcula sola</t>
  </si>
  <si>
    <t>Cliente</t>
  </si>
  <si>
    <t>Sexo</t>
  </si>
  <si>
    <t>Contrato</t>
  </si>
  <si>
    <t>Estado</t>
  </si>
  <si>
    <t>Cosecha
(MM-YYYY)</t>
  </si>
  <si>
    <t>Mes Envío
Recuperación</t>
  </si>
  <si>
    <t>Meses
Transcurridos</t>
  </si>
  <si>
    <t>Estatus
Recuperación</t>
  </si>
  <si>
    <t>Mes
Recuperación</t>
  </si>
  <si>
    <t>Plate</t>
  </si>
  <si>
    <t>Modelo</t>
  </si>
  <si>
    <t>Plataforma</t>
  </si>
  <si>
    <t>⚙ Meses_Efectivos
(auto-calculado)</t>
  </si>
  <si>
    <t xml:space="preserve">  ② ORIGINACIONES POR COHORTE — agrega filas nuevas al final</t>
  </si>
  <si>
    <t>N Originaciones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</si>
  <si>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</si>
  <si>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</si>
  <si>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</si>
  <si>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</si>
  <si>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</si>
  <si>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</si>
  <si>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</si>
  <si>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</si>
  <si>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</si>
  <si>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</si>
  <si>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</si>
  <si>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</si>
  <si>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</si>
  <si>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</si>
  <si>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</si>
  <si>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</si>
  <si>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</si>
  <si>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</si>
  <si>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</si>
  <si>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</si>
  <si>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</si>
  <si>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</si>
  <si>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</si>
  <si>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</si>
  <si>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</si>
  <si>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</si>
  <si>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</si>
  <si>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</si>
  <si>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</si>
  <si>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</si>
  <si>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</si>
  <si>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</si>
  <si>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</si>
  <si>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</si>
  <si>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</si>
  <si>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</si>
  <si>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</si>
  <si>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</si>
  <si>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</si>
  <si>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</si>
  <si>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</si>
  <si>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</si>
  <si>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</si>
  <si>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</si>
  <si>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</si>
  <si>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</si>
  <si>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</si>
  <si>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</si>
  <si>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 xml:space="preserve">  RESUMEN GENERAL — se recalcula automáticamente con el Export</t>
  </si>
  <si>
    <t>KPI</t>
  </si>
  <si>
    <t>Valor</t>
  </si>
  <si>
    <t>Descripción</t>
  </si>
  <si>
    <t>Total enviados a recuperación</t>
  </si>
  <si>
    <t>Contratos únicos en Export</t>
  </si>
  <si>
    <t>Total recuperados (Efectivo)</t>
  </si>
  <si>
    <t>Estatus = Efectivo</t>
  </si>
  <si>
    <t>Total pendientes</t>
  </si>
  <si>
    <t>Estatus = Pendiente</t>
  </si>
  <si>
    <t>Total cancelados</t>
  </si>
  <si>
    <t>Estatus = Cancelado</t>
  </si>
  <si>
    <t>Tasa de recuperación (%)</t>
  </si>
  <si>
    <t>Efectivo / Total enviados</t>
  </si>
  <si>
    <t>UBER — total</t>
  </si>
  <si>
    <t>Plataforma = UBER</t>
  </si>
  <si>
    <t>DIDI — total</t>
  </si>
  <si>
    <t>Plataforma = DIDI</t>
  </si>
  <si>
    <t>Cohortes activas (2024+)</t>
  </si>
  <si>
    <t>Cohortes únicas con datos</t>
  </si>
  <si>
    <t xml:space="preserve">  COHORT DETAIL — COUNTIFS sobre Export + Originaciones</t>
  </si>
  <si>
    <t>Cosecha</t>
  </si>
  <si>
    <t>N Orig</t>
  </si>
  <si>
    <t>Sent to Recovery</t>
  </si>
  <si>
    <t>Repossessed</t>
  </si>
  <si>
    <t>Pending</t>
  </si>
  <si>
    <t>% Repossessed</t>
  </si>
  <si>
    <t>% Sent / Orig</t>
  </si>
  <si>
    <t>% Reposs / Orig</t>
  </si>
  <si>
    <t>Cancelados</t>
  </si>
  <si>
    <t>01-2027</t>
  </si>
  <si>
    <t>02-2027</t>
  </si>
  <si>
    <t>03-2027</t>
  </si>
  <si>
    <t>04-2027</t>
  </si>
  <si>
    <t>05-2027</t>
  </si>
  <si>
    <t>06-2027</t>
  </si>
  <si>
    <t>07-2027</t>
  </si>
  <si>
    <t>08-2027</t>
  </si>
  <si>
    <t>09-2027</t>
  </si>
  <si>
    <t>10-2027</t>
  </si>
  <si>
    <t>11-2027</t>
  </si>
  <si>
    <t>12-2027</t>
  </si>
  <si>
    <t>TOTAL</t>
  </si>
  <si>
    <t xml:space="preserve">  HEATMAP — % acumulado recuperado por cohorte × mes transcurrido (M+0 a M+36)</t>
  </si>
  <si>
    <t>N Sent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</si>
  <si>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</si>
  <si>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</si>
  <si>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</si>
  <si>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</si>
  <si>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</si>
  <si>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</si>
  <si>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</si>
  <si>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</si>
  <si>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</si>
  <si>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</si>
  <si>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</si>
  <si>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</si>
  <si>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</si>
  <si>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</si>
  <si>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M+14</t>
  </si>
  <si>
    <t>M+15</t>
  </si>
  <si>
    <t>M+16</t>
  </si>
  <si>
    <t>M+17</t>
  </si>
  <si>
    <t>M+18</t>
  </si>
  <si>
    <t>M+19</t>
  </si>
  <si>
    <t>M+20</t>
  </si>
  <si>
    <t>M+21</t>
  </si>
  <si>
    <t>M+22</t>
  </si>
  <si>
    <t>M+23</t>
  </si>
  <si>
    <t>M+24</t>
  </si>
  <si>
    <t>M+25</t>
  </si>
  <si>
    <t>M+26</t>
  </si>
  <si>
    <t>M+27</t>
  </si>
  <si>
    <t>M+28</t>
  </si>
  <si>
    <t>M+29</t>
  </si>
  <si>
    <t>M+30</t>
  </si>
  <si>
    <t>M+31</t>
  </si>
  <si>
    <t>M+32</t>
  </si>
  <si>
    <t>M+33</t>
  </si>
  <si>
    <t>M+34</t>
  </si>
  <si>
    <t>M+35</t>
  </si>
  <si>
    <t>M+36</t>
  </si>
  <si>
    <t xml:space="preserve">  ORIGINACIONES vs RECUPERACIONES — por mes calendario (2025+)</t>
  </si>
  <si>
    <t>Mes (MM-YYYY)</t>
  </si>
  <si>
    <t>Recuperaciones Efectivas</t>
  </si>
  <si>
    <t>Tasa Rec/Orig</t>
  </si>
  <si>
    <t>CÓMO USAR ESTE TEMPLATE</t>
  </si>
  <si>
    <t>①</t>
  </si>
  <si>
    <t>PEGAR DATOS DE POWER BI</t>
  </si>
  <si>
    <t>Descarga el Export de Power BI.</t>
  </si>
  <si>
    <t>Abre la hoja 'Export' de este archivo.</t>
  </si>
  <si>
    <t>Copia SÓLO las filas de datos (sin encabezados) y pégalas en celda A3.</t>
  </si>
  <si>
    <t>La columna M (Meses_Efectivos) se calcula automáticamente.</t>
  </si>
  <si>
    <t>②</t>
  </si>
  <si>
    <t>ACTUALIZAR ORIGINACIONES</t>
  </si>
  <si>
    <t>Ve a la hoja 'Originaciones'.</t>
  </si>
  <si>
    <t>Agrega nuevas cosechas al final de la tabla cuando sea necesario.</t>
  </si>
  <si>
    <t>③</t>
  </si>
  <si>
    <t>VERIFICAR EN LAS HOJAS DE CÁLCULO</t>
  </si>
  <si>
    <t>KPIs → resumen general de totales</t>
  </si>
  <si>
    <t>Cohort_Detail → tabla por cohorte con todos los porcentajes</t>
  </si>
  <si>
    <t>Heatmap → % acumulado M+0 a M+36 por cohorte</t>
  </si>
  <si>
    <t>Orig_vs_Rec → originaciones vs recuperaciones por mes</t>
  </si>
  <si>
    <t>④</t>
  </si>
  <si>
    <t>GENERAR data.json Y SUBIR A GITHUB</t>
  </si>
  <si>
    <t>Guarda el archivo y abre una terminal en esta carpeta.</t>
  </si>
  <si>
    <t xml:space="preserve">    python3 convert.py</t>
  </si>
  <si>
    <t xml:space="preserve">    git add data.json &amp;&amp; git commit -m 'update' &amp;&amp; git push</t>
  </si>
  <si>
    <t>El dashboard en GitHub Pages se actualiza solo.</t>
  </si>
  <si>
    <t>. RODRIGUEZ VICENTE</t>
  </si>
  <si>
    <t>Hombre</t>
  </si>
  <si>
    <t>2519AF</t>
  </si>
  <si>
    <t>BAJA CALIFORNIA</t>
  </si>
  <si>
    <t>Efectivo</t>
  </si>
  <si>
    <t>BGH042A</t>
  </si>
  <si>
    <t>ATTITUDE</t>
  </si>
  <si>
    <t>UBER</t>
  </si>
  <si>
    <t>6812AF</t>
  </si>
  <si>
    <t>CBY512A</t>
  </si>
  <si>
    <t>CHEVROLET AVEO</t>
  </si>
  <si>
    <t>DIDI</t>
  </si>
  <si>
    <t>ACEVES OSUNA FRANCISCO XAVIER</t>
  </si>
  <si>
    <t>4990AF</t>
  </si>
  <si>
    <t>BYG580A</t>
  </si>
  <si>
    <t>ACOSTA CALDERON FERNANDO</t>
  </si>
  <si>
    <t>3908AF</t>
  </si>
  <si>
    <t>CDMX Y AREA METROPOLITANA</t>
  </si>
  <si>
    <t>C34BPX</t>
  </si>
  <si>
    <t>TOYOTA AVANZA</t>
  </si>
  <si>
    <t>ACOSTA MARTINEZ MIGUEL ANGEL</t>
  </si>
  <si>
    <t>5944AF</t>
  </si>
  <si>
    <t>Pendiente</t>
  </si>
  <si>
    <t>51G505</t>
  </si>
  <si>
    <t>GAC AION S</t>
  </si>
  <si>
    <t>ADAME SALINAS MICHEL ALBERTO</t>
  </si>
  <si>
    <t>4523AF</t>
  </si>
  <si>
    <t>39G976</t>
  </si>
  <si>
    <t>ADAME TRUJILLO CHRISTIAN ARIEL</t>
  </si>
  <si>
    <t>4399AF</t>
  </si>
  <si>
    <t>31G452</t>
  </si>
  <si>
    <t>AGAMA MEJIA ARTEMIO</t>
  </si>
  <si>
    <t>5022AF</t>
  </si>
  <si>
    <t>D96BRR</t>
  </si>
  <si>
    <t>AGUILAR GONZALEZ MARCO ANTONIO</t>
  </si>
  <si>
    <t>5011AF</t>
  </si>
  <si>
    <t>A84BMP</t>
  </si>
  <si>
    <t>AGUILAR GONZALEZ MIGUEL ANGEL</t>
  </si>
  <si>
    <t>3889AF</t>
  </si>
  <si>
    <t>BSG377A</t>
  </si>
  <si>
    <t>AGUILAR LOPEZ ALFONSO</t>
  </si>
  <si>
    <t>4270AF</t>
  </si>
  <si>
    <t>31G972</t>
  </si>
  <si>
    <t>AGUILAR REZA DIEGO ABRAHAM</t>
  </si>
  <si>
    <t>6245AF</t>
  </si>
  <si>
    <t>62G480</t>
  </si>
  <si>
    <t>BYD E5</t>
  </si>
  <si>
    <t>AGUILAR TREJO ADAN</t>
  </si>
  <si>
    <t>5909AF</t>
  </si>
  <si>
    <t>CAJ035A</t>
  </si>
  <si>
    <t>AGUILAR VERA OSCAR MAURICIO</t>
  </si>
  <si>
    <t>4247AF</t>
  </si>
  <si>
    <t>JALISCO</t>
  </si>
  <si>
    <t>HWS688A</t>
  </si>
  <si>
    <t>AGUIRRE AVALOS CARLOS ALBERTO</t>
  </si>
  <si>
    <t>4078AF</t>
  </si>
  <si>
    <t>HWS689A</t>
  </si>
  <si>
    <t>AGUIRRE VELAZQUEZ MARIA ANTONIETA</t>
  </si>
  <si>
    <t>Mujer</t>
  </si>
  <si>
    <t>6862AF</t>
  </si>
  <si>
    <t>29G385</t>
  </si>
  <si>
    <t>AGUIRRE ZAZUETA XIUMARA SERAIN</t>
  </si>
  <si>
    <t>5875AF</t>
  </si>
  <si>
    <t>NUEVO LEON</t>
  </si>
  <si>
    <t>RXW058C</t>
  </si>
  <si>
    <t>ALAMILLO CONTRERAS DANIEL</t>
  </si>
  <si>
    <t>4082AF</t>
  </si>
  <si>
    <t>TFP758B</t>
  </si>
  <si>
    <t>ALANIS ARELLANO LUIS GERARDO</t>
  </si>
  <si>
    <t>5589AF</t>
  </si>
  <si>
    <t>RWL277C</t>
  </si>
  <si>
    <t>ALANIS SANTILLAN VICTOR MANUEL</t>
  </si>
  <si>
    <t>4282AF</t>
  </si>
  <si>
    <t>R25BRD</t>
  </si>
  <si>
    <t>ALARCON MARTINEZ ABRAHAM DANIEL</t>
  </si>
  <si>
    <t>4771AF</t>
  </si>
  <si>
    <t>E68BRR</t>
  </si>
  <si>
    <t>ALATORRE MARQUEZ JORGE ALEJANDRO</t>
  </si>
  <si>
    <t>2944AF</t>
  </si>
  <si>
    <t>Cancelado</t>
  </si>
  <si>
    <t>HSJ725A</t>
  </si>
  <si>
    <t>ALBA PARAMO NOE</t>
  </si>
  <si>
    <t>5625AF</t>
  </si>
  <si>
    <t>48G241</t>
  </si>
  <si>
    <t>BYD MINIDOLPHIN</t>
  </si>
  <si>
    <t>ALCALA NOVEROLA MARIO JONATHAN</t>
  </si>
  <si>
    <t>5784AF</t>
  </si>
  <si>
    <t>10K823</t>
  </si>
  <si>
    <t>ALCANTAR SILVA ARMANDO</t>
  </si>
  <si>
    <t>2745AF</t>
  </si>
  <si>
    <t>BJX359A</t>
  </si>
  <si>
    <t>ALCANTARA SANCHEZ ENRIQUE ABRAHAM</t>
  </si>
  <si>
    <t>5800AF</t>
  </si>
  <si>
    <t>10K840</t>
  </si>
  <si>
    <t>ALCANTARA SEGURA JUAN</t>
  </si>
  <si>
    <t>4370AF</t>
  </si>
  <si>
    <t>19G586</t>
  </si>
  <si>
    <t>BYD D1</t>
  </si>
  <si>
    <t>ALCIBAR PEÑA DANIEL</t>
  </si>
  <si>
    <t>4368AF</t>
  </si>
  <si>
    <t>31G788</t>
  </si>
  <si>
    <t>ALDANA RUIZ ISRAEL</t>
  </si>
  <si>
    <t>5409AF</t>
  </si>
  <si>
    <t>48G145</t>
  </si>
  <si>
    <t>ALDAPE BARCENAS ILSE ABIGAIL</t>
  </si>
  <si>
    <t>5889AF</t>
  </si>
  <si>
    <t>RXC615C</t>
  </si>
  <si>
    <t>ALEJANDRE GABRIEL DIEGO</t>
  </si>
  <si>
    <t>6382AF</t>
  </si>
  <si>
    <t>RZB056C</t>
  </si>
  <si>
    <t>ALEMAN CONTRERAS MANUEL ALEJANDRO</t>
  </si>
  <si>
    <t>6440AF</t>
  </si>
  <si>
    <t>51G818</t>
  </si>
  <si>
    <t>ALFARO MARTINEZ LUIS ENRIQUE</t>
  </si>
  <si>
    <t>3767AF</t>
  </si>
  <si>
    <t>05G231</t>
  </si>
  <si>
    <t>ALMANZA VITE OCTAVIO DAMIAN</t>
  </si>
  <si>
    <t>4506AF</t>
  </si>
  <si>
    <t>Y47BNL</t>
  </si>
  <si>
    <t>ALONSO ALONSO ROSA CARMEN</t>
  </si>
  <si>
    <t>4904AF</t>
  </si>
  <si>
    <t>RUB750C</t>
  </si>
  <si>
    <t>ALONSO DEL ANGEL ALEJANDRO</t>
  </si>
  <si>
    <t>4167AF</t>
  </si>
  <si>
    <t>19G518</t>
  </si>
  <si>
    <t>ALONSO GUERRA LUIS ALONSO</t>
  </si>
  <si>
    <t>5550AF</t>
  </si>
  <si>
    <t>RVX593C</t>
  </si>
  <si>
    <t>ALONSO ROJAS LUIS ENRIQUE</t>
  </si>
  <si>
    <t>3032AF</t>
  </si>
  <si>
    <t>T14BNL</t>
  </si>
  <si>
    <t>ALTAMIRANO FLORES ANGEL EDUARDO</t>
  </si>
  <si>
    <t>5058AF</t>
  </si>
  <si>
    <t>B87BPD</t>
  </si>
  <si>
    <t>ALVA RAMIREZ GABRIEL ALEJANDRO</t>
  </si>
  <si>
    <t>6507AF</t>
  </si>
  <si>
    <t>KDM116A</t>
  </si>
  <si>
    <t>ALVARADO CERVANTES JONATHAN JACOB</t>
  </si>
  <si>
    <t>4571AF</t>
  </si>
  <si>
    <t>BWX672A</t>
  </si>
  <si>
    <t>ALVARADO DE LA ROCHA CARLOS ALBERTO</t>
  </si>
  <si>
    <t>3962AF</t>
  </si>
  <si>
    <t>13G727</t>
  </si>
  <si>
    <t>ALVARADO DIAZ ADRIAN</t>
  </si>
  <si>
    <t>4125AF</t>
  </si>
  <si>
    <t>19G588</t>
  </si>
  <si>
    <t>ALVARADO FLORES ERIK</t>
  </si>
  <si>
    <t>3871AF</t>
  </si>
  <si>
    <t>E10BPT</t>
  </si>
  <si>
    <t>ALVARADO JUAREZ LUIS ADAN</t>
  </si>
  <si>
    <t>5633AF</t>
  </si>
  <si>
    <t>48G289</t>
  </si>
  <si>
    <t>ALVARADO MARTINEZ ENRIQUE ALFREDO</t>
  </si>
  <si>
    <t>6374AF</t>
  </si>
  <si>
    <t>RYJ862C</t>
  </si>
  <si>
    <t>ALVARADO MORENO FRANCISCO JAVIER</t>
  </si>
  <si>
    <t>4202AF</t>
  </si>
  <si>
    <t>TCV544B</t>
  </si>
  <si>
    <t>ONIX</t>
  </si>
  <si>
    <t>ALVARADO ORDUÑA LUIS</t>
  </si>
  <si>
    <t>4252AF</t>
  </si>
  <si>
    <t>A08BNM</t>
  </si>
  <si>
    <t>ALVARADO SANTIBAÑEZ ALAN MANUEL</t>
  </si>
  <si>
    <t>6486AF</t>
  </si>
  <si>
    <t>15K091</t>
  </si>
  <si>
    <t>ALVARADO SORIA MARCOS GAMALIEL</t>
  </si>
  <si>
    <t>5095AF</t>
  </si>
  <si>
    <t>28G728</t>
  </si>
  <si>
    <t>ALVAREZ BARROSO LUIS ARTURO</t>
  </si>
  <si>
    <t>5379AF</t>
  </si>
  <si>
    <t>48G159</t>
  </si>
  <si>
    <t>ALVAREZ BONES OSVALDO</t>
  </si>
  <si>
    <t>4899AF</t>
  </si>
  <si>
    <t>13G735</t>
  </si>
  <si>
    <t>ALVAREZ HUIPE GABINO</t>
  </si>
  <si>
    <t>5933AF</t>
  </si>
  <si>
    <t>BVG822A</t>
  </si>
  <si>
    <t>ALVAREZ MERIDA GABINO</t>
  </si>
  <si>
    <t>4184AF</t>
  </si>
  <si>
    <t>19G598</t>
  </si>
  <si>
    <t>ALVAREZ NARVAEZ WILLIAM</t>
  </si>
  <si>
    <t>6479AF</t>
  </si>
  <si>
    <t>56S304</t>
  </si>
  <si>
    <t>ALVAREZ RAMIREZ JUAN LUIS</t>
  </si>
  <si>
    <t>4021AF</t>
  </si>
  <si>
    <t>13G876</t>
  </si>
  <si>
    <t>ALVAREZ RUIZ JOSE JOEL</t>
  </si>
  <si>
    <t>6555AF</t>
  </si>
  <si>
    <t>CBL128A</t>
  </si>
  <si>
    <t>AMARO CARRILLO ABEL</t>
  </si>
  <si>
    <t>5694AF</t>
  </si>
  <si>
    <t>09K866</t>
  </si>
  <si>
    <t>AMAYA HUERTA ERIK ALFREDO</t>
  </si>
  <si>
    <t>5531AF</t>
  </si>
  <si>
    <t>48G183</t>
  </si>
  <si>
    <t>AMBROSIO ESPINOSA DAVID</t>
  </si>
  <si>
    <t>4875AF</t>
  </si>
  <si>
    <t>47G524</t>
  </si>
  <si>
    <t>ANGELES GARCIA JOSE EDUARDO</t>
  </si>
  <si>
    <t>5661AF</t>
  </si>
  <si>
    <t>31G794</t>
  </si>
  <si>
    <t>APARICIO GALENO HERIBERTO</t>
  </si>
  <si>
    <t>4152AF</t>
  </si>
  <si>
    <t>81F233</t>
  </si>
  <si>
    <t>SUZUKI ERTIGA</t>
  </si>
  <si>
    <t>AQUINO LOPEZ TOMAS</t>
  </si>
  <si>
    <t>3319AF</t>
  </si>
  <si>
    <t>BPC077A</t>
  </si>
  <si>
    <t>ARAGON POLANCO HECTOR MANUEL</t>
  </si>
  <si>
    <t>2893AF</t>
  </si>
  <si>
    <t>BKM644A</t>
  </si>
  <si>
    <t>ARELLANO CERVANTES JUAN PABLO</t>
  </si>
  <si>
    <t>3454AF</t>
  </si>
  <si>
    <t>HWE170A</t>
  </si>
  <si>
    <t>ARELLANO JIMENEZ EDUARDO</t>
  </si>
  <si>
    <t>4573AF</t>
  </si>
  <si>
    <t>BWX671A</t>
  </si>
  <si>
    <t>ARENAS MACIAS RICARDO</t>
  </si>
  <si>
    <t>2149AF</t>
  </si>
  <si>
    <t>06-2022</t>
  </si>
  <si>
    <t>JSX3949</t>
  </si>
  <si>
    <t>AREVALO DATTOLI RAFAEL</t>
  </si>
  <si>
    <t>6243AF</t>
  </si>
  <si>
    <t>62G237</t>
  </si>
  <si>
    <t>AREVALO GARCIA ISRAEL JONATHAN</t>
  </si>
  <si>
    <t>4944AF</t>
  </si>
  <si>
    <t>47G512</t>
  </si>
  <si>
    <t>AREVALO HERNANDEZ MARCOS DANIEL</t>
  </si>
  <si>
    <t>5332AF</t>
  </si>
  <si>
    <t>31G619</t>
  </si>
  <si>
    <t>ARGUELLES AGUIRRE ISAAC ANGEL</t>
  </si>
  <si>
    <t>5211AF</t>
  </si>
  <si>
    <t>BYY747A</t>
  </si>
  <si>
    <t>ARIAS CABRERA LUIS ALBERTO</t>
  </si>
  <si>
    <t>3140AF</t>
  </si>
  <si>
    <t>84F061</t>
  </si>
  <si>
    <t>ARIAS VILLALPANDO ERICK LEOBARDO</t>
  </si>
  <si>
    <t>5686AF</t>
  </si>
  <si>
    <t>RXN889C</t>
  </si>
  <si>
    <t>ARREDON BATTA ROBERTO</t>
  </si>
  <si>
    <t>5583AF</t>
  </si>
  <si>
    <t>JNU148A</t>
  </si>
  <si>
    <t>ARREDONDO SOLORIO JUAN ALBERTO</t>
  </si>
  <si>
    <t>4107AF</t>
  </si>
  <si>
    <t>19G469</t>
  </si>
  <si>
    <t>ARREDONDO VILLANUEVA JORGE DAMIAN</t>
  </si>
  <si>
    <t>4154AF</t>
  </si>
  <si>
    <t>19G361</t>
  </si>
  <si>
    <t>ARREOLA TORRES DIEGO</t>
  </si>
  <si>
    <t>2199AF</t>
  </si>
  <si>
    <t>08-2022</t>
  </si>
  <si>
    <t>J12BMZ</t>
  </si>
  <si>
    <t>IGNIS</t>
  </si>
  <si>
    <t>ARRIAGA DIAZ ALEJANDRO</t>
  </si>
  <si>
    <t>5860AF</t>
  </si>
  <si>
    <t>11K502</t>
  </si>
  <si>
    <t>ARZATE JIMENEZ JOSE ANTONIO</t>
  </si>
  <si>
    <t>4148AF</t>
  </si>
  <si>
    <t>19G582</t>
  </si>
  <si>
    <t>ASCENCIO AMPARANO SERGIO ALEJANDRO</t>
  </si>
  <si>
    <t>2825AF</t>
  </si>
  <si>
    <t>BKB317A</t>
  </si>
  <si>
    <t>AVALOS CALIXTO SALVADOR</t>
  </si>
  <si>
    <t>4423AF</t>
  </si>
  <si>
    <t>31G769</t>
  </si>
  <si>
    <t>AVALOS HERNANDEZ AGUSTIN</t>
  </si>
  <si>
    <t>5209AF</t>
  </si>
  <si>
    <t>RUW804C</t>
  </si>
  <si>
    <t>AVALOS HERNANDEZ GERARDO</t>
  </si>
  <si>
    <t>5793AF</t>
  </si>
  <si>
    <t>RXC633C</t>
  </si>
  <si>
    <t>AVELINO QUEZADA ARTURO</t>
  </si>
  <si>
    <t>5624AF</t>
  </si>
  <si>
    <t>48G299</t>
  </si>
  <si>
    <t>AVENDAÑO LOPEZ MARCELO</t>
  </si>
  <si>
    <t>3972AF</t>
  </si>
  <si>
    <t>D70BPN</t>
  </si>
  <si>
    <t>AVILA ALVA HECTOR RAFAEL</t>
  </si>
  <si>
    <t>4196AF</t>
  </si>
  <si>
    <t>M84BRD</t>
  </si>
  <si>
    <t>AVILA ANGULO OMAR</t>
  </si>
  <si>
    <t>6445AF</t>
  </si>
  <si>
    <t>CBL126A</t>
  </si>
  <si>
    <t>AVILA COLUNGA MIGUEL ESTEBAN</t>
  </si>
  <si>
    <t>5086AF</t>
  </si>
  <si>
    <t>RUW785C</t>
  </si>
  <si>
    <t>AVIÑA PADILLA CARLOS AUGUSTO</t>
  </si>
  <si>
    <t>5023AF</t>
  </si>
  <si>
    <t>JAY052A</t>
  </si>
  <si>
    <t>AYALA JIMENEZ RICARDO ROBERTO</t>
  </si>
  <si>
    <t>5872AF</t>
  </si>
  <si>
    <t>CAD713A</t>
  </si>
  <si>
    <t>AYALA SANCHEZ IGNACIO</t>
  </si>
  <si>
    <t>4341AF</t>
  </si>
  <si>
    <t>31G717</t>
  </si>
  <si>
    <t>BADILLO PEREZ CHRISTOPHER ALEXIS</t>
  </si>
  <si>
    <t>5857AF</t>
  </si>
  <si>
    <t>11K500</t>
  </si>
  <si>
    <t>BADILLO VALLE ZAIRA</t>
  </si>
  <si>
    <t>3528AF</t>
  </si>
  <si>
    <t>89F764</t>
  </si>
  <si>
    <t>BALTAZAR QUIROZ FELIPE</t>
  </si>
  <si>
    <t>4210AF</t>
  </si>
  <si>
    <t>62F589</t>
  </si>
  <si>
    <t>BAÑOS HERNANDEZ GERARDO</t>
  </si>
  <si>
    <t>5004AF</t>
  </si>
  <si>
    <t>31G853</t>
  </si>
  <si>
    <t>BAÑUELOS MENDOZA RICARDO</t>
  </si>
  <si>
    <t>4437AF</t>
  </si>
  <si>
    <t>31G708</t>
  </si>
  <si>
    <t>BARON BARAHONA FRANCISCO</t>
  </si>
  <si>
    <t>4570AF</t>
  </si>
  <si>
    <t>BWX659A</t>
  </si>
  <si>
    <t>BARONA RAMIREZ ANDRES ABELINO</t>
  </si>
  <si>
    <t>2762AF</t>
  </si>
  <si>
    <t>63F847</t>
  </si>
  <si>
    <t>BARRANCO GALLEGOS ISRAEL</t>
  </si>
  <si>
    <t>5340AF</t>
  </si>
  <si>
    <t>50G522</t>
  </si>
  <si>
    <t>BARRETO CORONA RICARDO MANUEL</t>
  </si>
  <si>
    <t>2464AF</t>
  </si>
  <si>
    <t>QUERETARO</t>
  </si>
  <si>
    <t>UNU601H</t>
  </si>
  <si>
    <t>BARRIOS MONDRAGON CRISTIAN</t>
  </si>
  <si>
    <t>4306AF</t>
  </si>
  <si>
    <t>13G826</t>
  </si>
  <si>
    <t>BARRIOS SARAZUA JULIAN</t>
  </si>
  <si>
    <t>3285AF</t>
  </si>
  <si>
    <t>BNE981A</t>
  </si>
  <si>
    <t>BASTIDA MORAN OLAF</t>
  </si>
  <si>
    <t>4679AF</t>
  </si>
  <si>
    <t>41G437</t>
  </si>
  <si>
    <t>BASTIDA SANCHEZ HECTOR HUGO</t>
  </si>
  <si>
    <t>3439AF</t>
  </si>
  <si>
    <t>E49BPF</t>
  </si>
  <si>
    <t>BAUTISTA MANCILLA PATRICIA</t>
  </si>
  <si>
    <t>5546AF</t>
  </si>
  <si>
    <t>JNU127A</t>
  </si>
  <si>
    <t>BAUTISTA ROSALES JAIME</t>
  </si>
  <si>
    <t>4629AF</t>
  </si>
  <si>
    <t>38G295</t>
  </si>
  <si>
    <t>BECERRA HERNANDEZ JUAN CARLOS</t>
  </si>
  <si>
    <t>3822AF</t>
  </si>
  <si>
    <t>08G190</t>
  </si>
  <si>
    <t>BECERRIL MERCADO JUAN</t>
  </si>
  <si>
    <t>3231AF</t>
  </si>
  <si>
    <t>B32BNY</t>
  </si>
  <si>
    <t>BELLO VALDEZ SALVADOR</t>
  </si>
  <si>
    <t>2233AF</t>
  </si>
  <si>
    <t>09-2022</t>
  </si>
  <si>
    <t>P05BMY</t>
  </si>
  <si>
    <t>BELMONT ARREGUIN FERNANDO GUADALUPE</t>
  </si>
  <si>
    <t>5932AF</t>
  </si>
  <si>
    <t>39G813</t>
  </si>
  <si>
    <t>BELTRAN GUADARRAMA VICTOR MANUEL</t>
  </si>
  <si>
    <t>4329AF</t>
  </si>
  <si>
    <t>E22BRJ</t>
  </si>
  <si>
    <t>BENITEZ MATIAS JUAN MANUEL</t>
  </si>
  <si>
    <t>5448AF</t>
  </si>
  <si>
    <t>47G498</t>
  </si>
  <si>
    <t>BERMUDEZ CARREON JORGE MANUEL</t>
  </si>
  <si>
    <t>5316AF</t>
  </si>
  <si>
    <t>29G226</t>
  </si>
  <si>
    <t>BERNALDEZ MALDONADO MAURICIO</t>
  </si>
  <si>
    <t>4453AF</t>
  </si>
  <si>
    <t>19G633</t>
  </si>
  <si>
    <t>BETANZOS CASTRO VICTOR MARIO</t>
  </si>
  <si>
    <t>4218AF</t>
  </si>
  <si>
    <t>56F792</t>
  </si>
  <si>
    <t>BIBIANO GALICIA RUBEN</t>
  </si>
  <si>
    <t>3031AF</t>
  </si>
  <si>
    <t>T96BNL</t>
  </si>
  <si>
    <t>BLANCAS AGONIZANTE ERNESTO TEOFILO</t>
  </si>
  <si>
    <t>4225AF</t>
  </si>
  <si>
    <t>P48BRD</t>
  </si>
  <si>
    <t>BLANDO QUIJADA BRAYAN ALTAIR</t>
  </si>
  <si>
    <t>5129AF</t>
  </si>
  <si>
    <t>47G977</t>
  </si>
  <si>
    <t>BLASI VELAZQUEZ CESAR SALVADOR</t>
  </si>
  <si>
    <t>4433AF</t>
  </si>
  <si>
    <t>19G624</t>
  </si>
  <si>
    <t>BONILLA ALARCON SAUL</t>
  </si>
  <si>
    <t>5634AF</t>
  </si>
  <si>
    <t>48G105</t>
  </si>
  <si>
    <t>BORBOLLA CAMARENA KARLA ALEJANDRA</t>
  </si>
  <si>
    <t>5076AF</t>
  </si>
  <si>
    <t>47G843</t>
  </si>
  <si>
    <t>BRAVO JIMENEZ EDGAR ADRIAN</t>
  </si>
  <si>
    <t>2811AF</t>
  </si>
  <si>
    <t>57F969</t>
  </si>
  <si>
    <t>BRIONES GALVAN PEDRO</t>
  </si>
  <si>
    <t>5119AF</t>
  </si>
  <si>
    <t>47G556</t>
  </si>
  <si>
    <t>BRITO SOSA ALVARO EFREN</t>
  </si>
  <si>
    <t>2852AF</t>
  </si>
  <si>
    <t>A91BND</t>
  </si>
  <si>
    <t>BUCIO GONZALEZ JULIO ALEJANDRO</t>
  </si>
  <si>
    <t>3733AF</t>
  </si>
  <si>
    <t>HXC200A</t>
  </si>
  <si>
    <t>BUENDIA CORONEL JOSE OSCAR</t>
  </si>
  <si>
    <t>5112AF</t>
  </si>
  <si>
    <t>47G968</t>
  </si>
  <si>
    <t>BUENFIL SAGASTEGUI GABRIEL NAPOLEON</t>
  </si>
  <si>
    <t>6358AF</t>
  </si>
  <si>
    <t>53S661</t>
  </si>
  <si>
    <t>BUENO PEREZ EDWIN ISAI</t>
  </si>
  <si>
    <t>4311AF</t>
  </si>
  <si>
    <t>E67BRJ</t>
  </si>
  <si>
    <t>CABRERA GONZALEZ LUIS EDER</t>
  </si>
  <si>
    <t>3186AF</t>
  </si>
  <si>
    <t>A16BNM</t>
  </si>
  <si>
    <t>CABRERA MEDLEG SALVADOR ANDRES</t>
  </si>
  <si>
    <t>3387AF</t>
  </si>
  <si>
    <t>84F283</t>
  </si>
  <si>
    <t>CADENA SANCHEZ JUAN ISMAEL</t>
  </si>
  <si>
    <t>2777AF</t>
  </si>
  <si>
    <t>BGL987A</t>
  </si>
  <si>
    <t>CADIZ AVILES EDGAR</t>
  </si>
  <si>
    <t>6168AF</t>
  </si>
  <si>
    <t>CAS981A</t>
  </si>
  <si>
    <t>CALDERON DIAZ SAID SAUL</t>
  </si>
  <si>
    <t>3541AF</t>
  </si>
  <si>
    <t>89F763</t>
  </si>
  <si>
    <t>CALDERON LOPEZ MANUEL GERVASIO</t>
  </si>
  <si>
    <t>5472AF</t>
  </si>
  <si>
    <t>48G143</t>
  </si>
  <si>
    <t>CALDERON SANTOYO ALFONSO</t>
  </si>
  <si>
    <t>4439AF</t>
  </si>
  <si>
    <t>19G687</t>
  </si>
  <si>
    <t>CALLEJAS MARTINEZ MIGUEL</t>
  </si>
  <si>
    <t>5656AF</t>
  </si>
  <si>
    <t>09K372</t>
  </si>
  <si>
    <t>CALVA GUTIERREZ MARTIN EVERARDO</t>
  </si>
  <si>
    <t>4597AF</t>
  </si>
  <si>
    <t>27G744</t>
  </si>
  <si>
    <t>CALVILLO CORDERO ARLEY FEDERICO</t>
  </si>
  <si>
    <t>4165AF</t>
  </si>
  <si>
    <t>19G325</t>
  </si>
  <si>
    <t>CAMACHO DIAZ ALEXIS</t>
  </si>
  <si>
    <t>4666AF</t>
  </si>
  <si>
    <t>41G418</t>
  </si>
  <si>
    <t>CAMACHO DIAZ ARTURO</t>
  </si>
  <si>
    <t>3321AF</t>
  </si>
  <si>
    <t>84F099</t>
  </si>
  <si>
    <t>CAMACHO GARCIA STIF ALEJANDRO</t>
  </si>
  <si>
    <t>5969AF</t>
  </si>
  <si>
    <t>JZK638A</t>
  </si>
  <si>
    <t>CAMACHO GONZALEZ CARLOS ALEJANDRO</t>
  </si>
  <si>
    <t>4356AF</t>
  </si>
  <si>
    <t>B74BNY</t>
  </si>
  <si>
    <t>CAMARGO ARTEAGA JUAN CESAREO</t>
  </si>
  <si>
    <t>3572AF</t>
  </si>
  <si>
    <t>89F796</t>
  </si>
  <si>
    <t>CAMARGO MEJIA JOSE MANUEL</t>
  </si>
  <si>
    <t>4946AF</t>
  </si>
  <si>
    <t>41G533</t>
  </si>
  <si>
    <t>CAMARGO NAVARRETE LUIS ALBERTO</t>
  </si>
  <si>
    <t>3762AF</t>
  </si>
  <si>
    <t>BSG230A</t>
  </si>
  <si>
    <t>CAMPOS PEREZ JORGE MICHEL</t>
  </si>
  <si>
    <t>6211AF</t>
  </si>
  <si>
    <t>RXW251C</t>
  </si>
  <si>
    <t>CAMPOS ZUÑIGA SERGIO EFRAIN</t>
  </si>
  <si>
    <t>5473AF</t>
  </si>
  <si>
    <t>48G166</t>
  </si>
  <si>
    <t>CAMPUZANO BORJA ALAN</t>
  </si>
  <si>
    <t>4598AF</t>
  </si>
  <si>
    <t>27G704</t>
  </si>
  <si>
    <t>CANALES GARCIA MARIO ALBERTO</t>
  </si>
  <si>
    <t>5856AF</t>
  </si>
  <si>
    <t>11K170</t>
  </si>
  <si>
    <t>CANCHOLA GUADARRAMA JOSE LUIS</t>
  </si>
  <si>
    <t>5417AF</t>
  </si>
  <si>
    <t>28G708</t>
  </si>
  <si>
    <t>CANDELARIA LINERIO ALEJANDRO</t>
  </si>
  <si>
    <t>5269AF</t>
  </si>
  <si>
    <t>43G806</t>
  </si>
  <si>
    <t>CANDELARIA RODRIGUEZ ALEJANDRO</t>
  </si>
  <si>
    <t>5990AF</t>
  </si>
  <si>
    <t>15K196</t>
  </si>
  <si>
    <t>CANELA GUZMAN ESTEBAN</t>
  </si>
  <si>
    <t>4728AF</t>
  </si>
  <si>
    <t>BXT278A</t>
  </si>
  <si>
    <t>CANO MENDOZA CARLOS MAURICIO</t>
  </si>
  <si>
    <t>3615AF</t>
  </si>
  <si>
    <t>89F858</t>
  </si>
  <si>
    <t>CARDENAS CORTEZ JOSE LUIS</t>
  </si>
  <si>
    <t>6213AF</t>
  </si>
  <si>
    <t>RXW247C</t>
  </si>
  <si>
    <t>CARDIEL HERNANDEZ EDUARDO</t>
  </si>
  <si>
    <t>4662AF</t>
  </si>
  <si>
    <t>38G351</t>
  </si>
  <si>
    <t>CARDONA LOPEZ LUIS ANGEL</t>
  </si>
  <si>
    <t>5814AF</t>
  </si>
  <si>
    <t>10K839</t>
  </si>
  <si>
    <t>CARDOSO TAPIA RUBEN</t>
  </si>
  <si>
    <t>5406AF</t>
  </si>
  <si>
    <t>RVX601C</t>
  </si>
  <si>
    <t>CARIÑO HERRERA ALAN CHRISTIAN</t>
  </si>
  <si>
    <t>2632AF</t>
  </si>
  <si>
    <t>J45BMC</t>
  </si>
  <si>
    <t>CARLON JUAREZ ALAN EFRAIN</t>
  </si>
  <si>
    <t>4670AF</t>
  </si>
  <si>
    <t>41G424</t>
  </si>
  <si>
    <t>CARRANZA BUSTOS LUIS MIGUEL</t>
  </si>
  <si>
    <t>2403AF</t>
  </si>
  <si>
    <t>JTP5824</t>
  </si>
  <si>
    <t>CARRANZA DAMIAN JONHATAN DAVID</t>
  </si>
  <si>
    <t>4268AF</t>
  </si>
  <si>
    <t>27G510</t>
  </si>
  <si>
    <t>CARREON VELAZQUEZ CESAR ADRIAN</t>
  </si>
  <si>
    <t>5942AF</t>
  </si>
  <si>
    <t>51G536</t>
  </si>
  <si>
    <t>CARRERA SERRANO RAUL</t>
  </si>
  <si>
    <t>4834AF</t>
  </si>
  <si>
    <t>D15BRR</t>
  </si>
  <si>
    <t>CARRILLO ALVAREZ BRANDON IRVIN</t>
  </si>
  <si>
    <t>5449AF</t>
  </si>
  <si>
    <t>RVX604C</t>
  </si>
  <si>
    <t>CARRILLO CAMPOS CHRISTOFER ALAN</t>
  </si>
  <si>
    <t>3742AF</t>
  </si>
  <si>
    <t>94F912</t>
  </si>
  <si>
    <t>CARRILLO CASTRO HECTOR VALENTIN</t>
  </si>
  <si>
    <t>4554AF</t>
  </si>
  <si>
    <t>C68BRH</t>
  </si>
  <si>
    <t>CARRILLO CLAUDIO HEBER PAUL</t>
  </si>
  <si>
    <t>6511AF</t>
  </si>
  <si>
    <t>F99BSP</t>
  </si>
  <si>
    <t>CARRILLO FUENTES NOE RAUL JUNIOR</t>
  </si>
  <si>
    <t>5712AF</t>
  </si>
  <si>
    <t>RXW061C</t>
  </si>
  <si>
    <t>CARRILLO GUERRA GREGORIO</t>
  </si>
  <si>
    <t>6291AF</t>
  </si>
  <si>
    <t>15K506</t>
  </si>
  <si>
    <t>CARRILLO JIMENEZ SERGIO</t>
  </si>
  <si>
    <t>4285AF</t>
  </si>
  <si>
    <t>HZT605A</t>
  </si>
  <si>
    <t>CARRILLO LECHERO HUGO RUBEN</t>
  </si>
  <si>
    <t>4276AF</t>
  </si>
  <si>
    <t>CARRILLO MEDINA OCTAVIO</t>
  </si>
  <si>
    <t>3251AF</t>
  </si>
  <si>
    <t>A40BNM</t>
  </si>
  <si>
    <t>CARRILLO ROMERO CESAR</t>
  </si>
  <si>
    <t>3923AF</t>
  </si>
  <si>
    <t>C24BPN</t>
  </si>
  <si>
    <t>CARRIZAL DOMINGUEZ FRANCISCO JAVIER</t>
  </si>
  <si>
    <t>6044AF</t>
  </si>
  <si>
    <t>51G590</t>
  </si>
  <si>
    <t>CASAS TIAHUEL ALAIN OCTAVIO</t>
  </si>
  <si>
    <t>5319AF</t>
  </si>
  <si>
    <t>29G293</t>
  </si>
  <si>
    <t>CASIMIRO HUERTERO JOSE ALBERTO</t>
  </si>
  <si>
    <t>5355AF</t>
  </si>
  <si>
    <t>43G996</t>
  </si>
  <si>
    <t>CASPETA CAMARGO MARIO ISMAEL</t>
  </si>
  <si>
    <t>3612AF</t>
  </si>
  <si>
    <t>89F729</t>
  </si>
  <si>
    <t>CASTAÑEDA RODRIGUEZ JUAN ANTONIO</t>
  </si>
  <si>
    <t>4865AF</t>
  </si>
  <si>
    <t>50G782</t>
  </si>
  <si>
    <t>CASTAÑEDA ZEPEDA ISRAEL ALEJANDRO</t>
  </si>
  <si>
    <t>4323AF</t>
  </si>
  <si>
    <t>HZT599A</t>
  </si>
  <si>
    <t>CASTELAN VALADEZ LAURA ELENA</t>
  </si>
  <si>
    <t>5256AF</t>
  </si>
  <si>
    <t>43G849</t>
  </si>
  <si>
    <t>CASTELLANOS SANCHEZ JESUS</t>
  </si>
  <si>
    <t>3607AF</t>
  </si>
  <si>
    <t>BRH510A</t>
  </si>
  <si>
    <t>CASTELLANOS VELAZQUEZ CARLOS IGNACIO</t>
  </si>
  <si>
    <t>2815AF</t>
  </si>
  <si>
    <t>JTU1504</t>
  </si>
  <si>
    <t>CASTILLO CHAVEZ PEDRO ABAD</t>
  </si>
  <si>
    <t>5093AF</t>
  </si>
  <si>
    <t>BYN536A</t>
  </si>
  <si>
    <t>CASTILLO GONZALEZ RIZARDO</t>
  </si>
  <si>
    <t>4950AF</t>
  </si>
  <si>
    <t>47G591</t>
  </si>
  <si>
    <t>CASTILLO LARRONDO DAVID ISRAEL</t>
  </si>
  <si>
    <t>5515AF</t>
  </si>
  <si>
    <t>29G355</t>
  </si>
  <si>
    <t>CASTILLO MEDINA IVAN</t>
  </si>
  <si>
    <t>6230AF</t>
  </si>
  <si>
    <t>15K068</t>
  </si>
  <si>
    <t>CASTILLO REBOLLO MIGUEL ANGEL</t>
  </si>
  <si>
    <t>3094AF</t>
  </si>
  <si>
    <t>UMF784J</t>
  </si>
  <si>
    <t>CASTILLO SOBERANES OMAR</t>
  </si>
  <si>
    <t>5927AF</t>
  </si>
  <si>
    <t>11K501</t>
  </si>
  <si>
    <t>CASTOREÑO LOPEZ FABIAN</t>
  </si>
  <si>
    <t>4076AF</t>
  </si>
  <si>
    <t>14G445</t>
  </si>
  <si>
    <t>CASTREJON JURADO RAMSES ABRAHAM</t>
  </si>
  <si>
    <t>4521AF</t>
  </si>
  <si>
    <t>39G970</t>
  </si>
  <si>
    <t>CASTRILLO PEREZ MIGUEL ANGEL</t>
  </si>
  <si>
    <t>4441AF</t>
  </si>
  <si>
    <t>19G622</t>
  </si>
  <si>
    <t>CASTRO HERRERA LUIS ALBERTO</t>
  </si>
  <si>
    <t>5294AF</t>
  </si>
  <si>
    <t>SEX504B</t>
  </si>
  <si>
    <t>CASTRO TABARES MARIO</t>
  </si>
  <si>
    <t>4303AF</t>
  </si>
  <si>
    <t>31G946</t>
  </si>
  <si>
    <t>CAVAZOS INDALECIO ANA LUCIA</t>
  </si>
  <si>
    <t>3651AF</t>
  </si>
  <si>
    <t>TDS728B</t>
  </si>
  <si>
    <t>CEDEÑO REYES GUILLERMO</t>
  </si>
  <si>
    <t>2212AF</t>
  </si>
  <si>
    <t>AYR458A</t>
  </si>
  <si>
    <t>CEDILLO ALCANTARA ADRIAN BENJAMIN</t>
  </si>
  <si>
    <t>3565AF</t>
  </si>
  <si>
    <t>89F825</t>
  </si>
  <si>
    <t>CEDILLO SANCHEZ ARMANDO</t>
  </si>
  <si>
    <t>3837AF</t>
  </si>
  <si>
    <t>08G186</t>
  </si>
  <si>
    <t>CERDA MALO JESSY</t>
  </si>
  <si>
    <t>4402AF</t>
  </si>
  <si>
    <t>BWG810A</t>
  </si>
  <si>
    <t>CERON ESTRADA JULIO CESAR</t>
  </si>
  <si>
    <t>4344AF</t>
  </si>
  <si>
    <t>31G905</t>
  </si>
  <si>
    <t>CERON LOPEZ JOSE ARTURO</t>
  </si>
  <si>
    <t>5253AF</t>
  </si>
  <si>
    <t>38G202</t>
  </si>
  <si>
    <t>CERRILLO CHAPARRO ROBERTO CARLOS</t>
  </si>
  <si>
    <t>5243AF</t>
  </si>
  <si>
    <t>BYY745A</t>
  </si>
  <si>
    <t>CERVANTES REAL GERARDO ENRIQUE</t>
  </si>
  <si>
    <t>4430AF</t>
  </si>
  <si>
    <t>14G492</t>
  </si>
  <si>
    <t>CERVANTES SUAREZ JULIO CESAR</t>
  </si>
  <si>
    <t>4644AF</t>
  </si>
  <si>
    <t>38G237</t>
  </si>
  <si>
    <t>CERVANTES TORRES CHRISTIAN ISRAEL</t>
  </si>
  <si>
    <t>3777AF</t>
  </si>
  <si>
    <t>13G570</t>
  </si>
  <si>
    <t>CHACON ESTUDILLO ANDRES JAVIER</t>
  </si>
  <si>
    <t>5437AF</t>
  </si>
  <si>
    <t>48G035</t>
  </si>
  <si>
    <t>CHACON VANEGAS JUAN CARLOS</t>
  </si>
  <si>
    <t>6367AF</t>
  </si>
  <si>
    <t>62G354</t>
  </si>
  <si>
    <t>CHANFREAU HERNANDEZ JORGE</t>
  </si>
  <si>
    <t>3553AF</t>
  </si>
  <si>
    <t>G11BPF</t>
  </si>
  <si>
    <t>CHAVERO GONZALEZ LUIS EDUARDO</t>
  </si>
  <si>
    <t>6046AF</t>
  </si>
  <si>
    <t>15K439</t>
  </si>
  <si>
    <t>CHAVEZ ALAMILLA JULIO MANUEL</t>
  </si>
  <si>
    <t>4509AF</t>
  </si>
  <si>
    <t>B03BMP</t>
  </si>
  <si>
    <t>CHAVEZ CRUZ IGNACIO</t>
  </si>
  <si>
    <t>5500AF</t>
  </si>
  <si>
    <t>48G192</t>
  </si>
  <si>
    <t>CHAVEZ HINOJOSA DANIEL</t>
  </si>
  <si>
    <t>5519AF</t>
  </si>
  <si>
    <t>CHAVEZ LOBATO LUIS</t>
  </si>
  <si>
    <t>3460AF</t>
  </si>
  <si>
    <t>89F642</t>
  </si>
  <si>
    <t>CHIPREZ CAMPOS JOSE ALFREDO</t>
  </si>
  <si>
    <t>5398AF</t>
  </si>
  <si>
    <t>BYZ940A</t>
  </si>
  <si>
    <t>CHORA HERRERA ULISES</t>
  </si>
  <si>
    <t>5722AF</t>
  </si>
  <si>
    <t>10K418</t>
  </si>
  <si>
    <t>CIMBRON REYES DANIEL</t>
  </si>
  <si>
    <t>4158AF</t>
  </si>
  <si>
    <t>19G374</t>
  </si>
  <si>
    <t>CIRIACO GUIDO JUAN CARLOS</t>
  </si>
  <si>
    <t>4013AF</t>
  </si>
  <si>
    <t>R83BKY</t>
  </si>
  <si>
    <t>CIRIO MENDOZA LUIS EDUARDO</t>
  </si>
  <si>
    <t>5288AF</t>
  </si>
  <si>
    <t>BYZ578A</t>
  </si>
  <si>
    <t>CISNEROS SALAS JOSE IVAN</t>
  </si>
  <si>
    <t>4376AF</t>
  </si>
  <si>
    <t>AWF365A</t>
  </si>
  <si>
    <t>RIO</t>
  </si>
  <si>
    <t>COLIN SANCHEZ JOSE ANTONIO</t>
  </si>
  <si>
    <t>4764AF</t>
  </si>
  <si>
    <t>41G467</t>
  </si>
  <si>
    <t>COLINA RIVERO ELIASSIB ENRIQUE</t>
  </si>
  <si>
    <t>4520AF</t>
  </si>
  <si>
    <t>31G734</t>
  </si>
  <si>
    <t>COLLAZO FLORES TLALOC XOCHITIOTZIN</t>
  </si>
  <si>
    <t>3198AF</t>
  </si>
  <si>
    <t>HUL790A</t>
  </si>
  <si>
    <t>CONDE OSORIO LINO FRANCISCO</t>
  </si>
  <si>
    <t>4452AF</t>
  </si>
  <si>
    <t>19G615</t>
  </si>
  <si>
    <t>CONTRERAS MUÑOZ JUAN PABLO</t>
  </si>
  <si>
    <t>3312AF</t>
  </si>
  <si>
    <t>HWD956A</t>
  </si>
  <si>
    <t>CONTRERAS NOLASCO DANIEL</t>
  </si>
  <si>
    <t>4730AF</t>
  </si>
  <si>
    <t>BXT306A</t>
  </si>
  <si>
    <t>CONTRERAS SUAREZ CARLOS</t>
  </si>
  <si>
    <t>3033AF</t>
  </si>
  <si>
    <t>S39BNL</t>
  </si>
  <si>
    <t>COPADO REYES GERMAN ARMANDO</t>
  </si>
  <si>
    <t>3829AF</t>
  </si>
  <si>
    <t>08G123</t>
  </si>
  <si>
    <t>CORDERO GALICIA ARMANDO</t>
  </si>
  <si>
    <t>5376AF</t>
  </si>
  <si>
    <t>48G130</t>
  </si>
  <si>
    <t>CORDOVA BARRERA FRANCO</t>
  </si>
  <si>
    <t>5416AF</t>
  </si>
  <si>
    <t>29G280</t>
  </si>
  <si>
    <t>CORDOVA RIVERA MARIANO IVAN</t>
  </si>
  <si>
    <t>6161AF</t>
  </si>
  <si>
    <t>62G364</t>
  </si>
  <si>
    <t>CORDOVA SANDOVAL JORGE ALBERTO</t>
  </si>
  <si>
    <t>4980AF</t>
  </si>
  <si>
    <t>RUW772C</t>
  </si>
  <si>
    <t>CORONA MARTINEZ JORGE ISAIR</t>
  </si>
  <si>
    <t>5743AF</t>
  </si>
  <si>
    <t>CORONA MEDINA FRANCISCO JAVIER</t>
  </si>
  <si>
    <t>5369AF</t>
  </si>
  <si>
    <t>50G605</t>
  </si>
  <si>
    <t>CORREA RUELAS JUAN PABLO</t>
  </si>
  <si>
    <t>3654AF</t>
  </si>
  <si>
    <t>HXC197A</t>
  </si>
  <si>
    <t>CORTES ALFARO JOSE ANTONIO</t>
  </si>
  <si>
    <t>4492AF</t>
  </si>
  <si>
    <t>27G442</t>
  </si>
  <si>
    <t>CORTES CERVANTES KARLA PATRICIA</t>
  </si>
  <si>
    <t>3488AF</t>
  </si>
  <si>
    <t>89F644</t>
  </si>
  <si>
    <t>CORTES GAYTAN ENRIQUE</t>
  </si>
  <si>
    <t>2932AF</t>
  </si>
  <si>
    <t>SRJ679B</t>
  </si>
  <si>
    <t>CORTES MARTINEZ ANGEL ANDRES</t>
  </si>
  <si>
    <t>6244AF</t>
  </si>
  <si>
    <t>62G314</t>
  </si>
  <si>
    <t>CORTEZ ISLAS ARTURO</t>
  </si>
  <si>
    <t>5085AF</t>
  </si>
  <si>
    <t>RUW784C</t>
  </si>
  <si>
    <t>CORTEZ SERRANO JOSE JUAN</t>
  </si>
  <si>
    <t>5089AF</t>
  </si>
  <si>
    <t>BYN538A</t>
  </si>
  <si>
    <t>COVA CAMACHO BRAYAN ADRIAN</t>
  </si>
  <si>
    <t>2496AF</t>
  </si>
  <si>
    <t>C47BKM</t>
  </si>
  <si>
    <t>CRUZ ALVAREZ BRAULIO</t>
  </si>
  <si>
    <t>4017AF</t>
  </si>
  <si>
    <t>13G787</t>
  </si>
  <si>
    <t>CRUZ APARICIO JESUS ALEXIS</t>
  </si>
  <si>
    <t>4705AF</t>
  </si>
  <si>
    <t>47G462</t>
  </si>
  <si>
    <t>CRUZ AVILA JUAN MANUEL</t>
  </si>
  <si>
    <t>3897AF</t>
  </si>
  <si>
    <t>08G153</t>
  </si>
  <si>
    <t>CRUZ AYALA FRANCISCO ELEAZAR</t>
  </si>
  <si>
    <t>4711AF</t>
  </si>
  <si>
    <t>E35BRR</t>
  </si>
  <si>
    <t>CRUZ CIRIO MARIO</t>
  </si>
  <si>
    <t>3687AF</t>
  </si>
  <si>
    <t>05G282</t>
  </si>
  <si>
    <t>CRUZ CORRAL MANUEL</t>
  </si>
  <si>
    <t>3161AF</t>
  </si>
  <si>
    <t>B98BNM</t>
  </si>
  <si>
    <t>CRUZ GARCIA JUAN</t>
  </si>
  <si>
    <t>5946AF</t>
  </si>
  <si>
    <t>10K416</t>
  </si>
  <si>
    <t>CRUZ GREZ HUMBERTO</t>
  </si>
  <si>
    <t>5248AF</t>
  </si>
  <si>
    <t>E13BRR</t>
  </si>
  <si>
    <t>CRUZ GUTIERREZ MOISES JACOB</t>
  </si>
  <si>
    <t>3013AF</t>
  </si>
  <si>
    <t>H99BND</t>
  </si>
  <si>
    <t>CRUZ HERNANDEZ JOSE BENIGNO ALFREDO</t>
  </si>
  <si>
    <t>3302AF</t>
  </si>
  <si>
    <t>B54BNY</t>
  </si>
  <si>
    <t>CRUZ LOPEZ JORGE</t>
  </si>
  <si>
    <t>5622AF</t>
  </si>
  <si>
    <t>48G272</t>
  </si>
  <si>
    <t>CRUZ LOYA JAVIER NORBERTO</t>
  </si>
  <si>
    <t>4357AF</t>
  </si>
  <si>
    <t>31G740</t>
  </si>
  <si>
    <t>CRUZ MARTINEZ RAFAEL</t>
  </si>
  <si>
    <t>4576AF</t>
  </si>
  <si>
    <t>39G696</t>
  </si>
  <si>
    <t>CRUZ MEJIA JUAN CARLOS</t>
  </si>
  <si>
    <t>4655AF</t>
  </si>
  <si>
    <t>38G343</t>
  </si>
  <si>
    <t>CRUZ PEREZ SERGIO</t>
  </si>
  <si>
    <t>5200AF</t>
  </si>
  <si>
    <t>43G850</t>
  </si>
  <si>
    <t>CRUZ ROBLEDO ERICK ALBERTO</t>
  </si>
  <si>
    <t>6381AF</t>
  </si>
  <si>
    <t>51G510</t>
  </si>
  <si>
    <t>CRUZ RODRÍGUEZ DIEGO SAMUEL</t>
  </si>
  <si>
    <t>7224AF</t>
  </si>
  <si>
    <t>24K752</t>
  </si>
  <si>
    <t>CRUZ SANCHEZ RUBEN ROSSEMBERG</t>
  </si>
  <si>
    <t>5210AF</t>
  </si>
  <si>
    <t>BYY751A</t>
  </si>
  <si>
    <t>CRUZ TORRES MARTIN ALEJANDRO</t>
  </si>
  <si>
    <t>3621AF</t>
  </si>
  <si>
    <t>E67BPF</t>
  </si>
  <si>
    <t>CRUZ VELAZQUEZ MARCO ANTONIO</t>
  </si>
  <si>
    <t>5036AF</t>
  </si>
  <si>
    <t>41G613</t>
  </si>
  <si>
    <t>CUETO BARROETA ARMANDO SAMUEL</t>
  </si>
  <si>
    <t>6105AF</t>
  </si>
  <si>
    <t>62G338</t>
  </si>
  <si>
    <t>CUEVAS REYES ENRIQUE</t>
  </si>
  <si>
    <t>6280AF</t>
  </si>
  <si>
    <t>CAT834A</t>
  </si>
  <si>
    <t>CUEVAS ZAVALA GERARD GERMAN</t>
  </si>
  <si>
    <t>3883AF</t>
  </si>
  <si>
    <t>D04BPN</t>
  </si>
  <si>
    <t>CURIEL TORRES EFRAIN</t>
  </si>
  <si>
    <t>2773AF</t>
  </si>
  <si>
    <t>63F972</t>
  </si>
  <si>
    <t>DANACHE MARTINEZ JUAN PABLO</t>
  </si>
  <si>
    <t>3479AF</t>
  </si>
  <si>
    <t>89F698</t>
  </si>
  <si>
    <t>DARIO SANDOVAL CESAR OSWALDO</t>
  </si>
  <si>
    <t>4915AF</t>
  </si>
  <si>
    <t>BYG559A</t>
  </si>
  <si>
    <t>DAVILA HERNANDEZ ARMANDO</t>
  </si>
  <si>
    <t>3104AF</t>
  </si>
  <si>
    <t>Y13BNL</t>
  </si>
  <si>
    <t>DAVILA MALDONADO PERLA CECILIA</t>
  </si>
  <si>
    <t>2916AF</t>
  </si>
  <si>
    <t>SSV801B</t>
  </si>
  <si>
    <t>DE AQUINO GONZALEZ JOSAFAT DANTON</t>
  </si>
  <si>
    <t>4032AF</t>
  </si>
  <si>
    <t>13G965</t>
  </si>
  <si>
    <t>DE LA CRUZ CEFERINO EDUARDO ASUNCION</t>
  </si>
  <si>
    <t>5795AF</t>
  </si>
  <si>
    <t>RXW243C</t>
  </si>
  <si>
    <t>DE LEON ALVAREZ MIGUEL ANGEL</t>
  </si>
  <si>
    <t>5520AF</t>
  </si>
  <si>
    <t>RVX595C</t>
  </si>
  <si>
    <t>DE LEON VERA LUIS ANTONIO</t>
  </si>
  <si>
    <t>4215AF</t>
  </si>
  <si>
    <t>20G808</t>
  </si>
  <si>
    <t>DE MARCOS ANICETO GREGORIO</t>
  </si>
  <si>
    <t>5001AF</t>
  </si>
  <si>
    <t>50G967</t>
  </si>
  <si>
    <t>DEHESA PEREZ VICTOR PEDRO</t>
  </si>
  <si>
    <t>6147AF</t>
  </si>
  <si>
    <t>62G215</t>
  </si>
  <si>
    <t>DEL ANGEL DOMINGUEZ JAVIER</t>
  </si>
  <si>
    <t>3275AF</t>
  </si>
  <si>
    <t>T07BNL</t>
  </si>
  <si>
    <t>DEL CARPIO SANTANA FRANCISCO JAVIER</t>
  </si>
  <si>
    <t>2266AF</t>
  </si>
  <si>
    <t>JTF9139</t>
  </si>
  <si>
    <t>DEL SOLAR BUSTILLOS ERIK ALBERTO</t>
  </si>
  <si>
    <t>4541AF</t>
  </si>
  <si>
    <t>40G146</t>
  </si>
  <si>
    <t>DEL TORO AVILA HUGO</t>
  </si>
  <si>
    <t>6683AF</t>
  </si>
  <si>
    <t>W19BRU</t>
  </si>
  <si>
    <t>DELGADILLO GUEVARA CARLOS IVAN</t>
  </si>
  <si>
    <t>4425AF</t>
  </si>
  <si>
    <t>89F821</t>
  </si>
  <si>
    <t>DELGADO GUERRA JUAN JOSE</t>
  </si>
  <si>
    <t>6668AF</t>
  </si>
  <si>
    <t>51G627</t>
  </si>
  <si>
    <t>DELGADO MENDOZA EMILIO</t>
  </si>
  <si>
    <t>3202AF</t>
  </si>
  <si>
    <t>BNB426A</t>
  </si>
  <si>
    <t>DEMECIO HERNANDEZ EDGAR OMAR</t>
  </si>
  <si>
    <t>5017AF</t>
  </si>
  <si>
    <t>14G427</t>
  </si>
  <si>
    <t>DEMESA DE LA CRUZ MARCO ANTONIO</t>
  </si>
  <si>
    <t>3431AF</t>
  </si>
  <si>
    <t>89F547</t>
  </si>
  <si>
    <t>DESALES CABRERA FELIPE DE JESUS</t>
  </si>
  <si>
    <t>4419AF</t>
  </si>
  <si>
    <t>BWG814A</t>
  </si>
  <si>
    <t>DIAZ ALBINO JULIO</t>
  </si>
  <si>
    <t>3611AF</t>
  </si>
  <si>
    <t>89F741</t>
  </si>
  <si>
    <t>DIAZ DE LEON GONZALEZ SAUL</t>
  </si>
  <si>
    <t>5543AF</t>
  </si>
  <si>
    <t>42G701</t>
  </si>
  <si>
    <t>DIAZ GARCIA LUIS ANTONIO</t>
  </si>
  <si>
    <t>3183AF</t>
  </si>
  <si>
    <t>X09BNL</t>
  </si>
  <si>
    <t>DIAZ HERNANDEZ EDDIE FERNANDO</t>
  </si>
  <si>
    <t>5742AF</t>
  </si>
  <si>
    <t>RXC628C</t>
  </si>
  <si>
    <t>DIAZ MORENO MIGUEL ANGEL</t>
  </si>
  <si>
    <t>5377AF</t>
  </si>
  <si>
    <t>48G173</t>
  </si>
  <si>
    <t>DIAZ SANCHEZ EDUARDO</t>
  </si>
  <si>
    <t>2956AF</t>
  </si>
  <si>
    <t>E12BNL</t>
  </si>
  <si>
    <t>DIAZ VELAZQUEZ LUIS FELIPE</t>
  </si>
  <si>
    <t>5330AF</t>
  </si>
  <si>
    <t>48G048</t>
  </si>
  <si>
    <t>DIMAS ARRIOJA DIEGO</t>
  </si>
  <si>
    <t>6344AF</t>
  </si>
  <si>
    <t>CBL122A</t>
  </si>
  <si>
    <t>DOMINGUEZ ALVAREZ JUAN ARMANDO</t>
  </si>
  <si>
    <t>5832AF</t>
  </si>
  <si>
    <t>51G506</t>
  </si>
  <si>
    <t>DOMINGUEZ AMAYO ERNESTO JESUS</t>
  </si>
  <si>
    <t>3569AF</t>
  </si>
  <si>
    <t>DOMINGUEZ CANSINO ERIC</t>
  </si>
  <si>
    <t>3467AF</t>
  </si>
  <si>
    <t>E98BPF</t>
  </si>
  <si>
    <t>DOMINGUEZ GUTIERREZ MAURICIO</t>
  </si>
  <si>
    <t>4117AF</t>
  </si>
  <si>
    <t>13G924</t>
  </si>
  <si>
    <t>DOMINGUEZ HERNANDEZ CRISTIAM DANIEL</t>
  </si>
  <si>
    <t>2392AF</t>
  </si>
  <si>
    <t>BEH486A</t>
  </si>
  <si>
    <t>DOMINGUEZ MARTINEZ JOSUE ELISEO</t>
  </si>
  <si>
    <t>6453AF</t>
  </si>
  <si>
    <t>RXW249C</t>
  </si>
  <si>
    <t>DOMINGUEZ SANDOVAL OSCAR</t>
  </si>
  <si>
    <t>4538AF</t>
  </si>
  <si>
    <t>27G678</t>
  </si>
  <si>
    <t>DORANTES LARA ALEJANDRO</t>
  </si>
  <si>
    <t>4147AF</t>
  </si>
  <si>
    <t>19G341</t>
  </si>
  <si>
    <t>DUEÑAS NIÑO DANIEL</t>
  </si>
  <si>
    <t>2251AF</t>
  </si>
  <si>
    <t>JTF9138</t>
  </si>
  <si>
    <t>DUEÑAS PEREZ JORGE</t>
  </si>
  <si>
    <t>4799AF</t>
  </si>
  <si>
    <t>BNB420A</t>
  </si>
  <si>
    <t>DUQUE ALVAREZ ERICK ANTONIO</t>
  </si>
  <si>
    <t>5045AF</t>
  </si>
  <si>
    <t>50G950</t>
  </si>
  <si>
    <t>DURAN RENTERIA JOSE LUIS</t>
  </si>
  <si>
    <t>6224AF</t>
  </si>
  <si>
    <t>CAT823A</t>
  </si>
  <si>
    <t>DURON ALONZO CHRISTOPHER AZAEL</t>
  </si>
  <si>
    <t>6301AF</t>
  </si>
  <si>
    <t>53S668</t>
  </si>
  <si>
    <t>ELIAS ZUÑIGA NICOLAS</t>
  </si>
  <si>
    <t>4678AF</t>
  </si>
  <si>
    <t>47G430</t>
  </si>
  <si>
    <t>ELIZALDE DEL MURO EDER ULISES</t>
  </si>
  <si>
    <t>4182AF</t>
  </si>
  <si>
    <t>19G453</t>
  </si>
  <si>
    <t>ENCISO HERNANDEZ ALBINO</t>
  </si>
  <si>
    <t>4043AF</t>
  </si>
  <si>
    <t>13G848</t>
  </si>
  <si>
    <t>ENDOQUI GARCIA JAVIER ALEJANDRO</t>
  </si>
  <si>
    <t>3079AF</t>
  </si>
  <si>
    <t>84F042</t>
  </si>
  <si>
    <t>ENRIQUEZ GARCIA JAVIER</t>
  </si>
  <si>
    <t>6120AF</t>
  </si>
  <si>
    <t>CAS980A</t>
  </si>
  <si>
    <t>ENRIQUEZ ROMERO SAMUEL</t>
  </si>
  <si>
    <t>6624AF</t>
  </si>
  <si>
    <t>JZK645A</t>
  </si>
  <si>
    <t>ENRIQUEZ TORRES OMAR</t>
  </si>
  <si>
    <t>5183AF</t>
  </si>
  <si>
    <t>50G675</t>
  </si>
  <si>
    <t>ESCALANTE ROCHA ANDRES</t>
  </si>
  <si>
    <t>4767AF</t>
  </si>
  <si>
    <t>41G301</t>
  </si>
  <si>
    <t>ESCAMILLA MORALES MARIO ALFONSO</t>
  </si>
  <si>
    <t>6806AF</t>
  </si>
  <si>
    <t>16K684</t>
  </si>
  <si>
    <t>ESCAREÑO VILLARREAL HECTOR HUGO</t>
  </si>
  <si>
    <t>3982AF</t>
  </si>
  <si>
    <t>TCS207B</t>
  </si>
  <si>
    <t>ESCOBAR VILLA JUAN JOSE</t>
  </si>
  <si>
    <t>5854AF</t>
  </si>
  <si>
    <t>11K507</t>
  </si>
  <si>
    <t>ESLAVA MENESES JORGE LUIS</t>
  </si>
  <si>
    <t>5468AF</t>
  </si>
  <si>
    <t>44G096</t>
  </si>
  <si>
    <t>ESPINOSA ROLDAN GUSTAVO</t>
  </si>
  <si>
    <t>5006AF</t>
  </si>
  <si>
    <t>41G609</t>
  </si>
  <si>
    <t>ESPINOZA . JESUS ALEJANDRO</t>
  </si>
  <si>
    <t>6174AF</t>
  </si>
  <si>
    <t>CAT836A</t>
  </si>
  <si>
    <t>ESPINOZA BARBOSA BRAYAN ALEJANDRO</t>
  </si>
  <si>
    <t>6239AF</t>
  </si>
  <si>
    <t>38G290</t>
  </si>
  <si>
    <t>ESPINOZA MORENO FERNANDO JONATHAN</t>
  </si>
  <si>
    <t>5715AF</t>
  </si>
  <si>
    <t>CAD703A</t>
  </si>
  <si>
    <t>ESPINOZA RIVERA DAVID SEFERINO</t>
  </si>
  <si>
    <t>5166AF</t>
  </si>
  <si>
    <t>BLX621A</t>
  </si>
  <si>
    <t>ESPINOZA TOLENTINO IVAN</t>
  </si>
  <si>
    <t>4881AF</t>
  </si>
  <si>
    <t>47G510</t>
  </si>
  <si>
    <t>ESQUIVEL RANGEL DAVID</t>
  </si>
  <si>
    <t>4353AF</t>
  </si>
  <si>
    <t>E59BRJ</t>
  </si>
  <si>
    <t>ESQUIVEL RAZO JUAN MANUEL</t>
  </si>
  <si>
    <t>2622AF</t>
  </si>
  <si>
    <t>H43BMC</t>
  </si>
  <si>
    <t>ESTEFES LIRA HUGO ALBERTO</t>
  </si>
  <si>
    <t>4528AF</t>
  </si>
  <si>
    <t>27G777</t>
  </si>
  <si>
    <t>ESTEVEZ QUINTANAR MOISES JACOB</t>
  </si>
  <si>
    <t>2726AF</t>
  </si>
  <si>
    <t>S77BMD</t>
  </si>
  <si>
    <t>ESTRADA BETANZOS PAULINO ARMANDO</t>
  </si>
  <si>
    <t>5077AF</t>
  </si>
  <si>
    <t>47G565</t>
  </si>
  <si>
    <t>ESTRADA DOMINGUEZ MARIO</t>
  </si>
  <si>
    <t>5241AF</t>
  </si>
  <si>
    <t>BYY746A</t>
  </si>
  <si>
    <t>ESTRADA HERNANDEZ FRANCISCO</t>
  </si>
  <si>
    <t>4557AF</t>
  </si>
  <si>
    <t>JAW371A</t>
  </si>
  <si>
    <t>ESTRADA LEYVA LUIS ALBERTO</t>
  </si>
  <si>
    <t>6255AF</t>
  </si>
  <si>
    <t>BYN542A</t>
  </si>
  <si>
    <t>ESTRADA LOPEZ YOSTHIN</t>
  </si>
  <si>
    <t>5962AF</t>
  </si>
  <si>
    <t>51G648</t>
  </si>
  <si>
    <t>ESTRADA MARTINEZ JOSE MIGUEL</t>
  </si>
  <si>
    <t>4109AF</t>
  </si>
  <si>
    <t>HWS683A</t>
  </si>
  <si>
    <t>ESTRADA RESENDIZ JOSE RAUL</t>
  </si>
  <si>
    <t>4029AF</t>
  </si>
  <si>
    <t>13G955</t>
  </si>
  <si>
    <t>ESTRADA SANCHEZ ROSALIO</t>
  </si>
  <si>
    <t>5931AF</t>
  </si>
  <si>
    <t>51G542</t>
  </si>
  <si>
    <t>ESTRADA SANCHEZ SAIRON</t>
  </si>
  <si>
    <t>4026AF</t>
  </si>
  <si>
    <t>ESTRADA VALENCIA BRUNO ENRIQUE</t>
  </si>
  <si>
    <t>4526AF</t>
  </si>
  <si>
    <t>27G732</t>
  </si>
  <si>
    <t>EUSEBIO CASTILLO ANDRES</t>
  </si>
  <si>
    <t>2691AF</t>
  </si>
  <si>
    <t>S55BMJ</t>
  </si>
  <si>
    <t>FACUNDO CRUZ EDUARDO</t>
  </si>
  <si>
    <t>5861AF</t>
  </si>
  <si>
    <t>51G544</t>
  </si>
  <si>
    <t>FARIAS BARRON ROMAN ALEJANDRO</t>
  </si>
  <si>
    <t>6320AF</t>
  </si>
  <si>
    <t>53S670</t>
  </si>
  <si>
    <t>FARIAS SALAZAR GERARDO</t>
  </si>
  <si>
    <t>2801AF</t>
  </si>
  <si>
    <t>JTT9638</t>
  </si>
  <si>
    <t>FELICIANO RUIZ OSCAR</t>
  </si>
  <si>
    <t>3608AF</t>
  </si>
  <si>
    <t>BRH506A</t>
  </si>
  <si>
    <t>FERNANDEZ JIMENEZ LUIS DANIEL</t>
  </si>
  <si>
    <t>5407AF</t>
  </si>
  <si>
    <t>FERNANDEZ MARTINEZ ENRIQUE</t>
  </si>
  <si>
    <t>3378AF</t>
  </si>
  <si>
    <t>BNJ622A</t>
  </si>
  <si>
    <t>FERNANDEZ RIOS FRANCISCO</t>
  </si>
  <si>
    <t>4775AF</t>
  </si>
  <si>
    <t>RLW871C</t>
  </si>
  <si>
    <t>FERNANDEZ URIOSTEGUI FRANCISCO JAVIER</t>
  </si>
  <si>
    <t>6901AF</t>
  </si>
  <si>
    <t>31G841</t>
  </si>
  <si>
    <t>FLORES CONTRERAS JUAN FRANCISCO</t>
  </si>
  <si>
    <t>5563AF</t>
  </si>
  <si>
    <t>FLORES CRUZ EDUARDO AGUSTIN</t>
  </si>
  <si>
    <t>5592AF</t>
  </si>
  <si>
    <t>BZA438A</t>
  </si>
  <si>
    <t>FLORES DIEGO JONATHAN DANIEL</t>
  </si>
  <si>
    <t>5977AF</t>
  </si>
  <si>
    <t>JNU138A</t>
  </si>
  <si>
    <t>FLORES GONZALEZ ERNESTO GERARDO</t>
  </si>
  <si>
    <t>4333AF</t>
  </si>
  <si>
    <t>31G757</t>
  </si>
  <si>
    <t>FLORES MENDOZA JUAN CARLOS</t>
  </si>
  <si>
    <t>3778AF</t>
  </si>
  <si>
    <t>13G519</t>
  </si>
  <si>
    <t>FLORES OREGON FERNANDO</t>
  </si>
  <si>
    <t>2903AF</t>
  </si>
  <si>
    <t>D34BNH</t>
  </si>
  <si>
    <t>FLORES PALACIOS ERNESTO GABRIEL</t>
  </si>
  <si>
    <t>5650AF</t>
  </si>
  <si>
    <t>08K011</t>
  </si>
  <si>
    <t>FLORES PORTILLO ISIDORO ANTONIO</t>
  </si>
  <si>
    <t>5063AF</t>
  </si>
  <si>
    <t>RUW777C</t>
  </si>
  <si>
    <t>FLORES SANDOVAL ALFREDO.</t>
  </si>
  <si>
    <t>6392AF</t>
  </si>
  <si>
    <t>CBL056A</t>
  </si>
  <si>
    <t>FLORES SANDOVAL JUSSEP URIEL</t>
  </si>
  <si>
    <t>4068AF</t>
  </si>
  <si>
    <t>19G358</t>
  </si>
  <si>
    <t>FLORES SILVA EDGAR EDUARDO</t>
  </si>
  <si>
    <t>6273AF</t>
  </si>
  <si>
    <t>53S726</t>
  </si>
  <si>
    <t>FLORES TAFOLLA BRANDON</t>
  </si>
  <si>
    <t>5698AF</t>
  </si>
  <si>
    <t>13G810</t>
  </si>
  <si>
    <t>FLORIN MORALES ISRAEL</t>
  </si>
  <si>
    <t>5518AF</t>
  </si>
  <si>
    <t>19G554</t>
  </si>
  <si>
    <t>FRAGOSO LOPEZ PABLO BENJAMIN</t>
  </si>
  <si>
    <t>4862AF</t>
  </si>
  <si>
    <t>50G774</t>
  </si>
  <si>
    <t>FRANCISCO ALVARADO JORGE</t>
  </si>
  <si>
    <t>5702AF</t>
  </si>
  <si>
    <t>CAD040A</t>
  </si>
  <si>
    <t>FRONTANA CASTRO CHRISTIAN ADALBERTO</t>
  </si>
  <si>
    <t>4335AF</t>
  </si>
  <si>
    <t>31G713</t>
  </si>
  <si>
    <t>FUENTES BOY JUAN MANUEL</t>
  </si>
  <si>
    <t>6463AF</t>
  </si>
  <si>
    <t>52G090</t>
  </si>
  <si>
    <t>GABRIEL GOMEZ ALFREDO</t>
  </si>
  <si>
    <t>4663AF</t>
  </si>
  <si>
    <t>38G391</t>
  </si>
  <si>
    <t>GALAN BARRERA ANTONIO</t>
  </si>
  <si>
    <t>5855AF</t>
  </si>
  <si>
    <t>11K503</t>
  </si>
  <si>
    <t>GALAN MERCADO DIEGO ARMANDO</t>
  </si>
  <si>
    <t>5470AF</t>
  </si>
  <si>
    <t>28G913</t>
  </si>
  <si>
    <t>GALARZA VEGA HECTOR MIGUEL</t>
  </si>
  <si>
    <t>4330AF</t>
  </si>
  <si>
    <t>E63BRH</t>
  </si>
  <si>
    <t>GALEANA CHABELA RAYMUNDO</t>
  </si>
  <si>
    <t>3760AF</t>
  </si>
  <si>
    <t>BSG237A</t>
  </si>
  <si>
    <t>GALEANA FLORES PEDRO</t>
  </si>
  <si>
    <t>5522AF</t>
  </si>
  <si>
    <t>BZA445A</t>
  </si>
  <si>
    <t>GALICIA INCLAN ERNESTO</t>
  </si>
  <si>
    <t>5759AF</t>
  </si>
  <si>
    <t>10K112</t>
  </si>
  <si>
    <t>GALICIA MENDOZA JESUS JULIAN</t>
  </si>
  <si>
    <t>5668AF</t>
  </si>
  <si>
    <t>07K824</t>
  </si>
  <si>
    <t>GALINDO MEDINA GIOVANNY</t>
  </si>
  <si>
    <t>5127AF</t>
  </si>
  <si>
    <t>47G956</t>
  </si>
  <si>
    <t>GALINDO RODRIGUEZ OMAR</t>
  </si>
  <si>
    <t>2735AF</t>
  </si>
  <si>
    <t>T66BMD</t>
  </si>
  <si>
    <t>GALLEGOS GONZALEZ MICHELLE</t>
  </si>
  <si>
    <t>4668AF</t>
  </si>
  <si>
    <t>GALVAN ESPINOSA HORACIO</t>
  </si>
  <si>
    <t>4654AF</t>
  </si>
  <si>
    <t>38G375</t>
  </si>
  <si>
    <t>GALVAN FIGUEROA JAVIER</t>
  </si>
  <si>
    <t>4773AF</t>
  </si>
  <si>
    <t>D84BRR</t>
  </si>
  <si>
    <t>GALVAN LEDESMA ALAN RODRIGO</t>
  </si>
  <si>
    <t>4682AF</t>
  </si>
  <si>
    <t>Z65BRP</t>
  </si>
  <si>
    <t>GALVAN QUINTERO DIANA ZITLALY</t>
  </si>
  <si>
    <t>5794AF</t>
  </si>
  <si>
    <t>RXW056C</t>
  </si>
  <si>
    <t>GALVAN SALAZAR EDGAR AGMED</t>
  </si>
  <si>
    <t>4012AF</t>
  </si>
  <si>
    <t>TFP757B</t>
  </si>
  <si>
    <t>GALVEZ RODAS MARCO ANTONIO</t>
  </si>
  <si>
    <t>6281AF</t>
  </si>
  <si>
    <t>CAT845A</t>
  </si>
  <si>
    <t>GALVEZ SOTO SERGIO ALBERTO</t>
  </si>
  <si>
    <t>4471AF</t>
  </si>
  <si>
    <t>31G815</t>
  </si>
  <si>
    <t>GAMIZ DIAZ ERICK</t>
  </si>
  <si>
    <t>5405AF</t>
  </si>
  <si>
    <t>JAY041A</t>
  </si>
  <si>
    <t>GARAY SOBERANES JOSE ANTONIO</t>
  </si>
  <si>
    <t>4805AF</t>
  </si>
  <si>
    <t>41G447</t>
  </si>
  <si>
    <t>GARCIA ACEVEDO GABRIEL</t>
  </si>
  <si>
    <t>2604AF</t>
  </si>
  <si>
    <t>H58BMC</t>
  </si>
  <si>
    <t>GARCIA ALVAREZ MARTIN</t>
  </si>
  <si>
    <t>7226AF</t>
  </si>
  <si>
    <t>SBG008C</t>
  </si>
  <si>
    <t>GARCIA ALVAREZ SERGIO JONATHAN</t>
  </si>
  <si>
    <t>3986AF</t>
  </si>
  <si>
    <t>13G737</t>
  </si>
  <si>
    <t>GARCIA ARROYO CESAR DAVID</t>
  </si>
  <si>
    <t>4743AF</t>
  </si>
  <si>
    <t>38G337</t>
  </si>
  <si>
    <t>GARCIA BLANCAS EVER ABISAY</t>
  </si>
  <si>
    <t>3476AF</t>
  </si>
  <si>
    <t>H98BLM</t>
  </si>
  <si>
    <t>GARCIA CALATA MIGUEL ANGEL</t>
  </si>
  <si>
    <t>3979AF</t>
  </si>
  <si>
    <t>HXC207A</t>
  </si>
  <si>
    <t>GARCIA CARRASCO OSCAR ALEXIS</t>
  </si>
  <si>
    <t>5240AF</t>
  </si>
  <si>
    <t>BYZ203A</t>
  </si>
  <si>
    <t>GARCIA CASIANO JORGE ALBERTO</t>
  </si>
  <si>
    <t>5113AF</t>
  </si>
  <si>
    <t>47G712</t>
  </si>
  <si>
    <t>GARCIA CRUZ FRANCISCO JAVIER</t>
  </si>
  <si>
    <t>4699AF</t>
  </si>
  <si>
    <t>41G540</t>
  </si>
  <si>
    <t>GARCIA CRUZ MARCO ANTONIO</t>
  </si>
  <si>
    <t>2846AF</t>
  </si>
  <si>
    <t>26F426</t>
  </si>
  <si>
    <t>EJ7</t>
  </si>
  <si>
    <t>GARCIA DE JESUS JOSE EDUARDO</t>
  </si>
  <si>
    <t>4953AF</t>
  </si>
  <si>
    <t>41G451</t>
  </si>
  <si>
    <t>GARCIA DIAZ CARLOS DANIEL</t>
  </si>
  <si>
    <t>3881AF</t>
  </si>
  <si>
    <t>JTK2202</t>
  </si>
  <si>
    <t>GARCIA DURAN LUIS JOHNNATAN</t>
  </si>
  <si>
    <t>5505AF</t>
  </si>
  <si>
    <t>48G102</t>
  </si>
  <si>
    <t>GARCIA FERMOSO ALFREDO LEON</t>
  </si>
  <si>
    <t>3885AF</t>
  </si>
  <si>
    <t>94F904</t>
  </si>
  <si>
    <t>GARCIA FLORES JORGE ARMANDO</t>
  </si>
  <si>
    <t>5115AF</t>
  </si>
  <si>
    <t>84F049</t>
  </si>
  <si>
    <t>GARCIA FONSECA GUADALUPE</t>
  </si>
  <si>
    <t>4298AF</t>
  </si>
  <si>
    <t>31G988</t>
  </si>
  <si>
    <t>GARCIA GONZALEZ CARLOS JAVIER</t>
  </si>
  <si>
    <t>4272AF</t>
  </si>
  <si>
    <t>31G686</t>
  </si>
  <si>
    <t>GARCIA GUZMAN JOSE CRISTHIAN</t>
  </si>
  <si>
    <t>4948AF</t>
  </si>
  <si>
    <t>41G658</t>
  </si>
  <si>
    <t>GARCIA HERNANDEZ ORLANDO ALFREDO</t>
  </si>
  <si>
    <t>5651AF</t>
  </si>
  <si>
    <t>09K340</t>
  </si>
  <si>
    <t>GARCIA LOPEZ JOSE ANGEL</t>
  </si>
  <si>
    <t>5266AF</t>
  </si>
  <si>
    <t>50G505</t>
  </si>
  <si>
    <t>GARCIA MONROY OSCAR</t>
  </si>
  <si>
    <t>3327AF</t>
  </si>
  <si>
    <t>84F004</t>
  </si>
  <si>
    <t>GARCIA MONROY ROMULO</t>
  </si>
  <si>
    <t>4216AF</t>
  </si>
  <si>
    <t>20G834</t>
  </si>
  <si>
    <t>GARCIA MORALES IVAN</t>
  </si>
  <si>
    <t>4052AF</t>
  </si>
  <si>
    <t>13G947</t>
  </si>
  <si>
    <t>GARCIA MORENO CARLOS</t>
  </si>
  <si>
    <t>4292AF</t>
  </si>
  <si>
    <t>31G957</t>
  </si>
  <si>
    <t>GARCIA NAVARRO JOSE LUIS</t>
  </si>
  <si>
    <t>2543AF</t>
  </si>
  <si>
    <t>BGH367A</t>
  </si>
  <si>
    <t>GARCIA ORTA JULIO CESAR</t>
  </si>
  <si>
    <t>6131AF</t>
  </si>
  <si>
    <t>62G316</t>
  </si>
  <si>
    <t>GARCIA ORTEGA MIGUEL ANGEL</t>
  </si>
  <si>
    <t>4737AF</t>
  </si>
  <si>
    <t>42G899</t>
  </si>
  <si>
    <t>GARCIA PALMA ERICK</t>
  </si>
  <si>
    <t>3821AF</t>
  </si>
  <si>
    <t>08G192</t>
  </si>
  <si>
    <t>GARCIA RIVERA HECTOR</t>
  </si>
  <si>
    <t>4140AF</t>
  </si>
  <si>
    <t>19G415</t>
  </si>
  <si>
    <t>GARCIA RODRIGUEZ SPENCER</t>
  </si>
  <si>
    <t>4499AF</t>
  </si>
  <si>
    <t>RRG972C</t>
  </si>
  <si>
    <t>GARCIA RODRIGUEZ VICTOR MANUEL</t>
  </si>
  <si>
    <t>5777AF</t>
  </si>
  <si>
    <t>51G582</t>
  </si>
  <si>
    <t>GARCIA RUELAS HECTOR JULIAN</t>
  </si>
  <si>
    <t>5871AF</t>
  </si>
  <si>
    <t>CAD702A</t>
  </si>
  <si>
    <t>GARCIA SALAZAR JUAN MANUEL</t>
  </si>
  <si>
    <t>6073AF</t>
  </si>
  <si>
    <t>31G624</t>
  </si>
  <si>
    <t>GARCIA SALGADO ALAN JAIR</t>
  </si>
  <si>
    <t>6141AF</t>
  </si>
  <si>
    <t>47G479</t>
  </si>
  <si>
    <t>GARCIA SANCHEZ ALAN MICHELLE</t>
  </si>
  <si>
    <t>5682AF</t>
  </si>
  <si>
    <t>48G257</t>
  </si>
  <si>
    <t>GARCIA SANDOVAL DANY MISAEL</t>
  </si>
  <si>
    <t>4250AF</t>
  </si>
  <si>
    <t>BUR871A</t>
  </si>
  <si>
    <t>GARCIA TORRES MARIO YAIR</t>
  </si>
  <si>
    <t>4217AF</t>
  </si>
  <si>
    <t>20G811</t>
  </si>
  <si>
    <t>GARCIA VAZQUEZ ALFREDO</t>
  </si>
  <si>
    <t>4185AF</t>
  </si>
  <si>
    <t>19G533</t>
  </si>
  <si>
    <t>GARCIA VEGA CELEDONIO</t>
  </si>
  <si>
    <t>4467AF</t>
  </si>
  <si>
    <t>27G507</t>
  </si>
  <si>
    <t>GARDUÑO LERIN MARCO VINICIO</t>
  </si>
  <si>
    <t>4827AF</t>
  </si>
  <si>
    <t>14G281</t>
  </si>
  <si>
    <t>GARFIAS HERNANDEZ MIGUEL ANGEL</t>
  </si>
  <si>
    <t>4646AF</t>
  </si>
  <si>
    <t>37G930</t>
  </si>
  <si>
    <t>GARRIDO CRUZ GABRIEL</t>
  </si>
  <si>
    <t>5303AF</t>
  </si>
  <si>
    <t>47G746</t>
  </si>
  <si>
    <t>GARRIDO ROCHA JUAN MANUEL</t>
  </si>
  <si>
    <t>4536AF</t>
  </si>
  <si>
    <t>39G345</t>
  </si>
  <si>
    <t>GASPAR HERNANDEZ LUIS MIGUEL</t>
  </si>
  <si>
    <t>3490AF</t>
  </si>
  <si>
    <t>TCV541B</t>
  </si>
  <si>
    <t>GASPAR ONOFRE VICTOR HUGO</t>
  </si>
  <si>
    <t>6376AF</t>
  </si>
  <si>
    <t>RXW248C</t>
  </si>
  <si>
    <t>GASTELUM FELIX LUIS ALBERTO</t>
  </si>
  <si>
    <t>4916AF</t>
  </si>
  <si>
    <t>BYG581A</t>
  </si>
  <si>
    <t>GAYTAN TOLENTINO GUILLERMO</t>
  </si>
  <si>
    <t>5559AF</t>
  </si>
  <si>
    <t>48G111</t>
  </si>
  <si>
    <t>GIL MORALES EUGENIO GERARDO</t>
  </si>
  <si>
    <t>3103AF</t>
  </si>
  <si>
    <t>X94BNL</t>
  </si>
  <si>
    <t>GOMEZ BAEZA GREGORIO</t>
  </si>
  <si>
    <t>5955AF</t>
  </si>
  <si>
    <t>51G504</t>
  </si>
  <si>
    <t>GOMEZ ESCOBAR LUIS FERNANDO</t>
  </si>
  <si>
    <t>5165AF</t>
  </si>
  <si>
    <t>BZB787A</t>
  </si>
  <si>
    <t>GOMEZ GONZALEZ ARTURO</t>
  </si>
  <si>
    <t>3911AF</t>
  </si>
  <si>
    <t>B66BPX</t>
  </si>
  <si>
    <t>GOMEZ GONZALEZ MARIO ALBERTO</t>
  </si>
  <si>
    <t>3078AF</t>
  </si>
  <si>
    <t>84F033</t>
  </si>
  <si>
    <t>GOMEZ MARQUEZ TEODULO PABLO</t>
  </si>
  <si>
    <t>5528AF</t>
  </si>
  <si>
    <t>42G765</t>
  </si>
  <si>
    <t>GOMEZ MEDINA MIGUEL ANGEL</t>
  </si>
  <si>
    <t>4348AF</t>
  </si>
  <si>
    <t>19G552</t>
  </si>
  <si>
    <t>GOMEZ MOHEDANO JOSE</t>
  </si>
  <si>
    <t>3368AF</t>
  </si>
  <si>
    <t>A58BNM</t>
  </si>
  <si>
    <t>GOMEZ MORALES WILLIAN ALEXIS</t>
  </si>
  <si>
    <t>5461AF</t>
  </si>
  <si>
    <t>BZA451A</t>
  </si>
  <si>
    <t>GOMEZ OCHOA PEDRO FABIAN</t>
  </si>
  <si>
    <t>6171AF</t>
  </si>
  <si>
    <t>CAT832A</t>
  </si>
  <si>
    <t>GOMEZ OLMOS EDGAR ALEJANDRO</t>
  </si>
  <si>
    <t>3119AF</t>
  </si>
  <si>
    <t>B15BNM</t>
  </si>
  <si>
    <t>GOMEZ POZOS DANIEL</t>
  </si>
  <si>
    <t>4457AF</t>
  </si>
  <si>
    <t>19G403</t>
  </si>
  <si>
    <t>GOMEZ RODRIGUEZ AARON LEONARDO</t>
  </si>
  <si>
    <t>6332AF</t>
  </si>
  <si>
    <t>62G375</t>
  </si>
  <si>
    <t>GOMEZ RODRIGUEZ AXEL</t>
  </si>
  <si>
    <t>6058AF</t>
  </si>
  <si>
    <t>Z44BPC</t>
  </si>
  <si>
    <t>GOMEZ ZACARIAS JUAN CARLOS</t>
  </si>
  <si>
    <t>5346AF</t>
  </si>
  <si>
    <t>47G993</t>
  </si>
  <si>
    <t>GOMORA RUIZ ENRIQUE</t>
  </si>
  <si>
    <t>4365AF</t>
  </si>
  <si>
    <t>32G993</t>
  </si>
  <si>
    <t>GONZALEZ ALFARO RAUL GERARDO</t>
  </si>
  <si>
    <t>4038AF</t>
  </si>
  <si>
    <t>13G806</t>
  </si>
  <si>
    <t>GONZALEZ BRISEÑO ANICETO</t>
  </si>
  <si>
    <t>3856AF</t>
  </si>
  <si>
    <t>F77BPT</t>
  </si>
  <si>
    <t>GONZALEZ CABRERA JOSE ALBERTO</t>
  </si>
  <si>
    <t>2491AF</t>
  </si>
  <si>
    <t>UPT747H</t>
  </si>
  <si>
    <t>GONZALEZ CARRILLO YOEL BALAM</t>
  </si>
  <si>
    <t>5008AF</t>
  </si>
  <si>
    <t>50G881</t>
  </si>
  <si>
    <t>GONZALEZ CENTENO LUIS ALBERTO</t>
  </si>
  <si>
    <t>4781AF</t>
  </si>
  <si>
    <t>BXT311A</t>
  </si>
  <si>
    <t>GONZALEZ CISNEROS LUIS ENRIQUE</t>
  </si>
  <si>
    <t>4726AF</t>
  </si>
  <si>
    <t>BXT277A</t>
  </si>
  <si>
    <t>GONZALEZ DIAZ DARIO</t>
  </si>
  <si>
    <t>4712AF</t>
  </si>
  <si>
    <t>F23BRR</t>
  </si>
  <si>
    <t>GONZALEZ DOMINGUEZ VICTOR MANUEL</t>
  </si>
  <si>
    <t>3655AF</t>
  </si>
  <si>
    <t>HXC199A</t>
  </si>
  <si>
    <t>GONZALEZ DUEÑAS SAMUEL</t>
  </si>
  <si>
    <t>5574AF</t>
  </si>
  <si>
    <t>42G736</t>
  </si>
  <si>
    <t>GONZALEZ GARCIA URIEL JOMAIR</t>
  </si>
  <si>
    <t>3668AF</t>
  </si>
  <si>
    <t>89F999</t>
  </si>
  <si>
    <t>GONZALEZ GONZALEZ ANGEL IVAN</t>
  </si>
  <si>
    <t>4648AF</t>
  </si>
  <si>
    <t>38G280</t>
  </si>
  <si>
    <t>GONZALEZ GONZALEZ EDGAR ADRIAN</t>
  </si>
  <si>
    <t>3519AF</t>
  </si>
  <si>
    <t>E45BPF</t>
  </si>
  <si>
    <t>GONZALEZ HERNANDEZ APOLINAR</t>
  </si>
  <si>
    <t>3644AF</t>
  </si>
  <si>
    <t>P69BPH</t>
  </si>
  <si>
    <t>GONZALEZ HERNANDEZ JACOBO ABRAHAM</t>
  </si>
  <si>
    <t>5560AF</t>
  </si>
  <si>
    <t>48G139</t>
  </si>
  <si>
    <t>GONZALEZ MACIEL CARLOS ALFONSO</t>
  </si>
  <si>
    <t>3524AF</t>
  </si>
  <si>
    <t>HWE351A</t>
  </si>
  <si>
    <t>GONZALEZ MAGDALENO EDUARDO</t>
  </si>
  <si>
    <t>5140AF</t>
  </si>
  <si>
    <t>50G849</t>
  </si>
  <si>
    <t>GONZALEZ MARTINEZ CLEORACLIO</t>
  </si>
  <si>
    <t>3642AF</t>
  </si>
  <si>
    <t>R10BPH</t>
  </si>
  <si>
    <t>GONZALEZ MOSQUEDA ROBERTO ALEJANDRO</t>
  </si>
  <si>
    <t>3932AF</t>
  </si>
  <si>
    <t>13G873</t>
  </si>
  <si>
    <t>GONZALEZ MURCIA JOSE ALFONSO</t>
  </si>
  <si>
    <t>3252AF</t>
  </si>
  <si>
    <t>A07BNM</t>
  </si>
  <si>
    <t>GONZALEZ OREA ADAN</t>
  </si>
  <si>
    <t>5817AF</t>
  </si>
  <si>
    <t>11K119</t>
  </si>
  <si>
    <t>GONZALEZ PATLAN RAMON RUBEN</t>
  </si>
  <si>
    <t>5427AF</t>
  </si>
  <si>
    <t>GONZALEZ RANGEL DANIEL</t>
  </si>
  <si>
    <t>5046AF</t>
  </si>
  <si>
    <t>50G673</t>
  </si>
  <si>
    <t>GONZALEZ ROMERO ARTURO</t>
  </si>
  <si>
    <t>3399AF</t>
  </si>
  <si>
    <t>A02BNM</t>
  </si>
  <si>
    <t>GONZALEZ SANCHEZ JESUS GIOVANNI</t>
  </si>
  <si>
    <t>5426AF</t>
  </si>
  <si>
    <t>GONZALEZ SOSA LUIS</t>
  </si>
  <si>
    <t>4490AF</t>
  </si>
  <si>
    <t>19G541</t>
  </si>
  <si>
    <t>GONZALEZ VARGAS ROBERTO JACIEL</t>
  </si>
  <si>
    <t>4887AF</t>
  </si>
  <si>
    <t>RLW866C</t>
  </si>
  <si>
    <t>GONZALEZ VAZQUEZ NESTOR DANIEL</t>
  </si>
  <si>
    <t>4491AF</t>
  </si>
  <si>
    <t>19G385</t>
  </si>
  <si>
    <t>GONZALEZ VELEZ OMAR EDUARDO</t>
  </si>
  <si>
    <t>3162AF</t>
  </si>
  <si>
    <t>HUL785A</t>
  </si>
  <si>
    <t>GONZALEZ ZAMORA CARLOS CRUZ</t>
  </si>
  <si>
    <t>4461AF</t>
  </si>
  <si>
    <t>19G726</t>
  </si>
  <si>
    <t>GONZALEZ ZARAGOZA DAVID ISAIAS</t>
  </si>
  <si>
    <t>6162AF</t>
  </si>
  <si>
    <t>CAS984A</t>
  </si>
  <si>
    <t>GONZALEZ ZARAGOZA GERSON EMMANUEL</t>
  </si>
  <si>
    <t>6119AF</t>
  </si>
  <si>
    <t>CAS976A</t>
  </si>
  <si>
    <t>GONZALEZ ZAVALA JAIR ALEJANDRO</t>
  </si>
  <si>
    <t>5234AF</t>
  </si>
  <si>
    <t>89F836</t>
  </si>
  <si>
    <t>GRACIA ALVAREZ NOE ISAAC</t>
  </si>
  <si>
    <t>2705AF</t>
  </si>
  <si>
    <t>62F103</t>
  </si>
  <si>
    <t>GRAJALES MOLINA HENRY YAIR</t>
  </si>
  <si>
    <t>1980AF</t>
  </si>
  <si>
    <t>02-2022</t>
  </si>
  <si>
    <t>JSY4729</t>
  </si>
  <si>
    <t>GRANJA LARRAGA PAVEL</t>
  </si>
  <si>
    <t>3581AF</t>
  </si>
  <si>
    <t>89F628</t>
  </si>
  <si>
    <t>GUADARRAMA JIMENEZ JOSUE</t>
  </si>
  <si>
    <t>5363AF</t>
  </si>
  <si>
    <t>43G983</t>
  </si>
  <si>
    <t>GUADARRAMA RAMIREZ RAFAEL</t>
  </si>
  <si>
    <t>5921AF</t>
  </si>
  <si>
    <t>51G689</t>
  </si>
  <si>
    <t>GUERRA BAHENA RODRIGO DANIEL</t>
  </si>
  <si>
    <t>3230AF</t>
  </si>
  <si>
    <t>BNE875A</t>
  </si>
  <si>
    <t>GUERRERO SALAZAR JOSE GUADALUPE</t>
  </si>
  <si>
    <t>6395AF</t>
  </si>
  <si>
    <t>M20BSF</t>
  </si>
  <si>
    <t>GUILLEN HERNANDEZ JOSE LUIS</t>
  </si>
  <si>
    <t>4937AF</t>
  </si>
  <si>
    <t>50G980</t>
  </si>
  <si>
    <t>GUIZAR REYES GUSTAVO ARMANDO</t>
  </si>
  <si>
    <t>4405AF</t>
  </si>
  <si>
    <t>19G571</t>
  </si>
  <si>
    <t>GUTIERREZ AMBRIZ ANGEL</t>
  </si>
  <si>
    <t>5263AF</t>
  </si>
  <si>
    <t>47G984</t>
  </si>
  <si>
    <t>GUTIERREZ CANOVAS JUAN JESUS</t>
  </si>
  <si>
    <t>3882AF</t>
  </si>
  <si>
    <t>R37BPH</t>
  </si>
  <si>
    <t>GUTIERREZ COLLAZO JAVIER FELIPE</t>
  </si>
  <si>
    <t>3987AF</t>
  </si>
  <si>
    <t>13G891</t>
  </si>
  <si>
    <t>GUTIERREZ HERNANDEZ ALEJANDRO</t>
  </si>
  <si>
    <t>5961AF</t>
  </si>
  <si>
    <t>11K164</t>
  </si>
  <si>
    <t>GUTIERREZ HILARIO MAURICIO</t>
  </si>
  <si>
    <t>4336AF</t>
  </si>
  <si>
    <t>GUTIERREZ HUERTA SERGIO</t>
  </si>
  <si>
    <t>2506AF</t>
  </si>
  <si>
    <t>G45BLM</t>
  </si>
  <si>
    <t>GUTIERREZ LEON JOSE MANUEL</t>
  </si>
  <si>
    <t>5751AF</t>
  </si>
  <si>
    <t>48G300</t>
  </si>
  <si>
    <t>GUTIERREZ LUNA EDGAR EFREN</t>
  </si>
  <si>
    <t>4128AF</t>
  </si>
  <si>
    <t>19G364</t>
  </si>
  <si>
    <t>GUTIERREZ MEDINA JOSE ALBERTO</t>
  </si>
  <si>
    <t>4261AF</t>
  </si>
  <si>
    <t>19G534</t>
  </si>
  <si>
    <t>GUTIERREZ MONTES LUIS ALBERTO</t>
  </si>
  <si>
    <t>4549AF</t>
  </si>
  <si>
    <t>40G186</t>
  </si>
  <si>
    <t>GUTIERREZ OSORIO LUIS ANTONIO</t>
  </si>
  <si>
    <t>2709AF</t>
  </si>
  <si>
    <t>ULK417H</t>
  </si>
  <si>
    <t>GUTIERREZ PONCE DANIEL</t>
  </si>
  <si>
    <t>4307AF</t>
  </si>
  <si>
    <t>GUTIERREZ RAÑO BRIAN JESUS</t>
  </si>
  <si>
    <t>4537AF</t>
  </si>
  <si>
    <t>39G932</t>
  </si>
  <si>
    <t>GUTIERREZ SANTIAGO BRIAN MAURICIO</t>
  </si>
  <si>
    <t>5169AF</t>
  </si>
  <si>
    <t>47G950</t>
  </si>
  <si>
    <t>GUTIERREZ TEOFILO JONATHAN</t>
  </si>
  <si>
    <t>5874AF</t>
  </si>
  <si>
    <t>CAJ001A</t>
  </si>
  <si>
    <t>GUZMAN CORTES EFREN</t>
  </si>
  <si>
    <t>3100AF</t>
  </si>
  <si>
    <t>HSN693A</t>
  </si>
  <si>
    <t>GUZMAN FELIPE ISMAEL MICHEL</t>
  </si>
  <si>
    <t>6218AF</t>
  </si>
  <si>
    <t>08K015</t>
  </si>
  <si>
    <t>GUZMAN PARTIDA JORGE PAULINO</t>
  </si>
  <si>
    <t>2917AF</t>
  </si>
  <si>
    <t>BKS708A</t>
  </si>
  <si>
    <t>GUZMAN RIVERA JOSE ALBERTO</t>
  </si>
  <si>
    <t>4274AF</t>
  </si>
  <si>
    <t>31G628</t>
  </si>
  <si>
    <t>HEREDIA ORTEGA LUIS FELIPE</t>
  </si>
  <si>
    <t>5829AF</t>
  </si>
  <si>
    <t>CAJ006A</t>
  </si>
  <si>
    <t>HERNANDEZ ACOSTA DANIEL EFREN</t>
  </si>
  <si>
    <t>4037AF</t>
  </si>
  <si>
    <t>13G910</t>
  </si>
  <si>
    <t>HERNANDEZ ALANIS JONATHAN ALEXIS</t>
  </si>
  <si>
    <t>5010AF</t>
  </si>
  <si>
    <t>RUW773C</t>
  </si>
  <si>
    <t>HERNANDEZ ALCANTARA OSCAR</t>
  </si>
  <si>
    <t>6449AF</t>
  </si>
  <si>
    <t>K43BSJ</t>
  </si>
  <si>
    <t>HERNANDEZ BARRIOS DAVID ALEJANDRO</t>
  </si>
  <si>
    <t>2349AF</t>
  </si>
  <si>
    <t>11-2022</t>
  </si>
  <si>
    <t>JTK9817</t>
  </si>
  <si>
    <t>HERNANDEZ BERNAL JORGE ENRIQUE</t>
  </si>
  <si>
    <t>5966AF</t>
  </si>
  <si>
    <t>RXC618C</t>
  </si>
  <si>
    <t>HERNANDEZ CABRERA RODRIGO</t>
  </si>
  <si>
    <t>4755AF</t>
  </si>
  <si>
    <t>50G945</t>
  </si>
  <si>
    <t>HERNANDEZ CABRERA VICTOR HUGO</t>
  </si>
  <si>
    <t>3464AF</t>
  </si>
  <si>
    <t>89F700</t>
  </si>
  <si>
    <t>HERNANDEZ CANO ABEL ISAAC</t>
  </si>
  <si>
    <t>4429AF</t>
  </si>
  <si>
    <t>19G565</t>
  </si>
  <si>
    <t>HERNANDEZ CASTAÑEDA JHONATAN</t>
  </si>
  <si>
    <t>5703AF</t>
  </si>
  <si>
    <t>BYZ204A</t>
  </si>
  <si>
    <t>HERNANDEZ CAUDILLO JAHIRO</t>
  </si>
  <si>
    <t>5068AF</t>
  </si>
  <si>
    <t>50G406</t>
  </si>
  <si>
    <t>HERNANDEZ CORDOVA LUIS SALOMON</t>
  </si>
  <si>
    <t>2391AF</t>
  </si>
  <si>
    <t>JTN4628</t>
  </si>
  <si>
    <t>HERNANDEZ ELEUTERIO IVAN IGNACIO</t>
  </si>
  <si>
    <t>4228AF</t>
  </si>
  <si>
    <t>E89BPF</t>
  </si>
  <si>
    <t>HERNANDEZ FAVILA EDUARDO</t>
  </si>
  <si>
    <t>5918AF</t>
  </si>
  <si>
    <t>11K126</t>
  </si>
  <si>
    <t>HERNANDEZ FLORES GUILLERMO</t>
  </si>
  <si>
    <t>5339AF</t>
  </si>
  <si>
    <t>43G999</t>
  </si>
  <si>
    <t>HERNANDEZ GOMEZ ERNESTO</t>
  </si>
  <si>
    <t>2889AF</t>
  </si>
  <si>
    <t>BKM796A</t>
  </si>
  <si>
    <t>HERNANDEZ GOMEZ FELIPE</t>
  </si>
  <si>
    <t>6151AF</t>
  </si>
  <si>
    <t>62G232</t>
  </si>
  <si>
    <t>HERNANDEZ GONZALEZ EDGAR YAIR</t>
  </si>
  <si>
    <t>5117AF</t>
  </si>
  <si>
    <t>F09BRR</t>
  </si>
  <si>
    <t>HERNANDEZ GONZALEZ LUIS MIGUEL</t>
  </si>
  <si>
    <t>3779AF</t>
  </si>
  <si>
    <t>13G575</t>
  </si>
  <si>
    <t>HERNANDEZ GRANADOS ABRAHAM</t>
  </si>
  <si>
    <t>3840AF</t>
  </si>
  <si>
    <t>08G116</t>
  </si>
  <si>
    <t>HERNANDEZ HAWK JOSE PABLO</t>
  </si>
  <si>
    <t>5463AF</t>
  </si>
  <si>
    <t>44G007</t>
  </si>
  <si>
    <t>HERNANDEZ HERNANDEZ ERIC RICARDO</t>
  </si>
  <si>
    <t>4337AF</t>
  </si>
  <si>
    <t>HERNANDEZ HERNANDEZ LUIS FERNANDO</t>
  </si>
  <si>
    <t>2767AF</t>
  </si>
  <si>
    <t>SSK139B</t>
  </si>
  <si>
    <t>HERNANDEZ HERNANDEZ OSCAR ULISES</t>
  </si>
  <si>
    <t>5232AF</t>
  </si>
  <si>
    <t>13G701</t>
  </si>
  <si>
    <t>HERNANDEZ HUERTA DULCE JEANNETTE</t>
  </si>
  <si>
    <t>5616AF</t>
  </si>
  <si>
    <t>43G887</t>
  </si>
  <si>
    <t>HERNANDEZ JIMENEZ GONZALO</t>
  </si>
  <si>
    <t>3188AF</t>
  </si>
  <si>
    <t>Y24BNL</t>
  </si>
  <si>
    <t>HERNANDEZ LERMA ISAAC</t>
  </si>
  <si>
    <t>4817AF</t>
  </si>
  <si>
    <t>19G375</t>
  </si>
  <si>
    <t>HERNANDEZ LOPEZ FRANCISCO JAVIER</t>
  </si>
  <si>
    <t>4367AF</t>
  </si>
  <si>
    <t>31G830</t>
  </si>
  <si>
    <t>HERNANDEZ MARIANO JOSE JUAN</t>
  </si>
  <si>
    <t>4086AF</t>
  </si>
  <si>
    <t>BKS742A</t>
  </si>
  <si>
    <t>HERNANDEZ MARQUEZ FABIAN IGNACIO</t>
  </si>
  <si>
    <t>4959AF</t>
  </si>
  <si>
    <t>19G363</t>
  </si>
  <si>
    <t>HERNANDEZ MEDINA GERARDO</t>
  </si>
  <si>
    <t>5984AF</t>
  </si>
  <si>
    <t>51G682</t>
  </si>
  <si>
    <t>HERNANDEZ OLVERA VICTOR MANUEL</t>
  </si>
  <si>
    <t>6163AF</t>
  </si>
  <si>
    <t>H33BSF</t>
  </si>
  <si>
    <t>HERNANDEZ PAEZ LUIS ANTONIO</t>
  </si>
  <si>
    <t>4745AF</t>
  </si>
  <si>
    <t>41G556</t>
  </si>
  <si>
    <t>HERNANDEZ PALOMINO SAMUEL ALEJANDRO</t>
  </si>
  <si>
    <t>2275AF</t>
  </si>
  <si>
    <t>AYG683A</t>
  </si>
  <si>
    <t>HERNANDEZ QUINTERO JESUS MARIO</t>
  </si>
  <si>
    <t>3249AF</t>
  </si>
  <si>
    <t>84F122</t>
  </si>
  <si>
    <t>HERNANDEZ RAMIREZ MAURICIO</t>
  </si>
  <si>
    <t>3793AF</t>
  </si>
  <si>
    <t>D80BPN</t>
  </si>
  <si>
    <t>HERNANDEZ RAMIREZ RICARDO</t>
  </si>
  <si>
    <t>5446AF</t>
  </si>
  <si>
    <t>HERNANDEZ RIVAS GILBERTO OMAR</t>
  </si>
  <si>
    <t>4838AF</t>
  </si>
  <si>
    <t>D69BRR</t>
  </si>
  <si>
    <t>HERNANDEZ ROJAS ALFREDO</t>
  </si>
  <si>
    <t>3071AF</t>
  </si>
  <si>
    <t>77F748</t>
  </si>
  <si>
    <t>HERNANDEZ SALADO CARLOS</t>
  </si>
  <si>
    <t>4171AF</t>
  </si>
  <si>
    <t>19G634</t>
  </si>
  <si>
    <t>HERNANDEZ SALOMON FRANCISCO JAVIER</t>
  </si>
  <si>
    <t>3807AF</t>
  </si>
  <si>
    <t>13G683</t>
  </si>
  <si>
    <t>HERNANDEZ SANCHEZ ROMEO</t>
  </si>
  <si>
    <t>5906AF</t>
  </si>
  <si>
    <t>CAJ345A</t>
  </si>
  <si>
    <t>HERNANDEZ SIFUENTES JUAN JOSE</t>
  </si>
  <si>
    <t>5827AF</t>
  </si>
  <si>
    <t>RXC632C</t>
  </si>
  <si>
    <t>HERNANDEZ VARGAS FERNANDO</t>
  </si>
  <si>
    <t>5131AF</t>
  </si>
  <si>
    <t>50G970</t>
  </si>
  <si>
    <t>HERNANDEZ VICTORIA REGINO FRANCISCO</t>
  </si>
  <si>
    <t>4993AF</t>
  </si>
  <si>
    <t>47G517</t>
  </si>
  <si>
    <t>HERRERA ABREGO OSVALDO FELIPE</t>
  </si>
  <si>
    <t>5691AF</t>
  </si>
  <si>
    <t>09K158</t>
  </si>
  <si>
    <t>HERRERA BARRERA JAIR ALEJANDRO</t>
  </si>
  <si>
    <t>6263AF</t>
  </si>
  <si>
    <t>31G992</t>
  </si>
  <si>
    <t>HERRERA GARCIA MARTIN RICARDO</t>
  </si>
  <si>
    <t>6132AF</t>
  </si>
  <si>
    <t>62G315</t>
  </si>
  <si>
    <t>HERRERA LOPEZ ADRIAN DANIEL</t>
  </si>
  <si>
    <t>6326AF</t>
  </si>
  <si>
    <t>62G230</t>
  </si>
  <si>
    <t>HERRERA LOPEZ ISMAEL</t>
  </si>
  <si>
    <t>2851AF</t>
  </si>
  <si>
    <t>Y93BNC</t>
  </si>
  <si>
    <t>HERRERA LUIS FREDDY</t>
  </si>
  <si>
    <t>4364AF</t>
  </si>
  <si>
    <t>TFP748B</t>
  </si>
  <si>
    <t>HERRERA MENDOZA ALFONSO</t>
  </si>
  <si>
    <t>6148AF</t>
  </si>
  <si>
    <t>62G248</t>
  </si>
  <si>
    <t>HERRERA MERCADO MARCO ANTONIO</t>
  </si>
  <si>
    <t>4601AF</t>
  </si>
  <si>
    <t>27G700</t>
  </si>
  <si>
    <t>HILARIO ROJAS JOAQUIN</t>
  </si>
  <si>
    <t>5831AF</t>
  </si>
  <si>
    <t>09K886</t>
  </si>
  <si>
    <t>HINOJOSA CHANEZ RAMON</t>
  </si>
  <si>
    <t>5032AF</t>
  </si>
  <si>
    <t>BYN546A</t>
  </si>
  <si>
    <t>HUERTA CORONEL JUAN EDMUNDO</t>
  </si>
  <si>
    <t>3875AF</t>
  </si>
  <si>
    <t>E69BPT</t>
  </si>
  <si>
    <t>HUERTA SANCHEZ PEDRO</t>
  </si>
  <si>
    <t>4396AF</t>
  </si>
  <si>
    <t>HUITRON RAMIREZ PAVEL</t>
  </si>
  <si>
    <t>4187AF</t>
  </si>
  <si>
    <t>45F573</t>
  </si>
  <si>
    <t>HURTADO AGUILERA JUAN MANUEL</t>
  </si>
  <si>
    <t>3609AF</t>
  </si>
  <si>
    <t>69F729</t>
  </si>
  <si>
    <t>HURTADO RODRIGUEZ CRISTIAN</t>
  </si>
  <si>
    <t>6278AF</t>
  </si>
  <si>
    <t>CAT826A</t>
  </si>
  <si>
    <t>INFANTE JIMENEZ ALEJANDRO</t>
  </si>
  <si>
    <t>3097AF</t>
  </si>
  <si>
    <t>SVZ841B</t>
  </si>
  <si>
    <t>ISLAS ARROYO JOSE RUBEN</t>
  </si>
  <si>
    <t>6676AF</t>
  </si>
  <si>
    <t>G54BSP</t>
  </si>
  <si>
    <t>ISLAS CARRANZA ROBERTO</t>
  </si>
  <si>
    <t>5610AF</t>
  </si>
  <si>
    <t>07K826</t>
  </si>
  <si>
    <t>ITURBE ESQUIVEL ISRAEL</t>
  </si>
  <si>
    <t>3148AF</t>
  </si>
  <si>
    <t>ITURBIDE ROSAS RENORREIS</t>
  </si>
  <si>
    <t>5781AF</t>
  </si>
  <si>
    <t>09K937</t>
  </si>
  <si>
    <t>JAIMES ALONSO MIGUEL ANGEL</t>
  </si>
  <si>
    <t>4676AF</t>
  </si>
  <si>
    <t>47G413</t>
  </si>
  <si>
    <t>JARAMILLO TOLENTINO JOSE EDUARDO</t>
  </si>
  <si>
    <t>4019AF</t>
  </si>
  <si>
    <t>JARDON RIVERA ALEJANDRO</t>
  </si>
  <si>
    <t>3772AF</t>
  </si>
  <si>
    <t>08G197</t>
  </si>
  <si>
    <t>JIMENEZ DE LA CRUZ ERNESTO</t>
  </si>
  <si>
    <t>3866AF</t>
  </si>
  <si>
    <t>08G158</t>
  </si>
  <si>
    <t>JIMENEZ DOMINGUEZ SERGIO JAVIER</t>
  </si>
  <si>
    <t>5663AF</t>
  </si>
  <si>
    <t>41G414</t>
  </si>
  <si>
    <t>JIMENEZ HERNANDEZ EDGAR YOSSIMAR</t>
  </si>
  <si>
    <t>3989AF</t>
  </si>
  <si>
    <t>JIMENEZ JIMENEZ DAVID ARTURO</t>
  </si>
  <si>
    <t>4582AF</t>
  </si>
  <si>
    <t>40G085</t>
  </si>
  <si>
    <t>JIMENEZ MARROQUIN ANTONIO</t>
  </si>
  <si>
    <t>4084AF</t>
  </si>
  <si>
    <t>H17BLM</t>
  </si>
  <si>
    <t>JIMENEZ ORTEGA JUAN MANUEL</t>
  </si>
  <si>
    <t>3043AF</t>
  </si>
  <si>
    <t>HSN692A</t>
  </si>
  <si>
    <t>JIMENEZ ROMERO JORGE ANTONIO</t>
  </si>
  <si>
    <t>5673AF</t>
  </si>
  <si>
    <t>CAD353A</t>
  </si>
  <si>
    <t>JUAREZ BELLO JOSE LUIS</t>
  </si>
  <si>
    <t>4293AF</t>
  </si>
  <si>
    <t>JUAREZ CORTEZ EDGAR JESUS</t>
  </si>
  <si>
    <t>4179AF</t>
  </si>
  <si>
    <t>19G527</t>
  </si>
  <si>
    <t>6858AF</t>
  </si>
  <si>
    <t>JUAREZ DUQUE FRANCISCO JAVIER</t>
  </si>
  <si>
    <t>6685AF</t>
  </si>
  <si>
    <t>RYU282C</t>
  </si>
  <si>
    <t>JUAREZ GARCIA ZAIT CESAR</t>
  </si>
  <si>
    <t>3792AF</t>
  </si>
  <si>
    <t>E99BPN</t>
  </si>
  <si>
    <t>JUAREZ GONZALEZ JOSE MARTIN</t>
  </si>
  <si>
    <t>4630AF</t>
  </si>
  <si>
    <t>27G720</t>
  </si>
  <si>
    <t>JUAREZ GUERRERO ARTURO VIDAL</t>
  </si>
  <si>
    <t>5665AF</t>
  </si>
  <si>
    <t>09K863</t>
  </si>
  <si>
    <t>JUAREZ MARTINEZ OSCAR LEONARDO</t>
  </si>
  <si>
    <t>4059AF</t>
  </si>
  <si>
    <t>13G763</t>
  </si>
  <si>
    <t>JUAREZ MARTINEZ RAFAEL</t>
  </si>
  <si>
    <t>6206AF</t>
  </si>
  <si>
    <t>15K074</t>
  </si>
  <si>
    <t>JUAREZ REYES ALEJANDRO</t>
  </si>
  <si>
    <t>4249AF</t>
  </si>
  <si>
    <t>BUR873A</t>
  </si>
  <si>
    <t>JURADO CALZADA MAURICIO</t>
  </si>
  <si>
    <t>5102AF</t>
  </si>
  <si>
    <t>50G794</t>
  </si>
  <si>
    <t>KINGSTON ORTIZ JUAN CARLOS</t>
  </si>
  <si>
    <t>3509AF</t>
  </si>
  <si>
    <t>89F706</t>
  </si>
  <si>
    <t>LACRUHY ENRIQUEZ JUAN JOSE</t>
  </si>
  <si>
    <t>5064AF</t>
  </si>
  <si>
    <t>BYN544A</t>
  </si>
  <si>
    <t>LAGUNA CAMACHO CARLOS ALBERTO</t>
  </si>
  <si>
    <t>4221AF</t>
  </si>
  <si>
    <t>27G420</t>
  </si>
  <si>
    <t>LARA FLORES OMAR</t>
  </si>
  <si>
    <t>5372AF</t>
  </si>
  <si>
    <t>48G031</t>
  </si>
  <si>
    <t>LARA GARDUÑO VICTOR MANUEL</t>
  </si>
  <si>
    <t>2198AF</t>
  </si>
  <si>
    <t>K36BMZ</t>
  </si>
  <si>
    <t>LARA MEJIA JAIME JEOVANNY</t>
  </si>
  <si>
    <t>3826AF</t>
  </si>
  <si>
    <t>08G149</t>
  </si>
  <si>
    <t>LARA ORTEGA MIGUEL ANGEL</t>
  </si>
  <si>
    <t>5071AF</t>
  </si>
  <si>
    <t>28G749</t>
  </si>
  <si>
    <t>LARA PARAJON JOSE GUADALUPE</t>
  </si>
  <si>
    <t>6666AF</t>
  </si>
  <si>
    <t>51G913</t>
  </si>
  <si>
    <t>LARIOS ALCARAZ VICTOR</t>
  </si>
  <si>
    <t>4613AF</t>
  </si>
  <si>
    <t>BWX666A</t>
  </si>
  <si>
    <t>LEDESMA ORDUÑA CESAR UBALDO</t>
  </si>
  <si>
    <t>4460AF</t>
  </si>
  <si>
    <t>27G449</t>
  </si>
  <si>
    <t>LEDEZMA IZAGUIRRE ALEJANDRO</t>
  </si>
  <si>
    <t>5323AF</t>
  </si>
  <si>
    <t>13G755</t>
  </si>
  <si>
    <t>LEGORRETA HERNANDEZ GERMAN</t>
  </si>
  <si>
    <t>5009AF</t>
  </si>
  <si>
    <t>LEMUS GOMEZ ENRIQUE FABIAN</t>
  </si>
  <si>
    <t>4246AF</t>
  </si>
  <si>
    <t>HWS678A</t>
  </si>
  <si>
    <t>LEON CORNEJO LUIS GUILLERMO</t>
  </si>
  <si>
    <t>3458AF</t>
  </si>
  <si>
    <t>BPW858A</t>
  </si>
  <si>
    <t>LEZA LOPEZ DAVID HORACIO</t>
  </si>
  <si>
    <t>4287AF</t>
  </si>
  <si>
    <t>TFP431B</t>
  </si>
  <si>
    <t>LEZAMA VALLADOLID SERGIO ALEJANDRO</t>
  </si>
  <si>
    <t>4893AF</t>
  </si>
  <si>
    <t>JAY035A</t>
  </si>
  <si>
    <t>LIMA ACEVES DAVID ALEJANDRO</t>
  </si>
  <si>
    <t>3669AF</t>
  </si>
  <si>
    <t>LIMON TAPIA MARIO ALBERTO</t>
  </si>
  <si>
    <t>4449AF</t>
  </si>
  <si>
    <t>19G669</t>
  </si>
  <si>
    <t>LIRA BECERRA JOSE GUADALUPE</t>
  </si>
  <si>
    <t>4191AF</t>
  </si>
  <si>
    <t>20G815</t>
  </si>
  <si>
    <t>LIZARRAGA SOLANO HUGO JESUS</t>
  </si>
  <si>
    <t>3801AF</t>
  </si>
  <si>
    <t>BSG380A</t>
  </si>
  <si>
    <t>LOPEZ ALBA SERGIO ARTURO</t>
  </si>
  <si>
    <t>3204AF</t>
  </si>
  <si>
    <t>X71BNL</t>
  </si>
  <si>
    <t>LOPEZ ALMARAZ LUIS GABRIEL</t>
  </si>
  <si>
    <t>3506AF</t>
  </si>
  <si>
    <t>89F730</t>
  </si>
  <si>
    <t>LOPEZ CARDENAS FRANCISCO OSVALDO</t>
  </si>
  <si>
    <t>5279AF</t>
  </si>
  <si>
    <t>RVX606C</t>
  </si>
  <si>
    <t>LOPEZ ESPINO JUAN</t>
  </si>
  <si>
    <t>5164AF</t>
  </si>
  <si>
    <t>LOPEZ FLORES MARIO ALBERTO</t>
  </si>
  <si>
    <t>4796AF</t>
  </si>
  <si>
    <t>BXT310A</t>
  </si>
  <si>
    <t>LOPEZ GARCIA VICTOR HUGO</t>
  </si>
  <si>
    <t>4622AF</t>
  </si>
  <si>
    <t>37G949</t>
  </si>
  <si>
    <t>LOPEZ GUTIERREZ LEONARDO JESUS</t>
  </si>
  <si>
    <t>4690AF</t>
  </si>
  <si>
    <t>38G288</t>
  </si>
  <si>
    <t>LOPEZ IBARRA PEDRO</t>
  </si>
  <si>
    <t>4041AF</t>
  </si>
  <si>
    <t>13G698</t>
  </si>
  <si>
    <t>LOPEZ JUAREZ MARCO ANTONIO</t>
  </si>
  <si>
    <t>3497AF</t>
  </si>
  <si>
    <t>BPW793A</t>
  </si>
  <si>
    <t>LOPEZ MARTINEZ DIEGO ARMANDO</t>
  </si>
  <si>
    <t>3143AF</t>
  </si>
  <si>
    <t>84F098</t>
  </si>
  <si>
    <t>LOPEZ ORTEGA JESUS</t>
  </si>
  <si>
    <t>3462AF</t>
  </si>
  <si>
    <t>77F025</t>
  </si>
  <si>
    <t>LOPEZ PEREZ SERGIO EDUARDO</t>
  </si>
  <si>
    <t>6076AF</t>
  </si>
  <si>
    <t>15K073</t>
  </si>
  <si>
    <t>LOPEZ PLASCENCIA ARIEL</t>
  </si>
  <si>
    <t>4273AF</t>
  </si>
  <si>
    <t>31G432</t>
  </si>
  <si>
    <t>LOPEZ PLATA JAVIER</t>
  </si>
  <si>
    <t>6719AF</t>
  </si>
  <si>
    <t>V30BSR</t>
  </si>
  <si>
    <t>LOPEZ RAMIREZ JOSE ANTONIO</t>
  </si>
  <si>
    <t>3810AF</t>
  </si>
  <si>
    <t>13G647</t>
  </si>
  <si>
    <t>LOPEZ RICO JOSE FERNANDO</t>
  </si>
  <si>
    <t>4214AF</t>
  </si>
  <si>
    <t>23G320</t>
  </si>
  <si>
    <t>LOPEZ RUDECINO MAURICIO</t>
  </si>
  <si>
    <t>5208AF</t>
  </si>
  <si>
    <t>RUW803C</t>
  </si>
  <si>
    <t>LOPEZ SANCHEZ CARLOS ALBERTO</t>
  </si>
  <si>
    <t>4300AF</t>
  </si>
  <si>
    <t>31G961</t>
  </si>
  <si>
    <t>LOPEZ SANTAMARIA GABRIEL</t>
  </si>
  <si>
    <t>4345AF</t>
  </si>
  <si>
    <t>31G990</t>
  </si>
  <si>
    <t>LOPEZ SANTOS FELIPE UZIEL</t>
  </si>
  <si>
    <t>4369AF</t>
  </si>
  <si>
    <t>19G326</t>
  </si>
  <si>
    <t>LOPEZ SORIANO CARLOS</t>
  </si>
  <si>
    <t>5732AF</t>
  </si>
  <si>
    <t>09K367</t>
  </si>
  <si>
    <t>LOPEZ VERDUGO LUIS ANGEL</t>
  </si>
  <si>
    <t>6292AF</t>
  </si>
  <si>
    <t>CAT840A</t>
  </si>
  <si>
    <t>LORENZO BELLO MARTIN</t>
  </si>
  <si>
    <t>5632AF</t>
  </si>
  <si>
    <t>48G269</t>
  </si>
  <si>
    <t>LOZANO MARTINEZ JUAN CARLOS</t>
  </si>
  <si>
    <t>6130AF</t>
  </si>
  <si>
    <t>62G202</t>
  </si>
  <si>
    <t>LUGO ALVARADO FERNANDO</t>
  </si>
  <si>
    <t>5647AF</t>
  </si>
  <si>
    <t>L62BNL</t>
  </si>
  <si>
    <t>LUGO HERNANDEZ HUGO JOEL</t>
  </si>
  <si>
    <t>3995AF</t>
  </si>
  <si>
    <t>13G875</t>
  </si>
  <si>
    <t>LUGO MARTINEZ PABLO</t>
  </si>
  <si>
    <t>4072AF</t>
  </si>
  <si>
    <t>19G315</t>
  </si>
  <si>
    <t>LUNA AMARILLAS VICTOR MANUEL</t>
  </si>
  <si>
    <t>5278AF</t>
  </si>
  <si>
    <t>LUNA CABRERA MIGUEL ANGEL</t>
  </si>
  <si>
    <t>5370AF</t>
  </si>
  <si>
    <t>43G901</t>
  </si>
  <si>
    <t>LUNA CAMARILLO ENRIQUE</t>
  </si>
  <si>
    <t>4180AF</t>
  </si>
  <si>
    <t>19G474</t>
  </si>
  <si>
    <t>LUNA HERNANDEZ JULIO ARMANDO</t>
  </si>
  <si>
    <t>3318AF</t>
  </si>
  <si>
    <t>BPC076A</t>
  </si>
  <si>
    <t>LUNA MEJIA LUIS ENRIQUE</t>
  </si>
  <si>
    <t>4347AF</t>
  </si>
  <si>
    <t>19G652</t>
  </si>
  <si>
    <t>MADRIGAL SOLARES LEOPOLDO</t>
  </si>
  <si>
    <t>4388AF</t>
  </si>
  <si>
    <t>F17BRJ</t>
  </si>
  <si>
    <t>MAGAÑA MONTES MARCO JIOVANNY</t>
  </si>
  <si>
    <t>4732AF</t>
  </si>
  <si>
    <t>E02BRC</t>
  </si>
  <si>
    <t>MAGDALENO ESCALANTE JOSE IVAN</t>
  </si>
  <si>
    <t>3702AF</t>
  </si>
  <si>
    <t>BRH511A</t>
  </si>
  <si>
    <t>MALDONADO AVILA ABRAHAM ELIAS</t>
  </si>
  <si>
    <t>3819AF</t>
  </si>
  <si>
    <t>TCV549B</t>
  </si>
  <si>
    <t>MALDONADO BUSTAMANTE RAUL ALEJANDRO</t>
  </si>
  <si>
    <t>3864AF</t>
  </si>
  <si>
    <t>08G109</t>
  </si>
  <si>
    <t>MALDONADO RUIZ KEVIN EDUARDO</t>
  </si>
  <si>
    <t>5410AF</t>
  </si>
  <si>
    <t>48G138</t>
  </si>
  <si>
    <t>MANCILLA CHABOLLA DAVID GERSON</t>
  </si>
  <si>
    <t>4884AF</t>
  </si>
  <si>
    <t>MANZANARES DE LA LUZ ROBERTO CARLOS</t>
  </si>
  <si>
    <t>5181AF</t>
  </si>
  <si>
    <t>47G782</t>
  </si>
  <si>
    <t>MANZANO PACHECO FELIX</t>
  </si>
  <si>
    <t>4338AF</t>
  </si>
  <si>
    <t>31G929</t>
  </si>
  <si>
    <t>MARCELINO SUMAYA LUIS ALBERTO</t>
  </si>
  <si>
    <t>5176AF</t>
  </si>
  <si>
    <t>47G865</t>
  </si>
  <si>
    <t>MARIN GARCIA ALBERTO DE JESUS</t>
  </si>
  <si>
    <t>5290AF</t>
  </si>
  <si>
    <t>JBB658A</t>
  </si>
  <si>
    <t>MARIN SALAZAR RAFAEL</t>
  </si>
  <si>
    <t>5173AF</t>
  </si>
  <si>
    <t>47G860</t>
  </si>
  <si>
    <t>MARIN VAZQUEZ ANDRES</t>
  </si>
  <si>
    <t>6268AF</t>
  </si>
  <si>
    <t>15K071</t>
  </si>
  <si>
    <t>MARISCAL VARGAS MARCO ANTONIO</t>
  </si>
  <si>
    <t>5479AF</t>
  </si>
  <si>
    <t>48G148</t>
  </si>
  <si>
    <t>MARQUEZ MENDEZ RAUL</t>
  </si>
  <si>
    <t>4278AF</t>
  </si>
  <si>
    <t>31G966</t>
  </si>
  <si>
    <t>MARQUEZ SANCHEZ ROBERTO FRANCISCO</t>
  </si>
  <si>
    <t>5043AF</t>
  </si>
  <si>
    <t>MARTINEZ AGUIRRE RODOLFO</t>
  </si>
  <si>
    <t>4756AF</t>
  </si>
  <si>
    <t>50G958</t>
  </si>
  <si>
    <t>MARTINEZ ALMAZAN HECTOR</t>
  </si>
  <si>
    <t>3016AF</t>
  </si>
  <si>
    <t>L38BNL</t>
  </si>
  <si>
    <t>MARTINEZ ANAYA LUIS ARMANDO</t>
  </si>
  <si>
    <t>5609AF</t>
  </si>
  <si>
    <t>MARTINEZ BARRERA NESTOR IVAN</t>
  </si>
  <si>
    <t>5073AF</t>
  </si>
  <si>
    <t>29G337</t>
  </si>
  <si>
    <t>MARTINEZ BERNARDINO JULIO CESAR</t>
  </si>
  <si>
    <t>5105AF</t>
  </si>
  <si>
    <t>47G911</t>
  </si>
  <si>
    <t>MARTINEZ DIAZ JOSE OLEGARIO</t>
  </si>
  <si>
    <t>4823AF</t>
  </si>
  <si>
    <t>41G582</t>
  </si>
  <si>
    <t>MARTINEZ ESQUIVEL MIGUEL ANGEL</t>
  </si>
  <si>
    <t>3092AF</t>
  </si>
  <si>
    <t>81F245</t>
  </si>
  <si>
    <t>MARTINEZ ESTRADA NORBERTO</t>
  </si>
  <si>
    <t>5771AF</t>
  </si>
  <si>
    <t>RXN890C</t>
  </si>
  <si>
    <t>MARTINEZ FRANCO AUGUSTO ARIEL</t>
  </si>
  <si>
    <t>5143AF</t>
  </si>
  <si>
    <t>MARTINEZ GARCIA JORGE ALBERTO</t>
  </si>
  <si>
    <t>2376AF</t>
  </si>
  <si>
    <t>12-2022</t>
  </si>
  <si>
    <t>H87BKG</t>
  </si>
  <si>
    <t>MARTINEZ HERNANDEZ MIGUEL ANGEL</t>
  </si>
  <si>
    <t>4632AF</t>
  </si>
  <si>
    <t>27G661</t>
  </si>
  <si>
    <t>MARTINEZ HUERTA JOSE LUIS</t>
  </si>
  <si>
    <t>4212AF</t>
  </si>
  <si>
    <t>23G343</t>
  </si>
  <si>
    <t>MARTINEZ LARA LUIS GUSTAVO</t>
  </si>
  <si>
    <t>3523AF</t>
  </si>
  <si>
    <t>HWE175A</t>
  </si>
  <si>
    <t>MARTINEZ MEJIA ABIMAEL</t>
  </si>
  <si>
    <t>5222AF</t>
  </si>
  <si>
    <t>47G983</t>
  </si>
  <si>
    <t>MARTINEZ MOLINA RICARDO</t>
  </si>
  <si>
    <t>5685AF</t>
  </si>
  <si>
    <t>27G716</t>
  </si>
  <si>
    <t>MARTINEZ MONARREZ CRISTIAN OBET</t>
  </si>
  <si>
    <t>5403AF</t>
  </si>
  <si>
    <t>BYZ942A</t>
  </si>
  <si>
    <t>MARTINEZ MOSQUEDA JORGE LUIS</t>
  </si>
  <si>
    <t>4289AF</t>
  </si>
  <si>
    <t>31G613</t>
  </si>
  <si>
    <t>MARTINEZ ORDAZ MANUEL FEDERICO</t>
  </si>
  <si>
    <t>6643AF</t>
  </si>
  <si>
    <t>62G246</t>
  </si>
  <si>
    <t>MARTINEZ PEREZ GABRIEL HUMBERTO</t>
  </si>
  <si>
    <t>3177AF</t>
  </si>
  <si>
    <t>MARTINEZ PIÑA LUIS ALFREDO</t>
  </si>
  <si>
    <t>4025AF</t>
  </si>
  <si>
    <t>13G813</t>
  </si>
  <si>
    <t>MARTINEZ PUENTE PABLO JESUS</t>
  </si>
  <si>
    <t>5391AF</t>
  </si>
  <si>
    <t>RWG685C</t>
  </si>
  <si>
    <t>MARTINEZ QUINTANA IVAN ALEJANDRO</t>
  </si>
  <si>
    <t>5320AF</t>
  </si>
  <si>
    <t>MARTINEZ QUINTANAR ARTURO</t>
  </si>
  <si>
    <t>4318AF</t>
  </si>
  <si>
    <t>B81BNY</t>
  </si>
  <si>
    <t>MARTINEZ QUINTERO FRANCISCO JAVIER</t>
  </si>
  <si>
    <t>2419AF</t>
  </si>
  <si>
    <t>J09BKG</t>
  </si>
  <si>
    <t>MARTINEZ RAMOS JHONATAN RICARDO</t>
  </si>
  <si>
    <t>5441AF</t>
  </si>
  <si>
    <t>48G083</t>
  </si>
  <si>
    <t>MARTINEZ RAMOS JOSE LUIS</t>
  </si>
  <si>
    <t>3775AF</t>
  </si>
  <si>
    <t>08G142</t>
  </si>
  <si>
    <t>MARTINEZ RESENDIZ LORENZO ENRIQUE</t>
  </si>
  <si>
    <t>3825AF</t>
  </si>
  <si>
    <t>08G117</t>
  </si>
  <si>
    <t>MARTINEZ RIVERA MIGUEL</t>
  </si>
  <si>
    <t>5585AF</t>
  </si>
  <si>
    <t>Z85BNL</t>
  </si>
  <si>
    <t>MARTINEZ RODRIGUEZ MIGUEL ANGEL</t>
  </si>
  <si>
    <t>5813AF</t>
  </si>
  <si>
    <t>10K821</t>
  </si>
  <si>
    <t>MARTINEZ ROMERO CARLOS ALBERTO</t>
  </si>
  <si>
    <t>4169AF</t>
  </si>
  <si>
    <t>19G452</t>
  </si>
  <si>
    <t>MARTINEZ SALINAS ARTURO</t>
  </si>
  <si>
    <t>4688AF</t>
  </si>
  <si>
    <t>19G380</t>
  </si>
  <si>
    <t>MARTINEZ SANCHEZ FIDEL</t>
  </si>
  <si>
    <t>6620AF</t>
  </si>
  <si>
    <t>CBL133A</t>
  </si>
  <si>
    <t>MARTINEZ SEGURA GUSTAVO</t>
  </si>
  <si>
    <t>4176AF</t>
  </si>
  <si>
    <t>19G609</t>
  </si>
  <si>
    <t>MARTINEZ SOLIS SANDRA ERIKA</t>
  </si>
  <si>
    <t>6497AF</t>
  </si>
  <si>
    <t>13G811</t>
  </si>
  <si>
    <t>MARTINEZ VIVEROS JUAN CARLOS</t>
  </si>
  <si>
    <t>4620AF</t>
  </si>
  <si>
    <t>13G671</t>
  </si>
  <si>
    <t>MATADAMAS PEÑA LUIS ERNESTO</t>
  </si>
  <si>
    <t>4811AF</t>
  </si>
  <si>
    <t>50G445</t>
  </si>
  <si>
    <t>MAYO ZEPEDA EDGAR ENRIQUE</t>
  </si>
  <si>
    <t>4738AF</t>
  </si>
  <si>
    <t>38G361</t>
  </si>
  <si>
    <t>MEDINA BELTRAN JOSE LUIS</t>
  </si>
  <si>
    <t>5458AF</t>
  </si>
  <si>
    <t>BZA452A</t>
  </si>
  <si>
    <t>MEDINA HERNANDEZ JUAN DE DIOS</t>
  </si>
  <si>
    <t>5395AF</t>
  </si>
  <si>
    <t>RWG693C</t>
  </si>
  <si>
    <t>MEDINA IBARRA JUAN CARLOS</t>
  </si>
  <si>
    <t>6476AF</t>
  </si>
  <si>
    <t>N82BSF</t>
  </si>
  <si>
    <t>MEDINA NABOR GONZALO</t>
  </si>
  <si>
    <t>4269AF</t>
  </si>
  <si>
    <t>19G605</t>
  </si>
  <si>
    <t>MEDINA OCHOA EZEQUIEL</t>
  </si>
  <si>
    <t>3809AF</t>
  </si>
  <si>
    <t>13G625</t>
  </si>
  <si>
    <t>MEDINA SANCHEZ ANGEL</t>
  </si>
  <si>
    <t>3416AF</t>
  </si>
  <si>
    <t>84F292</t>
  </si>
  <si>
    <t>MEDRANO GUTIERREZ CRISTIAN GIOVANNI</t>
  </si>
  <si>
    <t>4532AF</t>
  </si>
  <si>
    <t>39G926</t>
  </si>
  <si>
    <t>MEJIA ARRONIZ EDUARDO</t>
  </si>
  <si>
    <t>5672AF</t>
  </si>
  <si>
    <t>31G476</t>
  </si>
  <si>
    <t>MEJIA AVILES JUAN DANIEL</t>
  </si>
  <si>
    <t>2795AF</t>
  </si>
  <si>
    <t>B77BMP</t>
  </si>
  <si>
    <t>MEJIA JAIMES ARTURO</t>
  </si>
  <si>
    <t>5005AF</t>
  </si>
  <si>
    <t>MEJIA SANABRIA MARTIN</t>
  </si>
  <si>
    <t>4833AF</t>
  </si>
  <si>
    <t>F66BRR</t>
  </si>
  <si>
    <t>MELENDEZ PEREA FRANCISCO JAVIER</t>
  </si>
  <si>
    <t>3373AF</t>
  </si>
  <si>
    <t>B52BPD</t>
  </si>
  <si>
    <t>MELENDEZ TAMAYO JOSE LUIS</t>
  </si>
  <si>
    <t>4040AF</t>
  </si>
  <si>
    <t>13G945</t>
  </si>
  <si>
    <t>MELGOZA ARIAS ALEJANDRO IDAR</t>
  </si>
  <si>
    <t>5572AF</t>
  </si>
  <si>
    <t>42G711</t>
  </si>
  <si>
    <t>MELLADO GUTIERREZ JACIEL</t>
  </si>
  <si>
    <t>4977AF</t>
  </si>
  <si>
    <t>JAY029A</t>
  </si>
  <si>
    <t>MELO GUTIERREZ MIGUEL ENRIQUE</t>
  </si>
  <si>
    <t>5304AF</t>
  </si>
  <si>
    <t>47G747</t>
  </si>
  <si>
    <t>MENDEZ ALDERETE SERGIO</t>
  </si>
  <si>
    <t>3990AF</t>
  </si>
  <si>
    <t>13G744</t>
  </si>
  <si>
    <t>MENDEZ GONZALEZ GARZA MAURICIO MOISES</t>
  </si>
  <si>
    <t>3499AF</t>
  </si>
  <si>
    <t>89F734</t>
  </si>
  <si>
    <t>MENDEZ LOPEZ JESUS</t>
  </si>
  <si>
    <t>6355AF</t>
  </si>
  <si>
    <t>51G662</t>
  </si>
  <si>
    <t>MENDEZ MERCADO MARIO</t>
  </si>
  <si>
    <t>4634AF</t>
  </si>
  <si>
    <t>Y69BNL</t>
  </si>
  <si>
    <t>MENDEZ RAMIREZ ISRAEL</t>
  </si>
  <si>
    <t>4183AF</t>
  </si>
  <si>
    <t>19G436</t>
  </si>
  <si>
    <t>MENDEZ REYES RUBIEL</t>
  </si>
  <si>
    <t>4286AF</t>
  </si>
  <si>
    <t>HZT608A</t>
  </si>
  <si>
    <t>MENDEZ RIVERA OSMAR</t>
  </si>
  <si>
    <t>4607AF</t>
  </si>
  <si>
    <t>39G864</t>
  </si>
  <si>
    <t>MENDIETA PAEZ JOSE ROBERTO</t>
  </si>
  <si>
    <t>5782AF</t>
  </si>
  <si>
    <t>09K938</t>
  </si>
  <si>
    <t>MENDOZA ARENAS JESUS</t>
  </si>
  <si>
    <t>4243AF</t>
  </si>
  <si>
    <t>27G593</t>
  </si>
  <si>
    <t>MENDOZA COBOS JOSE ENRIQUE</t>
  </si>
  <si>
    <t>6653AF</t>
  </si>
  <si>
    <t>CBL052A</t>
  </si>
  <si>
    <t>MENDOZA JUAREZ SAUL</t>
  </si>
  <si>
    <t>2711AF</t>
  </si>
  <si>
    <t>ULK414H</t>
  </si>
  <si>
    <t>MENDOZA MARBAN MARCO ANTONIO</t>
  </si>
  <si>
    <t>6488AF</t>
  </si>
  <si>
    <t>62G278</t>
  </si>
  <si>
    <t>MENDOZA NAÑEZ CESAR EVERARDO</t>
  </si>
  <si>
    <t>5387AF</t>
  </si>
  <si>
    <t>RVX609C</t>
  </si>
  <si>
    <t>MENDOZA RUIZ JESUS EMILIANO</t>
  </si>
  <si>
    <t>6735AF</t>
  </si>
  <si>
    <t>51G511</t>
  </si>
  <si>
    <t>MENDOZA TREJO JUAN ANTONIO</t>
  </si>
  <si>
    <t>4810AF</t>
  </si>
  <si>
    <t>MENESES CORTES ALFREDO GERMAN</t>
  </si>
  <si>
    <t>3372AF</t>
  </si>
  <si>
    <t>B58BPD</t>
  </si>
  <si>
    <t>MENESES GRACIA ALFONSO</t>
  </si>
  <si>
    <t>2510AF</t>
  </si>
  <si>
    <t>UPT741H</t>
  </si>
  <si>
    <t>MENESES JIMENEZ JUAN CARLOS</t>
  </si>
  <si>
    <t>4739AF</t>
  </si>
  <si>
    <t>38G340</t>
  </si>
  <si>
    <t>MERINO GARCIA JOSE ALFREDO</t>
  </si>
  <si>
    <t>4310AF</t>
  </si>
  <si>
    <t>F85BRJ</t>
  </si>
  <si>
    <t>MERINOS PORTILLO ELEUTERIO</t>
  </si>
  <si>
    <t>4672AF</t>
  </si>
  <si>
    <t>MEZA AVILA CARLOS ANTONIO</t>
  </si>
  <si>
    <t>4574AF</t>
  </si>
  <si>
    <t>BWX670A</t>
  </si>
  <si>
    <t>MEZA PACHECO JULIAN</t>
  </si>
  <si>
    <t>6849AF</t>
  </si>
  <si>
    <t>RZB020C</t>
  </si>
  <si>
    <t>MILLAN MORALES RICARDO</t>
  </si>
  <si>
    <t>3774AF</t>
  </si>
  <si>
    <t>08G198</t>
  </si>
  <si>
    <t>MIRANDA VALENCIA LUIS DANIEL</t>
  </si>
  <si>
    <t>5571AF</t>
  </si>
  <si>
    <t>42G788</t>
  </si>
  <si>
    <t>MIRELES PATONI ERNESTO</t>
  </si>
  <si>
    <t>2913AF</t>
  </si>
  <si>
    <t>E10BNH</t>
  </si>
  <si>
    <t>MOCTEZUMA MARTINEZ DAVID</t>
  </si>
  <si>
    <t>4626AF</t>
  </si>
  <si>
    <t>38G134</t>
  </si>
  <si>
    <t>MOLINA MARTINEZ ANGEL FERNANDO</t>
  </si>
  <si>
    <t>4605AF</t>
  </si>
  <si>
    <t>39G832</t>
  </si>
  <si>
    <t>MONCAYO MAZARIEGO LEONEL HAIL</t>
  </si>
  <si>
    <t>3723AF</t>
  </si>
  <si>
    <t>S63BPH</t>
  </si>
  <si>
    <t>MONDRAGON SEVILLA RANDHY KALID</t>
  </si>
  <si>
    <t>4995AF</t>
  </si>
  <si>
    <t>47G511</t>
  </si>
  <si>
    <t>MONROY FUENTES MARCO ANTONIO</t>
  </si>
  <si>
    <t>3058AF</t>
  </si>
  <si>
    <t>81F277</t>
  </si>
  <si>
    <t>MONROY SANCHEZ RODRIGO ARTURO</t>
  </si>
  <si>
    <t>5038AF</t>
  </si>
  <si>
    <t>47G583</t>
  </si>
  <si>
    <t>MONSALVO CASTILLO LAZARO ALBERTO</t>
  </si>
  <si>
    <t>5356AF</t>
  </si>
  <si>
    <t>47G945</t>
  </si>
  <si>
    <t>MONSIVAIS ESCOBAR ROBERTO GERARDO</t>
  </si>
  <si>
    <t>4850AF</t>
  </si>
  <si>
    <t>RUB737C</t>
  </si>
  <si>
    <t>MONTEFORT MARTINEZ SERGIO GERARDO</t>
  </si>
  <si>
    <t>3332AF</t>
  </si>
  <si>
    <t>A13BNM</t>
  </si>
  <si>
    <t>MONTERO DOMINGUEZ FRANCISCO JAVIER</t>
  </si>
  <si>
    <t>4334AF</t>
  </si>
  <si>
    <t>31G936</t>
  </si>
  <si>
    <t>MONTERO FLORES SAMUEL</t>
  </si>
  <si>
    <t>2817AF</t>
  </si>
  <si>
    <t>JTU1495</t>
  </si>
  <si>
    <t>MONTES AGUILAR OSCAR ZOAR</t>
  </si>
  <si>
    <t>6852AF</t>
  </si>
  <si>
    <t>19K653</t>
  </si>
  <si>
    <t>MONTES ARTEAGA GUILLERMO</t>
  </si>
  <si>
    <t>3225AF</t>
  </si>
  <si>
    <t>HUL787A</t>
  </si>
  <si>
    <t>MONTES GOMEZ JAVIER</t>
  </si>
  <si>
    <t>6845AF</t>
  </si>
  <si>
    <t>89F856</t>
  </si>
  <si>
    <t>MONTES SOLIS ALFONSO ALBERTO</t>
  </si>
  <si>
    <t>4143AF</t>
  </si>
  <si>
    <t>14G365</t>
  </si>
  <si>
    <t>MONTIEL CUEVAS CARLOS IVAN</t>
  </si>
  <si>
    <t>4828AF</t>
  </si>
  <si>
    <t>19G593</t>
  </si>
  <si>
    <t>MONTIEL ORTIZ LEOPOLDO</t>
  </si>
  <si>
    <t>3184AF</t>
  </si>
  <si>
    <t>B49BNM</t>
  </si>
  <si>
    <t>MONTOYA RIOS DANIEL FERNANDO</t>
  </si>
  <si>
    <t>3657AF</t>
  </si>
  <si>
    <t>BRH518A</t>
  </si>
  <si>
    <t>MORA MACEDO ALDO CECILIO</t>
  </si>
  <si>
    <t>4108AF</t>
  </si>
  <si>
    <t>14G411</t>
  </si>
  <si>
    <t>MORA SANCHEZ ALEJANDRO</t>
  </si>
  <si>
    <t>2979AF</t>
  </si>
  <si>
    <t>72F069</t>
  </si>
  <si>
    <t>MORALES BARRERA CLAUDIO LIZANDRO</t>
  </si>
  <si>
    <t>3975AF</t>
  </si>
  <si>
    <t>D14BPN</t>
  </si>
  <si>
    <t>MORALES CALLES LUIS DANIEL</t>
  </si>
  <si>
    <t>5646AF</t>
  </si>
  <si>
    <t>MORALES HERNANDEZ BRANDO JESUS</t>
  </si>
  <si>
    <t>5012AF</t>
  </si>
  <si>
    <t>50G974</t>
  </si>
  <si>
    <t>MORALES ORTEGA DAVID ALFREDO</t>
  </si>
  <si>
    <t>4761AF</t>
  </si>
  <si>
    <t>50G694</t>
  </si>
  <si>
    <t>MORALES PEREZ EVER MARIN</t>
  </si>
  <si>
    <t>5869AF</t>
  </si>
  <si>
    <t>CAJ008A</t>
  </si>
  <si>
    <t>MORALES VAZQUEZ ANDONI ALONSO</t>
  </si>
  <si>
    <t>3089AF</t>
  </si>
  <si>
    <t>BLX740A</t>
  </si>
  <si>
    <t>MORALES VEGA MARCO ANTONIO</t>
  </si>
  <si>
    <t>5051AF</t>
  </si>
  <si>
    <t>47G548</t>
  </si>
  <si>
    <t>MORALES VELARDE JESUS ABRAHAM</t>
  </si>
  <si>
    <t>4567AF</t>
  </si>
  <si>
    <t>BWX664A</t>
  </si>
  <si>
    <t>MORELOS PASALAGUA JORGE ALBERTO</t>
  </si>
  <si>
    <t>4016AF</t>
  </si>
  <si>
    <t>13G758</t>
  </si>
  <si>
    <t>MORENO CARRADA HILDEBERTO</t>
  </si>
  <si>
    <t>6118AF</t>
  </si>
  <si>
    <t>CAS955A</t>
  </si>
  <si>
    <t>MORENO EGUIA EMILIO EMANUEL</t>
  </si>
  <si>
    <t>4846AF</t>
  </si>
  <si>
    <t>RLW864C</t>
  </si>
  <si>
    <t>MORENO GONZALES VICTOR AGEO</t>
  </si>
  <si>
    <t>2890AF</t>
  </si>
  <si>
    <t>BKM797A</t>
  </si>
  <si>
    <t>MORENO SANDOVAL JOEL ENRIQUE</t>
  </si>
  <si>
    <t>5196AF</t>
  </si>
  <si>
    <t>BZB780A</t>
  </si>
  <si>
    <t>MORENO VAZQUEZ JOSE ANTONIO</t>
  </si>
  <si>
    <t>5490AF</t>
  </si>
  <si>
    <t>BZA436A</t>
  </si>
  <si>
    <t>MORGAS PEREZ OSIRIS ANAY</t>
  </si>
  <si>
    <t>6387AF</t>
  </si>
  <si>
    <t>53S658</t>
  </si>
  <si>
    <t>MUÑOZ HERNANDEZ GIOVANNI IVAN</t>
  </si>
  <si>
    <t>3223AF</t>
  </si>
  <si>
    <t>84F301</t>
  </si>
  <si>
    <t>MUÑOZ HERNANDEZ OMAR EDUARDO</t>
  </si>
  <si>
    <t>3064AF</t>
  </si>
  <si>
    <t>81F259</t>
  </si>
  <si>
    <t>MUÑOZ MIRANDA URIEL ISAY</t>
  </si>
  <si>
    <t>5926AF</t>
  </si>
  <si>
    <t>11K124</t>
  </si>
  <si>
    <t>NAJERA PILGRAN LUIS ALEJANDRO</t>
  </si>
  <si>
    <t>4859AF</t>
  </si>
  <si>
    <t>50G748</t>
  </si>
  <si>
    <t>NAÑEZ REYES LUIS ALBERTO</t>
  </si>
  <si>
    <t>6279AF</t>
  </si>
  <si>
    <t>CAT829A</t>
  </si>
  <si>
    <t>NAVA MORENO OSVALDO</t>
  </si>
  <si>
    <t>3374AF</t>
  </si>
  <si>
    <t>B91BNY</t>
  </si>
  <si>
    <t>NAVA OLIVOS MANUEL ALFONSO</t>
  </si>
  <si>
    <t>4696AF</t>
  </si>
  <si>
    <t>41G452</t>
  </si>
  <si>
    <t>NAVA RODRIGUEZ JOSE GILBERTO</t>
  </si>
  <si>
    <t>2895AF</t>
  </si>
  <si>
    <t>37F545</t>
  </si>
  <si>
    <t>NAVARRO ROJAS ALAN OMAR</t>
  </si>
  <si>
    <t>3371AF</t>
  </si>
  <si>
    <t>B35BNY</t>
  </si>
  <si>
    <t>6722AF</t>
  </si>
  <si>
    <t>NAZARIO BELTRAN ADRIAN</t>
  </si>
  <si>
    <t>4238AF</t>
  </si>
  <si>
    <t>62F554</t>
  </si>
  <si>
    <t>NAZARIO RODRIGUEZ VALENTIN</t>
  </si>
  <si>
    <t>2356AF</t>
  </si>
  <si>
    <t>K25BKG</t>
  </si>
  <si>
    <t>NERI MUÑOZ ENRIQUE</t>
  </si>
  <si>
    <t>3307AF</t>
  </si>
  <si>
    <t>NERI ROMO ABRAHAM LAJUD</t>
  </si>
  <si>
    <t>4309AF</t>
  </si>
  <si>
    <t>E94BRJ</t>
  </si>
  <si>
    <t>NI O SOLIS JUAN ANDRES OSVALDO</t>
  </si>
  <si>
    <t>6687AF</t>
  </si>
  <si>
    <t>56S311</t>
  </si>
  <si>
    <t>NICACIO RAMIREZ PEDRO</t>
  </si>
  <si>
    <t>3211AF</t>
  </si>
  <si>
    <t>84F101</t>
  </si>
  <si>
    <t>NIEVA LORENZO OSVALDO DE JESUS</t>
  </si>
  <si>
    <t>3578AF</t>
  </si>
  <si>
    <t>E78BPF</t>
  </si>
  <si>
    <t>NIEVES GUTIERREZ MARTIN</t>
  </si>
  <si>
    <t>5106AF</t>
  </si>
  <si>
    <t>47G896</t>
  </si>
  <si>
    <t>NIÑO ASTELLO ARNULFO</t>
  </si>
  <si>
    <t>3069AF</t>
  </si>
  <si>
    <t>SVZ838B</t>
  </si>
  <si>
    <t>NOLASCO VALDES CONSTANTINO</t>
  </si>
  <si>
    <t>4208AF</t>
  </si>
  <si>
    <t>R85BRD</t>
  </si>
  <si>
    <t>NORIEGA TORRES CLIFF EDUARDO</t>
  </si>
  <si>
    <t>2532AF</t>
  </si>
  <si>
    <t>BGH357A</t>
  </si>
  <si>
    <t>NUÑEZ JURADO JUAN CARLOS</t>
  </si>
  <si>
    <t>4305AF</t>
  </si>
  <si>
    <t>27G520</t>
  </si>
  <si>
    <t>NUÑEZ PUENTE ABRAHAM FABRIZIO</t>
  </si>
  <si>
    <t>2653AF</t>
  </si>
  <si>
    <t>H51BMC</t>
  </si>
  <si>
    <t>NUÑO MEDINA JUAN RAMON</t>
  </si>
  <si>
    <t>3877AF</t>
  </si>
  <si>
    <t>HWR660A</t>
  </si>
  <si>
    <t>NUÑO VARGAS SALVADOR GABRIEL</t>
  </si>
  <si>
    <t>5182AF</t>
  </si>
  <si>
    <t>47G819</t>
  </si>
  <si>
    <t>OCAMPO MONROY LUIS ALBERTO</t>
  </si>
  <si>
    <t>4077AF</t>
  </si>
  <si>
    <t>19G372</t>
  </si>
  <si>
    <t>OCHOA PALACIOS DIEGO DE JESUS</t>
  </si>
  <si>
    <t>4765AF</t>
  </si>
  <si>
    <t>41G410</t>
  </si>
  <si>
    <t>OCHOA RODRIGUEZ PATRICIO ELIFALETH</t>
  </si>
  <si>
    <t>4326AF</t>
  </si>
  <si>
    <t>TDF928B</t>
  </si>
  <si>
    <t>OJEDA BARRANCO VICTOR</t>
  </si>
  <si>
    <t>2361AF</t>
  </si>
  <si>
    <t>G41BKG</t>
  </si>
  <si>
    <t>OJENDIS RAMIREZ JOSE ALBERTO</t>
  </si>
  <si>
    <t>6001AF</t>
  </si>
  <si>
    <t>51G527</t>
  </si>
  <si>
    <t>OLEA HERNANDEZ MISAEL SAHID</t>
  </si>
  <si>
    <t>5217AF</t>
  </si>
  <si>
    <t>43G863</t>
  </si>
  <si>
    <t>OLIVARES BALTIERRA HANSEL SANTIAGO</t>
  </si>
  <si>
    <t>5557AF</t>
  </si>
  <si>
    <t>48G056</t>
  </si>
  <si>
    <t>OLIVARES GALLEGOS FABIAN</t>
  </si>
  <si>
    <t>4534AF</t>
  </si>
  <si>
    <t>40G099</t>
  </si>
  <si>
    <t>OLIVARES RAMOS EZEQUIEL</t>
  </si>
  <si>
    <t>3197AF</t>
  </si>
  <si>
    <t>HUL791A</t>
  </si>
  <si>
    <t>OLIVARES VILLICAÑA EMANUEL ERIC</t>
  </si>
  <si>
    <t>5553AF</t>
  </si>
  <si>
    <t>42G755</t>
  </si>
  <si>
    <t>OLIVAREZ HERNANDEZ JULIO CESAR</t>
  </si>
  <si>
    <t>5510AF</t>
  </si>
  <si>
    <t>BZA446A</t>
  </si>
  <si>
    <t>OLVERA CAMACHO ERICK</t>
  </si>
  <si>
    <t>6540AF</t>
  </si>
  <si>
    <t>RYU482C</t>
  </si>
  <si>
    <t>OLVERA CONTRERAS JESUS EMANUEL</t>
  </si>
  <si>
    <t>2822AF</t>
  </si>
  <si>
    <t>BKB318A</t>
  </si>
  <si>
    <t>OLVERA SILVA CESAR ANTONIO</t>
  </si>
  <si>
    <t>3515AF</t>
  </si>
  <si>
    <t>H22BPF</t>
  </si>
  <si>
    <t>ONOFRE TAFOYA EDUARDO</t>
  </si>
  <si>
    <t>4105AF</t>
  </si>
  <si>
    <t>14G484</t>
  </si>
  <si>
    <t>ORANTES HERNANDEZ CARLOS ALBERTO</t>
  </si>
  <si>
    <t>3634AF</t>
  </si>
  <si>
    <t>BRH520A</t>
  </si>
  <si>
    <t>ORDAZ HERNANDEZ CRESENCIO</t>
  </si>
  <si>
    <t>2747AF</t>
  </si>
  <si>
    <t>BJX367A</t>
  </si>
  <si>
    <t>ORDAZ SANCHEZ YESSER ESLEITTER ROBERTO</t>
  </si>
  <si>
    <t>6356AF</t>
  </si>
  <si>
    <t>53S665</t>
  </si>
  <si>
    <t>ORDOÑEZ CRUZ JOSE JUAN</t>
  </si>
  <si>
    <t>4586AF</t>
  </si>
  <si>
    <t>OROZCO ANDA ALEJANDRO</t>
  </si>
  <si>
    <t>4160AF</t>
  </si>
  <si>
    <t>19G401</t>
  </si>
  <si>
    <t>OROZCO ROCHA MIGUEL ANGEL</t>
  </si>
  <si>
    <t>4427AF</t>
  </si>
  <si>
    <t>19G581</t>
  </si>
  <si>
    <t>ORTEGA ANGELES JOSE CARLOS</t>
  </si>
  <si>
    <t>5053AF</t>
  </si>
  <si>
    <t>41G666</t>
  </si>
  <si>
    <t>ORTEGA CRUZ HECTOR</t>
  </si>
  <si>
    <t>6496AF</t>
  </si>
  <si>
    <t>51G572</t>
  </si>
  <si>
    <t>ORTEGA GOMEZ JOSE LUIS</t>
  </si>
  <si>
    <t>3842AF</t>
  </si>
  <si>
    <t>13G555</t>
  </si>
  <si>
    <t>ORTEGA ISLAS JUAN CARLOS</t>
  </si>
  <si>
    <t>4181AF</t>
  </si>
  <si>
    <t>19G671</t>
  </si>
  <si>
    <t>ORTIZ CASTAÑEDA CHRISTIAN MANUEL</t>
  </si>
  <si>
    <t>4935AF</t>
  </si>
  <si>
    <t>50G903</t>
  </si>
  <si>
    <t>ORTIZ CASTELLANOS CHRISTIAN ADRIAN</t>
  </si>
  <si>
    <t>5110AF</t>
  </si>
  <si>
    <t>47G715</t>
  </si>
  <si>
    <t>ORTIZ FLORES MIGUEL EDUARDO</t>
  </si>
  <si>
    <t>4283AF</t>
  </si>
  <si>
    <t>P42BRD</t>
  </si>
  <si>
    <t>ORTIZ GUTIERREZ RAYMUNDO GABRIEL</t>
  </si>
  <si>
    <t>4005AF</t>
  </si>
  <si>
    <t>R60BPH</t>
  </si>
  <si>
    <t>ORTIZ JACOBO FRANCISCO JAVIER</t>
  </si>
  <si>
    <t>5612AF</t>
  </si>
  <si>
    <t>09k002</t>
  </si>
  <si>
    <t>ORTIZ MENDOZA JORGE ALBERTO</t>
  </si>
  <si>
    <t>3407AF</t>
  </si>
  <si>
    <t>HWE166A</t>
  </si>
  <si>
    <t>ORTIZ RODRIGUEZ CESAR AMOREL</t>
  </si>
  <si>
    <t>5826AF</t>
  </si>
  <si>
    <t>RXW244C</t>
  </si>
  <si>
    <t>ORTIZ TOVAR JUAN ANDRES</t>
  </si>
  <si>
    <t>5950AF</t>
  </si>
  <si>
    <t>RXW062C</t>
  </si>
  <si>
    <t>ORTIZ URIBE MARIO ADAN</t>
  </si>
  <si>
    <t>5938AF</t>
  </si>
  <si>
    <t>ORTIZ VAZQUEZ JUAN CARLOS</t>
  </si>
  <si>
    <t>2408AF</t>
  </si>
  <si>
    <t>BEH488A</t>
  </si>
  <si>
    <t>OSORIO MARTINEZ JULIO CESAR</t>
  </si>
  <si>
    <t>3432AF</t>
  </si>
  <si>
    <t>77F016</t>
  </si>
  <si>
    <t>OTERO DELGADO FABIAN</t>
  </si>
  <si>
    <t>5268AF</t>
  </si>
  <si>
    <t>43G910</t>
  </si>
  <si>
    <t>PABLO LOPEZ DANIEL</t>
  </si>
  <si>
    <t>3663AF</t>
  </si>
  <si>
    <t>89F896</t>
  </si>
  <si>
    <t>PACHECO ESTRADA MIGUEL ANGEL</t>
  </si>
  <si>
    <t>2492AF</t>
  </si>
  <si>
    <t>UPT743H</t>
  </si>
  <si>
    <t>PACHECO ZUÑIGA FAUSTO DANIEL</t>
  </si>
  <si>
    <t>5504AF</t>
  </si>
  <si>
    <t>48G171</t>
  </si>
  <si>
    <t>PADILLA ADORNO EDUARDO</t>
  </si>
  <si>
    <t>5641AF</t>
  </si>
  <si>
    <t>08K017</t>
  </si>
  <si>
    <t>PADILLA HERNANDEZ JESUS EDUARDO</t>
  </si>
  <si>
    <t>4685AF</t>
  </si>
  <si>
    <t>RLW865C</t>
  </si>
  <si>
    <t>PADILLA MARTINEZ YAIR</t>
  </si>
  <si>
    <t>5311AF</t>
  </si>
  <si>
    <t>47G922</t>
  </si>
  <si>
    <t>PADILLA SALON EDWIN</t>
  </si>
  <si>
    <t>3485AF</t>
  </si>
  <si>
    <t>D86BPF</t>
  </si>
  <si>
    <t>PALACIOS PEREZ ELIAS FELIPE DE JESUS</t>
  </si>
  <si>
    <t>4241AF</t>
  </si>
  <si>
    <t>19G646</t>
  </si>
  <si>
    <t>PALAFOX LOPEZ MARCO ADDIEL</t>
  </si>
  <si>
    <t>5283AF</t>
  </si>
  <si>
    <t>BYZ583A</t>
  </si>
  <si>
    <t>PALMA VILLEGAS JUAN MANUEL</t>
  </si>
  <si>
    <t>3836AF</t>
  </si>
  <si>
    <t>08G115</t>
  </si>
  <si>
    <t>PALOMARES MONTANTE MIGUEL ANGEL</t>
  </si>
  <si>
    <t>2595AF</t>
  </si>
  <si>
    <t>E20BLZ</t>
  </si>
  <si>
    <t>PALOMO MARTINEZ ESTEBAN GERARDO</t>
  </si>
  <si>
    <t>4617AF</t>
  </si>
  <si>
    <t>SZM483A</t>
  </si>
  <si>
    <t>PANIAGUA OSORIO GUSTAVO ANTONIO</t>
  </si>
  <si>
    <t>4222AF</t>
  </si>
  <si>
    <t>27G568</t>
  </si>
  <si>
    <t>PANIAGUA SANCHEZ VICTOR HUGO</t>
  </si>
  <si>
    <t>4819AF</t>
  </si>
  <si>
    <t>41G665</t>
  </si>
  <si>
    <t>PARAMO RIOS RICARDO MIGUEL</t>
  </si>
  <si>
    <t>6296AF</t>
  </si>
  <si>
    <t>L77BSF</t>
  </si>
  <si>
    <t>PAREDES GARZA ALAN JOSUE</t>
  </si>
  <si>
    <t>3068AF</t>
  </si>
  <si>
    <t>SVZ837B</t>
  </si>
  <si>
    <t>PAREDES JIMENEZ JAVIER HORACIO</t>
  </si>
  <si>
    <t>5099AF</t>
  </si>
  <si>
    <t>50G954</t>
  </si>
  <si>
    <t>PARRA BARBOZA OSCAR ISAAC</t>
  </si>
  <si>
    <t>5792AF</t>
  </si>
  <si>
    <t>JZK269A</t>
  </si>
  <si>
    <t>PASTOR SIERRA URBANO</t>
  </si>
  <si>
    <t>4120AF</t>
  </si>
  <si>
    <t>19G391</t>
  </si>
  <si>
    <t>PATIÑO PAZ ANTONINO</t>
  </si>
  <si>
    <t>4132AF</t>
  </si>
  <si>
    <t>PEDRAZA GARCIA ARMANDO</t>
  </si>
  <si>
    <t>3980AF</t>
  </si>
  <si>
    <t>TGU462B</t>
  </si>
  <si>
    <t>PEDRAZA GUZMAN JOSE GUADALUPE</t>
  </si>
  <si>
    <t>6125AF</t>
  </si>
  <si>
    <t>JNU135A</t>
  </si>
  <si>
    <t>PEDROZA LOPEZ CARLOS ANDRES</t>
  </si>
  <si>
    <t>5852AF</t>
  </si>
  <si>
    <t>11K166</t>
  </si>
  <si>
    <t>PEINADO JIMENEZ JOEL ARMANDO</t>
  </si>
  <si>
    <t>6059AF</t>
  </si>
  <si>
    <t>CAS978A</t>
  </si>
  <si>
    <t>PELAYO PEREZ JOSE DE JESUS</t>
  </si>
  <si>
    <t>3051AF</t>
  </si>
  <si>
    <t>T20BNL</t>
  </si>
  <si>
    <t>PEÑA CABELLO LUIS EMILIANO</t>
  </si>
  <si>
    <t>6664AF</t>
  </si>
  <si>
    <t>62G373</t>
  </si>
  <si>
    <t>PEÑA GUZMAN JOSE JUAN</t>
  </si>
  <si>
    <t>4119AF</t>
  </si>
  <si>
    <t>19G314</t>
  </si>
  <si>
    <t>PEÑALOZA AVILA NADIA GABRIELA</t>
  </si>
  <si>
    <t>4572AF</t>
  </si>
  <si>
    <t>BWX658A</t>
  </si>
  <si>
    <t>PEÑALOZA REYES MARCELINO</t>
  </si>
  <si>
    <t>6057AF</t>
  </si>
  <si>
    <t>CAS977A</t>
  </si>
  <si>
    <t>PEREZ ALMENDRA DANIEL</t>
  </si>
  <si>
    <t>4233AF</t>
  </si>
  <si>
    <t>BUR877A</t>
  </si>
  <si>
    <t>PEREZ ALVAREZ MOISES</t>
  </si>
  <si>
    <t>3086AF</t>
  </si>
  <si>
    <t>84F035</t>
  </si>
  <si>
    <t>PEREZ CANALES CESAR ARMANDO</t>
  </si>
  <si>
    <t>4740AF</t>
  </si>
  <si>
    <t>38G275</t>
  </si>
  <si>
    <t>PEREZ ESTRADA ERNESTO</t>
  </si>
  <si>
    <t>4905AF</t>
  </si>
  <si>
    <t>RUB736C</t>
  </si>
  <si>
    <t>PEREZ GOMEZ NATANAEL JOAQUIN</t>
  </si>
  <si>
    <t>6238AF</t>
  </si>
  <si>
    <t>51G507</t>
  </si>
  <si>
    <t>PEREZ GOMEZ RUBEN OMAR</t>
  </si>
  <si>
    <t>5201AF</t>
  </si>
  <si>
    <t>PEREZ HERNANDEZ JERONIMO</t>
  </si>
  <si>
    <t>3664AF</t>
  </si>
  <si>
    <t>89F898</t>
  </si>
  <si>
    <t>PEREZ HERNANDEZ JOSE MISAEL</t>
  </si>
  <si>
    <t>4986AF</t>
  </si>
  <si>
    <t>BYG583A</t>
  </si>
  <si>
    <t>PEREZ MARIN MARCO ANTONIO</t>
  </si>
  <si>
    <t>5013AF</t>
  </si>
  <si>
    <t>50G933</t>
  </si>
  <si>
    <t>PEREZ MONTES JOSE GUADALUPE</t>
  </si>
  <si>
    <t>3168AF</t>
  </si>
  <si>
    <t>84F062</t>
  </si>
  <si>
    <t>PEREZ MORENO SERGIO EDUARDO</t>
  </si>
  <si>
    <t>4254AF</t>
  </si>
  <si>
    <t>PEREZ RODRIGUEZ MARCOS PABLO</t>
  </si>
  <si>
    <t>5789AF</t>
  </si>
  <si>
    <t>10K417</t>
  </si>
  <si>
    <t>PEREZ RODRIGUEZ OSCAR ALBERTO</t>
  </si>
  <si>
    <t>4161AF</t>
  </si>
  <si>
    <t>19G464</t>
  </si>
  <si>
    <t>PEREZ SAN LUIS GABRIEL</t>
  </si>
  <si>
    <t>4886AF</t>
  </si>
  <si>
    <t>PEREZ SANTIAGO ABRAHAM AUDBERTO</t>
  </si>
  <si>
    <t>2907AF</t>
  </si>
  <si>
    <t>E71BNH</t>
  </si>
  <si>
    <t>PEREZ SANTIZO RENE ALDAIR</t>
  </si>
  <si>
    <t>3002AF</t>
  </si>
  <si>
    <t>BKM884A</t>
  </si>
  <si>
    <t>PEREZ SOLIS MIGUEL ANGEL</t>
  </si>
  <si>
    <t>5375AF</t>
  </si>
  <si>
    <t>47G901</t>
  </si>
  <si>
    <t>PEREZ TAFOLLA ANGEL DE JESUS</t>
  </si>
  <si>
    <t>2757AF</t>
  </si>
  <si>
    <t>T15BMD</t>
  </si>
  <si>
    <t>PEREZ VALENCIA ISAEL</t>
  </si>
  <si>
    <t>5951AF</t>
  </si>
  <si>
    <t>RXC616C</t>
  </si>
  <si>
    <t>PEREZ ZUÑIGA MIGUEL ANGEL</t>
  </si>
  <si>
    <t>5905AF</t>
  </si>
  <si>
    <t>RXW063C</t>
  </si>
  <si>
    <t>PIETRA SANTA RIVERA RICARDO GONZALO</t>
  </si>
  <si>
    <t>6214AF</t>
  </si>
  <si>
    <t>62G311</t>
  </si>
  <si>
    <t>PILIADO SANCHEZ JUAN CARLOS</t>
  </si>
  <si>
    <t>4473AF</t>
  </si>
  <si>
    <t>31G840</t>
  </si>
  <si>
    <t>PIÑA TOSCANO JORGE</t>
  </si>
  <si>
    <t>3891AF</t>
  </si>
  <si>
    <t>C57BPN</t>
  </si>
  <si>
    <t>PINEDA GATICA GERARDO ISAIAS</t>
  </si>
  <si>
    <t>2584AF</t>
  </si>
  <si>
    <t>G13BLM</t>
  </si>
  <si>
    <t>PIZANO RAMIREZ JORGE DONACIANO</t>
  </si>
  <si>
    <t>3976AF</t>
  </si>
  <si>
    <t>HWR665A</t>
  </si>
  <si>
    <t>PLIEGO PERALTA EDWIN MAURICIO</t>
  </si>
  <si>
    <t>5432AF</t>
  </si>
  <si>
    <t>47G828</t>
  </si>
  <si>
    <t>PLUMEDA ARANGURE YILWEEN ALBERTO</t>
  </si>
  <si>
    <t>5404AF</t>
  </si>
  <si>
    <t>BZA454A</t>
  </si>
  <si>
    <t>POMPA MEZA KEVIN</t>
  </si>
  <si>
    <t>4615AF</t>
  </si>
  <si>
    <t>L05BNL</t>
  </si>
  <si>
    <t>PONCE CERVANTES FERMIN JOSE MARIA</t>
  </si>
  <si>
    <t>5717AF</t>
  </si>
  <si>
    <t>JNU143A</t>
  </si>
  <si>
    <t>PORTES REYES IVAN</t>
  </si>
  <si>
    <t>5228AF</t>
  </si>
  <si>
    <t>47G804</t>
  </si>
  <si>
    <t>PORTILLO LANDEROS DAVID ISRAEL</t>
  </si>
  <si>
    <t>3639AF</t>
  </si>
  <si>
    <t>89F860</t>
  </si>
  <si>
    <t>POZOS VALLE ALEJANDRO</t>
  </si>
  <si>
    <t>3903AF</t>
  </si>
  <si>
    <t>08G105</t>
  </si>
  <si>
    <t>PRADO MARTINEZ CARLOS ALONSO</t>
  </si>
  <si>
    <t>3674AF</t>
  </si>
  <si>
    <t>89F985</t>
  </si>
  <si>
    <t>QUIROZ CRUZ EDGAR JUAN ANTONIO</t>
  </si>
  <si>
    <t>3498AF</t>
  </si>
  <si>
    <t>89F742</t>
  </si>
  <si>
    <t>QUIROZ HERNANDEZ JOSE JUAN</t>
  </si>
  <si>
    <t>4271AF</t>
  </si>
  <si>
    <t>QUIROZ HERNANDEZ ROBERTO</t>
  </si>
  <si>
    <t>5442AF</t>
  </si>
  <si>
    <t>28G917</t>
  </si>
  <si>
    <t>RAMIREZ ALARCON DAVID MOISES</t>
  </si>
  <si>
    <t>5562AF</t>
  </si>
  <si>
    <t>48G053</t>
  </si>
  <si>
    <t>RAMIREZ ANGELES ISMAEL</t>
  </si>
  <si>
    <t>3823AF</t>
  </si>
  <si>
    <t>08G193</t>
  </si>
  <si>
    <t>RAMIREZ ARMENTA ISRAEL</t>
  </si>
  <si>
    <t>4596AF</t>
  </si>
  <si>
    <t>27G736</t>
  </si>
  <si>
    <t>RAMIREZ AYALA CLAUDIA JENNIFER</t>
  </si>
  <si>
    <t>4888AF</t>
  </si>
  <si>
    <t>RAMIREZ BACA JESUS ADRIAN</t>
  </si>
  <si>
    <t>3217AF</t>
  </si>
  <si>
    <t>84F014</t>
  </si>
  <si>
    <t>RAMIREZ BASTIDA MARTIN ALEJANDRO</t>
  </si>
  <si>
    <t>2810AF</t>
  </si>
  <si>
    <t>51F975</t>
  </si>
  <si>
    <t>RAMIREZ CASILLAS JOSE ARMANDO</t>
  </si>
  <si>
    <t>5939AF</t>
  </si>
  <si>
    <t>JNU133A</t>
  </si>
  <si>
    <t>RAMIREZ DURAN SERGIO ANTONIO</t>
  </si>
  <si>
    <t>5497AF</t>
  </si>
  <si>
    <t>48G147</t>
  </si>
  <si>
    <t>RAMIREZ ENRIQUEZ JESUS</t>
  </si>
  <si>
    <t>3872AF</t>
  </si>
  <si>
    <t>F70BPT</t>
  </si>
  <si>
    <t>RAMIREZ GARCIA GUILLERMO ALEJANDRO</t>
  </si>
  <si>
    <t>5517AF</t>
  </si>
  <si>
    <t>39G936</t>
  </si>
  <si>
    <t>RAMIREZ GARCIA OSCAR ALFONSO</t>
  </si>
  <si>
    <t>4889AF</t>
  </si>
  <si>
    <t>13G723</t>
  </si>
  <si>
    <t>RAMIREZ HERNANDEZ FRANCISCO JAVIER</t>
  </si>
  <si>
    <t>6329AF</t>
  </si>
  <si>
    <t>62G292</t>
  </si>
  <si>
    <t>RAMIREZ HERNANDEZ JOSE CARLOS</t>
  </si>
  <si>
    <t>4264AF</t>
  </si>
  <si>
    <t>19G489</t>
  </si>
  <si>
    <t>RAMIREZ HERNANDEZ ROBERTO GREGORIO</t>
  </si>
  <si>
    <t>3123AF</t>
  </si>
  <si>
    <t>RAMIREZ JARA JAVIER ALBERTO</t>
  </si>
  <si>
    <t>2620AF</t>
  </si>
  <si>
    <t>H63BMC</t>
  </si>
  <si>
    <t>RAMIREZ JIMENEZ VICTOR FERNANDO</t>
  </si>
  <si>
    <t>5156AF</t>
  </si>
  <si>
    <t>RUW783C</t>
  </si>
  <si>
    <t>RAMIREZ JUAREZ JESUS ALBERTO</t>
  </si>
  <si>
    <t>5681AF</t>
  </si>
  <si>
    <t>RAMIREZ LICEA JOSE LUIS DAMIAN</t>
  </si>
  <si>
    <t>4689AF</t>
  </si>
  <si>
    <t>38G227</t>
  </si>
  <si>
    <t>RAMIREZ MENDEZ DIEGO ALEJANDRO</t>
  </si>
  <si>
    <t>4906AF</t>
  </si>
  <si>
    <t>RUB745C</t>
  </si>
  <si>
    <t>RAMIREZ MERCADO HECTOR EDUARDO</t>
  </si>
  <si>
    <t>5015AF</t>
  </si>
  <si>
    <t>47G547</t>
  </si>
  <si>
    <t>RAMIREZ MORENO SALVADOR IVAN</t>
  </si>
  <si>
    <t>6744AF</t>
  </si>
  <si>
    <t>52G079</t>
  </si>
  <si>
    <t>RAMIREZ OLASCOAGA BRAULIO JESUS</t>
  </si>
  <si>
    <t>4144AF</t>
  </si>
  <si>
    <t>19G556</t>
  </si>
  <si>
    <t>RAMIREZ RAMIREZ GABRIEL</t>
  </si>
  <si>
    <t>4048AF</t>
  </si>
  <si>
    <t>B72BNH</t>
  </si>
  <si>
    <t>RAMIREZ RODEA CARLOS ENRIQUE</t>
  </si>
  <si>
    <t>2544AF</t>
  </si>
  <si>
    <t>28F715</t>
  </si>
  <si>
    <t>RAMIREZ RUIZ ELENA FAVIOLA</t>
  </si>
  <si>
    <t>3699AF</t>
  </si>
  <si>
    <t>94F979</t>
  </si>
  <si>
    <t>RAMIREZ TRUJILLO VICTOR MANUEL</t>
  </si>
  <si>
    <t>3038AF</t>
  </si>
  <si>
    <t>BLX686A</t>
  </si>
  <si>
    <t>RAMIREZ VAZQUEZ HECTOR RICARDO</t>
  </si>
  <si>
    <t>4339AF</t>
  </si>
  <si>
    <t>31G941</t>
  </si>
  <si>
    <t>RAMIREZ VERGARA JULIO CESAR</t>
  </si>
  <si>
    <t>3531AF</t>
  </si>
  <si>
    <t>89F760</t>
  </si>
  <si>
    <t>RAMIREZ VIZCARRA ALEJANDRO SALVADOR</t>
  </si>
  <si>
    <t>3456AF</t>
  </si>
  <si>
    <t>HWE171A</t>
  </si>
  <si>
    <t>RAMIREZ ZARATE HECTOR</t>
  </si>
  <si>
    <t>4401AF</t>
  </si>
  <si>
    <t>F71BRJ</t>
  </si>
  <si>
    <t>RAMOS ALCANTARA JOSE ALBERTO</t>
  </si>
  <si>
    <t>4047AF</t>
  </si>
  <si>
    <t>13G980</t>
  </si>
  <si>
    <t>RAMOS CANO JUAN PABLO</t>
  </si>
  <si>
    <t>3994AF</t>
  </si>
  <si>
    <t>RAMOS GARCIA GISELA</t>
  </si>
  <si>
    <t>5345AF</t>
  </si>
  <si>
    <t>47G814</t>
  </si>
  <si>
    <t>RAMOS GUZMAN JORGE ALBERTO</t>
  </si>
  <si>
    <t>6304AF</t>
  </si>
  <si>
    <t>N90BSF</t>
  </si>
  <si>
    <t>RAMOS MENDOZA ERIK ADRIAN</t>
  </si>
  <si>
    <t>3554AF</t>
  </si>
  <si>
    <t>G74BPF</t>
  </si>
  <si>
    <t>RAMOS VAZQUEZ JUAN ENRIQUE</t>
  </si>
  <si>
    <t>4031AF</t>
  </si>
  <si>
    <t>13G754</t>
  </si>
  <si>
    <t>RAMOS ZACATECO MIGUEL ANGEL</t>
  </si>
  <si>
    <t>5627AF</t>
  </si>
  <si>
    <t>48G261</t>
  </si>
  <si>
    <t>RANGEL MARTINEZ CARLOS</t>
  </si>
  <si>
    <t>2980AF</t>
  </si>
  <si>
    <t>72F015</t>
  </si>
  <si>
    <t>RAYA ESCOBAR JESUS ALBERTO</t>
  </si>
  <si>
    <t>4542AF</t>
  </si>
  <si>
    <t>39G825</t>
  </si>
  <si>
    <t>RAYAS IBARRA CARLOS</t>
  </si>
  <si>
    <t>5333AF</t>
  </si>
  <si>
    <t>RAZO RODRIGUEZ JOSE DE JESUS</t>
  </si>
  <si>
    <t>4415AF</t>
  </si>
  <si>
    <t>JAW364A</t>
  </si>
  <si>
    <t>RAZO VELAZQUEZ TOMAS ALEJANDRO</t>
  </si>
  <si>
    <t>5713AF</t>
  </si>
  <si>
    <t>JNU129A</t>
  </si>
  <si>
    <t>REMIGIO GOMEZ ALEJANDRO</t>
  </si>
  <si>
    <t>4762AF</t>
  </si>
  <si>
    <t>41G508</t>
  </si>
  <si>
    <t>RESENDIZ ALMARAZ IVAN</t>
  </si>
  <si>
    <t>2863AF</t>
  </si>
  <si>
    <t>ULM699H</t>
  </si>
  <si>
    <t>RESENDIZ MOLINA ADAN</t>
  </si>
  <si>
    <t>5350AF</t>
  </si>
  <si>
    <t>47G923</t>
  </si>
  <si>
    <t>REYES ALBARRAN EMMANUEL</t>
  </si>
  <si>
    <t>3899AF</t>
  </si>
  <si>
    <t>13G684</t>
  </si>
  <si>
    <t>REYES DOMINGUEZ EDGAR</t>
  </si>
  <si>
    <t>4590AF</t>
  </si>
  <si>
    <t>27G755</t>
  </si>
  <si>
    <t>REYES GONZALEZ CESAR AGUSTIN</t>
  </si>
  <si>
    <t>3708AF</t>
  </si>
  <si>
    <t>TFP202B</t>
  </si>
  <si>
    <t>REYES HERNANDEZ CARLOS</t>
  </si>
  <si>
    <t>3377AF</t>
  </si>
  <si>
    <t>BPW799A</t>
  </si>
  <si>
    <t>REYES LARIOS IGNACIO</t>
  </si>
  <si>
    <t>2914AF</t>
  </si>
  <si>
    <t>E48BNH</t>
  </si>
  <si>
    <t>REYES MACEDONIO JONATHAN AXEL</t>
  </si>
  <si>
    <t>5810AF</t>
  </si>
  <si>
    <t>11K118</t>
  </si>
  <si>
    <t>REYES MAUNO JOAN DAVID</t>
  </si>
  <si>
    <t>4627AF</t>
  </si>
  <si>
    <t>38G259</t>
  </si>
  <si>
    <t>REYES PERALES RAUL</t>
  </si>
  <si>
    <t>4126AF</t>
  </si>
  <si>
    <t>REYES SANCHEZ EDUARDO</t>
  </si>
  <si>
    <t>4362AF</t>
  </si>
  <si>
    <t>19G575</t>
  </si>
  <si>
    <t>REYES VEGA EDUARDO</t>
  </si>
  <si>
    <t>4083AF</t>
  </si>
  <si>
    <t>TFP416B</t>
  </si>
  <si>
    <t>REYES VENEGAS JONATAN</t>
  </si>
  <si>
    <t>6632AF</t>
  </si>
  <si>
    <t>62G291</t>
  </si>
  <si>
    <t>REYNA GUZMAN CARLOS ARMANDO</t>
  </si>
  <si>
    <t>3662AF</t>
  </si>
  <si>
    <t>89F973</t>
  </si>
  <si>
    <t>REYNOSO CASTRO ALFREDO GUADALUPE</t>
  </si>
  <si>
    <t>6630AF</t>
  </si>
  <si>
    <t>62G321</t>
  </si>
  <si>
    <t>REYNOSO RIVADENEYRA JORGE</t>
  </si>
  <si>
    <t>4006AF</t>
  </si>
  <si>
    <t>E97BPT</t>
  </si>
  <si>
    <t>RICARDO PLATON HIRAM ITZEN</t>
  </si>
  <si>
    <t>4936AF</t>
  </si>
  <si>
    <t>50G973</t>
  </si>
  <si>
    <t>RICO OLVERA OSVALDO GUADALUPE</t>
  </si>
  <si>
    <t>3550AF</t>
  </si>
  <si>
    <t>HWE176A</t>
  </si>
  <si>
    <t>RINCON DE LA CRUZ ALEJANDRO</t>
  </si>
  <si>
    <t>4190AF</t>
  </si>
  <si>
    <t>57F881</t>
  </si>
  <si>
    <t>RIOS SUAREZ OSCAR ESTEBAN</t>
  </si>
  <si>
    <t>3803AF</t>
  </si>
  <si>
    <t>08G151</t>
  </si>
  <si>
    <t>RIVAS MONTER JESUS BRYAN</t>
  </si>
  <si>
    <t>4969AF</t>
  </si>
  <si>
    <t>41G615</t>
  </si>
  <si>
    <t>RIVAS RIVAS MIGUEL ANGEL</t>
  </si>
  <si>
    <t>4958AF</t>
  </si>
  <si>
    <t>41G620</t>
  </si>
  <si>
    <t>RIVERA ATONDO RICARDO</t>
  </si>
  <si>
    <t>3713AF</t>
  </si>
  <si>
    <t>BSG143A</t>
  </si>
  <si>
    <t>RIVERA BALDENEGRO BRYAN ALBERTO</t>
  </si>
  <si>
    <t>3605AF</t>
  </si>
  <si>
    <t>BRH515A</t>
  </si>
  <si>
    <t>RIVERA GOMEZ ASTRO ROGELIO</t>
  </si>
  <si>
    <t>3798AF</t>
  </si>
  <si>
    <t>TFP410B</t>
  </si>
  <si>
    <t>RIVERA LUJANO JORGE HUMBERTO</t>
  </si>
  <si>
    <t>4647AF</t>
  </si>
  <si>
    <t>38G254</t>
  </si>
  <si>
    <t>RIVERA PATIÑO J FELIX</t>
  </si>
  <si>
    <t>3376AF</t>
  </si>
  <si>
    <t>HWE179A</t>
  </si>
  <si>
    <t>RIVERA REGINO JOSE IVAN</t>
  </si>
  <si>
    <t>5688AF</t>
  </si>
  <si>
    <t>RXN887C</t>
  </si>
  <si>
    <t>RIVERA VILLA JOSE DE JESUS</t>
  </si>
  <si>
    <t>2334AF</t>
  </si>
  <si>
    <t>JTK9302</t>
  </si>
  <si>
    <t>RIVERO DELGADO GUILLERMO ISAHI</t>
  </si>
  <si>
    <t>4163AF</t>
  </si>
  <si>
    <t>19G343</t>
  </si>
  <si>
    <t>ROBLEDO TELLO JESUS FRANCISCO</t>
  </si>
  <si>
    <t>3504AF</t>
  </si>
  <si>
    <t>89F716</t>
  </si>
  <si>
    <t>ROBLERO VELAZQUEZ JUAN CARLOS</t>
  </si>
  <si>
    <t>2753AF</t>
  </si>
  <si>
    <t>BJX360A</t>
  </si>
  <si>
    <t>ROBLES ABONZA FEDERICO</t>
  </si>
  <si>
    <t>6368AF</t>
  </si>
  <si>
    <t>62G288</t>
  </si>
  <si>
    <t>ROBLES CISNEROS JUAN</t>
  </si>
  <si>
    <t>5430AF</t>
  </si>
  <si>
    <t>RWG687C</t>
  </si>
  <si>
    <t>ROCHA . MICHAEL</t>
  </si>
  <si>
    <t>4100AF</t>
  </si>
  <si>
    <t>19G319</t>
  </si>
  <si>
    <t>RODRIGUEZ ALVAREZ KEVIN EDUARDO</t>
  </si>
  <si>
    <t>4813AF</t>
  </si>
  <si>
    <t>41G608</t>
  </si>
  <si>
    <t>RODRIGUEZ CERVANTES ANGEL ISAAC</t>
  </si>
  <si>
    <t>3539AF</t>
  </si>
  <si>
    <t>89F772</t>
  </si>
  <si>
    <t>RODRIGUEZ DE LA ROSA JOSE MIGUEL</t>
  </si>
  <si>
    <t>3263AF</t>
  </si>
  <si>
    <t>HVM533A</t>
  </si>
  <si>
    <t>RODRIGUEZ DIAZ AMERICO</t>
  </si>
  <si>
    <t>5578AF</t>
  </si>
  <si>
    <t>RWG694C</t>
  </si>
  <si>
    <t>RODRIGUEZ DIAZ OSCAR</t>
  </si>
  <si>
    <t>4363AF</t>
  </si>
  <si>
    <t>HZT602A</t>
  </si>
  <si>
    <t>RODRIGUEZ ESTEBAN CRHISTIAN</t>
  </si>
  <si>
    <t>4583AF</t>
  </si>
  <si>
    <t>39G877</t>
  </si>
  <si>
    <t>RODRIGUEZ FLORES CARLOS FRANCISCO</t>
  </si>
  <si>
    <t>6086AF</t>
  </si>
  <si>
    <t>V93BSF</t>
  </si>
  <si>
    <t>RODRIGUEZ GARCIA ABNER</t>
  </si>
  <si>
    <t>3381AF</t>
  </si>
  <si>
    <t>84F195</t>
  </si>
  <si>
    <t>RODRIGUEZ GARCIA EDUARDO ANDRES</t>
  </si>
  <si>
    <t>4497AF</t>
  </si>
  <si>
    <t>HZT604A</t>
  </si>
  <si>
    <t>RODRIGUEZ MEJIA JESUS</t>
  </si>
  <si>
    <t>4814AF</t>
  </si>
  <si>
    <t>41G629</t>
  </si>
  <si>
    <t>RODRIGUEZ MUÑOZ ARTURO</t>
  </si>
  <si>
    <t>4073AF</t>
  </si>
  <si>
    <t>14G404</t>
  </si>
  <si>
    <t>RODRIGUEZ OLMOS OSCAR</t>
  </si>
  <si>
    <t>3580AF</t>
  </si>
  <si>
    <t>E59BPF</t>
  </si>
  <si>
    <t>RODRIGUEZ OVANDO ARMANDO</t>
  </si>
  <si>
    <t>6338AF</t>
  </si>
  <si>
    <t>M30BSF</t>
  </si>
  <si>
    <t>RODRIGUEZ PARRA ISMAEL</t>
  </si>
  <si>
    <t>5075AF</t>
  </si>
  <si>
    <t>47G995</t>
  </si>
  <si>
    <t>RODRIGUEZ PEÑA MARIO</t>
  </si>
  <si>
    <t>4291AF</t>
  </si>
  <si>
    <t>31G411</t>
  </si>
  <si>
    <t>RODRIGUEZ PEREZ DIEGO ENRIQUE</t>
  </si>
  <si>
    <t>4145AF</t>
  </si>
  <si>
    <t>RODRIGUEZ PEREZ JENARO</t>
  </si>
  <si>
    <t>4262AF</t>
  </si>
  <si>
    <t>19G647</t>
  </si>
  <si>
    <t>RODRIGUEZ RAMIREZ JONATHAN</t>
  </si>
  <si>
    <t>4256AF</t>
  </si>
  <si>
    <t>20G872</t>
  </si>
  <si>
    <t>RODRIGUEZ RAMIREZ OSVALDO</t>
  </si>
  <si>
    <t>5061AF</t>
  </si>
  <si>
    <t>HWE169A</t>
  </si>
  <si>
    <t>RODRIGUEZ ROBLEDO HORACIO</t>
  </si>
  <si>
    <t>2654AF</t>
  </si>
  <si>
    <t>H85BMC</t>
  </si>
  <si>
    <t>RODRIGUEZ RODRIGUEZ JUAN CARLOS</t>
  </si>
  <si>
    <t>6443AF</t>
  </si>
  <si>
    <t>62G306</t>
  </si>
  <si>
    <t>RODRIGUEZ SALAZAR DAVID ANGEL</t>
  </si>
  <si>
    <t>4089AF</t>
  </si>
  <si>
    <t>14G396</t>
  </si>
  <si>
    <t>ROJAS ALVAREZ NAHUM</t>
  </si>
  <si>
    <t>6314AF</t>
  </si>
  <si>
    <t>CAT838A</t>
  </si>
  <si>
    <t>ROJAS ANDRADE GABRIEL</t>
  </si>
  <si>
    <t>3933AF</t>
  </si>
  <si>
    <t>13G840</t>
  </si>
  <si>
    <t>ROJAS CRUZ JULIO ALBERTO</t>
  </si>
  <si>
    <t>5225AF</t>
  </si>
  <si>
    <t>47G913</t>
  </si>
  <si>
    <t>ROJAS DIAZ JOSE CARLOS</t>
  </si>
  <si>
    <t>6258AF</t>
  </si>
  <si>
    <t>M91BSF</t>
  </si>
  <si>
    <t>ROJAS FLORES GUILLERMO</t>
  </si>
  <si>
    <t>4319AF</t>
  </si>
  <si>
    <t>C25BRJ</t>
  </si>
  <si>
    <t>ROJAS HERNANDEZ EDUARDO</t>
  </si>
  <si>
    <t>5153AF</t>
  </si>
  <si>
    <t>F18BRR</t>
  </si>
  <si>
    <t>ROMERO ALVAREZ LUIS DANIEL</t>
  </si>
  <si>
    <t>5245AF</t>
  </si>
  <si>
    <t>47G892</t>
  </si>
  <si>
    <t>ROMERO ARREDONDO MARCOS FRANCISCO</t>
  </si>
  <si>
    <t>5389AF</t>
  </si>
  <si>
    <t>RWG691C</t>
  </si>
  <si>
    <t>ROMERO BENITEZ MIGUEL ANGEL</t>
  </si>
  <si>
    <t>5659AF</t>
  </si>
  <si>
    <t>CAD045A</t>
  </si>
  <si>
    <t>ROMERO CASTILLO ARMANDO</t>
  </si>
  <si>
    <t>3666AF</t>
  </si>
  <si>
    <t>89F851</t>
  </si>
  <si>
    <t>ROMERO GARCIA JOSE EDUARDO</t>
  </si>
  <si>
    <t>4322AF</t>
  </si>
  <si>
    <t>HZT597A</t>
  </si>
  <si>
    <t>ROMERO GONZALEZ ENRIQUE</t>
  </si>
  <si>
    <t>5226AF</t>
  </si>
  <si>
    <t>47G778</t>
  </si>
  <si>
    <t>ROMERO PETRICIOLET URIEL</t>
  </si>
  <si>
    <t>5273AF</t>
  </si>
  <si>
    <t>47G936</t>
  </si>
  <si>
    <t>ROMERO SOLIS JORGE EDUARDO</t>
  </si>
  <si>
    <t>4042AF</t>
  </si>
  <si>
    <t>RONDERO GARCIA JORGE LUIS</t>
  </si>
  <si>
    <t>3552AF</t>
  </si>
  <si>
    <t>BRH514A</t>
  </si>
  <si>
    <t>RONQUILLO CASTILLO EDUARDO</t>
  </si>
  <si>
    <t>5597AF</t>
  </si>
  <si>
    <t>08K725</t>
  </si>
  <si>
    <t>ROSALES DE LA CRUZ IVAN</t>
  </si>
  <si>
    <t>5267AF</t>
  </si>
  <si>
    <t>43G947</t>
  </si>
  <si>
    <t>ROSALES SALDAÑA CARLOS CHRISTIAN</t>
  </si>
  <si>
    <t>4839AF</t>
  </si>
  <si>
    <t>D20BRR</t>
  </si>
  <si>
    <t>RUIZ HERNANDEZ EMMANUEL</t>
  </si>
  <si>
    <t>5227AF</t>
  </si>
  <si>
    <t>47G837</t>
  </si>
  <si>
    <t>RUIZ JUACHE RAUL ALFREDO</t>
  </si>
  <si>
    <t>2388AF</t>
  </si>
  <si>
    <t>U66BMZ</t>
  </si>
  <si>
    <t>RUIZ MARTINEZ CHRISTIAN ELHJAER</t>
  </si>
  <si>
    <t>5971AF</t>
  </si>
  <si>
    <t>51G593</t>
  </si>
  <si>
    <t>RUIZ VALDEZ ESMERALDA</t>
  </si>
  <si>
    <t>5978AF</t>
  </si>
  <si>
    <t>RXW067C</t>
  </si>
  <si>
    <t>RUIZ ZUÑIGA RAYMUNDO ELIMELEC</t>
  </si>
  <si>
    <t>4543AF</t>
  </si>
  <si>
    <t>39G795</t>
  </si>
  <si>
    <t>SAAVEDRA GALLARDO JUAN GUILLERMO</t>
  </si>
  <si>
    <t>4069AF</t>
  </si>
  <si>
    <t>14G487</t>
  </si>
  <si>
    <t>SAAVEDRA LOPEZ RAMON</t>
  </si>
  <si>
    <t>3134AF</t>
  </si>
  <si>
    <t>BML834A</t>
  </si>
  <si>
    <t>SAAVEDRA SANCHEZ LEANDRO</t>
  </si>
  <si>
    <t>4358AF</t>
  </si>
  <si>
    <t>31G610</t>
  </si>
  <si>
    <t>SAAVEDRA VELASCO FIDEL ENRIQUE</t>
  </si>
  <si>
    <t>4624AF</t>
  </si>
  <si>
    <t>38G221</t>
  </si>
  <si>
    <t>SAITO VINAGRE LUIS ENRIQUE</t>
  </si>
  <si>
    <t>4111AF</t>
  </si>
  <si>
    <t>TFP428B</t>
  </si>
  <si>
    <t>SALAS ESCOBEDO YAIR BRIAN</t>
  </si>
  <si>
    <t>6198AF</t>
  </si>
  <si>
    <t>15K063</t>
  </si>
  <si>
    <t>SALAS HERNANDEZ TOMAS</t>
  </si>
  <si>
    <t>4094AF</t>
  </si>
  <si>
    <t>14G476</t>
  </si>
  <si>
    <t>SALAS POSADAS ROBERTO</t>
  </si>
  <si>
    <t>3667AF</t>
  </si>
  <si>
    <t>89F854</t>
  </si>
  <si>
    <t>SALAS RAMOS ROBERTO</t>
  </si>
  <si>
    <t>2978AF</t>
  </si>
  <si>
    <t>72F001</t>
  </si>
  <si>
    <t>SALAS URIBE LUIS EDUARDO</t>
  </si>
  <si>
    <t>3309AF</t>
  </si>
  <si>
    <t>HWD957A</t>
  </si>
  <si>
    <t>SALAZAR ARIAS JOSE BENJAMIN</t>
  </si>
  <si>
    <t>2598AF</t>
  </si>
  <si>
    <t>BGA258A</t>
  </si>
  <si>
    <t>SALAZAR FLORES JOEL MAURICIO</t>
  </si>
  <si>
    <t>5937AF</t>
  </si>
  <si>
    <t>51G620</t>
  </si>
  <si>
    <t>SALAZAR GONZALEZ RAMSES LEONARDO</t>
  </si>
  <si>
    <t>3328AF</t>
  </si>
  <si>
    <t>84F045</t>
  </si>
  <si>
    <t>SALAZAR HERNANDEZ MARTIN OSVALDO</t>
  </si>
  <si>
    <t>4714AF</t>
  </si>
  <si>
    <t>F13BRR</t>
  </si>
  <si>
    <t>SALAZAR HERNANDEZ OMAR</t>
  </si>
  <si>
    <t>4189AF</t>
  </si>
  <si>
    <t>23G247</t>
  </si>
  <si>
    <t>SALAZAR LORANCA MARCO ORLANDO</t>
  </si>
  <si>
    <t>3500AF</t>
  </si>
  <si>
    <t>89F712</t>
  </si>
  <si>
    <t>SALAZAR MARTINEZ HORACIO NAHUM</t>
  </si>
  <si>
    <t>5591AF</t>
  </si>
  <si>
    <t>RVX597C</t>
  </si>
  <si>
    <t>SALAZAR MARTINEZ RAUL</t>
  </si>
  <si>
    <t>5902AF</t>
  </si>
  <si>
    <t>11K125</t>
  </si>
  <si>
    <t>SALAZAR MENDEZ MISAEL ALEJANDRO</t>
  </si>
  <si>
    <t>4563AF</t>
  </si>
  <si>
    <t>BWX662A</t>
  </si>
  <si>
    <t>SALCEDA SILVA LUIS ALBERTO</t>
  </si>
  <si>
    <t>3571AF</t>
  </si>
  <si>
    <t>89F834</t>
  </si>
  <si>
    <t>SALDAÑA BETANCOURT ROGER ALEXIS</t>
  </si>
  <si>
    <t>4793AF</t>
  </si>
  <si>
    <t>RSK960C</t>
  </si>
  <si>
    <t>SALDIVAR FIGUEROA EDUARDO JAVIER</t>
  </si>
  <si>
    <t>2906AF</t>
  </si>
  <si>
    <t>E21BNH</t>
  </si>
  <si>
    <t>SALGADO BAHENA JOSE JUAN</t>
  </si>
  <si>
    <t>5247AF</t>
  </si>
  <si>
    <t>47G939</t>
  </si>
  <si>
    <t>SALGADO HERNANDEZ STEPHANIE</t>
  </si>
  <si>
    <t>4831AF</t>
  </si>
  <si>
    <t>50G764</t>
  </si>
  <si>
    <t>SALINAS SEINOS EDUARDO ALFONSO</t>
  </si>
  <si>
    <t>5080AF</t>
  </si>
  <si>
    <t>E56BRR</t>
  </si>
  <si>
    <t>SALVADOR CRUZ JOSE ARMANDO</t>
  </si>
  <si>
    <t>4380AF</t>
  </si>
  <si>
    <t>31G311</t>
  </si>
  <si>
    <t>SALVADOR NAVA ALFREDO EMMANUEL</t>
  </si>
  <si>
    <t>5125AF</t>
  </si>
  <si>
    <t>47G820</t>
  </si>
  <si>
    <t>SALVADOR PERALTA AGUSTIN</t>
  </si>
  <si>
    <t>4015AF</t>
  </si>
  <si>
    <t>39S863</t>
  </si>
  <si>
    <t>SAMPEDRO JIMENEZ SERGIO OSWALDO</t>
  </si>
  <si>
    <t>4290AF</t>
  </si>
  <si>
    <t>31G919</t>
  </si>
  <si>
    <t>SAN JUAN MARTINEZ RAUL</t>
  </si>
  <si>
    <t>2473AF</t>
  </si>
  <si>
    <t>R17BKY</t>
  </si>
  <si>
    <t>SANCHEZ AMBRIZ SALVADOR JUAN CARLOS</t>
  </si>
  <si>
    <t>5582AF</t>
  </si>
  <si>
    <t>JNU147A</t>
  </si>
  <si>
    <t>SANCHEZ AZA ANUAR ANDRES</t>
  </si>
  <si>
    <t>4525AF</t>
  </si>
  <si>
    <t>39G667</t>
  </si>
  <si>
    <t>SANCHEZ BLANCO RAUL</t>
  </si>
  <si>
    <t>5033AF</t>
  </si>
  <si>
    <t>S64BRY</t>
  </si>
  <si>
    <t>SANCHEZ CONTRERAS DIEGO</t>
  </si>
  <si>
    <t>3719AF</t>
  </si>
  <si>
    <t>B47BPN</t>
  </si>
  <si>
    <t>SANCHEZ CORONA FABIAN SALVADOR</t>
  </si>
  <si>
    <t>3616AF</t>
  </si>
  <si>
    <t>SANCHEZ CORRAL EDGAR RAFAEL</t>
  </si>
  <si>
    <t>4366AF</t>
  </si>
  <si>
    <t>31G953</t>
  </si>
  <si>
    <t>SANCHEZ CORTES VICENTE</t>
  </si>
  <si>
    <t>5402AF</t>
  </si>
  <si>
    <t>BYZ938A</t>
  </si>
  <si>
    <t>SANCHEZ DEL ANGEL JAVIER</t>
  </si>
  <si>
    <t>5527AF</t>
  </si>
  <si>
    <t>42G720</t>
  </si>
  <si>
    <t>SANCHEZ DIAZ LUIS EDUARDO</t>
  </si>
  <si>
    <t>5776AF</t>
  </si>
  <si>
    <t>51G512</t>
  </si>
  <si>
    <t>SANCHEZ EUAN BRANDON</t>
  </si>
  <si>
    <t>4769AF</t>
  </si>
  <si>
    <t>47G481</t>
  </si>
  <si>
    <t>SANCHEZ FLORES CHRISTIAN ALEJANDRO</t>
  </si>
  <si>
    <t>5123AF</t>
  </si>
  <si>
    <t>47G754</t>
  </si>
  <si>
    <t>SANCHEZ GOMEZ DAMIAN JONATHAN</t>
  </si>
  <si>
    <t>4371AF</t>
  </si>
  <si>
    <t>19G462</t>
  </si>
  <si>
    <t>SANCHEZ LOPEZ ANGEL DE JESUS</t>
  </si>
  <si>
    <t>5954AF</t>
  </si>
  <si>
    <t>SANCHEZ MERINO DOMINGO NOE</t>
  </si>
  <si>
    <t>5171AF</t>
  </si>
  <si>
    <t>47G579</t>
  </si>
  <si>
    <t>SANCHEZ MIRAMONTES SANDRO</t>
  </si>
  <si>
    <t>4991AF</t>
  </si>
  <si>
    <t>BYG561A</t>
  </si>
  <si>
    <t>SANCHEZ MONDRAGON MARIANA ESTHEFANY</t>
  </si>
  <si>
    <t>3242AF</t>
  </si>
  <si>
    <t>84F249</t>
  </si>
  <si>
    <t>SANCHEZ MUÑOZ ALBERTO</t>
  </si>
  <si>
    <t>4753AF</t>
  </si>
  <si>
    <t>SANCHEZ OCHOA JUAN CARLOS</t>
  </si>
  <si>
    <t>6832AF</t>
  </si>
  <si>
    <t>SANCHEZ OLVERA OSCAR</t>
  </si>
  <si>
    <t>5599AF</t>
  </si>
  <si>
    <t>07K828</t>
  </si>
  <si>
    <t>SANCHEZ OSORIO RACIEL ROMMELT</t>
  </si>
  <si>
    <t>3380AF</t>
  </si>
  <si>
    <t>P80BMY</t>
  </si>
  <si>
    <t>SANCHEZ QUEZADA ERIK</t>
  </si>
  <si>
    <t>3604AF</t>
  </si>
  <si>
    <t>TDS718B</t>
  </si>
  <si>
    <t>SANCHEZ RAZO JOSE AUGUSTO</t>
  </si>
  <si>
    <t>5270AF</t>
  </si>
  <si>
    <t>43G872</t>
  </si>
  <si>
    <t>SANCHEZ RODRIGUEZ JOSE HERIBERTO</t>
  </si>
  <si>
    <t>4090AF</t>
  </si>
  <si>
    <t>SANCHEZ RODRIGUEZ JOSE MANUEL</t>
  </si>
  <si>
    <t>4011AF</t>
  </si>
  <si>
    <t>TCV542B</t>
  </si>
  <si>
    <t>SANCHEZ ROJAS FRANCISCO ANTONIO</t>
  </si>
  <si>
    <t>5478AF</t>
  </si>
  <si>
    <t>48G177</t>
  </si>
  <si>
    <t>SANCHEZ VALENZUELA CRISTIAN BALVANEDO</t>
  </si>
  <si>
    <t>5873AF</t>
  </si>
  <si>
    <t>CAJ002A</t>
  </si>
  <si>
    <t>SANCHEZ VALTIERRA JOSE ALBERTO</t>
  </si>
  <si>
    <t>4618AF</t>
  </si>
  <si>
    <t>SANCHEZ VERGARA ALEJANDRO</t>
  </si>
  <si>
    <t>2527AF</t>
  </si>
  <si>
    <t>C91BLM</t>
  </si>
  <si>
    <t>SANDOVAL LUGO OSCAR</t>
  </si>
  <si>
    <t>5464AF</t>
  </si>
  <si>
    <t>44G166</t>
  </si>
  <si>
    <t>SANJUAN HERNANDEZ REYNALDO</t>
  </si>
  <si>
    <t>4057AF</t>
  </si>
  <si>
    <t>13G940</t>
  </si>
  <si>
    <t>SANJUANICO REYNA JOSE MANUEL</t>
  </si>
  <si>
    <t>5615AF</t>
  </si>
  <si>
    <t>48G158</t>
  </si>
  <si>
    <t>SANSORES CASTRO REYNA ISABEL</t>
  </si>
  <si>
    <t>4115AF</t>
  </si>
  <si>
    <t>BJX372A</t>
  </si>
  <si>
    <t>SANTANA ARZATE LUIS FELIPE</t>
  </si>
  <si>
    <t>4177AF</t>
  </si>
  <si>
    <t>19G635</t>
  </si>
  <si>
    <t>SANTIAGO DIEGO NICOLAS</t>
  </si>
  <si>
    <t>3130AF</t>
  </si>
  <si>
    <t>SVZ848B</t>
  </si>
  <si>
    <t>SANTIAGO HERNANDEZ GUSTAVO ADOLFO</t>
  </si>
  <si>
    <t>5039AF</t>
  </si>
  <si>
    <t>47G566</t>
  </si>
  <si>
    <t>SANTIAGO LEON IVAN</t>
  </si>
  <si>
    <t>6407AF</t>
  </si>
  <si>
    <t>50G853</t>
  </si>
  <si>
    <t>SANTIAGO TOLEDO JOSE ULISES</t>
  </si>
  <si>
    <t>4198AF</t>
  </si>
  <si>
    <t>63F993</t>
  </si>
  <si>
    <t>SANTOS ORTIZ MARIO IVAN</t>
  </si>
  <si>
    <t>3804AF</t>
  </si>
  <si>
    <t>08G189</t>
  </si>
  <si>
    <t>SAUCEDA GUERRERO DIANA JAQUELINE</t>
  </si>
  <si>
    <t>4686AF</t>
  </si>
  <si>
    <t>RLW863C</t>
  </si>
  <si>
    <t>SEGURA CORREA JORGE GUSTAVO</t>
  </si>
  <si>
    <t>4481AF</t>
  </si>
  <si>
    <t>31G906</t>
  </si>
  <si>
    <t>SERAFIN PEREZ JULIO CESAR</t>
  </si>
  <si>
    <t>5637AF</t>
  </si>
  <si>
    <t>08K018</t>
  </si>
  <si>
    <t>SERRANO TRUJILLO FRANCISCO DAVID</t>
  </si>
  <si>
    <t>5711AF</t>
  </si>
  <si>
    <t>RXW060C</t>
  </si>
  <si>
    <t>SERVIN MEZA HORACIO</t>
  </si>
  <si>
    <t>3258AF</t>
  </si>
  <si>
    <t>SVZ845B</t>
  </si>
  <si>
    <t>SERVIN VAZQUEZ EDGAR</t>
  </si>
  <si>
    <t>5035AF</t>
  </si>
  <si>
    <t>47G589</t>
  </si>
  <si>
    <t>SEVILLA CUAUTENCOS CAYETANO</t>
  </si>
  <si>
    <t>5223AF</t>
  </si>
  <si>
    <t>47G862</t>
  </si>
  <si>
    <t>SIERRA MARTINEZ URIEL ESTEBAN</t>
  </si>
  <si>
    <t>2717AF</t>
  </si>
  <si>
    <t>56F072</t>
  </si>
  <si>
    <t>E10X-A</t>
  </si>
  <si>
    <t>SIERRA PALMA LUIS</t>
  </si>
  <si>
    <t>4064AF</t>
  </si>
  <si>
    <t>19G346</t>
  </si>
  <si>
    <t>SILVA CASTILLO JOSE ENRIQUE</t>
  </si>
  <si>
    <t>4788AF</t>
  </si>
  <si>
    <t>F04BRR</t>
  </si>
  <si>
    <t>SILVA MARTELL SERGIO</t>
  </si>
  <si>
    <t>5328AF</t>
  </si>
  <si>
    <t>SILVA ROSALES JORGE</t>
  </si>
  <si>
    <t>4142AF</t>
  </si>
  <si>
    <t>14G313</t>
  </si>
  <si>
    <t>SOLANO PERAL MARCO ANTONIO DANIEL</t>
  </si>
  <si>
    <t>3766AF</t>
  </si>
  <si>
    <t>08G195</t>
  </si>
  <si>
    <t>SOLIS OVANDO JOSE JONATAN</t>
  </si>
  <si>
    <t>3592AF</t>
  </si>
  <si>
    <t>89F883</t>
  </si>
  <si>
    <t>SOLIS PEÑA EDGAR</t>
  </si>
  <si>
    <t>6000AF</t>
  </si>
  <si>
    <t>SOLIS ROSALES GABRIEL</t>
  </si>
  <si>
    <t>3671AF</t>
  </si>
  <si>
    <t>89F975</t>
  </si>
  <si>
    <t>SOLIS TOVAR GERARDO</t>
  </si>
  <si>
    <t>4517AF</t>
  </si>
  <si>
    <t>31G915</t>
  </si>
  <si>
    <t>SONI ROSAS GERARDO EDUARDO</t>
  </si>
  <si>
    <t>3833AF</t>
  </si>
  <si>
    <t>13G553</t>
  </si>
  <si>
    <t>SORIA TORRES CRISTIAN JEOVANI</t>
  </si>
  <si>
    <t>4891AF</t>
  </si>
  <si>
    <t>F29BRR</t>
  </si>
  <si>
    <t>SOSA LIOCHAY ERNESTO</t>
  </si>
  <si>
    <t>3794AF</t>
  </si>
  <si>
    <t>E59BPN</t>
  </si>
  <si>
    <t>SOSA TERRAZAS GENARO DANIEL</t>
  </si>
  <si>
    <t>3338AF</t>
  </si>
  <si>
    <t>UMF787J</t>
  </si>
  <si>
    <t>SOTELO GARCIA JESUS MIGUEL</t>
  </si>
  <si>
    <t>4963AF</t>
  </si>
  <si>
    <t>SOTO ARAUJO SANDRA KARINA</t>
  </si>
  <si>
    <t>2743AF</t>
  </si>
  <si>
    <t>BJX364A</t>
  </si>
  <si>
    <t>SOTO SANTOS MOISES</t>
  </si>
  <si>
    <t>5296AF</t>
  </si>
  <si>
    <t>RUW791C</t>
  </si>
  <si>
    <t>SOTO SERRALDE FRANCISCO JAVIER</t>
  </si>
  <si>
    <t>3292AF</t>
  </si>
  <si>
    <t>84F024</t>
  </si>
  <si>
    <t>SUAREZ ANICETO OSCAR RICARDO</t>
  </si>
  <si>
    <t>5431AF</t>
  </si>
  <si>
    <t>SUAREZ LOPEZ OSCAR</t>
  </si>
  <si>
    <t>3278AF</t>
  </si>
  <si>
    <t>B20BNY</t>
  </si>
  <si>
    <t>4633AF</t>
  </si>
  <si>
    <t>BLX920A</t>
  </si>
  <si>
    <t>SUJUL JIMENEZ LUIS FERNANDO</t>
  </si>
  <si>
    <t>5568AF</t>
  </si>
  <si>
    <t>48G232</t>
  </si>
  <si>
    <t>TALAVERA MARTINEZ ULISES MAURICIO</t>
  </si>
  <si>
    <t>5364AF</t>
  </si>
  <si>
    <t>44G029</t>
  </si>
  <si>
    <t>TAMARIZ IBAÑEZ ISMAEL</t>
  </si>
  <si>
    <t>4164AF</t>
  </si>
  <si>
    <t>TAPIA CORREA JUAN CARLOS</t>
  </si>
  <si>
    <t>4548AF</t>
  </si>
  <si>
    <t>39G911</t>
  </si>
  <si>
    <t>TAPIA SANCHEZ AZUCENA</t>
  </si>
  <si>
    <t>4065AF</t>
  </si>
  <si>
    <t>19G339</t>
  </si>
  <si>
    <t>TEJA GARCIA JOHAAN ALBERTO</t>
  </si>
  <si>
    <t>4744AF</t>
  </si>
  <si>
    <t>41G439</t>
  </si>
  <si>
    <t>TELLEZ CARREÑO ALEXIS</t>
  </si>
  <si>
    <t>3442AF</t>
  </si>
  <si>
    <t>D87BPF</t>
  </si>
  <si>
    <t>TELLEZ ISLAS ALEJANDRO GENARO</t>
  </si>
  <si>
    <t>6233AF</t>
  </si>
  <si>
    <t>K22BSF</t>
  </si>
  <si>
    <t>TELLEZ MIRANDA JORGE</t>
  </si>
  <si>
    <t>6006AF</t>
  </si>
  <si>
    <t>51G541</t>
  </si>
  <si>
    <t>TENORIO CHAVERO SERGIO</t>
  </si>
  <si>
    <t>4259AF</t>
  </si>
  <si>
    <t>19G548</t>
  </si>
  <si>
    <t>TENORIO MARTINEZ CESAR JOVANY</t>
  </si>
  <si>
    <t>4994AF</t>
  </si>
  <si>
    <t>47G528</t>
  </si>
  <si>
    <t>TENORIO VENEGAS GONZALO</t>
  </si>
  <si>
    <t>3567AF</t>
  </si>
  <si>
    <t>89F808</t>
  </si>
  <si>
    <t>TEPEPA RINCON FERNANDO EDUARDO</t>
  </si>
  <si>
    <t>4088AF</t>
  </si>
  <si>
    <t>19G515</t>
  </si>
  <si>
    <t>TEPEPA RINCON OSCAR</t>
  </si>
  <si>
    <t>4240AF</t>
  </si>
  <si>
    <t>19G532</t>
  </si>
  <si>
    <t>TERAN LEON FERNANDO RAFAEL</t>
  </si>
  <si>
    <t>6510AF</t>
  </si>
  <si>
    <t>52G097</t>
  </si>
  <si>
    <t>TOLEDO UGALDE CELSO</t>
  </si>
  <si>
    <t>4822AF</t>
  </si>
  <si>
    <t>41G573</t>
  </si>
  <si>
    <t>TOLENTINO REYES JUAN JESUS</t>
  </si>
  <si>
    <t>4146AF</t>
  </si>
  <si>
    <t>14G414</t>
  </si>
  <si>
    <t>TORIZ MARTINEZ GERARDO HUMBERTO</t>
  </si>
  <si>
    <t>4098AF</t>
  </si>
  <si>
    <t>TORRES ALVAREZ ANGEL DANIEL</t>
  </si>
  <si>
    <t>6041AF</t>
  </si>
  <si>
    <t>14G461</t>
  </si>
  <si>
    <t>TORRES ARRECILLAS HECTOR FRANCISCO</t>
  </si>
  <si>
    <t>4127AF</t>
  </si>
  <si>
    <t>TORRES BLANCAS LUIS ANTONIO</t>
  </si>
  <si>
    <t>5126AF</t>
  </si>
  <si>
    <t>47G855</t>
  </si>
  <si>
    <t>TORRES CASTRO MARCO ANTONIO</t>
  </si>
  <si>
    <t>3333AF</t>
  </si>
  <si>
    <t>84F330</t>
  </si>
  <si>
    <t>TORRES GARCIA JORGE ALDEVARAN</t>
  </si>
  <si>
    <t>4580AF</t>
  </si>
  <si>
    <t>40G125</t>
  </si>
  <si>
    <t>TORRES GARCIA RICARDO DANIEL</t>
  </si>
  <si>
    <t>5190AF</t>
  </si>
  <si>
    <t>RUW781C</t>
  </si>
  <si>
    <t>TORRES GONZALEZ CESAR AUGUSTO</t>
  </si>
  <si>
    <t>5604AF</t>
  </si>
  <si>
    <t>RWL287C</t>
  </si>
  <si>
    <t>TORRES JUAREZ JOEL DAMIAN</t>
  </si>
  <si>
    <t>4804AF</t>
  </si>
  <si>
    <t>47G422</t>
  </si>
  <si>
    <t>TORRES LOREDO HILDA</t>
  </si>
  <si>
    <t>5949AF</t>
  </si>
  <si>
    <t>RXW053C</t>
  </si>
  <si>
    <t>TORRES MALAGON SAMUEL</t>
  </si>
  <si>
    <t>6264AF</t>
  </si>
  <si>
    <t>48G012</t>
  </si>
  <si>
    <t>TORRES MARTINEZ ALEJANDRO</t>
  </si>
  <si>
    <t>6718AF</t>
  </si>
  <si>
    <t>X05BSR</t>
  </si>
  <si>
    <t>TORRES MOLANO ARTURO</t>
  </si>
  <si>
    <t>4806AF</t>
  </si>
  <si>
    <t>41G653</t>
  </si>
  <si>
    <t>TORRES MORENO JUAN MARIO</t>
  </si>
  <si>
    <t>6271AF</t>
  </si>
  <si>
    <t>53S659</t>
  </si>
  <si>
    <t>TORRES REYES BRIAN GUADALUPE</t>
  </si>
  <si>
    <t>5289AF</t>
  </si>
  <si>
    <t>JAY042A</t>
  </si>
  <si>
    <t>TORRES VARGAS ABEL</t>
  </si>
  <si>
    <t>4612AF</t>
  </si>
  <si>
    <t>BWX683A</t>
  </si>
  <si>
    <t>TORRES VILLANUEVA GILBERTO</t>
  </si>
  <si>
    <t>5079AF</t>
  </si>
  <si>
    <t>TOVAR ARAIZA INES</t>
  </si>
  <si>
    <t>3629AF</t>
  </si>
  <si>
    <t>HXC193A</t>
  </si>
  <si>
    <t>TOVAR BONILLA SOFIA</t>
  </si>
  <si>
    <t>2962AF</t>
  </si>
  <si>
    <t>BGL988A</t>
  </si>
  <si>
    <t>TOVAR ESTRELLA GABRIEL</t>
  </si>
  <si>
    <t>4304AF</t>
  </si>
  <si>
    <t>31G987</t>
  </si>
  <si>
    <t>TOVAR VAZQUEZ MIGUEL ANGEL</t>
  </si>
  <si>
    <t>3579AF</t>
  </si>
  <si>
    <t>TREJO PEREZ LUIS</t>
  </si>
  <si>
    <t>4754AF</t>
  </si>
  <si>
    <t>TREJO SANCHEZ CARLOS ELIGIO</t>
  </si>
  <si>
    <t>5989AF</t>
  </si>
  <si>
    <t>15K147</t>
  </si>
  <si>
    <t>TREVILLA ELIZALDE HECTOR</t>
  </si>
  <si>
    <t>3626AF</t>
  </si>
  <si>
    <t>95F018</t>
  </si>
  <si>
    <t>TRONCOSO ARRIAGA ARMANDO</t>
  </si>
  <si>
    <t>5170AF</t>
  </si>
  <si>
    <t>47G899</t>
  </si>
  <si>
    <t>TRONCOSO VEGA MIGUEL ANGEL</t>
  </si>
  <si>
    <t>6028AF</t>
  </si>
  <si>
    <t>CAJ007A</t>
  </si>
  <si>
    <t>TRUJANO VELAZQUEZ ANDRES ARMANDO</t>
  </si>
  <si>
    <t>4244AF</t>
  </si>
  <si>
    <t>P96BRD</t>
  </si>
  <si>
    <t>TRUJILLO CHAVEZ LIZANDRO IVAN</t>
  </si>
  <si>
    <t>5772AF</t>
  </si>
  <si>
    <t>CAD705A</t>
  </si>
  <si>
    <t>UGALDE VARGAS ARMANDO</t>
  </si>
  <si>
    <t>3985AF</t>
  </si>
  <si>
    <t>13G827</t>
  </si>
  <si>
    <t>URBINA RODAS LUIS ANGEL</t>
  </si>
  <si>
    <t>4847AF</t>
  </si>
  <si>
    <t>RRG970C</t>
  </si>
  <si>
    <t>URESTI RODRIGUEZ FRANCISCO JAVIER</t>
  </si>
  <si>
    <t>5238AF</t>
  </si>
  <si>
    <t>SEX506B</t>
  </si>
  <si>
    <t>URIAS BERRELLEZA ROSARIO GUADALUPE</t>
  </si>
  <si>
    <t>5493AF</t>
  </si>
  <si>
    <t>BZA448A</t>
  </si>
  <si>
    <t>URIAS GARCIA CESAR RENE</t>
  </si>
  <si>
    <t>4853AF</t>
  </si>
  <si>
    <t>BXT308A</t>
  </si>
  <si>
    <t>VALADEZ RENTERIA JHONNY ALFREDO</t>
  </si>
  <si>
    <t>5145AF</t>
  </si>
  <si>
    <t>JBB654A</t>
  </si>
  <si>
    <t>VALDESPINO CARDENAS IGNACIO MARCELINO</t>
  </si>
  <si>
    <t>4787AF</t>
  </si>
  <si>
    <t>E22BRR</t>
  </si>
  <si>
    <t>VALDEZ CEJA ARTURO</t>
  </si>
  <si>
    <t>7028AF</t>
  </si>
  <si>
    <t>RZB016C</t>
  </si>
  <si>
    <t>VALDEZ ESPINOSA JORGE ARMANDO</t>
  </si>
  <si>
    <t>3756AF</t>
  </si>
  <si>
    <t>TCV540B</t>
  </si>
  <si>
    <t>VALDEZ MONTAÑO ARTURO</t>
  </si>
  <si>
    <t>5496AF</t>
  </si>
  <si>
    <t>44G151</t>
  </si>
  <si>
    <t>VALDEZ ZEPEDA JOSE RAUL</t>
  </si>
  <si>
    <t>4815AF</t>
  </si>
  <si>
    <t>41G509</t>
  </si>
  <si>
    <t>VALENCIA GARIBAY MIGUEL ANGEL</t>
  </si>
  <si>
    <t>3790AF</t>
  </si>
  <si>
    <t>D20BPN</t>
  </si>
  <si>
    <t>VALENCIA NIEVES JUAN ANTONIO</t>
  </si>
  <si>
    <t>4091AF</t>
  </si>
  <si>
    <t>14G424</t>
  </si>
  <si>
    <t>VALENCIA SANCHEZ DAVID ALBERTO</t>
  </si>
  <si>
    <t>4593AF</t>
  </si>
  <si>
    <t>27G723</t>
  </si>
  <si>
    <t>VALENZUELA LOPEZ CRISTIAN</t>
  </si>
  <si>
    <t>6288AF</t>
  </si>
  <si>
    <t>CAT837A</t>
  </si>
  <si>
    <t>VALERA MONDRAGON FERNANDO VICENTE</t>
  </si>
  <si>
    <t>5916AF</t>
  </si>
  <si>
    <t>51G571</t>
  </si>
  <si>
    <t>VALERA RAMIREZ LUIS EDUARDO</t>
  </si>
  <si>
    <t>4873AF</t>
  </si>
  <si>
    <t>41G561</t>
  </si>
  <si>
    <t>VALLE BLANCO FRANCISCO JOSE</t>
  </si>
  <si>
    <t>4848AF</t>
  </si>
  <si>
    <t>RRN263C</t>
  </si>
  <si>
    <t>VALLEJO RAMIREZ ROBERTO</t>
  </si>
  <si>
    <t>5382AF</t>
  </si>
  <si>
    <t>VARGAS ARENAS REYNALDO</t>
  </si>
  <si>
    <t>3221AF</t>
  </si>
  <si>
    <t>84F203</t>
  </si>
  <si>
    <t>VARGAS AYALA LUIS ANGEL</t>
  </si>
  <si>
    <t>5195AF</t>
  </si>
  <si>
    <t>BYN541A</t>
  </si>
  <si>
    <t>VARGAS CALDERON JOSE DAVID</t>
  </si>
  <si>
    <t>4759AF</t>
  </si>
  <si>
    <t>50G919</t>
  </si>
  <si>
    <t>VARGAS CERVANTES JUAN CARLOS</t>
  </si>
  <si>
    <t>6016AF</t>
  </si>
  <si>
    <t>JZK625A</t>
  </si>
  <si>
    <t>VARGAS DE LA FUENTE GERARDO</t>
  </si>
  <si>
    <t>4489AF</t>
  </si>
  <si>
    <t>19G418</t>
  </si>
  <si>
    <t>VAZQUEZ BERNAL ERICK</t>
  </si>
  <si>
    <t>2886AF</t>
  </si>
  <si>
    <t>BKB420A</t>
  </si>
  <si>
    <t>VAZQUEZ ESQUIVEL VICTOR JESUS</t>
  </si>
  <si>
    <t>3955AF</t>
  </si>
  <si>
    <t>TFP413B</t>
  </si>
  <si>
    <t>VAZQUEZ MUÑOZ MANUEL ALEJANDRO</t>
  </si>
  <si>
    <t>4545AF</t>
  </si>
  <si>
    <t>40G008</t>
  </si>
  <si>
    <t>VAZQUEZ PADILLA JUAN ENRIQUE</t>
  </si>
  <si>
    <t>5840AF</t>
  </si>
  <si>
    <t>51G597</t>
  </si>
  <si>
    <t>VAZQUEZ QUEZADA LINO ARTURO</t>
  </si>
  <si>
    <t>4340AF</t>
  </si>
  <si>
    <t>31G940</t>
  </si>
  <si>
    <t>VAZQUEZ ROJAS RICARDO RAYMUNDO</t>
  </si>
  <si>
    <t>5963AF</t>
  </si>
  <si>
    <t>51G663</t>
  </si>
  <si>
    <t>VAZQUEZ SANCHEZ ERIK ALAN</t>
  </si>
  <si>
    <t>3030AF</t>
  </si>
  <si>
    <t>T54BNL</t>
  </si>
  <si>
    <t>VAZQUEZ TREJO FERNANDO</t>
  </si>
  <si>
    <t>4673AF</t>
  </si>
  <si>
    <t>47G442</t>
  </si>
  <si>
    <t>VEGA BARRERA LUIS ALBERTO</t>
  </si>
  <si>
    <t>3741AF</t>
  </si>
  <si>
    <t>U01BNB</t>
  </si>
  <si>
    <t>VEGA RODRIGUEZ ALBERTO ANTONIO</t>
  </si>
  <si>
    <t>4134AF</t>
  </si>
  <si>
    <t>19G344</t>
  </si>
  <si>
    <t>VELASCO HERNANDEZ EDGAR ALEJANDRO</t>
  </si>
  <si>
    <t>6121AF</t>
  </si>
  <si>
    <t>KDM110A</t>
  </si>
  <si>
    <t>VELASCO LOPEZ PABLO ERIK</t>
  </si>
  <si>
    <t>5021AF</t>
  </si>
  <si>
    <t>F40BRR</t>
  </si>
  <si>
    <t>VELASCO RAMIREZ JORGE ZAMETH</t>
  </si>
  <si>
    <t>4281AF</t>
  </si>
  <si>
    <t>R62BRD</t>
  </si>
  <si>
    <t>VELASCO RIVERA ANTONIO JESUS</t>
  </si>
  <si>
    <t>4265AF</t>
  </si>
  <si>
    <t>19G408</t>
  </si>
  <si>
    <t>VELAZQUEZ CAMARGO RODRIGO</t>
  </si>
  <si>
    <t>5334AF</t>
  </si>
  <si>
    <t>RVX599C</t>
  </si>
  <si>
    <t>VELAZQUEZ ESPINOSA JESUS</t>
  </si>
  <si>
    <t>3412AF</t>
  </si>
  <si>
    <t>BPW801A</t>
  </si>
  <si>
    <t>VELAZQUEZ FUENTES RAUL</t>
  </si>
  <si>
    <t>4651AF</t>
  </si>
  <si>
    <t>38G289</t>
  </si>
  <si>
    <t>VELAZQUEZ GALLARDO CHRISTIAN RICARDO</t>
  </si>
  <si>
    <t>3890AF</t>
  </si>
  <si>
    <t>B89BPN</t>
  </si>
  <si>
    <t>VELAZQUEZ GARCIA JOSE LUIS</t>
  </si>
  <si>
    <t>6571AF</t>
  </si>
  <si>
    <t>CBL050A</t>
  </si>
  <si>
    <t>VELAZQUEZ NUÑEZ CARLOS JULIAN</t>
  </si>
  <si>
    <t>6093AF</t>
  </si>
  <si>
    <t>VELAZQUEZ ROSALES JUAN CARLOS</t>
  </si>
  <si>
    <t>4921AF</t>
  </si>
  <si>
    <t>BYG584A</t>
  </si>
  <si>
    <t>VELAZQUEZ SALAZAR DANIEL ALBERTO</t>
  </si>
  <si>
    <t>5595AF</t>
  </si>
  <si>
    <t>48G234</t>
  </si>
  <si>
    <t>VELAZQUEZ TELLO IGNACIO</t>
  </si>
  <si>
    <t>3898AF</t>
  </si>
  <si>
    <t>08G176</t>
  </si>
  <si>
    <t>VELEZ GARCIA SERGIO</t>
  </si>
  <si>
    <t>4772AF</t>
  </si>
  <si>
    <t>E41BRR</t>
  </si>
  <si>
    <t>VENEGAS CHAYRES LUIS ALBERTO</t>
  </si>
  <si>
    <t>5636AF</t>
  </si>
  <si>
    <t>08K014</t>
  </si>
  <si>
    <t>VENEGAS MARTINEZ JOSE ANTONIO</t>
  </si>
  <si>
    <t>4610AF</t>
  </si>
  <si>
    <t>JAW369A</t>
  </si>
  <si>
    <t>VENTURA DOMINGUEZ JOSE MARIO</t>
  </si>
  <si>
    <t>4658AF</t>
  </si>
  <si>
    <t>VERA MANJARREZ RICARDO BARUSH</t>
  </si>
  <si>
    <t>2918AF</t>
  </si>
  <si>
    <t>BKS711A</t>
  </si>
  <si>
    <t>VERDUGO MASCAREÑO JUAN CARLOS</t>
  </si>
  <si>
    <t>4562AF</t>
  </si>
  <si>
    <t>BWX663A</t>
  </si>
  <si>
    <t>VICENCIO ARELIS TEODORO DE JESUS</t>
  </si>
  <si>
    <t>4010AF</t>
  </si>
  <si>
    <t>HWR667A</t>
  </si>
  <si>
    <t>VICENTEÑO MORENO MARIO ALBERTO</t>
  </si>
  <si>
    <t>5287AF</t>
  </si>
  <si>
    <t>BYZ581A</t>
  </si>
  <si>
    <t>VICTORINO OROZCO ISRAEL</t>
  </si>
  <si>
    <t>4044AF</t>
  </si>
  <si>
    <t>13G839</t>
  </si>
  <si>
    <t>VIGUERAS MORALES MANUEL JHOVANNY</t>
  </si>
  <si>
    <t>2088AF</t>
  </si>
  <si>
    <t>05-2022</t>
  </si>
  <si>
    <t>U72BKF</t>
  </si>
  <si>
    <t>VILCHIS CAAMAÑO GILBERTO</t>
  </si>
  <si>
    <t>5354AF</t>
  </si>
  <si>
    <t>43G813</t>
  </si>
  <si>
    <t>VILLAFUERTE SANCHEZ HECTOR</t>
  </si>
  <si>
    <t>3900AF</t>
  </si>
  <si>
    <t>13G874</t>
  </si>
  <si>
    <t>VILLAGOMEZ CASTAÑEDA LUIS EUGENIO</t>
  </si>
  <si>
    <t>5807AF</t>
  </si>
  <si>
    <t>09K939</t>
  </si>
  <si>
    <t>VILLALOBOS GODOY CANDELARIO</t>
  </si>
  <si>
    <t>4564AF</t>
  </si>
  <si>
    <t>BWX661A</t>
  </si>
  <si>
    <t>VILLALVAZO FIGUEROA ISMAEL</t>
  </si>
  <si>
    <t>3136AF</t>
  </si>
  <si>
    <t>VILLANUEVA CERVANTES JOSE RAFAEL</t>
  </si>
  <si>
    <t>4178AF</t>
  </si>
  <si>
    <t>19G606</t>
  </si>
  <si>
    <t>VILLANUEVA ESTRADA CRISTIAN</t>
  </si>
  <si>
    <t>3494AF</t>
  </si>
  <si>
    <t>BPW795A</t>
  </si>
  <si>
    <t>VILLANUEVA MARCELO HECTOR</t>
  </si>
  <si>
    <t>5644AF</t>
  </si>
  <si>
    <t>BZA433A</t>
  </si>
  <si>
    <t>VILLASECA GARCIA JOSE RICARDO</t>
  </si>
  <si>
    <t>4087AF</t>
  </si>
  <si>
    <t>VILLASEÑOR ARTEAGA HECTOR FRANCISCO</t>
  </si>
  <si>
    <t>4585AF</t>
  </si>
  <si>
    <t>27G605</t>
  </si>
  <si>
    <t>VILLASEÑOR CERVANTES JOSE ANDRES</t>
  </si>
  <si>
    <t>6069AF</t>
  </si>
  <si>
    <t>62G238</t>
  </si>
  <si>
    <t>VILLASEÑOR GOMEZ CESAR GUADALUPE</t>
  </si>
  <si>
    <t>2824AF</t>
  </si>
  <si>
    <t>JTU1506</t>
  </si>
  <si>
    <t>VILLEGAS CORONA OMETECUTLI</t>
  </si>
  <si>
    <t>3570AF</t>
  </si>
  <si>
    <t>89F752</t>
  </si>
  <si>
    <t>VILLEGAS ULLOA REYMUNDO JAVIER</t>
  </si>
  <si>
    <t>5392AF</t>
  </si>
  <si>
    <t>RWG686C</t>
  </si>
  <si>
    <t>VIRGEN JIMENEZ LUIS SANTIAGO</t>
  </si>
  <si>
    <t>5892AF</t>
  </si>
  <si>
    <t>CAJ027A</t>
  </si>
  <si>
    <t>VIVARA SANTIAGO JORGE</t>
  </si>
  <si>
    <t>5324AF</t>
  </si>
  <si>
    <t>13G824</t>
  </si>
  <si>
    <t>YAÑEZ AZUARA ABELARDO</t>
  </si>
  <si>
    <t>6483AF</t>
  </si>
  <si>
    <t>15K831</t>
  </si>
  <si>
    <t>YANEZ GALVEZ MARTIN EDUARDO</t>
  </si>
  <si>
    <t>4614AF</t>
  </si>
  <si>
    <t>BWX684A</t>
  </si>
  <si>
    <t>YAÑEZ LOPEZ OSCAR FRANCISCO</t>
  </si>
  <si>
    <t>4650AF</t>
  </si>
  <si>
    <t>38G150</t>
  </si>
  <si>
    <t>YBARRA DIAZ JOSE ENRIQUE</t>
  </si>
  <si>
    <t>4477AF</t>
  </si>
  <si>
    <t>31G918</t>
  </si>
  <si>
    <t>ZACARIAS SORIANO JORGE ARMANDO</t>
  </si>
  <si>
    <t>3934AF</t>
  </si>
  <si>
    <t>13G624</t>
  </si>
  <si>
    <t>ZAMARRIPA DIAZ GENARO</t>
  </si>
  <si>
    <t>4550AF</t>
  </si>
  <si>
    <t>40G154</t>
  </si>
  <si>
    <t>ZAMBRANO LARA LAZARO</t>
  </si>
  <si>
    <t>4551AF</t>
  </si>
  <si>
    <t>39G828</t>
  </si>
  <si>
    <t>ZAMORA CAMPOMANES RAFAEL</t>
  </si>
  <si>
    <t>4919AF</t>
  </si>
  <si>
    <t>BYG555A</t>
  </si>
  <si>
    <t>ZAMORA RAMIREZ JOSE ADRIAN</t>
  </si>
  <si>
    <t>5476AF</t>
  </si>
  <si>
    <t>48G109</t>
  </si>
  <si>
    <t>ZAMUDIO MARTINEZ JOSE EDUARDO</t>
  </si>
  <si>
    <t>4970AF</t>
  </si>
  <si>
    <t>F99BRR</t>
  </si>
  <si>
    <t>ZAPARI AVALOS RAUL HUMBERTO</t>
  </si>
  <si>
    <t>5162AF</t>
  </si>
  <si>
    <t>BZB779A</t>
  </si>
  <si>
    <t>ZAPARI AVALOS VICTOR HUGO</t>
  </si>
  <si>
    <t>2481AF</t>
  </si>
  <si>
    <t>BFL920A</t>
  </si>
  <si>
    <t>ZARAGOZA HERNANDEZ JOSE ALFREDO</t>
  </si>
  <si>
    <t>4130AF</t>
  </si>
  <si>
    <t>ZARATE SANCHEZ FRANCISCO JAVIER</t>
  </si>
  <si>
    <t>4391AF</t>
  </si>
  <si>
    <t>V58BRH</t>
  </si>
  <si>
    <t>ZARZA RANGEL STEVE</t>
  </si>
  <si>
    <t>4707AF</t>
  </si>
  <si>
    <t>41G544</t>
  </si>
  <si>
    <t>ZAVALA MORENO IVAN ARMANDO</t>
  </si>
  <si>
    <t>3757AF</t>
  </si>
  <si>
    <t>BSG239A</t>
  </si>
  <si>
    <t>ZEPEDA GALLARDO MARCO ANTONIO</t>
  </si>
  <si>
    <t>4878AF</t>
  </si>
  <si>
    <t>47G564</t>
  </si>
  <si>
    <t>ZUÑIGA LOPEZ NESTOR UBALDO</t>
  </si>
  <si>
    <t>3287AF</t>
  </si>
  <si>
    <t>BPC080A</t>
  </si>
  <si>
    <t>ZUÑIGA MARTINEZ RIGOBERTO</t>
  </si>
  <si>
    <t>3800AF</t>
  </si>
  <si>
    <t>BSG231A</t>
  </si>
  <si>
    <t>ZUÑIGA RODRIGUEZ ABRAHAM ANTARE</t>
  </si>
  <si>
    <t>4450AF</t>
  </si>
  <si>
    <t>19G506</t>
  </si>
  <si>
    <t>ZUÑIGA ROJAS RODRIGO CRYSTIAN</t>
  </si>
  <si>
    <t>4766AF</t>
  </si>
  <si>
    <t>41G536</t>
  </si>
  <si>
    <t>Flota Activa</t>
  </si>
  <si>
    <t>Flota Activa por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</si>
</sst>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.0%"/>
    <numFmt numFmtId="166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FFF3CD"/>
      <name val="Arial"/>
    </font>
    <font>
      <sz val="9"/>
      <color rgb="FF1F5556"/>
      <name val="Arial"/>
    </font>
    <font>
      <b/>
      <sz val="10"/>
      <color rgb="FF1F5556"/>
      <name val="Arial"/>
    </font>
    <font>
      <sz val="10"/>
      <color rgb="FF000080"/>
      <name val="Arial"/>
    </font>
    <font>
      <sz val="10"/>
      <color rgb="FFBBBBBB"/>
      <name val="Arial"/>
    </font>
    <font>
      <i/>
      <sz val="9"/>
      <color rgb="FF888888"/>
      <name val="Arial"/>
    </font>
    <font>
      <b/>
      <sz val="10"/>
      <name val="Arial"/>
    </font>
    <font>
      <b/>
      <sz val="11"/>
      <color rgb="FF1F5556"/>
      <name val="Arial"/>
    </font>
    <font>
      <i/>
      <sz val="9"/>
      <color rgb="FF555555"/>
      <name val="Arial"/>
    </font>
    <font>
      <sz val="10"/>
      <color rgb="FF1F5556"/>
      <name val="Arial"/>
    </font>
    <font>
      <b/>
      <sz val="10"/>
      <color rgb="FF11ABAB"/>
      <name val="Arial"/>
    </font>
    <font>
      <sz val="10"/>
      <color rgb="FFD4830A"/>
      <name val="Arial"/>
    </font>
    <font>
      <sz val="10"/>
      <color rgb="FF555555"/>
      <name val="Arial"/>
    </font>
    <font>
      <sz val="10"/>
      <color rgb="FFC0392B"/>
      <name val="Arial"/>
    </font>
    <font>
      <b/>
      <sz val="9"/>
      <color rgb="FFFFFFFF"/>
      <name val="Arial"/>
    </font>
    <font>
      <b/>
      <sz val="9"/>
      <color rgb="FF1F5556"/>
      <name val="Arial"/>
    </font>
    <font>
      <sz val="9"/>
      <color rgb="FF000080"/>
      <name val="Arial"/>
    </font>
    <font>
      <sz val="9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sz val="10"/>
      <color rgb="FF333333"/>
      <name val="Arial"/>
    </font>
  </fonts>
  <fills count="18">
    <fill>
      <patternFill patternType="none"/>
    </fill>
    <fill>
      <patternFill patternType="gray125"/>
    </fill>
    <fill>
      <patternFill patternType="solid">
        <fgColor rgb="FF11ABAB"/>
      </patternFill>
    </fill>
    <fill>
      <patternFill patternType="solid">
        <fgColor rgb="FF1F5556"/>
      </patternFill>
    </fill>
    <fill>
      <patternFill patternType="solid">
        <fgColor rgb="FF0D6060"/>
      </patternFill>
    </fill>
    <fill>
      <patternFill patternType="solid">
        <fgColor rgb="FFF0FAFA"/>
      </patternFill>
    </fill>
    <fill>
      <patternFill patternType="solid">
        <fgColor rgb="FFE8E8E8"/>
      </patternFill>
    </fill>
    <fill>
      <patternFill patternType="solid">
        <fgColor rgb="FFFFF8F0"/>
      </patternFill>
    </fill>
    <fill>
      <patternFill patternType="solid">
        <fgColor rgb="FFF0FAF0"/>
      </patternFill>
    </fill>
    <fill>
      <patternFill patternType="solid">
        <fgColor rgb="FFE8F8F8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DE8E8"/>
      </patternFill>
    </fill>
    <fill>
      <patternFill patternType="solid">
        <fgColor rgb="FFD0E8FF"/>
      </patternFill>
    </fill>
    <fill>
      <patternFill patternType="solid">
        <fgColor rgb="FFE0F5F5"/>
      </patternFill>
    </fill>
    <fill>
      <patternFill patternType="solid">
        <fgColor rgb="FFF2F2F2"/>
      </patternFill>
    </fill>
    <fill>
      <patternFill patternType="solid">
        <fgColor rgb="FF1A1A2E"/>
      </patternFill>
    </fill>
  </fills>
  <borders count="3">
    <border>
      <left/>
      <right/>
      <top/>
      <bottom/>
      <diagonal/>
    </border>
    <border>
      <left/>
      <right style="thin">
        <color rgb="FFBBBBBB"/>
      </right>
      <top/>
      <bottom style="thin">
        <color rgb="FF999999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6" borderId="2" xfId="0" applyFill="1" applyBorder="1"/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7" borderId="2" xfId="0" applyFill="1" applyBorder="1"/>
    <xf numFmtId="0" fontId="5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8" borderId="2" xfId="0" applyFill="1" applyBorder="1"/>
    <xf numFmtId="0" fontId="5" fillId="9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9" borderId="2" xfId="0" applyFill="1" applyBorder="1"/>
    <xf numFmtId="0" fontId="7" fillId="9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0" borderId="2" xfId="0" applyFont="1" applyFill="1" applyBorder="1"/>
    <xf numFmtId="0" fontId="9" fillId="11" borderId="2" xfId="0" applyFont="1" applyFill="1" applyBorder="1" applyAlignment="1">
      <alignment horizontal="left" vertical="center" indent="1"/>
    </xf>
    <xf numFmtId="0" fontId="10" fillId="5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 indent="1"/>
    </xf>
    <xf numFmtId="0" fontId="9" fillId="12" borderId="2" xfId="0" applyFont="1" applyFill="1" applyBorder="1" applyAlignment="1">
      <alignment horizontal="left" vertical="center" indent="1"/>
    </xf>
    <xf numFmtId="0" fontId="11" fillId="12" borderId="2" xfId="0" applyFont="1" applyFill="1" applyBorder="1" applyAlignment="1">
      <alignment horizontal="left" vertical="center" indent="1"/>
    </xf>
    <xf numFmtId="0" fontId="9" fillId="10" borderId="2" xfId="0" applyFont="1" applyFill="1" applyBorder="1" applyAlignment="1">
      <alignment horizontal="left" vertical="center" indent="1"/>
    </xf>
    <xf numFmtId="0" fontId="11" fillId="10" borderId="2" xfId="0" applyFont="1" applyFill="1" applyBorder="1" applyAlignment="1">
      <alignment horizontal="left" vertical="center" indent="1"/>
    </xf>
    <xf numFmtId="0" fontId="9" fillId="13" borderId="2" xfId="0" applyFont="1" applyFill="1" applyBorder="1" applyAlignment="1">
      <alignment horizontal="left" vertical="center" indent="1"/>
    </xf>
    <xf numFmtId="0" fontId="11" fillId="13" borderId="2" xfId="0" applyFont="1" applyFill="1" applyBorder="1" applyAlignment="1">
      <alignment horizontal="left" vertical="center" indent="1"/>
    </xf>
    <xf numFmtId="164" fontId="10" fillId="5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left" vertical="center" indent="1"/>
    </xf>
    <xf numFmtId="0" fontId="11" fillId="14" borderId="2" xfId="0" applyFont="1" applyFill="1" applyBorder="1" applyAlignment="1">
      <alignment horizontal="left" vertical="center" indent="1"/>
    </xf>
    <xf numFmtId="0" fontId="9" fillId="6" borderId="2" xfId="0" applyFont="1" applyFill="1" applyBorder="1" applyAlignment="1">
      <alignment horizontal="left" vertical="center" indent="1"/>
    </xf>
    <xf numFmtId="0" fontId="11" fillId="6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65" fontId="12" fillId="5" borderId="2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18" fillId="15" borderId="2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21" fillId="3" borderId="0" xfId="0" applyFont="1" applyFill="1" applyAlignment="1">
      <alignment vertical="center" indent="1"/>
    </xf>
    <xf numFmtId="0" fontId="2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23" fillId="16" borderId="0" xfId="0" applyFont="1" applyFill="1" applyAlignment="1">
      <alignment vertical="center" indent="1"/>
    </xf>
    <xf numFmtId="0" fontId="13" fillId="16" borderId="0" xfId="0" applyFont="1" applyFill="1" applyAlignment="1">
      <alignment vertical="center" indent="1"/>
    </xf>
    <xf numFmtId="0" fontId="2" fillId="17" borderId="0" xfId="0" applyFont="1" applyFill="1" applyAlignment="1">
      <alignment vertical="center" indent="1"/>
    </xf>
    <xf numFmtId="0" fontId="2" fillId="3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10" borderId="0" xfId="0" applyFont="1" applyFill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ABAB"/>
  </sheetPr>
  <dimension ref="A1:M2001"/>
  <sheetViews>
    <sheetView workbookViewId="0">
      <pane ySplit="2" topLeftCell="A3" activePane="bottomLeft" state="frozen"/>
      <selection pane="bottomLeft" activeCell="A2" sqref="A2:M2"/>
    </sheetView>
  </sheetViews>
  <sheetFormatPr baseColWidth="10" defaultColWidth="8.7265625" defaultRowHeight="14.5" x14ac:dyDescent="0.35"/>
  <cols>
    <col min="1" max="1" width="18" customWidth="1"/>
    <col min="2" max="2" width="8" customWidth="1"/>
    <col min="3" max="3" width="11" customWidth="1"/>
    <col min="4" max="4" width="24" customWidth="1"/>
    <col min="5" max="5" width="12" customWidth="1"/>
    <col min="6" max="6" width="13" customWidth="1"/>
    <col min="7" max="7" width="11" customWidth="1"/>
    <col min="8" max="8" width="14" customWidth="1"/>
    <col min="9" max="9" width="13" customWidth="1"/>
    <col min="10" max="10" width="9" customWidth="1"/>
    <col min="11" max="11" width="18" customWidth="1"/>
    <col min="12" max="12" width="12" customWidth="1"/>
    <col min="13" max="13" width="15" customWidth="1"/>
  </cols>
  <sheetData>
    <row r="1" spans="1:13" ht="22" customHeight="1" x14ac:dyDescent="0.35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3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spans="1:13" x14ac:dyDescent="0.35">
      <c r="A3" t="s">
        <v>173</v>
      </c>
      <c r="B3" t="s">
        <v>174</v>
      </c>
      <c r="C3" t="s">
        <v>175</v>
      </c>
      <c r="D3" t="s">
        <v>176</v>
      </c>
      <c r="E3" t="s">
        <v>19</v>
      </c>
      <c r="F3" t="s">
        <v>55</v>
      </c>
      <c r="G3">
        <v>36</v>
      </c>
      <c r="H3" t="s">
        <v>177</v>
      </c>
      <c r="I3" t="s">
        <v>55</v>
      </c>
      <c r="J3" t="s">
        <v>178</v>
      </c>
      <c r="K3" t="s">
        <v>179</v>
      </c>
      <c r="L3" t="s">
        <v>180</v>
      </c>
      <c r="M3" s="3">
        <f t="shared" ref="M3:M66" si="0">IF(H3="Efectivo",IFERROR((VALUE(RIGHT(I3,4))-VALUE(RIGHT(E3,4)))*12+(VALUE(LEFT(I3,2))-VALUE(LEFT(E3,2))),""),"")</f>
        <v>36</v>
      </c>
    </row>
    <row r="4" spans="1:13" x14ac:dyDescent="0.35">
      <c r="A4" t="s">
        <v>173</v>
      </c>
      <c r="B4" t="s">
        <v>174</v>
      </c>
      <c r="C4" t="s">
        <v>181</v>
      </c>
      <c r="D4" t="s">
        <v>176</v>
      </c>
      <c r="E4" t="s">
        <v>52</v>
      </c>
      <c r="F4" t="s">
        <v>55</v>
      </c>
      <c r="G4">
        <v>2</v>
      </c>
      <c r="H4" t="s">
        <v>177</v>
      </c>
      <c r="I4" t="s">
        <v>55</v>
      </c>
      <c r="J4" t="s">
        <v>182</v>
      </c>
      <c r="K4" t="s">
        <v>183</v>
      </c>
      <c r="L4" t="s">
        <v>184</v>
      </c>
      <c r="M4" s="3">
        <f t="shared" si="0"/>
        <v>3</v>
      </c>
    </row>
    <row r="5" spans="1:13" x14ac:dyDescent="0.35">
      <c r="A5" t="s">
        <v>185</v>
      </c>
      <c r="B5" t="s">
        <v>174</v>
      </c>
      <c r="C5" t="s">
        <v>186</v>
      </c>
      <c r="D5" t="s">
        <v>176</v>
      </c>
      <c r="E5" t="s">
        <v>45</v>
      </c>
      <c r="F5" t="s">
        <v>54</v>
      </c>
      <c r="G5">
        <v>9</v>
      </c>
      <c r="H5" t="s">
        <v>177</v>
      </c>
      <c r="I5" t="s">
        <v>54</v>
      </c>
      <c r="J5" t="s">
        <v>187</v>
      </c>
      <c r="K5" t="s">
        <v>183</v>
      </c>
      <c r="L5" t="s">
        <v>180</v>
      </c>
      <c r="M5" s="3">
        <f t="shared" si="0"/>
        <v>9</v>
      </c>
    </row>
    <row r="6" spans="1:13" x14ac:dyDescent="0.35">
      <c r="A6" t="s">
        <v>188</v>
      </c>
      <c r="B6" t="s">
        <v>174</v>
      </c>
      <c r="C6" t="s">
        <v>189</v>
      </c>
      <c r="D6" t="s">
        <v>190</v>
      </c>
      <c r="E6" t="s">
        <v>37</v>
      </c>
      <c r="F6" t="s">
        <v>49</v>
      </c>
      <c r="G6">
        <v>11</v>
      </c>
      <c r="H6" t="s">
        <v>177</v>
      </c>
      <c r="I6" t="s">
        <v>50</v>
      </c>
      <c r="J6" t="s">
        <v>191</v>
      </c>
      <c r="K6" t="s">
        <v>192</v>
      </c>
      <c r="L6" t="s">
        <v>180</v>
      </c>
      <c r="M6" s="3">
        <f t="shared" si="0"/>
        <v>13</v>
      </c>
    </row>
    <row r="7" spans="1:13" x14ac:dyDescent="0.35">
      <c r="A7" t="s">
        <v>193</v>
      </c>
      <c r="B7" t="s">
        <v>174</v>
      </c>
      <c r="C7" t="s">
        <v>194</v>
      </c>
      <c r="D7" t="s">
        <v>190</v>
      </c>
      <c r="E7" t="s">
        <v>49</v>
      </c>
      <c r="F7" t="s">
        <v>55</v>
      </c>
      <c r="G7">
        <v>6</v>
      </c>
      <c r="H7" t="s">
        <v>195</v>
      </c>
      <c r="J7" t="s">
        <v>196</v>
      </c>
      <c r="K7" t="s">
        <v>197</v>
      </c>
      <c r="L7" t="s">
        <v>180</v>
      </c>
      <c r="M7" s="3" t="str">
        <f t="shared" si="0"/>
        <v/>
      </c>
    </row>
    <row r="8" spans="1:13" x14ac:dyDescent="0.35">
      <c r="A8" t="s">
        <v>198</v>
      </c>
      <c r="B8" t="s">
        <v>174</v>
      </c>
      <c r="C8" t="s">
        <v>199</v>
      </c>
      <c r="D8" t="s">
        <v>190</v>
      </c>
      <c r="E8" t="s">
        <v>42</v>
      </c>
      <c r="F8" t="s">
        <v>50</v>
      </c>
      <c r="G8">
        <v>7</v>
      </c>
      <c r="H8" t="s">
        <v>177</v>
      </c>
      <c r="I8" t="s">
        <v>50</v>
      </c>
      <c r="J8" t="s">
        <v>200</v>
      </c>
      <c r="K8" t="s">
        <v>197</v>
      </c>
      <c r="L8" t="s">
        <v>180</v>
      </c>
      <c r="M8" s="3">
        <f t="shared" si="0"/>
        <v>8</v>
      </c>
    </row>
    <row r="9" spans="1:13" x14ac:dyDescent="0.35">
      <c r="A9" t="s">
        <v>201</v>
      </c>
      <c r="B9" t="s">
        <v>174</v>
      </c>
      <c r="C9" t="s">
        <v>202</v>
      </c>
      <c r="D9" t="s">
        <v>190</v>
      </c>
      <c r="E9" t="s">
        <v>41</v>
      </c>
      <c r="F9" t="s">
        <v>52</v>
      </c>
      <c r="G9">
        <v>11</v>
      </c>
      <c r="H9" t="s">
        <v>177</v>
      </c>
      <c r="I9" t="s">
        <v>53</v>
      </c>
      <c r="J9" t="s">
        <v>203</v>
      </c>
      <c r="K9" t="s">
        <v>197</v>
      </c>
      <c r="L9" t="s">
        <v>180</v>
      </c>
      <c r="M9" s="3">
        <f t="shared" si="0"/>
        <v>12</v>
      </c>
    </row>
    <row r="10" spans="1:13" x14ac:dyDescent="0.35">
      <c r="A10" t="s">
        <v>204</v>
      </c>
      <c r="B10" t="s">
        <v>174</v>
      </c>
      <c r="C10" t="s">
        <v>205</v>
      </c>
      <c r="D10" t="s">
        <v>190</v>
      </c>
      <c r="E10" t="s">
        <v>45</v>
      </c>
      <c r="F10" t="s">
        <v>54</v>
      </c>
      <c r="G10">
        <v>9</v>
      </c>
      <c r="H10" t="s">
        <v>177</v>
      </c>
      <c r="I10" t="s">
        <v>54</v>
      </c>
      <c r="J10" t="s">
        <v>206</v>
      </c>
      <c r="K10" t="s">
        <v>183</v>
      </c>
      <c r="L10" t="s">
        <v>180</v>
      </c>
      <c r="M10" s="3">
        <f t="shared" si="0"/>
        <v>9</v>
      </c>
    </row>
    <row r="11" spans="1:13" x14ac:dyDescent="0.35">
      <c r="A11" t="s">
        <v>207</v>
      </c>
      <c r="B11" t="s">
        <v>174</v>
      </c>
      <c r="C11" t="s">
        <v>208</v>
      </c>
      <c r="D11" t="s">
        <v>190</v>
      </c>
      <c r="E11" t="s">
        <v>45</v>
      </c>
      <c r="F11" t="s">
        <v>54</v>
      </c>
      <c r="G11">
        <v>10</v>
      </c>
      <c r="H11" t="s">
        <v>177</v>
      </c>
      <c r="I11" t="s">
        <v>55</v>
      </c>
      <c r="J11" t="s">
        <v>209</v>
      </c>
      <c r="K11" t="s">
        <v>183</v>
      </c>
      <c r="L11" t="s">
        <v>180</v>
      </c>
      <c r="M11" s="3">
        <f t="shared" si="0"/>
        <v>10</v>
      </c>
    </row>
    <row r="12" spans="1:13" x14ac:dyDescent="0.35">
      <c r="A12" t="s">
        <v>210</v>
      </c>
      <c r="B12" t="s">
        <v>174</v>
      </c>
      <c r="C12" t="s">
        <v>211</v>
      </c>
      <c r="D12" t="s">
        <v>176</v>
      </c>
      <c r="E12" t="s">
        <v>37</v>
      </c>
      <c r="F12" t="s">
        <v>45</v>
      </c>
      <c r="G12">
        <v>8</v>
      </c>
      <c r="H12" t="s">
        <v>177</v>
      </c>
      <c r="I12" t="s">
        <v>46</v>
      </c>
      <c r="J12" t="s">
        <v>212</v>
      </c>
      <c r="K12" t="s">
        <v>183</v>
      </c>
      <c r="L12" t="s">
        <v>180</v>
      </c>
      <c r="M12" s="3">
        <f t="shared" si="0"/>
        <v>9</v>
      </c>
    </row>
    <row r="13" spans="1:13" x14ac:dyDescent="0.35">
      <c r="A13" t="s">
        <v>213</v>
      </c>
      <c r="B13" t="s">
        <v>174</v>
      </c>
      <c r="C13" t="s">
        <v>214</v>
      </c>
      <c r="D13" t="s">
        <v>190</v>
      </c>
      <c r="E13" t="s">
        <v>40</v>
      </c>
      <c r="F13" t="s">
        <v>53</v>
      </c>
      <c r="G13">
        <v>12</v>
      </c>
      <c r="H13" t="s">
        <v>195</v>
      </c>
      <c r="J13" t="s">
        <v>215</v>
      </c>
      <c r="K13" t="s">
        <v>197</v>
      </c>
      <c r="L13" t="s">
        <v>180</v>
      </c>
      <c r="M13" s="3" t="str">
        <f t="shared" si="0"/>
        <v/>
      </c>
    </row>
    <row r="14" spans="1:13" x14ac:dyDescent="0.35">
      <c r="A14" t="s">
        <v>216</v>
      </c>
      <c r="B14" t="s">
        <v>174</v>
      </c>
      <c r="C14" t="s">
        <v>217</v>
      </c>
      <c r="D14" t="s">
        <v>190</v>
      </c>
      <c r="E14" t="s">
        <v>50</v>
      </c>
      <c r="F14" t="s">
        <v>55</v>
      </c>
      <c r="G14">
        <v>5</v>
      </c>
      <c r="H14" t="s">
        <v>177</v>
      </c>
      <c r="I14" t="s">
        <v>56</v>
      </c>
      <c r="J14" t="s">
        <v>218</v>
      </c>
      <c r="K14" t="s">
        <v>219</v>
      </c>
      <c r="L14" t="s">
        <v>180</v>
      </c>
      <c r="M14" s="3">
        <f t="shared" si="0"/>
        <v>6</v>
      </c>
    </row>
    <row r="15" spans="1:13" x14ac:dyDescent="0.35">
      <c r="A15" t="s">
        <v>220</v>
      </c>
      <c r="B15" t="s">
        <v>174</v>
      </c>
      <c r="C15" t="s">
        <v>221</v>
      </c>
      <c r="D15" t="s">
        <v>176</v>
      </c>
      <c r="E15" t="s">
        <v>49</v>
      </c>
      <c r="F15" t="s">
        <v>55</v>
      </c>
      <c r="G15">
        <v>6</v>
      </c>
      <c r="H15" t="s">
        <v>177</v>
      </c>
      <c r="I15" t="s">
        <v>55</v>
      </c>
      <c r="J15" t="s">
        <v>222</v>
      </c>
      <c r="K15" t="s">
        <v>183</v>
      </c>
      <c r="L15" t="s">
        <v>184</v>
      </c>
      <c r="M15" s="3">
        <f t="shared" si="0"/>
        <v>6</v>
      </c>
    </row>
    <row r="16" spans="1:13" x14ac:dyDescent="0.35">
      <c r="A16" t="s">
        <v>223</v>
      </c>
      <c r="B16" t="s">
        <v>174</v>
      </c>
      <c r="C16" t="s">
        <v>224</v>
      </c>
      <c r="D16" t="s">
        <v>225</v>
      </c>
      <c r="E16" t="s">
        <v>40</v>
      </c>
      <c r="F16" t="s">
        <v>50</v>
      </c>
      <c r="G16">
        <v>9</v>
      </c>
      <c r="H16" t="s">
        <v>177</v>
      </c>
      <c r="I16" t="s">
        <v>54</v>
      </c>
      <c r="J16" t="s">
        <v>226</v>
      </c>
      <c r="K16" t="s">
        <v>183</v>
      </c>
      <c r="L16" t="s">
        <v>180</v>
      </c>
      <c r="M16" s="3">
        <f t="shared" si="0"/>
        <v>14</v>
      </c>
    </row>
    <row r="17" spans="1:13" x14ac:dyDescent="0.35">
      <c r="A17" t="s">
        <v>227</v>
      </c>
      <c r="B17" t="s">
        <v>174</v>
      </c>
      <c r="C17" t="s">
        <v>228</v>
      </c>
      <c r="D17" t="s">
        <v>225</v>
      </c>
      <c r="E17" t="s">
        <v>39</v>
      </c>
      <c r="F17" t="s">
        <v>52</v>
      </c>
      <c r="G17">
        <v>13</v>
      </c>
      <c r="H17" t="s">
        <v>177</v>
      </c>
      <c r="I17" t="s">
        <v>52</v>
      </c>
      <c r="J17" t="s">
        <v>229</v>
      </c>
      <c r="K17" t="s">
        <v>183</v>
      </c>
      <c r="L17" t="s">
        <v>180</v>
      </c>
      <c r="M17" s="3">
        <f t="shared" si="0"/>
        <v>13</v>
      </c>
    </row>
    <row r="18" spans="1:13" x14ac:dyDescent="0.35">
      <c r="A18" t="s">
        <v>230</v>
      </c>
      <c r="B18" t="s">
        <v>231</v>
      </c>
      <c r="C18" t="s">
        <v>232</v>
      </c>
      <c r="D18" t="s">
        <v>190</v>
      </c>
      <c r="E18" t="s">
        <v>52</v>
      </c>
      <c r="F18" t="s">
        <v>53</v>
      </c>
      <c r="G18">
        <v>1</v>
      </c>
      <c r="H18" t="s">
        <v>177</v>
      </c>
      <c r="I18" t="s">
        <v>53</v>
      </c>
      <c r="J18" t="s">
        <v>233</v>
      </c>
      <c r="K18" t="s">
        <v>197</v>
      </c>
      <c r="L18" t="s">
        <v>180</v>
      </c>
      <c r="M18" s="3">
        <f t="shared" si="0"/>
        <v>1</v>
      </c>
    </row>
    <row r="19" spans="1:13" x14ac:dyDescent="0.35">
      <c r="A19" t="s">
        <v>234</v>
      </c>
      <c r="B19" t="s">
        <v>231</v>
      </c>
      <c r="C19" t="s">
        <v>235</v>
      </c>
      <c r="D19" t="s">
        <v>236</v>
      </c>
      <c r="E19" t="s">
        <v>49</v>
      </c>
      <c r="F19" t="s">
        <v>53</v>
      </c>
      <c r="G19">
        <v>4</v>
      </c>
      <c r="H19" t="s">
        <v>177</v>
      </c>
      <c r="I19" t="s">
        <v>53</v>
      </c>
      <c r="J19" t="s">
        <v>237</v>
      </c>
      <c r="K19" t="s">
        <v>183</v>
      </c>
      <c r="L19" t="s">
        <v>184</v>
      </c>
      <c r="M19" s="3">
        <f t="shared" si="0"/>
        <v>4</v>
      </c>
    </row>
    <row r="20" spans="1:13" x14ac:dyDescent="0.35">
      <c r="A20" t="s">
        <v>238</v>
      </c>
      <c r="B20" t="s">
        <v>174</v>
      </c>
      <c r="C20" t="s">
        <v>239</v>
      </c>
      <c r="D20" t="s">
        <v>236</v>
      </c>
      <c r="E20" t="s">
        <v>39</v>
      </c>
      <c r="F20" t="s">
        <v>55</v>
      </c>
      <c r="G20">
        <v>16</v>
      </c>
      <c r="H20" t="s">
        <v>177</v>
      </c>
      <c r="I20" t="s">
        <v>55</v>
      </c>
      <c r="J20" t="s">
        <v>240</v>
      </c>
      <c r="K20" t="s">
        <v>183</v>
      </c>
      <c r="L20" t="s">
        <v>180</v>
      </c>
      <c r="M20" s="3">
        <f t="shared" si="0"/>
        <v>16</v>
      </c>
    </row>
    <row r="21" spans="1:13" x14ac:dyDescent="0.35">
      <c r="A21" t="s">
        <v>241</v>
      </c>
      <c r="B21" t="s">
        <v>174</v>
      </c>
      <c r="C21" t="s">
        <v>242</v>
      </c>
      <c r="D21" t="s">
        <v>236</v>
      </c>
      <c r="E21" t="s">
        <v>47</v>
      </c>
      <c r="F21" t="s">
        <v>55</v>
      </c>
      <c r="G21">
        <v>7</v>
      </c>
      <c r="H21" t="s">
        <v>177</v>
      </c>
      <c r="I21" t="s">
        <v>55</v>
      </c>
      <c r="J21" t="s">
        <v>243</v>
      </c>
      <c r="K21" t="s">
        <v>192</v>
      </c>
      <c r="L21" t="s">
        <v>184</v>
      </c>
      <c r="M21" s="3">
        <f t="shared" si="0"/>
        <v>8</v>
      </c>
    </row>
    <row r="22" spans="1:13" x14ac:dyDescent="0.35">
      <c r="A22" t="s">
        <v>244</v>
      </c>
      <c r="B22" t="s">
        <v>174</v>
      </c>
      <c r="C22" t="s">
        <v>245</v>
      </c>
      <c r="D22" t="s">
        <v>190</v>
      </c>
      <c r="E22" t="s">
        <v>41</v>
      </c>
      <c r="F22" t="s">
        <v>55</v>
      </c>
      <c r="G22">
        <v>14</v>
      </c>
      <c r="H22" t="s">
        <v>177</v>
      </c>
      <c r="I22" t="s">
        <v>55</v>
      </c>
      <c r="J22" t="s">
        <v>246</v>
      </c>
      <c r="K22" t="s">
        <v>183</v>
      </c>
      <c r="L22" t="s">
        <v>180</v>
      </c>
      <c r="M22" s="3">
        <f t="shared" si="0"/>
        <v>14</v>
      </c>
    </row>
    <row r="23" spans="1:13" x14ac:dyDescent="0.35">
      <c r="A23" t="s">
        <v>247</v>
      </c>
      <c r="B23" t="s">
        <v>174</v>
      </c>
      <c r="C23" t="s">
        <v>248</v>
      </c>
      <c r="D23" t="s">
        <v>190</v>
      </c>
      <c r="E23" t="s">
        <v>44</v>
      </c>
      <c r="F23" t="s">
        <v>52</v>
      </c>
      <c r="G23">
        <v>9</v>
      </c>
      <c r="H23" t="s">
        <v>177</v>
      </c>
      <c r="I23" t="s">
        <v>53</v>
      </c>
      <c r="J23" t="s">
        <v>249</v>
      </c>
      <c r="K23" t="s">
        <v>183</v>
      </c>
      <c r="L23" t="s">
        <v>184</v>
      </c>
      <c r="M23" s="3">
        <f t="shared" si="0"/>
        <v>9</v>
      </c>
    </row>
    <row r="24" spans="1:13" x14ac:dyDescent="0.35">
      <c r="A24" t="s">
        <v>250</v>
      </c>
      <c r="B24" t="s">
        <v>174</v>
      </c>
      <c r="C24" t="s">
        <v>251</v>
      </c>
      <c r="D24" t="s">
        <v>225</v>
      </c>
      <c r="E24" t="s">
        <v>28</v>
      </c>
      <c r="F24" t="s">
        <v>54</v>
      </c>
      <c r="G24">
        <v>26</v>
      </c>
      <c r="H24" t="s">
        <v>252</v>
      </c>
      <c r="J24" t="s">
        <v>253</v>
      </c>
      <c r="K24" t="s">
        <v>183</v>
      </c>
      <c r="L24" t="s">
        <v>180</v>
      </c>
      <c r="M24" s="3" t="str">
        <f t="shared" si="0"/>
        <v/>
      </c>
    </row>
    <row r="25" spans="1:13" x14ac:dyDescent="0.35">
      <c r="A25" t="s">
        <v>254</v>
      </c>
      <c r="B25" t="s">
        <v>174</v>
      </c>
      <c r="C25" t="s">
        <v>255</v>
      </c>
      <c r="D25" t="s">
        <v>190</v>
      </c>
      <c r="E25" t="s">
        <v>47</v>
      </c>
      <c r="F25" t="s">
        <v>51</v>
      </c>
      <c r="G25">
        <v>3</v>
      </c>
      <c r="H25" t="s">
        <v>195</v>
      </c>
      <c r="J25" t="s">
        <v>256</v>
      </c>
      <c r="K25" t="s">
        <v>257</v>
      </c>
      <c r="L25" t="s">
        <v>184</v>
      </c>
      <c r="M25" s="3" t="str">
        <f t="shared" si="0"/>
        <v/>
      </c>
    </row>
    <row r="26" spans="1:13" x14ac:dyDescent="0.35">
      <c r="A26" t="s">
        <v>258</v>
      </c>
      <c r="B26" t="s">
        <v>174</v>
      </c>
      <c r="C26" t="s">
        <v>259</v>
      </c>
      <c r="D26" t="s">
        <v>190</v>
      </c>
      <c r="E26" t="s">
        <v>48</v>
      </c>
      <c r="F26" t="s">
        <v>53</v>
      </c>
      <c r="G26">
        <v>4</v>
      </c>
      <c r="H26" t="s">
        <v>177</v>
      </c>
      <c r="I26" t="s">
        <v>53</v>
      </c>
      <c r="J26" t="s">
        <v>260</v>
      </c>
      <c r="K26" t="s">
        <v>257</v>
      </c>
      <c r="L26" t="s">
        <v>180</v>
      </c>
      <c r="M26" s="3">
        <f t="shared" si="0"/>
        <v>5</v>
      </c>
    </row>
    <row r="27" spans="1:13" x14ac:dyDescent="0.35">
      <c r="A27" t="s">
        <v>261</v>
      </c>
      <c r="B27" t="s">
        <v>174</v>
      </c>
      <c r="C27" t="s">
        <v>262</v>
      </c>
      <c r="D27" t="s">
        <v>176</v>
      </c>
      <c r="E27" t="s">
        <v>24</v>
      </c>
      <c r="F27" t="s">
        <v>45</v>
      </c>
      <c r="G27">
        <v>21</v>
      </c>
      <c r="H27" t="s">
        <v>177</v>
      </c>
      <c r="I27" t="s">
        <v>45</v>
      </c>
      <c r="J27" t="s">
        <v>263</v>
      </c>
      <c r="K27" t="s">
        <v>183</v>
      </c>
      <c r="L27" t="s">
        <v>180</v>
      </c>
      <c r="M27" s="3">
        <f t="shared" si="0"/>
        <v>21</v>
      </c>
    </row>
    <row r="28" spans="1:13" x14ac:dyDescent="0.35">
      <c r="A28" t="s">
        <v>264</v>
      </c>
      <c r="B28" t="s">
        <v>174</v>
      </c>
      <c r="C28" t="s">
        <v>265</v>
      </c>
      <c r="D28" t="s">
        <v>190</v>
      </c>
      <c r="E28" t="s">
        <v>48</v>
      </c>
      <c r="F28" t="s">
        <v>56</v>
      </c>
      <c r="G28">
        <v>7</v>
      </c>
      <c r="H28" t="s">
        <v>177</v>
      </c>
      <c r="I28" t="s">
        <v>56</v>
      </c>
      <c r="J28" t="s">
        <v>266</v>
      </c>
      <c r="K28" t="s">
        <v>257</v>
      </c>
      <c r="L28" t="s">
        <v>180</v>
      </c>
      <c r="M28" s="3">
        <f t="shared" si="0"/>
        <v>8</v>
      </c>
    </row>
    <row r="29" spans="1:13" x14ac:dyDescent="0.35">
      <c r="A29" t="s">
        <v>267</v>
      </c>
      <c r="B29" t="s">
        <v>174</v>
      </c>
      <c r="C29" t="s">
        <v>268</v>
      </c>
      <c r="D29" t="s">
        <v>190</v>
      </c>
      <c r="E29" t="s">
        <v>41</v>
      </c>
      <c r="F29" t="s">
        <v>45</v>
      </c>
      <c r="G29">
        <v>3</v>
      </c>
      <c r="H29" t="s">
        <v>177</v>
      </c>
      <c r="I29" t="s">
        <v>45</v>
      </c>
      <c r="J29" t="s">
        <v>269</v>
      </c>
      <c r="K29" t="s">
        <v>270</v>
      </c>
      <c r="L29" t="s">
        <v>180</v>
      </c>
      <c r="M29" s="3">
        <f t="shared" si="0"/>
        <v>4</v>
      </c>
    </row>
    <row r="30" spans="1:13" x14ac:dyDescent="0.35">
      <c r="A30" t="s">
        <v>271</v>
      </c>
      <c r="B30" t="s">
        <v>174</v>
      </c>
      <c r="C30" t="s">
        <v>272</v>
      </c>
      <c r="D30" t="s">
        <v>190</v>
      </c>
      <c r="E30" t="s">
        <v>41</v>
      </c>
      <c r="F30" t="s">
        <v>43</v>
      </c>
      <c r="G30">
        <v>2</v>
      </c>
      <c r="H30" t="s">
        <v>177</v>
      </c>
      <c r="I30" t="s">
        <v>44</v>
      </c>
      <c r="J30" t="s">
        <v>273</v>
      </c>
      <c r="K30" t="s">
        <v>197</v>
      </c>
      <c r="L30" t="s">
        <v>184</v>
      </c>
      <c r="M30" s="3">
        <f t="shared" si="0"/>
        <v>3</v>
      </c>
    </row>
    <row r="31" spans="1:13" x14ac:dyDescent="0.35">
      <c r="A31" t="s">
        <v>274</v>
      </c>
      <c r="B31" t="s">
        <v>174</v>
      </c>
      <c r="C31" t="s">
        <v>275</v>
      </c>
      <c r="D31" t="s">
        <v>190</v>
      </c>
      <c r="E31" t="s">
        <v>46</v>
      </c>
      <c r="F31" t="s">
        <v>54</v>
      </c>
      <c r="G31">
        <v>8</v>
      </c>
      <c r="H31" t="s">
        <v>177</v>
      </c>
      <c r="I31" t="s">
        <v>54</v>
      </c>
      <c r="J31" t="s">
        <v>276</v>
      </c>
      <c r="K31" t="s">
        <v>257</v>
      </c>
      <c r="L31" t="s">
        <v>184</v>
      </c>
      <c r="M31" s="3">
        <f t="shared" si="0"/>
        <v>8</v>
      </c>
    </row>
    <row r="32" spans="1:13" x14ac:dyDescent="0.35">
      <c r="A32" t="s">
        <v>277</v>
      </c>
      <c r="B32" t="s">
        <v>231</v>
      </c>
      <c r="C32" t="s">
        <v>278</v>
      </c>
      <c r="D32" t="s">
        <v>236</v>
      </c>
      <c r="E32" t="s">
        <v>49</v>
      </c>
      <c r="F32" t="s">
        <v>54</v>
      </c>
      <c r="G32">
        <v>6</v>
      </c>
      <c r="H32" t="s">
        <v>195</v>
      </c>
      <c r="J32" t="s">
        <v>279</v>
      </c>
      <c r="K32" t="s">
        <v>192</v>
      </c>
      <c r="L32" t="s">
        <v>180</v>
      </c>
      <c r="M32" s="3" t="str">
        <f t="shared" si="0"/>
        <v/>
      </c>
    </row>
    <row r="33" spans="1:13" x14ac:dyDescent="0.35">
      <c r="A33" t="s">
        <v>280</v>
      </c>
      <c r="B33" t="s">
        <v>174</v>
      </c>
      <c r="C33" t="s">
        <v>281</v>
      </c>
      <c r="D33" t="s">
        <v>236</v>
      </c>
      <c r="E33" t="s">
        <v>50</v>
      </c>
      <c r="F33" t="s">
        <v>55</v>
      </c>
      <c r="G33">
        <v>4</v>
      </c>
      <c r="H33" t="s">
        <v>195</v>
      </c>
      <c r="J33" t="s">
        <v>282</v>
      </c>
      <c r="K33" t="s">
        <v>183</v>
      </c>
      <c r="L33" t="s">
        <v>184</v>
      </c>
      <c r="M33" s="3" t="str">
        <f t="shared" si="0"/>
        <v/>
      </c>
    </row>
    <row r="34" spans="1:13" x14ac:dyDescent="0.35">
      <c r="A34" t="s">
        <v>283</v>
      </c>
      <c r="B34" t="s">
        <v>174</v>
      </c>
      <c r="C34" t="s">
        <v>284</v>
      </c>
      <c r="D34" t="s">
        <v>190</v>
      </c>
      <c r="E34" t="s">
        <v>51</v>
      </c>
      <c r="F34" t="s">
        <v>53</v>
      </c>
      <c r="G34">
        <v>2</v>
      </c>
      <c r="H34" t="s">
        <v>195</v>
      </c>
      <c r="J34" t="s">
        <v>285</v>
      </c>
      <c r="K34" t="s">
        <v>257</v>
      </c>
      <c r="L34" t="s">
        <v>180</v>
      </c>
      <c r="M34" s="3" t="str">
        <f t="shared" si="0"/>
        <v/>
      </c>
    </row>
    <row r="35" spans="1:13" x14ac:dyDescent="0.35">
      <c r="A35" t="s">
        <v>286</v>
      </c>
      <c r="B35" t="s">
        <v>174</v>
      </c>
      <c r="C35" t="s">
        <v>287</v>
      </c>
      <c r="D35" t="s">
        <v>190</v>
      </c>
      <c r="E35" t="s">
        <v>36</v>
      </c>
      <c r="F35" t="s">
        <v>43</v>
      </c>
      <c r="G35">
        <v>6</v>
      </c>
      <c r="H35" t="s">
        <v>177</v>
      </c>
      <c r="I35" t="s">
        <v>43</v>
      </c>
      <c r="J35" t="s">
        <v>288</v>
      </c>
      <c r="K35" t="s">
        <v>270</v>
      </c>
      <c r="L35" t="s">
        <v>180</v>
      </c>
      <c r="M35" s="3">
        <f t="shared" si="0"/>
        <v>7</v>
      </c>
    </row>
    <row r="36" spans="1:13" x14ac:dyDescent="0.35">
      <c r="A36" t="s">
        <v>289</v>
      </c>
      <c r="B36" t="s">
        <v>174</v>
      </c>
      <c r="C36" t="s">
        <v>290</v>
      </c>
      <c r="D36" t="s">
        <v>190</v>
      </c>
      <c r="E36" t="s">
        <v>42</v>
      </c>
      <c r="F36" t="s">
        <v>45</v>
      </c>
      <c r="G36">
        <v>2</v>
      </c>
      <c r="H36" t="s">
        <v>177</v>
      </c>
      <c r="I36" t="s">
        <v>45</v>
      </c>
      <c r="J36" t="s">
        <v>291</v>
      </c>
      <c r="K36" t="s">
        <v>183</v>
      </c>
      <c r="L36" t="s">
        <v>180</v>
      </c>
      <c r="M36" s="3">
        <f t="shared" si="0"/>
        <v>3</v>
      </c>
    </row>
    <row r="37" spans="1:13" x14ac:dyDescent="0.35">
      <c r="A37" t="s">
        <v>292</v>
      </c>
      <c r="B37" t="s">
        <v>231</v>
      </c>
      <c r="C37" t="s">
        <v>293</v>
      </c>
      <c r="D37" t="s">
        <v>236</v>
      </c>
      <c r="E37" t="s">
        <v>44</v>
      </c>
      <c r="F37" t="s">
        <v>46</v>
      </c>
      <c r="G37">
        <v>2</v>
      </c>
      <c r="H37" t="s">
        <v>177</v>
      </c>
      <c r="I37" t="s">
        <v>47</v>
      </c>
      <c r="J37" t="s">
        <v>294</v>
      </c>
      <c r="K37" t="s">
        <v>192</v>
      </c>
      <c r="L37" t="s">
        <v>184</v>
      </c>
      <c r="M37" s="3">
        <f t="shared" si="0"/>
        <v>3</v>
      </c>
    </row>
    <row r="38" spans="1:13" x14ac:dyDescent="0.35">
      <c r="A38" t="s">
        <v>295</v>
      </c>
      <c r="B38" t="s">
        <v>174</v>
      </c>
      <c r="C38" t="s">
        <v>296</v>
      </c>
      <c r="D38" t="s">
        <v>190</v>
      </c>
      <c r="E38" t="s">
        <v>39</v>
      </c>
      <c r="F38" t="s">
        <v>54</v>
      </c>
      <c r="G38">
        <v>15</v>
      </c>
      <c r="H38" t="s">
        <v>177</v>
      </c>
      <c r="I38" t="s">
        <v>55</v>
      </c>
      <c r="J38" t="s">
        <v>297</v>
      </c>
      <c r="K38" t="s">
        <v>270</v>
      </c>
      <c r="L38" t="s">
        <v>180</v>
      </c>
      <c r="M38" s="3">
        <f t="shared" si="0"/>
        <v>16</v>
      </c>
    </row>
    <row r="39" spans="1:13" x14ac:dyDescent="0.35">
      <c r="A39" t="s">
        <v>298</v>
      </c>
      <c r="B39" t="s">
        <v>174</v>
      </c>
      <c r="C39" t="s">
        <v>299</v>
      </c>
      <c r="D39" t="s">
        <v>236</v>
      </c>
      <c r="E39" t="s">
        <v>47</v>
      </c>
      <c r="F39" t="s">
        <v>53</v>
      </c>
      <c r="G39">
        <v>6</v>
      </c>
      <c r="H39" t="s">
        <v>252</v>
      </c>
      <c r="J39" t="s">
        <v>300</v>
      </c>
      <c r="K39" t="s">
        <v>183</v>
      </c>
      <c r="L39" t="s">
        <v>180</v>
      </c>
      <c r="M39" s="3" t="str">
        <f t="shared" si="0"/>
        <v/>
      </c>
    </row>
    <row r="40" spans="1:13" x14ac:dyDescent="0.35">
      <c r="A40" t="s">
        <v>301</v>
      </c>
      <c r="B40" t="s">
        <v>174</v>
      </c>
      <c r="C40" t="s">
        <v>302</v>
      </c>
      <c r="D40" t="s">
        <v>190</v>
      </c>
      <c r="E40" t="s">
        <v>29</v>
      </c>
      <c r="F40" t="s">
        <v>47</v>
      </c>
      <c r="G40">
        <v>18</v>
      </c>
      <c r="H40" t="s">
        <v>252</v>
      </c>
      <c r="J40" t="s">
        <v>303</v>
      </c>
      <c r="K40" t="s">
        <v>183</v>
      </c>
      <c r="L40" t="s">
        <v>180</v>
      </c>
      <c r="M40" s="3" t="str">
        <f t="shared" si="0"/>
        <v/>
      </c>
    </row>
    <row r="41" spans="1:13" x14ac:dyDescent="0.35">
      <c r="A41" t="s">
        <v>304</v>
      </c>
      <c r="B41" t="s">
        <v>174</v>
      </c>
      <c r="C41" t="s">
        <v>305</v>
      </c>
      <c r="D41" t="s">
        <v>190</v>
      </c>
      <c r="E41" t="s">
        <v>45</v>
      </c>
      <c r="F41" t="s">
        <v>50</v>
      </c>
      <c r="G41">
        <v>5</v>
      </c>
      <c r="H41" t="s">
        <v>195</v>
      </c>
      <c r="J41" t="s">
        <v>306</v>
      </c>
      <c r="K41" t="s">
        <v>183</v>
      </c>
      <c r="L41" t="s">
        <v>184</v>
      </c>
      <c r="M41" s="3" t="str">
        <f t="shared" si="0"/>
        <v/>
      </c>
    </row>
    <row r="42" spans="1:13" x14ac:dyDescent="0.35">
      <c r="A42" t="s">
        <v>307</v>
      </c>
      <c r="B42" t="s">
        <v>174</v>
      </c>
      <c r="C42" t="s">
        <v>308</v>
      </c>
      <c r="D42" t="s">
        <v>225</v>
      </c>
      <c r="E42" t="s">
        <v>51</v>
      </c>
      <c r="F42" t="s">
        <v>54</v>
      </c>
      <c r="G42">
        <v>2</v>
      </c>
      <c r="H42" t="s">
        <v>177</v>
      </c>
      <c r="I42" t="s">
        <v>54</v>
      </c>
      <c r="J42" t="s">
        <v>309</v>
      </c>
      <c r="K42" t="s">
        <v>192</v>
      </c>
      <c r="L42" t="s">
        <v>180</v>
      </c>
      <c r="M42" s="3">
        <f t="shared" si="0"/>
        <v>3</v>
      </c>
    </row>
    <row r="43" spans="1:13" x14ac:dyDescent="0.35">
      <c r="A43" t="s">
        <v>310</v>
      </c>
      <c r="B43" t="s">
        <v>174</v>
      </c>
      <c r="C43" t="s">
        <v>311</v>
      </c>
      <c r="D43" t="s">
        <v>176</v>
      </c>
      <c r="E43" t="s">
        <v>43</v>
      </c>
      <c r="F43" t="s">
        <v>48</v>
      </c>
      <c r="G43">
        <v>5</v>
      </c>
      <c r="H43" t="s">
        <v>177</v>
      </c>
      <c r="I43" t="s">
        <v>49</v>
      </c>
      <c r="J43" t="s">
        <v>312</v>
      </c>
      <c r="K43" t="s">
        <v>183</v>
      </c>
      <c r="L43" t="s">
        <v>180</v>
      </c>
      <c r="M43" s="3">
        <f t="shared" si="0"/>
        <v>6</v>
      </c>
    </row>
    <row r="44" spans="1:13" x14ac:dyDescent="0.35">
      <c r="A44" t="s">
        <v>313</v>
      </c>
      <c r="B44" t="s">
        <v>174</v>
      </c>
      <c r="C44" t="s">
        <v>314</v>
      </c>
      <c r="D44" t="s">
        <v>190</v>
      </c>
      <c r="E44" t="s">
        <v>38</v>
      </c>
      <c r="F44" t="s">
        <v>51</v>
      </c>
      <c r="G44">
        <v>13</v>
      </c>
      <c r="H44" t="s">
        <v>177</v>
      </c>
      <c r="I44" t="s">
        <v>52</v>
      </c>
      <c r="J44" t="s">
        <v>315</v>
      </c>
      <c r="K44" t="s">
        <v>270</v>
      </c>
      <c r="L44" t="s">
        <v>180</v>
      </c>
      <c r="M44" s="3">
        <f t="shared" si="0"/>
        <v>14</v>
      </c>
    </row>
    <row r="45" spans="1:13" x14ac:dyDescent="0.35">
      <c r="A45" t="s">
        <v>316</v>
      </c>
      <c r="B45" t="s">
        <v>174</v>
      </c>
      <c r="C45" t="s">
        <v>317</v>
      </c>
      <c r="D45" t="s">
        <v>190</v>
      </c>
      <c r="E45" t="s">
        <v>39</v>
      </c>
      <c r="F45" t="s">
        <v>46</v>
      </c>
      <c r="G45">
        <v>7</v>
      </c>
      <c r="H45" t="s">
        <v>177</v>
      </c>
      <c r="I45" t="s">
        <v>47</v>
      </c>
      <c r="J45" t="s">
        <v>318</v>
      </c>
      <c r="K45" t="s">
        <v>270</v>
      </c>
      <c r="L45" t="s">
        <v>180</v>
      </c>
      <c r="M45" s="3">
        <f t="shared" si="0"/>
        <v>8</v>
      </c>
    </row>
    <row r="46" spans="1:13" x14ac:dyDescent="0.35">
      <c r="A46" t="s">
        <v>319</v>
      </c>
      <c r="B46" t="s">
        <v>174</v>
      </c>
      <c r="C46" t="s">
        <v>320</v>
      </c>
      <c r="D46" t="s">
        <v>190</v>
      </c>
      <c r="E46" t="s">
        <v>37</v>
      </c>
      <c r="F46" t="s">
        <v>48</v>
      </c>
      <c r="G46">
        <v>11</v>
      </c>
      <c r="H46" t="s">
        <v>177</v>
      </c>
      <c r="I46" t="s">
        <v>48</v>
      </c>
      <c r="J46" t="s">
        <v>321</v>
      </c>
      <c r="K46" t="s">
        <v>192</v>
      </c>
      <c r="L46" t="s">
        <v>180</v>
      </c>
      <c r="M46" s="3">
        <f t="shared" si="0"/>
        <v>11</v>
      </c>
    </row>
    <row r="47" spans="1:13" x14ac:dyDescent="0.35">
      <c r="A47" t="s">
        <v>322</v>
      </c>
      <c r="B47" t="s">
        <v>174</v>
      </c>
      <c r="C47" t="s">
        <v>323</v>
      </c>
      <c r="D47" t="s">
        <v>190</v>
      </c>
      <c r="E47" t="s">
        <v>47</v>
      </c>
      <c r="F47" t="s">
        <v>55</v>
      </c>
      <c r="G47">
        <v>7</v>
      </c>
      <c r="H47" t="s">
        <v>177</v>
      </c>
      <c r="I47" t="s">
        <v>55</v>
      </c>
      <c r="J47" t="s">
        <v>324</v>
      </c>
      <c r="K47" t="s">
        <v>257</v>
      </c>
      <c r="L47" t="s">
        <v>180</v>
      </c>
      <c r="M47" s="3">
        <f t="shared" si="0"/>
        <v>8</v>
      </c>
    </row>
    <row r="48" spans="1:13" x14ac:dyDescent="0.35">
      <c r="A48" t="s">
        <v>325</v>
      </c>
      <c r="B48" t="s">
        <v>174</v>
      </c>
      <c r="C48" t="s">
        <v>326</v>
      </c>
      <c r="D48" t="s">
        <v>236</v>
      </c>
      <c r="E48" t="s">
        <v>50</v>
      </c>
      <c r="F48" t="s">
        <v>54</v>
      </c>
      <c r="G48">
        <v>3</v>
      </c>
      <c r="H48" t="s">
        <v>177</v>
      </c>
      <c r="I48" t="s">
        <v>54</v>
      </c>
      <c r="J48" t="s">
        <v>327</v>
      </c>
      <c r="K48" t="s">
        <v>192</v>
      </c>
      <c r="L48" t="s">
        <v>180</v>
      </c>
      <c r="M48" s="3">
        <f t="shared" si="0"/>
        <v>4</v>
      </c>
    </row>
    <row r="49" spans="1:13" x14ac:dyDescent="0.35">
      <c r="A49" t="s">
        <v>328</v>
      </c>
      <c r="B49" t="s">
        <v>174</v>
      </c>
      <c r="C49" t="s">
        <v>329</v>
      </c>
      <c r="D49" t="s">
        <v>236</v>
      </c>
      <c r="E49" t="s">
        <v>40</v>
      </c>
      <c r="F49" t="s">
        <v>49</v>
      </c>
      <c r="G49">
        <v>9</v>
      </c>
      <c r="H49" t="s">
        <v>252</v>
      </c>
      <c r="J49" t="s">
        <v>330</v>
      </c>
      <c r="K49" t="s">
        <v>331</v>
      </c>
      <c r="L49" t="s">
        <v>180</v>
      </c>
      <c r="M49" s="3" t="str">
        <f t="shared" si="0"/>
        <v/>
      </c>
    </row>
    <row r="50" spans="1:13" x14ac:dyDescent="0.35">
      <c r="A50" t="s">
        <v>332</v>
      </c>
      <c r="B50" t="s">
        <v>174</v>
      </c>
      <c r="C50" t="s">
        <v>333</v>
      </c>
      <c r="D50" t="s">
        <v>190</v>
      </c>
      <c r="E50" t="s">
        <v>40</v>
      </c>
      <c r="F50" t="s">
        <v>54</v>
      </c>
      <c r="G50">
        <v>13</v>
      </c>
      <c r="H50" t="s">
        <v>177</v>
      </c>
      <c r="I50" t="s">
        <v>54</v>
      </c>
      <c r="J50" t="s">
        <v>334</v>
      </c>
      <c r="K50" t="s">
        <v>183</v>
      </c>
      <c r="L50" t="s">
        <v>180</v>
      </c>
      <c r="M50" s="3">
        <f t="shared" si="0"/>
        <v>14</v>
      </c>
    </row>
    <row r="51" spans="1:13" x14ac:dyDescent="0.35">
      <c r="A51" t="s">
        <v>335</v>
      </c>
      <c r="B51" t="s">
        <v>174</v>
      </c>
      <c r="C51" t="s">
        <v>336</v>
      </c>
      <c r="D51" t="s">
        <v>190</v>
      </c>
      <c r="E51" t="s">
        <v>51</v>
      </c>
      <c r="F51" t="s">
        <v>56</v>
      </c>
      <c r="G51">
        <v>5</v>
      </c>
      <c r="H51" t="s">
        <v>195</v>
      </c>
      <c r="J51" t="s">
        <v>337</v>
      </c>
      <c r="K51" t="s">
        <v>257</v>
      </c>
      <c r="L51" t="s">
        <v>184</v>
      </c>
      <c r="M51" s="3" t="str">
        <f t="shared" si="0"/>
        <v/>
      </c>
    </row>
    <row r="52" spans="1:13" x14ac:dyDescent="0.35">
      <c r="A52" t="s">
        <v>338</v>
      </c>
      <c r="B52" t="s">
        <v>174</v>
      </c>
      <c r="C52" t="s">
        <v>339</v>
      </c>
      <c r="D52" t="s">
        <v>190</v>
      </c>
      <c r="E52" t="s">
        <v>45</v>
      </c>
      <c r="F52" t="s">
        <v>48</v>
      </c>
      <c r="G52">
        <v>3</v>
      </c>
      <c r="H52" t="s">
        <v>195</v>
      </c>
      <c r="J52" t="s">
        <v>340</v>
      </c>
      <c r="K52" t="s">
        <v>197</v>
      </c>
      <c r="L52" t="s">
        <v>180</v>
      </c>
      <c r="M52" s="3" t="str">
        <f t="shared" si="0"/>
        <v/>
      </c>
    </row>
    <row r="53" spans="1:13" x14ac:dyDescent="0.35">
      <c r="A53" t="s">
        <v>341</v>
      </c>
      <c r="B53" t="s">
        <v>174</v>
      </c>
      <c r="C53" t="s">
        <v>342</v>
      </c>
      <c r="D53" t="s">
        <v>190</v>
      </c>
      <c r="E53" t="s">
        <v>46</v>
      </c>
      <c r="F53" t="s">
        <v>52</v>
      </c>
      <c r="G53">
        <v>6</v>
      </c>
      <c r="H53" t="s">
        <v>177</v>
      </c>
      <c r="I53" t="s">
        <v>52</v>
      </c>
      <c r="J53" t="s">
        <v>343</v>
      </c>
      <c r="K53" t="s">
        <v>257</v>
      </c>
      <c r="L53" t="s">
        <v>180</v>
      </c>
      <c r="M53" s="3">
        <f t="shared" si="0"/>
        <v>6</v>
      </c>
    </row>
    <row r="54" spans="1:13" x14ac:dyDescent="0.35">
      <c r="A54" t="s">
        <v>344</v>
      </c>
      <c r="B54" t="s">
        <v>174</v>
      </c>
      <c r="C54" t="s">
        <v>345</v>
      </c>
      <c r="D54" t="s">
        <v>190</v>
      </c>
      <c r="E54" t="s">
        <v>44</v>
      </c>
      <c r="F54" t="s">
        <v>50</v>
      </c>
      <c r="G54">
        <v>5</v>
      </c>
      <c r="H54" t="s">
        <v>177</v>
      </c>
      <c r="I54" t="s">
        <v>50</v>
      </c>
      <c r="J54" t="s">
        <v>346</v>
      </c>
      <c r="K54" t="s">
        <v>270</v>
      </c>
      <c r="L54" t="s">
        <v>180</v>
      </c>
      <c r="M54" s="3">
        <f t="shared" si="0"/>
        <v>6</v>
      </c>
    </row>
    <row r="55" spans="1:13" x14ac:dyDescent="0.35">
      <c r="A55" t="s">
        <v>347</v>
      </c>
      <c r="B55" t="s">
        <v>174</v>
      </c>
      <c r="C55" t="s">
        <v>348</v>
      </c>
      <c r="D55" t="s">
        <v>176</v>
      </c>
      <c r="E55" t="s">
        <v>49</v>
      </c>
      <c r="F55" t="s">
        <v>53</v>
      </c>
      <c r="G55">
        <v>4</v>
      </c>
      <c r="H55" t="s">
        <v>177</v>
      </c>
      <c r="I55" t="s">
        <v>54</v>
      </c>
      <c r="J55" t="s">
        <v>349</v>
      </c>
      <c r="K55" t="s">
        <v>183</v>
      </c>
      <c r="L55" t="s">
        <v>180</v>
      </c>
      <c r="M55" s="3">
        <f t="shared" si="0"/>
        <v>5</v>
      </c>
    </row>
    <row r="56" spans="1:13" x14ac:dyDescent="0.35">
      <c r="A56" t="s">
        <v>350</v>
      </c>
      <c r="B56" t="s">
        <v>174</v>
      </c>
      <c r="C56" t="s">
        <v>351</v>
      </c>
      <c r="D56" t="s">
        <v>190</v>
      </c>
      <c r="E56" t="s">
        <v>40</v>
      </c>
      <c r="F56" t="s">
        <v>46</v>
      </c>
      <c r="G56">
        <v>6</v>
      </c>
      <c r="H56" t="s">
        <v>252</v>
      </c>
      <c r="J56" t="s">
        <v>352</v>
      </c>
      <c r="K56" t="s">
        <v>270</v>
      </c>
      <c r="L56" t="s">
        <v>180</v>
      </c>
      <c r="M56" s="3" t="str">
        <f t="shared" si="0"/>
        <v/>
      </c>
    </row>
    <row r="57" spans="1:13" x14ac:dyDescent="0.35">
      <c r="A57" t="s">
        <v>350</v>
      </c>
      <c r="B57" t="s">
        <v>174</v>
      </c>
      <c r="C57" t="s">
        <v>351</v>
      </c>
      <c r="D57" t="s">
        <v>190</v>
      </c>
      <c r="E57" t="s">
        <v>40</v>
      </c>
      <c r="F57" t="s">
        <v>55</v>
      </c>
      <c r="G57">
        <v>15</v>
      </c>
      <c r="H57" t="s">
        <v>195</v>
      </c>
      <c r="J57" t="s">
        <v>352</v>
      </c>
      <c r="K57" t="s">
        <v>270</v>
      </c>
      <c r="L57" t="s">
        <v>180</v>
      </c>
      <c r="M57" s="3" t="str">
        <f t="shared" si="0"/>
        <v/>
      </c>
    </row>
    <row r="58" spans="1:13" x14ac:dyDescent="0.35">
      <c r="A58" t="s">
        <v>353</v>
      </c>
      <c r="B58" t="s">
        <v>174</v>
      </c>
      <c r="C58" t="s">
        <v>354</v>
      </c>
      <c r="D58" t="s">
        <v>236</v>
      </c>
      <c r="E58" t="s">
        <v>51</v>
      </c>
      <c r="F58" t="s">
        <v>56</v>
      </c>
      <c r="G58">
        <v>5</v>
      </c>
      <c r="H58" t="s">
        <v>195</v>
      </c>
      <c r="J58" t="s">
        <v>355</v>
      </c>
      <c r="K58" t="s">
        <v>257</v>
      </c>
      <c r="L58" t="s">
        <v>184</v>
      </c>
      <c r="M58" s="3" t="str">
        <f t="shared" si="0"/>
        <v/>
      </c>
    </row>
    <row r="59" spans="1:13" x14ac:dyDescent="0.35">
      <c r="A59" t="s">
        <v>356</v>
      </c>
      <c r="B59" t="s">
        <v>174</v>
      </c>
      <c r="C59" t="s">
        <v>357</v>
      </c>
      <c r="D59" t="s">
        <v>190</v>
      </c>
      <c r="E59" t="s">
        <v>38</v>
      </c>
      <c r="F59" t="s">
        <v>48</v>
      </c>
      <c r="G59">
        <v>9</v>
      </c>
      <c r="H59" t="s">
        <v>177</v>
      </c>
      <c r="I59" t="s">
        <v>49</v>
      </c>
      <c r="J59" t="s">
        <v>358</v>
      </c>
      <c r="K59" t="s">
        <v>270</v>
      </c>
      <c r="L59" t="s">
        <v>184</v>
      </c>
      <c r="M59" s="3">
        <f t="shared" si="0"/>
        <v>11</v>
      </c>
    </row>
    <row r="60" spans="1:13" x14ac:dyDescent="0.35">
      <c r="A60" t="s">
        <v>359</v>
      </c>
      <c r="B60" t="s">
        <v>174</v>
      </c>
      <c r="C60" t="s">
        <v>360</v>
      </c>
      <c r="D60" t="s">
        <v>176</v>
      </c>
      <c r="E60" t="s">
        <v>51</v>
      </c>
      <c r="F60" t="s">
        <v>54</v>
      </c>
      <c r="G60">
        <v>2</v>
      </c>
      <c r="H60" t="s">
        <v>177</v>
      </c>
      <c r="I60" t="s">
        <v>54</v>
      </c>
      <c r="J60" t="s">
        <v>361</v>
      </c>
      <c r="K60" t="s">
        <v>183</v>
      </c>
      <c r="L60" t="s">
        <v>184</v>
      </c>
      <c r="M60" s="3">
        <f t="shared" si="0"/>
        <v>3</v>
      </c>
    </row>
    <row r="61" spans="1:13" x14ac:dyDescent="0.35">
      <c r="A61" t="s">
        <v>362</v>
      </c>
      <c r="B61" t="s">
        <v>174</v>
      </c>
      <c r="C61" t="s">
        <v>363</v>
      </c>
      <c r="D61" t="s">
        <v>190</v>
      </c>
      <c r="E61" t="s">
        <v>48</v>
      </c>
      <c r="F61" t="s">
        <v>55</v>
      </c>
      <c r="G61">
        <v>7</v>
      </c>
      <c r="H61" t="s">
        <v>177</v>
      </c>
      <c r="I61" t="s">
        <v>55</v>
      </c>
      <c r="J61" t="s">
        <v>364</v>
      </c>
      <c r="K61" t="s">
        <v>197</v>
      </c>
      <c r="L61" t="s">
        <v>180</v>
      </c>
      <c r="M61" s="3">
        <f t="shared" si="0"/>
        <v>7</v>
      </c>
    </row>
    <row r="62" spans="1:13" x14ac:dyDescent="0.35">
      <c r="A62" t="s">
        <v>365</v>
      </c>
      <c r="B62" t="s">
        <v>174</v>
      </c>
      <c r="C62" t="s">
        <v>366</v>
      </c>
      <c r="D62" t="s">
        <v>190</v>
      </c>
      <c r="E62" t="s">
        <v>47</v>
      </c>
      <c r="F62" t="s">
        <v>55</v>
      </c>
      <c r="G62">
        <v>7</v>
      </c>
      <c r="H62" t="s">
        <v>177</v>
      </c>
      <c r="I62" t="s">
        <v>56</v>
      </c>
      <c r="J62" t="s">
        <v>367</v>
      </c>
      <c r="K62" t="s">
        <v>257</v>
      </c>
      <c r="L62" t="s">
        <v>180</v>
      </c>
      <c r="M62" s="3">
        <f t="shared" si="0"/>
        <v>9</v>
      </c>
    </row>
    <row r="63" spans="1:13" x14ac:dyDescent="0.35">
      <c r="A63" t="s">
        <v>368</v>
      </c>
      <c r="B63" t="s">
        <v>174</v>
      </c>
      <c r="C63" t="s">
        <v>369</v>
      </c>
      <c r="D63" t="s">
        <v>190</v>
      </c>
      <c r="E63" t="s">
        <v>44</v>
      </c>
      <c r="F63" t="s">
        <v>50</v>
      </c>
      <c r="G63">
        <v>5</v>
      </c>
      <c r="H63" t="s">
        <v>195</v>
      </c>
      <c r="J63" t="s">
        <v>370</v>
      </c>
      <c r="K63" t="s">
        <v>257</v>
      </c>
      <c r="L63" t="s">
        <v>180</v>
      </c>
      <c r="M63" s="3" t="str">
        <f t="shared" si="0"/>
        <v/>
      </c>
    </row>
    <row r="64" spans="1:13" x14ac:dyDescent="0.35">
      <c r="A64" t="s">
        <v>371</v>
      </c>
      <c r="B64" t="s">
        <v>174</v>
      </c>
      <c r="C64" t="s">
        <v>372</v>
      </c>
      <c r="D64" t="s">
        <v>190</v>
      </c>
      <c r="E64" t="s">
        <v>48</v>
      </c>
      <c r="F64" t="s">
        <v>55</v>
      </c>
      <c r="G64">
        <v>8</v>
      </c>
      <c r="H64" t="s">
        <v>177</v>
      </c>
      <c r="I64" t="s">
        <v>56</v>
      </c>
      <c r="J64" t="s">
        <v>373</v>
      </c>
      <c r="K64" t="s">
        <v>197</v>
      </c>
      <c r="L64" t="s">
        <v>184</v>
      </c>
      <c r="M64" s="3">
        <f t="shared" si="0"/>
        <v>8</v>
      </c>
    </row>
    <row r="65" spans="1:13" x14ac:dyDescent="0.35">
      <c r="A65" t="s">
        <v>374</v>
      </c>
      <c r="B65" t="s">
        <v>174</v>
      </c>
      <c r="C65" t="s">
        <v>375</v>
      </c>
      <c r="D65" t="s">
        <v>190</v>
      </c>
      <c r="E65" t="s">
        <v>39</v>
      </c>
      <c r="F65" t="s">
        <v>53</v>
      </c>
      <c r="G65">
        <v>13</v>
      </c>
      <c r="H65" t="s">
        <v>177</v>
      </c>
      <c r="I65" t="s">
        <v>53</v>
      </c>
      <c r="J65" t="s">
        <v>376</v>
      </c>
      <c r="K65" t="s">
        <v>377</v>
      </c>
      <c r="L65" t="s">
        <v>180</v>
      </c>
      <c r="M65" s="3">
        <f t="shared" si="0"/>
        <v>14</v>
      </c>
    </row>
    <row r="66" spans="1:13" x14ac:dyDescent="0.35">
      <c r="A66" t="s">
        <v>378</v>
      </c>
      <c r="B66" t="s">
        <v>174</v>
      </c>
      <c r="C66" t="s">
        <v>379</v>
      </c>
      <c r="D66" t="s">
        <v>176</v>
      </c>
      <c r="E66" t="s">
        <v>32</v>
      </c>
      <c r="F66" t="s">
        <v>51</v>
      </c>
      <c r="G66">
        <v>19</v>
      </c>
      <c r="H66" t="s">
        <v>177</v>
      </c>
      <c r="I66" t="s">
        <v>52</v>
      </c>
      <c r="J66" t="s">
        <v>380</v>
      </c>
      <c r="K66" t="s">
        <v>183</v>
      </c>
      <c r="L66" t="s">
        <v>180</v>
      </c>
      <c r="M66" s="3">
        <f t="shared" si="0"/>
        <v>20</v>
      </c>
    </row>
    <row r="67" spans="1:13" x14ac:dyDescent="0.35">
      <c r="A67" t="s">
        <v>381</v>
      </c>
      <c r="B67" t="s">
        <v>174</v>
      </c>
      <c r="C67" t="s">
        <v>382</v>
      </c>
      <c r="D67" t="s">
        <v>176</v>
      </c>
      <c r="E67" t="s">
        <v>26</v>
      </c>
      <c r="F67" t="s">
        <v>56</v>
      </c>
      <c r="G67">
        <v>30</v>
      </c>
      <c r="H67" t="s">
        <v>195</v>
      </c>
      <c r="J67" t="s">
        <v>383</v>
      </c>
      <c r="K67" t="s">
        <v>183</v>
      </c>
      <c r="L67" t="s">
        <v>180</v>
      </c>
      <c r="M67" s="3" t="str">
        <f t="shared" ref="M67:M130" si="1">IF(H67="Efectivo",IFERROR((VALUE(RIGHT(I67,4))-VALUE(RIGHT(E67,4)))*12+(VALUE(LEFT(I67,2))-VALUE(LEFT(E67,2))),""),"")</f>
        <v/>
      </c>
    </row>
    <row r="68" spans="1:13" x14ac:dyDescent="0.35">
      <c r="A68" t="s">
        <v>384</v>
      </c>
      <c r="B68" t="s">
        <v>174</v>
      </c>
      <c r="C68" t="s">
        <v>385</v>
      </c>
      <c r="D68" t="s">
        <v>225</v>
      </c>
      <c r="E68" t="s">
        <v>34</v>
      </c>
      <c r="F68" t="s">
        <v>51</v>
      </c>
      <c r="G68">
        <v>18</v>
      </c>
      <c r="H68" t="s">
        <v>177</v>
      </c>
      <c r="I68" t="s">
        <v>52</v>
      </c>
      <c r="J68" t="s">
        <v>386</v>
      </c>
      <c r="K68" t="s">
        <v>183</v>
      </c>
      <c r="L68" t="s">
        <v>180</v>
      </c>
      <c r="M68" s="3">
        <f t="shared" si="1"/>
        <v>18</v>
      </c>
    </row>
    <row r="69" spans="1:13" x14ac:dyDescent="0.35">
      <c r="A69" t="s">
        <v>387</v>
      </c>
      <c r="B69" t="s">
        <v>174</v>
      </c>
      <c r="C69" t="s">
        <v>388</v>
      </c>
      <c r="D69" t="s">
        <v>176</v>
      </c>
      <c r="E69" t="s">
        <v>43</v>
      </c>
      <c r="F69" t="s">
        <v>48</v>
      </c>
      <c r="G69">
        <v>5</v>
      </c>
      <c r="H69" t="s">
        <v>195</v>
      </c>
      <c r="J69" t="s">
        <v>389</v>
      </c>
      <c r="K69" t="s">
        <v>183</v>
      </c>
      <c r="L69" t="s">
        <v>180</v>
      </c>
      <c r="M69" s="3" t="str">
        <f t="shared" si="1"/>
        <v/>
      </c>
    </row>
    <row r="70" spans="1:13" x14ac:dyDescent="0.35">
      <c r="A70" t="s">
        <v>390</v>
      </c>
      <c r="B70" t="s">
        <v>174</v>
      </c>
      <c r="C70" t="s">
        <v>391</v>
      </c>
      <c r="D70" t="s">
        <v>225</v>
      </c>
      <c r="E70" t="s">
        <v>392</v>
      </c>
      <c r="F70" t="s">
        <v>43</v>
      </c>
      <c r="G70">
        <v>35</v>
      </c>
      <c r="H70" t="s">
        <v>177</v>
      </c>
      <c r="I70" t="s">
        <v>44</v>
      </c>
      <c r="J70" t="s">
        <v>393</v>
      </c>
      <c r="K70" t="s">
        <v>183</v>
      </c>
      <c r="L70" t="s">
        <v>180</v>
      </c>
      <c r="M70" s="3">
        <f t="shared" si="1"/>
        <v>35</v>
      </c>
    </row>
    <row r="71" spans="1:13" x14ac:dyDescent="0.35">
      <c r="A71" t="s">
        <v>394</v>
      </c>
      <c r="B71" t="s">
        <v>174</v>
      </c>
      <c r="C71" t="s">
        <v>395</v>
      </c>
      <c r="D71" t="s">
        <v>190</v>
      </c>
      <c r="E71" t="s">
        <v>50</v>
      </c>
      <c r="F71" t="s">
        <v>53</v>
      </c>
      <c r="G71">
        <v>3</v>
      </c>
      <c r="H71" t="s">
        <v>177</v>
      </c>
      <c r="I71" t="s">
        <v>55</v>
      </c>
      <c r="J71" t="s">
        <v>396</v>
      </c>
      <c r="K71" t="s">
        <v>219</v>
      </c>
      <c r="L71" t="s">
        <v>180</v>
      </c>
      <c r="M71" s="3">
        <f t="shared" si="1"/>
        <v>5</v>
      </c>
    </row>
    <row r="72" spans="1:13" x14ac:dyDescent="0.35">
      <c r="A72" t="s">
        <v>397</v>
      </c>
      <c r="B72" t="s">
        <v>174</v>
      </c>
      <c r="C72" t="s">
        <v>398</v>
      </c>
      <c r="D72" t="s">
        <v>190</v>
      </c>
      <c r="E72" t="s">
        <v>44</v>
      </c>
      <c r="F72" t="s">
        <v>48</v>
      </c>
      <c r="G72">
        <v>3</v>
      </c>
      <c r="H72" t="s">
        <v>195</v>
      </c>
      <c r="J72" t="s">
        <v>399</v>
      </c>
      <c r="K72" t="s">
        <v>257</v>
      </c>
      <c r="L72" t="s">
        <v>184</v>
      </c>
      <c r="M72" s="3" t="str">
        <f t="shared" si="1"/>
        <v/>
      </c>
    </row>
    <row r="73" spans="1:13" x14ac:dyDescent="0.35">
      <c r="A73" t="s">
        <v>400</v>
      </c>
      <c r="B73" t="s">
        <v>174</v>
      </c>
      <c r="C73" t="s">
        <v>401</v>
      </c>
      <c r="D73" t="s">
        <v>190</v>
      </c>
      <c r="E73" t="s">
        <v>46</v>
      </c>
      <c r="F73" t="s">
        <v>53</v>
      </c>
      <c r="G73">
        <v>7</v>
      </c>
      <c r="H73" t="s">
        <v>195</v>
      </c>
      <c r="J73" t="s">
        <v>402</v>
      </c>
      <c r="K73" t="s">
        <v>197</v>
      </c>
      <c r="L73" t="s">
        <v>180</v>
      </c>
      <c r="M73" s="3" t="str">
        <f t="shared" si="1"/>
        <v/>
      </c>
    </row>
    <row r="74" spans="1:13" x14ac:dyDescent="0.35">
      <c r="A74" t="s">
        <v>403</v>
      </c>
      <c r="B74" t="s">
        <v>174</v>
      </c>
      <c r="C74" t="s">
        <v>404</v>
      </c>
      <c r="D74" t="s">
        <v>176</v>
      </c>
      <c r="E74" t="s">
        <v>46</v>
      </c>
      <c r="F74" t="s">
        <v>50</v>
      </c>
      <c r="G74">
        <v>5</v>
      </c>
      <c r="H74" t="s">
        <v>252</v>
      </c>
      <c r="J74" t="s">
        <v>405</v>
      </c>
      <c r="K74" t="s">
        <v>183</v>
      </c>
      <c r="L74" t="s">
        <v>180</v>
      </c>
      <c r="M74" s="3" t="str">
        <f t="shared" si="1"/>
        <v/>
      </c>
    </row>
    <row r="75" spans="1:13" x14ac:dyDescent="0.35">
      <c r="A75" t="s">
        <v>406</v>
      </c>
      <c r="B75" t="s">
        <v>174</v>
      </c>
      <c r="C75" t="s">
        <v>407</v>
      </c>
      <c r="D75" t="s">
        <v>190</v>
      </c>
      <c r="E75" t="s">
        <v>30</v>
      </c>
      <c r="F75" t="s">
        <v>54</v>
      </c>
      <c r="G75">
        <v>24</v>
      </c>
      <c r="H75" t="s">
        <v>177</v>
      </c>
      <c r="I75" t="s">
        <v>56</v>
      </c>
      <c r="J75" t="s">
        <v>408</v>
      </c>
      <c r="K75" t="s">
        <v>270</v>
      </c>
      <c r="L75" t="s">
        <v>180</v>
      </c>
      <c r="M75" s="3">
        <f t="shared" si="1"/>
        <v>26</v>
      </c>
    </row>
    <row r="76" spans="1:13" x14ac:dyDescent="0.35">
      <c r="A76" t="s">
        <v>409</v>
      </c>
      <c r="B76" t="s">
        <v>174</v>
      </c>
      <c r="C76" t="s">
        <v>410</v>
      </c>
      <c r="D76" t="s">
        <v>236</v>
      </c>
      <c r="E76" t="s">
        <v>48</v>
      </c>
      <c r="F76" t="s">
        <v>50</v>
      </c>
      <c r="G76">
        <v>2</v>
      </c>
      <c r="H76" t="s">
        <v>195</v>
      </c>
      <c r="J76" t="s">
        <v>411</v>
      </c>
      <c r="K76" t="s">
        <v>183</v>
      </c>
      <c r="L76" t="s">
        <v>184</v>
      </c>
      <c r="M76" s="3" t="str">
        <f t="shared" si="1"/>
        <v/>
      </c>
    </row>
    <row r="77" spans="1:13" x14ac:dyDescent="0.35">
      <c r="A77" t="s">
        <v>412</v>
      </c>
      <c r="B77" t="s">
        <v>174</v>
      </c>
      <c r="C77" t="s">
        <v>413</v>
      </c>
      <c r="D77" t="s">
        <v>225</v>
      </c>
      <c r="E77" t="s">
        <v>47</v>
      </c>
      <c r="F77" t="s">
        <v>55</v>
      </c>
      <c r="G77">
        <v>8</v>
      </c>
      <c r="H77" t="s">
        <v>195</v>
      </c>
      <c r="J77" t="s">
        <v>414</v>
      </c>
      <c r="K77" t="s">
        <v>192</v>
      </c>
      <c r="L77" t="s">
        <v>180</v>
      </c>
      <c r="M77" s="3" t="str">
        <f t="shared" si="1"/>
        <v/>
      </c>
    </row>
    <row r="78" spans="1:13" x14ac:dyDescent="0.35">
      <c r="A78" t="s">
        <v>415</v>
      </c>
      <c r="B78" t="s">
        <v>174</v>
      </c>
      <c r="C78" t="s">
        <v>416</v>
      </c>
      <c r="D78" t="s">
        <v>190</v>
      </c>
      <c r="E78" t="s">
        <v>39</v>
      </c>
      <c r="F78" t="s">
        <v>55</v>
      </c>
      <c r="G78">
        <v>16</v>
      </c>
      <c r="H78" t="s">
        <v>177</v>
      </c>
      <c r="I78" t="s">
        <v>55</v>
      </c>
      <c r="J78" t="s">
        <v>417</v>
      </c>
      <c r="K78" t="s">
        <v>270</v>
      </c>
      <c r="L78" t="s">
        <v>180</v>
      </c>
      <c r="M78" s="3">
        <f t="shared" si="1"/>
        <v>16</v>
      </c>
    </row>
    <row r="79" spans="1:13" x14ac:dyDescent="0.35">
      <c r="A79" t="s">
        <v>418</v>
      </c>
      <c r="B79" t="s">
        <v>174</v>
      </c>
      <c r="C79" t="s">
        <v>419</v>
      </c>
      <c r="D79" t="s">
        <v>190</v>
      </c>
      <c r="E79" t="s">
        <v>39</v>
      </c>
      <c r="F79" t="s">
        <v>40</v>
      </c>
      <c r="G79">
        <v>1</v>
      </c>
      <c r="H79" t="s">
        <v>177</v>
      </c>
      <c r="I79" t="s">
        <v>41</v>
      </c>
      <c r="J79" t="s">
        <v>420</v>
      </c>
      <c r="K79" t="s">
        <v>270</v>
      </c>
      <c r="L79" t="s">
        <v>184</v>
      </c>
      <c r="M79" s="3">
        <f t="shared" si="1"/>
        <v>2</v>
      </c>
    </row>
    <row r="80" spans="1:13" x14ac:dyDescent="0.35">
      <c r="A80" t="s">
        <v>421</v>
      </c>
      <c r="B80" t="s">
        <v>174</v>
      </c>
      <c r="C80" t="s">
        <v>422</v>
      </c>
      <c r="D80" t="s">
        <v>190</v>
      </c>
      <c r="E80" t="s">
        <v>423</v>
      </c>
      <c r="F80" t="s">
        <v>43</v>
      </c>
      <c r="G80">
        <v>33</v>
      </c>
      <c r="H80" t="s">
        <v>252</v>
      </c>
      <c r="J80" t="s">
        <v>424</v>
      </c>
      <c r="K80" t="s">
        <v>425</v>
      </c>
      <c r="L80" t="s">
        <v>180</v>
      </c>
      <c r="M80" s="3" t="str">
        <f t="shared" si="1"/>
        <v/>
      </c>
    </row>
    <row r="81" spans="1:13" x14ac:dyDescent="0.35">
      <c r="A81" t="s">
        <v>426</v>
      </c>
      <c r="B81" t="s">
        <v>174</v>
      </c>
      <c r="C81" t="s">
        <v>427</v>
      </c>
      <c r="D81" t="s">
        <v>190</v>
      </c>
      <c r="E81" t="s">
        <v>48</v>
      </c>
      <c r="F81" t="s">
        <v>51</v>
      </c>
      <c r="G81">
        <v>3</v>
      </c>
      <c r="H81" t="s">
        <v>177</v>
      </c>
      <c r="I81" t="s">
        <v>52</v>
      </c>
      <c r="J81" t="s">
        <v>428</v>
      </c>
      <c r="K81" t="s">
        <v>257</v>
      </c>
      <c r="L81" t="s">
        <v>184</v>
      </c>
      <c r="M81" s="3">
        <f t="shared" si="1"/>
        <v>4</v>
      </c>
    </row>
    <row r="82" spans="1:13" x14ac:dyDescent="0.35">
      <c r="A82" t="s">
        <v>429</v>
      </c>
      <c r="B82" t="s">
        <v>174</v>
      </c>
      <c r="C82" t="s">
        <v>430</v>
      </c>
      <c r="D82" t="s">
        <v>190</v>
      </c>
      <c r="E82" t="s">
        <v>39</v>
      </c>
      <c r="F82" t="s">
        <v>47</v>
      </c>
      <c r="G82">
        <v>8</v>
      </c>
      <c r="H82" t="s">
        <v>177</v>
      </c>
      <c r="I82" t="s">
        <v>48</v>
      </c>
      <c r="J82" t="s">
        <v>431</v>
      </c>
      <c r="K82" t="s">
        <v>270</v>
      </c>
      <c r="L82" t="s">
        <v>180</v>
      </c>
      <c r="M82" s="3">
        <f t="shared" si="1"/>
        <v>9</v>
      </c>
    </row>
    <row r="83" spans="1:13" x14ac:dyDescent="0.35">
      <c r="A83" t="s">
        <v>432</v>
      </c>
      <c r="B83" t="s">
        <v>174</v>
      </c>
      <c r="C83" t="s">
        <v>433</v>
      </c>
      <c r="D83" t="s">
        <v>176</v>
      </c>
      <c r="E83" t="s">
        <v>25</v>
      </c>
      <c r="F83" t="s">
        <v>55</v>
      </c>
      <c r="G83">
        <v>29</v>
      </c>
      <c r="H83" t="s">
        <v>195</v>
      </c>
      <c r="J83" t="s">
        <v>434</v>
      </c>
      <c r="K83" t="s">
        <v>183</v>
      </c>
      <c r="L83" t="s">
        <v>180</v>
      </c>
      <c r="M83" s="3" t="str">
        <f t="shared" si="1"/>
        <v/>
      </c>
    </row>
    <row r="84" spans="1:13" x14ac:dyDescent="0.35">
      <c r="A84" t="s">
        <v>435</v>
      </c>
      <c r="B84" t="s">
        <v>174</v>
      </c>
      <c r="C84" t="s">
        <v>436</v>
      </c>
      <c r="D84" t="s">
        <v>190</v>
      </c>
      <c r="E84" t="s">
        <v>42</v>
      </c>
      <c r="F84" t="s">
        <v>45</v>
      </c>
      <c r="G84">
        <v>3</v>
      </c>
      <c r="H84" t="s">
        <v>177</v>
      </c>
      <c r="I84" t="s">
        <v>45</v>
      </c>
      <c r="J84" t="s">
        <v>437</v>
      </c>
      <c r="K84" t="s">
        <v>197</v>
      </c>
      <c r="L84" t="s">
        <v>180</v>
      </c>
      <c r="M84" s="3">
        <f t="shared" si="1"/>
        <v>3</v>
      </c>
    </row>
    <row r="85" spans="1:13" x14ac:dyDescent="0.35">
      <c r="A85" t="s">
        <v>438</v>
      </c>
      <c r="B85" t="s">
        <v>174</v>
      </c>
      <c r="C85" t="s">
        <v>439</v>
      </c>
      <c r="D85" t="s">
        <v>236</v>
      </c>
      <c r="E85" t="s">
        <v>46</v>
      </c>
      <c r="F85" t="s">
        <v>50</v>
      </c>
      <c r="G85">
        <v>5</v>
      </c>
      <c r="H85" t="s">
        <v>177</v>
      </c>
      <c r="I85" t="s">
        <v>51</v>
      </c>
      <c r="J85" t="s">
        <v>440</v>
      </c>
      <c r="K85" t="s">
        <v>192</v>
      </c>
      <c r="L85" t="s">
        <v>184</v>
      </c>
      <c r="M85" s="3">
        <f t="shared" si="1"/>
        <v>5</v>
      </c>
    </row>
    <row r="86" spans="1:13" x14ac:dyDescent="0.35">
      <c r="A86" t="s">
        <v>441</v>
      </c>
      <c r="B86" t="s">
        <v>174</v>
      </c>
      <c r="C86" t="s">
        <v>442</v>
      </c>
      <c r="D86" t="s">
        <v>236</v>
      </c>
      <c r="E86" t="s">
        <v>48</v>
      </c>
      <c r="F86" t="s">
        <v>51</v>
      </c>
      <c r="G86">
        <v>2</v>
      </c>
      <c r="H86" t="s">
        <v>177</v>
      </c>
      <c r="I86" t="s">
        <v>53</v>
      </c>
      <c r="J86" t="s">
        <v>443</v>
      </c>
      <c r="K86" t="s">
        <v>192</v>
      </c>
      <c r="L86" t="s">
        <v>184</v>
      </c>
      <c r="M86" s="3">
        <f t="shared" si="1"/>
        <v>5</v>
      </c>
    </row>
    <row r="87" spans="1:13" x14ac:dyDescent="0.35">
      <c r="A87" t="s">
        <v>444</v>
      </c>
      <c r="B87" t="s">
        <v>174</v>
      </c>
      <c r="C87" t="s">
        <v>445</v>
      </c>
      <c r="D87" t="s">
        <v>190</v>
      </c>
      <c r="E87" t="s">
        <v>47</v>
      </c>
      <c r="F87" t="s">
        <v>51</v>
      </c>
      <c r="G87">
        <v>4</v>
      </c>
      <c r="H87" t="s">
        <v>177</v>
      </c>
      <c r="I87" t="s">
        <v>52</v>
      </c>
      <c r="J87" t="s">
        <v>446</v>
      </c>
      <c r="K87" t="s">
        <v>257</v>
      </c>
      <c r="L87" t="s">
        <v>184</v>
      </c>
      <c r="M87" s="3">
        <f t="shared" si="1"/>
        <v>5</v>
      </c>
    </row>
    <row r="88" spans="1:13" x14ac:dyDescent="0.35">
      <c r="A88" t="s">
        <v>447</v>
      </c>
      <c r="B88" t="s">
        <v>174</v>
      </c>
      <c r="C88" t="s">
        <v>448</v>
      </c>
      <c r="D88" t="s">
        <v>190</v>
      </c>
      <c r="E88" t="s">
        <v>38</v>
      </c>
      <c r="F88" t="s">
        <v>48</v>
      </c>
      <c r="G88">
        <v>10</v>
      </c>
      <c r="H88" t="s">
        <v>195</v>
      </c>
      <c r="J88" t="s">
        <v>449</v>
      </c>
      <c r="K88" t="s">
        <v>183</v>
      </c>
      <c r="L88" t="s">
        <v>180</v>
      </c>
      <c r="M88" s="3" t="str">
        <f t="shared" si="1"/>
        <v/>
      </c>
    </row>
    <row r="89" spans="1:13" x14ac:dyDescent="0.35">
      <c r="A89" t="s">
        <v>450</v>
      </c>
      <c r="B89" t="s">
        <v>174</v>
      </c>
      <c r="C89" t="s">
        <v>451</v>
      </c>
      <c r="D89" t="s">
        <v>190</v>
      </c>
      <c r="E89" t="s">
        <v>40</v>
      </c>
      <c r="F89" t="s">
        <v>53</v>
      </c>
      <c r="G89">
        <v>13</v>
      </c>
      <c r="H89" t="s">
        <v>195</v>
      </c>
      <c r="J89" t="s">
        <v>452</v>
      </c>
      <c r="K89" t="s">
        <v>183</v>
      </c>
      <c r="L89" t="s">
        <v>180</v>
      </c>
      <c r="M89" s="3" t="str">
        <f t="shared" si="1"/>
        <v/>
      </c>
    </row>
    <row r="90" spans="1:13" x14ac:dyDescent="0.35">
      <c r="A90" t="s">
        <v>453</v>
      </c>
      <c r="B90" t="s">
        <v>174</v>
      </c>
      <c r="C90" t="s">
        <v>454</v>
      </c>
      <c r="D90" t="s">
        <v>176</v>
      </c>
      <c r="E90" t="s">
        <v>51</v>
      </c>
      <c r="F90" t="s">
        <v>55</v>
      </c>
      <c r="G90">
        <v>4</v>
      </c>
      <c r="H90" t="s">
        <v>177</v>
      </c>
      <c r="I90" t="s">
        <v>55</v>
      </c>
      <c r="J90" t="s">
        <v>455</v>
      </c>
      <c r="K90" t="s">
        <v>183</v>
      </c>
      <c r="L90" t="s">
        <v>184</v>
      </c>
      <c r="M90" s="3">
        <f t="shared" si="1"/>
        <v>4</v>
      </c>
    </row>
    <row r="91" spans="1:13" x14ac:dyDescent="0.35">
      <c r="A91" t="s">
        <v>456</v>
      </c>
      <c r="B91" t="s">
        <v>174</v>
      </c>
      <c r="C91" t="s">
        <v>457</v>
      </c>
      <c r="D91" t="s">
        <v>236</v>
      </c>
      <c r="E91" t="s">
        <v>45</v>
      </c>
      <c r="F91" t="s">
        <v>55</v>
      </c>
      <c r="G91">
        <v>10</v>
      </c>
      <c r="H91" t="s">
        <v>177</v>
      </c>
      <c r="I91" t="s">
        <v>55</v>
      </c>
      <c r="J91" t="s">
        <v>458</v>
      </c>
      <c r="K91" t="s">
        <v>183</v>
      </c>
      <c r="L91" t="s">
        <v>180</v>
      </c>
      <c r="M91" s="3">
        <f t="shared" si="1"/>
        <v>10</v>
      </c>
    </row>
    <row r="92" spans="1:13" x14ac:dyDescent="0.35">
      <c r="A92" t="s">
        <v>459</v>
      </c>
      <c r="B92" t="s">
        <v>174</v>
      </c>
      <c r="C92" t="s">
        <v>460</v>
      </c>
      <c r="D92" t="s">
        <v>225</v>
      </c>
      <c r="E92" t="s">
        <v>45</v>
      </c>
      <c r="F92" t="s">
        <v>49</v>
      </c>
      <c r="G92">
        <v>4</v>
      </c>
      <c r="H92" t="s">
        <v>177</v>
      </c>
      <c r="I92" t="s">
        <v>50</v>
      </c>
      <c r="J92" t="s">
        <v>461</v>
      </c>
      <c r="K92" t="s">
        <v>183</v>
      </c>
      <c r="L92" t="s">
        <v>180</v>
      </c>
      <c r="M92" s="3">
        <f t="shared" si="1"/>
        <v>5</v>
      </c>
    </row>
    <row r="93" spans="1:13" x14ac:dyDescent="0.35">
      <c r="A93" t="s">
        <v>462</v>
      </c>
      <c r="B93" t="s">
        <v>174</v>
      </c>
      <c r="C93" t="s">
        <v>463</v>
      </c>
      <c r="D93" t="s">
        <v>176</v>
      </c>
      <c r="E93" t="s">
        <v>49</v>
      </c>
      <c r="F93" t="s">
        <v>55</v>
      </c>
      <c r="G93">
        <v>7</v>
      </c>
      <c r="H93" t="s">
        <v>252</v>
      </c>
      <c r="J93" t="s">
        <v>464</v>
      </c>
      <c r="K93" t="s">
        <v>183</v>
      </c>
      <c r="L93" t="s">
        <v>180</v>
      </c>
      <c r="M93" s="3" t="str">
        <f t="shared" si="1"/>
        <v/>
      </c>
    </row>
    <row r="94" spans="1:13" x14ac:dyDescent="0.35">
      <c r="A94" t="s">
        <v>465</v>
      </c>
      <c r="B94" t="s">
        <v>174</v>
      </c>
      <c r="C94" t="s">
        <v>466</v>
      </c>
      <c r="D94" t="s">
        <v>190</v>
      </c>
      <c r="E94" t="s">
        <v>41</v>
      </c>
      <c r="F94" t="s">
        <v>45</v>
      </c>
      <c r="G94">
        <v>4</v>
      </c>
      <c r="H94" t="s">
        <v>177</v>
      </c>
      <c r="I94" t="s">
        <v>46</v>
      </c>
      <c r="J94" t="s">
        <v>467</v>
      </c>
      <c r="K94" t="s">
        <v>197</v>
      </c>
      <c r="L94" t="s">
        <v>180</v>
      </c>
      <c r="M94" s="3">
        <f t="shared" si="1"/>
        <v>5</v>
      </c>
    </row>
    <row r="95" spans="1:13" x14ac:dyDescent="0.35">
      <c r="A95" t="s">
        <v>468</v>
      </c>
      <c r="B95" t="s">
        <v>174</v>
      </c>
      <c r="C95" t="s">
        <v>469</v>
      </c>
      <c r="D95" t="s">
        <v>190</v>
      </c>
      <c r="E95" t="s">
        <v>48</v>
      </c>
      <c r="F95" t="s">
        <v>53</v>
      </c>
      <c r="G95">
        <v>4</v>
      </c>
      <c r="H95" t="s">
        <v>177</v>
      </c>
      <c r="I95" t="s">
        <v>55</v>
      </c>
      <c r="J95" t="s">
        <v>470</v>
      </c>
      <c r="K95" t="s">
        <v>257</v>
      </c>
      <c r="L95" t="s">
        <v>184</v>
      </c>
      <c r="M95" s="3">
        <f t="shared" si="1"/>
        <v>7</v>
      </c>
    </row>
    <row r="96" spans="1:13" x14ac:dyDescent="0.35">
      <c r="A96" t="s">
        <v>471</v>
      </c>
      <c r="B96" t="s">
        <v>231</v>
      </c>
      <c r="C96" t="s">
        <v>472</v>
      </c>
      <c r="D96" t="s">
        <v>190</v>
      </c>
      <c r="E96" t="s">
        <v>34</v>
      </c>
      <c r="F96" t="s">
        <v>50</v>
      </c>
      <c r="G96">
        <v>16</v>
      </c>
      <c r="H96" t="s">
        <v>177</v>
      </c>
      <c r="I96" t="s">
        <v>51</v>
      </c>
      <c r="J96" t="s">
        <v>473</v>
      </c>
      <c r="K96" t="s">
        <v>270</v>
      </c>
      <c r="L96" t="s">
        <v>180</v>
      </c>
      <c r="M96" s="3">
        <f t="shared" si="1"/>
        <v>17</v>
      </c>
    </row>
    <row r="97" spans="1:13" x14ac:dyDescent="0.35">
      <c r="A97" t="s">
        <v>474</v>
      </c>
      <c r="B97" t="s">
        <v>174</v>
      </c>
      <c r="C97" t="s">
        <v>475</v>
      </c>
      <c r="D97" t="s">
        <v>190</v>
      </c>
      <c r="E97" t="s">
        <v>40</v>
      </c>
      <c r="F97" t="s">
        <v>43</v>
      </c>
      <c r="G97">
        <v>2</v>
      </c>
      <c r="H97" t="s">
        <v>195</v>
      </c>
      <c r="J97" t="s">
        <v>476</v>
      </c>
      <c r="K97" t="s">
        <v>197</v>
      </c>
      <c r="L97" t="s">
        <v>180</v>
      </c>
      <c r="M97" s="3" t="str">
        <f t="shared" si="1"/>
        <v/>
      </c>
    </row>
    <row r="98" spans="1:13" x14ac:dyDescent="0.35">
      <c r="A98" t="s">
        <v>477</v>
      </c>
      <c r="B98" t="s">
        <v>174</v>
      </c>
      <c r="C98" t="s">
        <v>478</v>
      </c>
      <c r="D98" t="s">
        <v>190</v>
      </c>
      <c r="E98" t="s">
        <v>45</v>
      </c>
      <c r="F98" t="s">
        <v>48</v>
      </c>
      <c r="G98">
        <v>3</v>
      </c>
      <c r="H98" t="s">
        <v>195</v>
      </c>
      <c r="J98" t="s">
        <v>479</v>
      </c>
      <c r="K98" t="s">
        <v>197</v>
      </c>
      <c r="L98" t="s">
        <v>180</v>
      </c>
      <c r="M98" s="3" t="str">
        <f t="shared" si="1"/>
        <v/>
      </c>
    </row>
    <row r="99" spans="1:13" x14ac:dyDescent="0.35">
      <c r="A99" t="s">
        <v>480</v>
      </c>
      <c r="B99" t="s">
        <v>174</v>
      </c>
      <c r="C99" t="s">
        <v>481</v>
      </c>
      <c r="D99" t="s">
        <v>190</v>
      </c>
      <c r="E99" t="s">
        <v>42</v>
      </c>
      <c r="F99" t="s">
        <v>48</v>
      </c>
      <c r="G99">
        <v>6</v>
      </c>
      <c r="H99" t="s">
        <v>177</v>
      </c>
      <c r="I99" t="s">
        <v>47</v>
      </c>
      <c r="J99" t="s">
        <v>482</v>
      </c>
      <c r="K99" t="s">
        <v>197</v>
      </c>
      <c r="L99" t="s">
        <v>184</v>
      </c>
      <c r="M99" s="3">
        <f t="shared" si="1"/>
        <v>5</v>
      </c>
    </row>
    <row r="100" spans="1:13" x14ac:dyDescent="0.35">
      <c r="A100" t="s">
        <v>483</v>
      </c>
      <c r="B100" t="s">
        <v>174</v>
      </c>
      <c r="C100" t="s">
        <v>484</v>
      </c>
      <c r="D100" t="s">
        <v>176</v>
      </c>
      <c r="E100" t="s">
        <v>43</v>
      </c>
      <c r="F100" t="s">
        <v>51</v>
      </c>
      <c r="G100">
        <v>8</v>
      </c>
      <c r="H100" t="s">
        <v>177</v>
      </c>
      <c r="I100" t="s">
        <v>51</v>
      </c>
      <c r="J100" t="s">
        <v>485</v>
      </c>
      <c r="K100" t="s">
        <v>183</v>
      </c>
      <c r="L100" t="s">
        <v>180</v>
      </c>
      <c r="M100" s="3">
        <f t="shared" si="1"/>
        <v>8</v>
      </c>
    </row>
    <row r="101" spans="1:13" x14ac:dyDescent="0.35">
      <c r="A101" t="s">
        <v>486</v>
      </c>
      <c r="B101" t="s">
        <v>174</v>
      </c>
      <c r="C101" t="s">
        <v>487</v>
      </c>
      <c r="D101" t="s">
        <v>190</v>
      </c>
      <c r="E101" t="s">
        <v>24</v>
      </c>
      <c r="F101" t="s">
        <v>43</v>
      </c>
      <c r="G101">
        <v>18</v>
      </c>
      <c r="H101" t="s">
        <v>177</v>
      </c>
      <c r="I101" t="s">
        <v>43</v>
      </c>
      <c r="J101" t="s">
        <v>488</v>
      </c>
      <c r="K101" t="s">
        <v>377</v>
      </c>
      <c r="L101" t="s">
        <v>180</v>
      </c>
      <c r="M101" s="3">
        <f t="shared" si="1"/>
        <v>19</v>
      </c>
    </row>
    <row r="102" spans="1:13" x14ac:dyDescent="0.35">
      <c r="A102" t="s">
        <v>489</v>
      </c>
      <c r="B102" t="s">
        <v>174</v>
      </c>
      <c r="C102" t="s">
        <v>490</v>
      </c>
      <c r="D102" t="s">
        <v>190</v>
      </c>
      <c r="E102" t="s">
        <v>46</v>
      </c>
      <c r="F102" t="s">
        <v>48</v>
      </c>
      <c r="G102">
        <v>2</v>
      </c>
      <c r="H102" t="s">
        <v>177</v>
      </c>
      <c r="I102" t="s">
        <v>48</v>
      </c>
      <c r="J102" t="s">
        <v>491</v>
      </c>
      <c r="K102" t="s">
        <v>197</v>
      </c>
      <c r="L102" t="s">
        <v>180</v>
      </c>
      <c r="M102" s="3">
        <f t="shared" si="1"/>
        <v>2</v>
      </c>
    </row>
    <row r="103" spans="1:13" x14ac:dyDescent="0.35">
      <c r="A103" t="s">
        <v>492</v>
      </c>
      <c r="B103" t="s">
        <v>174</v>
      </c>
      <c r="C103" t="s">
        <v>493</v>
      </c>
      <c r="D103" t="s">
        <v>494</v>
      </c>
      <c r="E103" t="s">
        <v>17</v>
      </c>
      <c r="F103" t="s">
        <v>48</v>
      </c>
      <c r="G103">
        <v>31</v>
      </c>
      <c r="H103" t="s">
        <v>177</v>
      </c>
      <c r="I103" t="s">
        <v>49</v>
      </c>
      <c r="J103" t="s">
        <v>495</v>
      </c>
      <c r="K103" t="s">
        <v>183</v>
      </c>
      <c r="L103" t="s">
        <v>180</v>
      </c>
      <c r="M103" s="3">
        <f t="shared" si="1"/>
        <v>32</v>
      </c>
    </row>
    <row r="104" spans="1:13" x14ac:dyDescent="0.35">
      <c r="A104" t="s">
        <v>496</v>
      </c>
      <c r="B104" t="s">
        <v>174</v>
      </c>
      <c r="C104" t="s">
        <v>497</v>
      </c>
      <c r="D104" t="s">
        <v>190</v>
      </c>
      <c r="E104" t="s">
        <v>41</v>
      </c>
      <c r="F104" t="s">
        <v>48</v>
      </c>
      <c r="G104">
        <v>7</v>
      </c>
      <c r="H104" t="s">
        <v>177</v>
      </c>
      <c r="I104" t="s">
        <v>48</v>
      </c>
      <c r="J104" t="s">
        <v>498</v>
      </c>
      <c r="K104" t="s">
        <v>270</v>
      </c>
      <c r="L104" t="s">
        <v>180</v>
      </c>
      <c r="M104" s="3">
        <f t="shared" si="1"/>
        <v>7</v>
      </c>
    </row>
    <row r="105" spans="1:13" x14ac:dyDescent="0.35">
      <c r="A105" t="s">
        <v>499</v>
      </c>
      <c r="B105" t="s">
        <v>174</v>
      </c>
      <c r="C105" t="s">
        <v>500</v>
      </c>
      <c r="D105" t="s">
        <v>176</v>
      </c>
      <c r="E105" t="s">
        <v>32</v>
      </c>
      <c r="F105" t="s">
        <v>43</v>
      </c>
      <c r="G105">
        <v>11</v>
      </c>
      <c r="H105" t="s">
        <v>177</v>
      </c>
      <c r="I105" t="s">
        <v>43</v>
      </c>
      <c r="J105" t="s">
        <v>501</v>
      </c>
      <c r="K105" t="s">
        <v>183</v>
      </c>
      <c r="L105" t="s">
        <v>180</v>
      </c>
      <c r="M105" s="3">
        <f t="shared" si="1"/>
        <v>11</v>
      </c>
    </row>
    <row r="106" spans="1:13" x14ac:dyDescent="0.35">
      <c r="A106" t="s">
        <v>502</v>
      </c>
      <c r="B106" t="s">
        <v>174</v>
      </c>
      <c r="C106" t="s">
        <v>503</v>
      </c>
      <c r="D106" t="s">
        <v>190</v>
      </c>
      <c r="E106" t="s">
        <v>43</v>
      </c>
      <c r="F106" t="s">
        <v>54</v>
      </c>
      <c r="G106">
        <v>11</v>
      </c>
      <c r="H106" t="s">
        <v>177</v>
      </c>
      <c r="I106" t="s">
        <v>55</v>
      </c>
      <c r="J106" t="s">
        <v>504</v>
      </c>
      <c r="K106" t="s">
        <v>257</v>
      </c>
      <c r="L106" t="s">
        <v>180</v>
      </c>
      <c r="M106" s="3">
        <f t="shared" si="1"/>
        <v>12</v>
      </c>
    </row>
    <row r="107" spans="1:13" x14ac:dyDescent="0.35">
      <c r="A107" t="s">
        <v>505</v>
      </c>
      <c r="B107" t="s">
        <v>174</v>
      </c>
      <c r="C107" t="s">
        <v>506</v>
      </c>
      <c r="D107" t="s">
        <v>190</v>
      </c>
      <c r="E107" t="s">
        <v>34</v>
      </c>
      <c r="F107" t="s">
        <v>42</v>
      </c>
      <c r="G107">
        <v>9</v>
      </c>
      <c r="H107" t="s">
        <v>177</v>
      </c>
      <c r="I107" t="s">
        <v>42</v>
      </c>
      <c r="J107" t="s">
        <v>507</v>
      </c>
      <c r="K107" t="s">
        <v>183</v>
      </c>
      <c r="L107" t="s">
        <v>180</v>
      </c>
      <c r="M107" s="3">
        <f t="shared" si="1"/>
        <v>8</v>
      </c>
    </row>
    <row r="108" spans="1:13" x14ac:dyDescent="0.35">
      <c r="A108" t="s">
        <v>508</v>
      </c>
      <c r="B108" t="s">
        <v>231</v>
      </c>
      <c r="C108" t="s">
        <v>509</v>
      </c>
      <c r="D108" t="s">
        <v>225</v>
      </c>
      <c r="E108" t="s">
        <v>47</v>
      </c>
      <c r="F108" t="s">
        <v>53</v>
      </c>
      <c r="G108">
        <v>6</v>
      </c>
      <c r="H108" t="s">
        <v>177</v>
      </c>
      <c r="I108" t="s">
        <v>54</v>
      </c>
      <c r="J108" t="s">
        <v>510</v>
      </c>
      <c r="K108" t="s">
        <v>192</v>
      </c>
      <c r="L108" t="s">
        <v>180</v>
      </c>
      <c r="M108" s="3">
        <f t="shared" si="1"/>
        <v>7</v>
      </c>
    </row>
    <row r="109" spans="1:13" x14ac:dyDescent="0.35">
      <c r="A109" t="s">
        <v>511</v>
      </c>
      <c r="B109" t="s">
        <v>174</v>
      </c>
      <c r="C109" t="s">
        <v>512</v>
      </c>
      <c r="D109" t="s">
        <v>190</v>
      </c>
      <c r="E109" t="s">
        <v>43</v>
      </c>
      <c r="F109" t="s">
        <v>50</v>
      </c>
      <c r="G109">
        <v>7</v>
      </c>
      <c r="H109" t="s">
        <v>177</v>
      </c>
      <c r="I109" t="s">
        <v>50</v>
      </c>
      <c r="J109" t="s">
        <v>513</v>
      </c>
      <c r="K109" t="s">
        <v>197</v>
      </c>
      <c r="L109" t="s">
        <v>180</v>
      </c>
      <c r="M109" s="3">
        <f t="shared" si="1"/>
        <v>7</v>
      </c>
    </row>
    <row r="110" spans="1:13" x14ac:dyDescent="0.35">
      <c r="A110" t="s">
        <v>514</v>
      </c>
      <c r="B110" t="s">
        <v>174</v>
      </c>
      <c r="C110" t="s">
        <v>515</v>
      </c>
      <c r="D110" t="s">
        <v>190</v>
      </c>
      <c r="E110" t="s">
        <v>37</v>
      </c>
      <c r="F110" t="s">
        <v>45</v>
      </c>
      <c r="G110">
        <v>8</v>
      </c>
      <c r="H110" t="s">
        <v>252</v>
      </c>
      <c r="J110" t="s">
        <v>516</v>
      </c>
      <c r="K110" t="s">
        <v>270</v>
      </c>
      <c r="L110" t="s">
        <v>184</v>
      </c>
      <c r="M110" s="3" t="str">
        <f t="shared" si="1"/>
        <v/>
      </c>
    </row>
    <row r="111" spans="1:13" x14ac:dyDescent="0.35">
      <c r="A111" t="s">
        <v>517</v>
      </c>
      <c r="B111" t="s">
        <v>174</v>
      </c>
      <c r="C111" t="s">
        <v>518</v>
      </c>
      <c r="D111" t="s">
        <v>190</v>
      </c>
      <c r="E111" t="s">
        <v>32</v>
      </c>
      <c r="F111" t="s">
        <v>53</v>
      </c>
      <c r="G111">
        <v>22</v>
      </c>
      <c r="H111" t="s">
        <v>177</v>
      </c>
      <c r="I111" t="s">
        <v>53</v>
      </c>
      <c r="J111" t="s">
        <v>519</v>
      </c>
      <c r="K111" t="s">
        <v>183</v>
      </c>
      <c r="L111" t="s">
        <v>180</v>
      </c>
      <c r="M111" s="3">
        <f t="shared" si="1"/>
        <v>21</v>
      </c>
    </row>
    <row r="112" spans="1:13" x14ac:dyDescent="0.35">
      <c r="A112" t="s">
        <v>520</v>
      </c>
      <c r="B112" t="s">
        <v>174</v>
      </c>
      <c r="C112" t="s">
        <v>521</v>
      </c>
      <c r="D112" t="s">
        <v>190</v>
      </c>
      <c r="E112" t="s">
        <v>522</v>
      </c>
      <c r="F112" t="s">
        <v>43</v>
      </c>
      <c r="G112">
        <v>32</v>
      </c>
      <c r="H112" t="s">
        <v>177</v>
      </c>
      <c r="I112" t="s">
        <v>44</v>
      </c>
      <c r="J112" t="s">
        <v>523</v>
      </c>
      <c r="K112" t="s">
        <v>183</v>
      </c>
      <c r="L112" t="s">
        <v>180</v>
      </c>
      <c r="M112" s="3">
        <f t="shared" si="1"/>
        <v>32</v>
      </c>
    </row>
    <row r="113" spans="1:13" x14ac:dyDescent="0.35">
      <c r="A113" t="s">
        <v>524</v>
      </c>
      <c r="B113" t="s">
        <v>174</v>
      </c>
      <c r="C113" t="s">
        <v>525</v>
      </c>
      <c r="D113" t="s">
        <v>190</v>
      </c>
      <c r="E113" t="s">
        <v>49</v>
      </c>
      <c r="F113" t="s">
        <v>52</v>
      </c>
      <c r="G113">
        <v>4</v>
      </c>
      <c r="H113" t="s">
        <v>177</v>
      </c>
      <c r="I113" t="s">
        <v>54</v>
      </c>
      <c r="J113" t="s">
        <v>526</v>
      </c>
      <c r="K113" t="s">
        <v>197</v>
      </c>
      <c r="L113" t="s">
        <v>184</v>
      </c>
      <c r="M113" s="3">
        <f t="shared" si="1"/>
        <v>5</v>
      </c>
    </row>
    <row r="114" spans="1:13" x14ac:dyDescent="0.35">
      <c r="A114" t="s">
        <v>527</v>
      </c>
      <c r="B114" t="s">
        <v>174</v>
      </c>
      <c r="C114" t="s">
        <v>528</v>
      </c>
      <c r="D114" t="s">
        <v>190</v>
      </c>
      <c r="E114" t="s">
        <v>41</v>
      </c>
      <c r="F114" t="s">
        <v>52</v>
      </c>
      <c r="G114">
        <v>11</v>
      </c>
      <c r="H114" t="s">
        <v>177</v>
      </c>
      <c r="I114" t="s">
        <v>53</v>
      </c>
      <c r="J114" t="s">
        <v>529</v>
      </c>
      <c r="K114" t="s">
        <v>183</v>
      </c>
      <c r="L114" t="s">
        <v>180</v>
      </c>
      <c r="M114" s="3">
        <f t="shared" si="1"/>
        <v>12</v>
      </c>
    </row>
    <row r="115" spans="1:13" x14ac:dyDescent="0.35">
      <c r="A115" t="s">
        <v>530</v>
      </c>
      <c r="B115" t="s">
        <v>174</v>
      </c>
      <c r="C115" t="s">
        <v>531</v>
      </c>
      <c r="D115" t="s">
        <v>190</v>
      </c>
      <c r="E115" t="s">
        <v>46</v>
      </c>
      <c r="F115" t="s">
        <v>50</v>
      </c>
      <c r="G115">
        <v>3</v>
      </c>
      <c r="H115" t="s">
        <v>195</v>
      </c>
      <c r="J115" t="s">
        <v>532</v>
      </c>
      <c r="K115" t="s">
        <v>257</v>
      </c>
      <c r="L115" t="s">
        <v>184</v>
      </c>
      <c r="M115" s="3" t="str">
        <f t="shared" si="1"/>
        <v/>
      </c>
    </row>
    <row r="116" spans="1:13" x14ac:dyDescent="0.35">
      <c r="A116" t="s">
        <v>533</v>
      </c>
      <c r="B116" t="s">
        <v>174</v>
      </c>
      <c r="C116" t="s">
        <v>534</v>
      </c>
      <c r="D116" t="s">
        <v>190</v>
      </c>
      <c r="E116" t="s">
        <v>46</v>
      </c>
      <c r="F116" t="s">
        <v>47</v>
      </c>
      <c r="G116">
        <v>1</v>
      </c>
      <c r="H116" t="s">
        <v>177</v>
      </c>
      <c r="I116" t="s">
        <v>47</v>
      </c>
      <c r="J116" t="s">
        <v>535</v>
      </c>
      <c r="K116" t="s">
        <v>197</v>
      </c>
      <c r="L116" t="s">
        <v>180</v>
      </c>
      <c r="M116" s="3">
        <f t="shared" si="1"/>
        <v>1</v>
      </c>
    </row>
    <row r="117" spans="1:13" x14ac:dyDescent="0.35">
      <c r="A117" t="s">
        <v>536</v>
      </c>
      <c r="B117" t="s">
        <v>174</v>
      </c>
      <c r="C117" t="s">
        <v>537</v>
      </c>
      <c r="D117" t="s">
        <v>190</v>
      </c>
      <c r="E117" t="s">
        <v>42</v>
      </c>
      <c r="F117" t="s">
        <v>46</v>
      </c>
      <c r="G117">
        <v>4</v>
      </c>
      <c r="H117" t="s">
        <v>177</v>
      </c>
      <c r="I117" t="s">
        <v>46</v>
      </c>
      <c r="J117" t="s">
        <v>538</v>
      </c>
      <c r="K117" t="s">
        <v>270</v>
      </c>
      <c r="L117" t="s">
        <v>180</v>
      </c>
      <c r="M117" s="3">
        <f t="shared" si="1"/>
        <v>4</v>
      </c>
    </row>
    <row r="118" spans="1:13" x14ac:dyDescent="0.35">
      <c r="A118" t="s">
        <v>539</v>
      </c>
      <c r="B118" t="s">
        <v>174</v>
      </c>
      <c r="C118" t="s">
        <v>540</v>
      </c>
      <c r="D118" t="s">
        <v>190</v>
      </c>
      <c r="E118" t="s">
        <v>40</v>
      </c>
      <c r="F118" t="s">
        <v>54</v>
      </c>
      <c r="G118">
        <v>14</v>
      </c>
      <c r="H118" t="s">
        <v>177</v>
      </c>
      <c r="I118" t="s">
        <v>54</v>
      </c>
      <c r="J118" t="s">
        <v>541</v>
      </c>
      <c r="K118" t="s">
        <v>197</v>
      </c>
      <c r="L118" t="s">
        <v>180</v>
      </c>
      <c r="M118" s="3">
        <f t="shared" si="1"/>
        <v>14</v>
      </c>
    </row>
    <row r="119" spans="1:13" x14ac:dyDescent="0.35">
      <c r="A119" t="s">
        <v>542</v>
      </c>
      <c r="B119" t="s">
        <v>174</v>
      </c>
      <c r="C119" t="s">
        <v>543</v>
      </c>
      <c r="D119" t="s">
        <v>190</v>
      </c>
      <c r="E119" t="s">
        <v>29</v>
      </c>
      <c r="F119" t="s">
        <v>48</v>
      </c>
      <c r="G119">
        <v>19</v>
      </c>
      <c r="H119" t="s">
        <v>252</v>
      </c>
      <c r="J119" t="s">
        <v>544</v>
      </c>
      <c r="K119" t="s">
        <v>183</v>
      </c>
      <c r="L119" t="s">
        <v>180</v>
      </c>
      <c r="M119" s="3" t="str">
        <f t="shared" si="1"/>
        <v/>
      </c>
    </row>
    <row r="120" spans="1:13" x14ac:dyDescent="0.35">
      <c r="A120" t="s">
        <v>545</v>
      </c>
      <c r="B120" t="s">
        <v>174</v>
      </c>
      <c r="C120" t="s">
        <v>546</v>
      </c>
      <c r="D120" t="s">
        <v>190</v>
      </c>
      <c r="E120" t="s">
        <v>40</v>
      </c>
      <c r="F120" t="s">
        <v>45</v>
      </c>
      <c r="G120">
        <v>4</v>
      </c>
      <c r="H120" t="s">
        <v>177</v>
      </c>
      <c r="I120" t="s">
        <v>45</v>
      </c>
      <c r="J120" t="s">
        <v>547</v>
      </c>
      <c r="K120" t="s">
        <v>183</v>
      </c>
      <c r="L120" t="s">
        <v>180</v>
      </c>
      <c r="M120" s="3">
        <f t="shared" si="1"/>
        <v>5</v>
      </c>
    </row>
    <row r="121" spans="1:13" x14ac:dyDescent="0.35">
      <c r="A121" t="s">
        <v>548</v>
      </c>
      <c r="B121" t="s">
        <v>174</v>
      </c>
      <c r="C121" t="s">
        <v>549</v>
      </c>
      <c r="D121" t="s">
        <v>190</v>
      </c>
      <c r="E121" t="s">
        <v>45</v>
      </c>
      <c r="F121" t="s">
        <v>51</v>
      </c>
      <c r="G121">
        <v>6</v>
      </c>
      <c r="H121" t="s">
        <v>177</v>
      </c>
      <c r="I121" t="s">
        <v>53</v>
      </c>
      <c r="J121" t="s">
        <v>550</v>
      </c>
      <c r="K121" t="s">
        <v>257</v>
      </c>
      <c r="L121" t="s">
        <v>180</v>
      </c>
      <c r="M121" s="3">
        <f t="shared" si="1"/>
        <v>8</v>
      </c>
    </row>
    <row r="122" spans="1:13" x14ac:dyDescent="0.35">
      <c r="A122" t="s">
        <v>551</v>
      </c>
      <c r="B122" t="s">
        <v>174</v>
      </c>
      <c r="C122" t="s">
        <v>552</v>
      </c>
      <c r="D122" t="s">
        <v>190</v>
      </c>
      <c r="E122" t="s">
        <v>42</v>
      </c>
      <c r="F122" t="s">
        <v>55</v>
      </c>
      <c r="G122">
        <v>13</v>
      </c>
      <c r="H122" t="s">
        <v>177</v>
      </c>
      <c r="I122" t="s">
        <v>55</v>
      </c>
      <c r="J122" t="s">
        <v>553</v>
      </c>
      <c r="K122" t="s">
        <v>270</v>
      </c>
      <c r="L122" t="s">
        <v>180</v>
      </c>
      <c r="M122" s="3">
        <f t="shared" si="1"/>
        <v>13</v>
      </c>
    </row>
    <row r="123" spans="1:13" x14ac:dyDescent="0.35">
      <c r="A123" t="s">
        <v>554</v>
      </c>
      <c r="B123" t="s">
        <v>174</v>
      </c>
      <c r="C123" t="s">
        <v>555</v>
      </c>
      <c r="D123" t="s">
        <v>190</v>
      </c>
      <c r="E123" t="s">
        <v>47</v>
      </c>
      <c r="F123" t="s">
        <v>52</v>
      </c>
      <c r="G123">
        <v>5</v>
      </c>
      <c r="H123" t="s">
        <v>177</v>
      </c>
      <c r="I123" t="s">
        <v>53</v>
      </c>
      <c r="J123" t="s">
        <v>556</v>
      </c>
      <c r="K123" t="s">
        <v>257</v>
      </c>
      <c r="L123" t="s">
        <v>180</v>
      </c>
      <c r="M123" s="3">
        <f t="shared" si="1"/>
        <v>6</v>
      </c>
    </row>
    <row r="124" spans="1:13" x14ac:dyDescent="0.35">
      <c r="A124" t="s">
        <v>557</v>
      </c>
      <c r="B124" t="s">
        <v>231</v>
      </c>
      <c r="C124" t="s">
        <v>558</v>
      </c>
      <c r="D124" t="s">
        <v>190</v>
      </c>
      <c r="E124" t="s">
        <v>45</v>
      </c>
      <c r="F124" t="s">
        <v>55</v>
      </c>
      <c r="G124">
        <v>10</v>
      </c>
      <c r="H124" t="s">
        <v>195</v>
      </c>
      <c r="J124" t="s">
        <v>559</v>
      </c>
      <c r="K124" t="s">
        <v>257</v>
      </c>
      <c r="L124" t="s">
        <v>180</v>
      </c>
      <c r="M124" s="3" t="str">
        <f t="shared" si="1"/>
        <v/>
      </c>
    </row>
    <row r="125" spans="1:13" x14ac:dyDescent="0.35">
      <c r="A125" t="s">
        <v>560</v>
      </c>
      <c r="B125" t="s">
        <v>174</v>
      </c>
      <c r="C125" t="s">
        <v>561</v>
      </c>
      <c r="D125" t="s">
        <v>190</v>
      </c>
      <c r="E125" t="s">
        <v>25</v>
      </c>
      <c r="F125" t="s">
        <v>46</v>
      </c>
      <c r="G125">
        <v>21</v>
      </c>
      <c r="H125" t="s">
        <v>252</v>
      </c>
      <c r="J125" t="s">
        <v>562</v>
      </c>
      <c r="K125" t="s">
        <v>377</v>
      </c>
      <c r="L125" t="s">
        <v>180</v>
      </c>
      <c r="M125" s="3" t="str">
        <f t="shared" si="1"/>
        <v/>
      </c>
    </row>
    <row r="126" spans="1:13" x14ac:dyDescent="0.35">
      <c r="A126" t="s">
        <v>563</v>
      </c>
      <c r="B126" t="s">
        <v>174</v>
      </c>
      <c r="C126" t="s">
        <v>564</v>
      </c>
      <c r="D126" t="s">
        <v>190</v>
      </c>
      <c r="E126" t="s">
        <v>45</v>
      </c>
      <c r="F126" t="s">
        <v>54</v>
      </c>
      <c r="G126">
        <v>8</v>
      </c>
      <c r="H126" t="s">
        <v>177</v>
      </c>
      <c r="I126" t="s">
        <v>54</v>
      </c>
      <c r="J126" t="s">
        <v>565</v>
      </c>
      <c r="K126" t="s">
        <v>257</v>
      </c>
      <c r="L126" t="s">
        <v>184</v>
      </c>
      <c r="M126" s="3">
        <f t="shared" si="1"/>
        <v>9</v>
      </c>
    </row>
    <row r="127" spans="1:13" x14ac:dyDescent="0.35">
      <c r="A127" t="s">
        <v>566</v>
      </c>
      <c r="B127" t="s">
        <v>174</v>
      </c>
      <c r="C127" t="s">
        <v>567</v>
      </c>
      <c r="D127" t="s">
        <v>190</v>
      </c>
      <c r="E127" t="s">
        <v>26</v>
      </c>
      <c r="F127" t="s">
        <v>41</v>
      </c>
      <c r="G127">
        <v>15</v>
      </c>
      <c r="H127" t="s">
        <v>177</v>
      </c>
      <c r="I127" t="s">
        <v>41</v>
      </c>
      <c r="J127" t="s">
        <v>568</v>
      </c>
      <c r="K127" t="s">
        <v>183</v>
      </c>
      <c r="L127" t="s">
        <v>180</v>
      </c>
      <c r="M127" s="3">
        <f t="shared" si="1"/>
        <v>15</v>
      </c>
    </row>
    <row r="128" spans="1:13" x14ac:dyDescent="0.35">
      <c r="A128" t="s">
        <v>569</v>
      </c>
      <c r="B128" t="s">
        <v>174</v>
      </c>
      <c r="C128" t="s">
        <v>570</v>
      </c>
      <c r="D128" t="s">
        <v>225</v>
      </c>
      <c r="E128" t="s">
        <v>36</v>
      </c>
      <c r="F128" t="s">
        <v>43</v>
      </c>
      <c r="G128">
        <v>7</v>
      </c>
      <c r="H128" t="s">
        <v>177</v>
      </c>
      <c r="I128" t="s">
        <v>44</v>
      </c>
      <c r="J128" t="s">
        <v>571</v>
      </c>
      <c r="K128" t="s">
        <v>183</v>
      </c>
      <c r="L128" t="s">
        <v>180</v>
      </c>
      <c r="M128" s="3">
        <f t="shared" si="1"/>
        <v>8</v>
      </c>
    </row>
    <row r="129" spans="1:13" x14ac:dyDescent="0.35">
      <c r="A129" t="s">
        <v>572</v>
      </c>
      <c r="B129" t="s">
        <v>174</v>
      </c>
      <c r="C129" t="s">
        <v>573</v>
      </c>
      <c r="D129" t="s">
        <v>190</v>
      </c>
      <c r="E129" t="s">
        <v>45</v>
      </c>
      <c r="F129" t="s">
        <v>49</v>
      </c>
      <c r="G129">
        <v>3</v>
      </c>
      <c r="H129" t="s">
        <v>195</v>
      </c>
      <c r="J129" t="s">
        <v>574</v>
      </c>
      <c r="K129" t="s">
        <v>257</v>
      </c>
      <c r="L129" t="s">
        <v>180</v>
      </c>
      <c r="M129" s="3" t="str">
        <f t="shared" si="1"/>
        <v/>
      </c>
    </row>
    <row r="130" spans="1:13" x14ac:dyDescent="0.35">
      <c r="A130" t="s">
        <v>575</v>
      </c>
      <c r="B130" t="s">
        <v>174</v>
      </c>
      <c r="C130" t="s">
        <v>576</v>
      </c>
      <c r="D130" t="s">
        <v>236</v>
      </c>
      <c r="E130" t="s">
        <v>50</v>
      </c>
      <c r="F130" t="s">
        <v>54</v>
      </c>
      <c r="G130">
        <v>4</v>
      </c>
      <c r="H130" t="s">
        <v>177</v>
      </c>
      <c r="I130" t="s">
        <v>55</v>
      </c>
      <c r="J130" t="s">
        <v>577</v>
      </c>
      <c r="K130" t="s">
        <v>257</v>
      </c>
      <c r="L130" t="s">
        <v>180</v>
      </c>
      <c r="M130" s="3">
        <f t="shared" si="1"/>
        <v>5</v>
      </c>
    </row>
    <row r="131" spans="1:13" x14ac:dyDescent="0.35">
      <c r="A131" t="s">
        <v>578</v>
      </c>
      <c r="B131" t="s">
        <v>174</v>
      </c>
      <c r="C131" t="s">
        <v>579</v>
      </c>
      <c r="D131" t="s">
        <v>190</v>
      </c>
      <c r="E131" t="s">
        <v>41</v>
      </c>
      <c r="F131" t="s">
        <v>48</v>
      </c>
      <c r="G131">
        <v>7</v>
      </c>
      <c r="H131" t="s">
        <v>252</v>
      </c>
      <c r="J131" t="s">
        <v>580</v>
      </c>
      <c r="K131" t="s">
        <v>183</v>
      </c>
      <c r="L131" t="s">
        <v>180</v>
      </c>
      <c r="M131" s="3" t="str">
        <f t="shared" ref="M131:M194" si="2">IF(H131="Efectivo",IFERROR((VALUE(RIGHT(I131,4))-VALUE(RIGHT(E131,4)))*12+(VALUE(LEFT(I131,2))-VALUE(LEFT(E131,2))),""),"")</f>
        <v/>
      </c>
    </row>
    <row r="132" spans="1:13" x14ac:dyDescent="0.35">
      <c r="A132" t="s">
        <v>581</v>
      </c>
      <c r="B132" t="s">
        <v>174</v>
      </c>
      <c r="C132" t="s">
        <v>582</v>
      </c>
      <c r="D132" t="s">
        <v>190</v>
      </c>
      <c r="E132" t="s">
        <v>31</v>
      </c>
      <c r="F132" t="s">
        <v>53</v>
      </c>
      <c r="G132">
        <v>22</v>
      </c>
      <c r="H132" t="s">
        <v>177</v>
      </c>
      <c r="I132" t="s">
        <v>53</v>
      </c>
      <c r="J132" t="s">
        <v>583</v>
      </c>
      <c r="K132" t="s">
        <v>183</v>
      </c>
      <c r="L132" t="s">
        <v>180</v>
      </c>
      <c r="M132" s="3">
        <f t="shared" si="2"/>
        <v>22</v>
      </c>
    </row>
    <row r="133" spans="1:13" x14ac:dyDescent="0.35">
      <c r="A133" t="s">
        <v>584</v>
      </c>
      <c r="B133" t="s">
        <v>174</v>
      </c>
      <c r="C133" t="s">
        <v>585</v>
      </c>
      <c r="D133" t="s">
        <v>190</v>
      </c>
      <c r="E133" t="s">
        <v>33</v>
      </c>
      <c r="F133" t="s">
        <v>53</v>
      </c>
      <c r="G133">
        <v>20</v>
      </c>
      <c r="H133" t="s">
        <v>177</v>
      </c>
      <c r="I133" t="s">
        <v>53</v>
      </c>
      <c r="J133" t="s">
        <v>586</v>
      </c>
      <c r="K133" t="s">
        <v>270</v>
      </c>
      <c r="L133" t="s">
        <v>180</v>
      </c>
      <c r="M133" s="3">
        <f t="shared" si="2"/>
        <v>20</v>
      </c>
    </row>
    <row r="134" spans="1:13" x14ac:dyDescent="0.35">
      <c r="A134" t="s">
        <v>587</v>
      </c>
      <c r="B134" t="s">
        <v>174</v>
      </c>
      <c r="C134" t="s">
        <v>588</v>
      </c>
      <c r="D134" t="s">
        <v>176</v>
      </c>
      <c r="E134" t="s">
        <v>25</v>
      </c>
      <c r="F134" t="s">
        <v>50</v>
      </c>
      <c r="G134">
        <v>26</v>
      </c>
      <c r="H134" t="s">
        <v>195</v>
      </c>
      <c r="J134" t="s">
        <v>589</v>
      </c>
      <c r="K134" t="s">
        <v>377</v>
      </c>
      <c r="L134" t="s">
        <v>180</v>
      </c>
      <c r="M134" s="3" t="str">
        <f t="shared" si="2"/>
        <v/>
      </c>
    </row>
    <row r="135" spans="1:13" x14ac:dyDescent="0.35">
      <c r="A135" t="s">
        <v>590</v>
      </c>
      <c r="B135" t="s">
        <v>174</v>
      </c>
      <c r="C135" t="s">
        <v>591</v>
      </c>
      <c r="D135" t="s">
        <v>176</v>
      </c>
      <c r="E135" t="s">
        <v>50</v>
      </c>
      <c r="F135" t="s">
        <v>54</v>
      </c>
      <c r="G135">
        <v>4</v>
      </c>
      <c r="H135" t="s">
        <v>177</v>
      </c>
      <c r="I135" t="s">
        <v>54</v>
      </c>
      <c r="J135" t="s">
        <v>592</v>
      </c>
      <c r="K135" t="s">
        <v>183</v>
      </c>
      <c r="L135" t="s">
        <v>184</v>
      </c>
      <c r="M135" s="3">
        <f t="shared" si="2"/>
        <v>4</v>
      </c>
    </row>
    <row r="136" spans="1:13" x14ac:dyDescent="0.35">
      <c r="A136" t="s">
        <v>593</v>
      </c>
      <c r="B136" t="s">
        <v>174</v>
      </c>
      <c r="C136" t="s">
        <v>594</v>
      </c>
      <c r="D136" t="s">
        <v>190</v>
      </c>
      <c r="E136" t="s">
        <v>34</v>
      </c>
      <c r="F136" t="s">
        <v>41</v>
      </c>
      <c r="G136">
        <v>6</v>
      </c>
      <c r="H136" t="s">
        <v>177</v>
      </c>
      <c r="I136" t="s">
        <v>42</v>
      </c>
      <c r="J136" t="s">
        <v>595</v>
      </c>
      <c r="K136" t="s">
        <v>270</v>
      </c>
      <c r="L136" t="s">
        <v>180</v>
      </c>
      <c r="M136" s="3">
        <f t="shared" si="2"/>
        <v>8</v>
      </c>
    </row>
    <row r="137" spans="1:13" x14ac:dyDescent="0.35">
      <c r="A137" t="s">
        <v>596</v>
      </c>
      <c r="B137" t="s">
        <v>174</v>
      </c>
      <c r="C137" t="s">
        <v>597</v>
      </c>
      <c r="D137" t="s">
        <v>190</v>
      </c>
      <c r="E137" t="s">
        <v>47</v>
      </c>
      <c r="F137" t="s">
        <v>56</v>
      </c>
      <c r="G137">
        <v>9</v>
      </c>
      <c r="H137" t="s">
        <v>177</v>
      </c>
      <c r="I137" t="s">
        <v>56</v>
      </c>
      <c r="J137" t="s">
        <v>598</v>
      </c>
      <c r="K137" t="s">
        <v>257</v>
      </c>
      <c r="L137" t="s">
        <v>180</v>
      </c>
      <c r="M137" s="3">
        <f t="shared" si="2"/>
        <v>9</v>
      </c>
    </row>
    <row r="138" spans="1:13" x14ac:dyDescent="0.35">
      <c r="A138" t="s">
        <v>599</v>
      </c>
      <c r="B138" t="s">
        <v>174</v>
      </c>
      <c r="C138" t="s">
        <v>600</v>
      </c>
      <c r="D138" t="s">
        <v>190</v>
      </c>
      <c r="E138" t="s">
        <v>42</v>
      </c>
      <c r="F138" t="s">
        <v>53</v>
      </c>
      <c r="G138">
        <v>11</v>
      </c>
      <c r="H138" t="s">
        <v>195</v>
      </c>
      <c r="J138" t="s">
        <v>601</v>
      </c>
      <c r="K138" t="s">
        <v>270</v>
      </c>
      <c r="L138" t="s">
        <v>180</v>
      </c>
      <c r="M138" s="3" t="str">
        <f t="shared" si="2"/>
        <v/>
      </c>
    </row>
    <row r="139" spans="1:13" x14ac:dyDescent="0.35">
      <c r="A139" t="s">
        <v>602</v>
      </c>
      <c r="B139" t="s">
        <v>174</v>
      </c>
      <c r="C139" t="s">
        <v>603</v>
      </c>
      <c r="D139" t="s">
        <v>190</v>
      </c>
      <c r="E139" t="s">
        <v>48</v>
      </c>
      <c r="F139" t="s">
        <v>56</v>
      </c>
      <c r="G139">
        <v>8</v>
      </c>
      <c r="H139" t="s">
        <v>177</v>
      </c>
      <c r="I139" t="s">
        <v>56</v>
      </c>
      <c r="J139" t="s">
        <v>604</v>
      </c>
      <c r="K139" t="s">
        <v>197</v>
      </c>
      <c r="L139" t="s">
        <v>180</v>
      </c>
      <c r="M139" s="3">
        <f t="shared" si="2"/>
        <v>8</v>
      </c>
    </row>
    <row r="140" spans="1:13" x14ac:dyDescent="0.35">
      <c r="A140" t="s">
        <v>605</v>
      </c>
      <c r="B140" t="s">
        <v>174</v>
      </c>
      <c r="C140" t="s">
        <v>606</v>
      </c>
      <c r="D140" t="s">
        <v>190</v>
      </c>
      <c r="E140" t="s">
        <v>43</v>
      </c>
      <c r="F140" t="s">
        <v>52</v>
      </c>
      <c r="G140">
        <v>10</v>
      </c>
      <c r="H140" t="s">
        <v>195</v>
      </c>
      <c r="J140" t="s">
        <v>607</v>
      </c>
      <c r="K140" t="s">
        <v>257</v>
      </c>
      <c r="L140" t="s">
        <v>180</v>
      </c>
      <c r="M140" s="3" t="str">
        <f t="shared" si="2"/>
        <v/>
      </c>
    </row>
    <row r="141" spans="1:13" x14ac:dyDescent="0.35">
      <c r="A141" t="s">
        <v>608</v>
      </c>
      <c r="B141" t="s">
        <v>174</v>
      </c>
      <c r="C141" t="s">
        <v>609</v>
      </c>
      <c r="D141" t="s">
        <v>190</v>
      </c>
      <c r="E141" t="s">
        <v>39</v>
      </c>
      <c r="F141" t="s">
        <v>43</v>
      </c>
      <c r="G141">
        <v>4</v>
      </c>
      <c r="H141" t="s">
        <v>177</v>
      </c>
      <c r="I141" t="s">
        <v>44</v>
      </c>
      <c r="J141" t="s">
        <v>610</v>
      </c>
      <c r="K141" t="s">
        <v>270</v>
      </c>
      <c r="L141" t="s">
        <v>180</v>
      </c>
      <c r="M141" s="3">
        <f t="shared" si="2"/>
        <v>5</v>
      </c>
    </row>
    <row r="142" spans="1:13" x14ac:dyDescent="0.35">
      <c r="A142" t="s">
        <v>611</v>
      </c>
      <c r="B142" t="s">
        <v>174</v>
      </c>
      <c r="C142" t="s">
        <v>612</v>
      </c>
      <c r="D142" t="s">
        <v>190</v>
      </c>
      <c r="E142" t="s">
        <v>43</v>
      </c>
      <c r="F142" t="s">
        <v>46</v>
      </c>
      <c r="G142">
        <v>3</v>
      </c>
      <c r="H142" t="s">
        <v>177</v>
      </c>
      <c r="I142" t="s">
        <v>47</v>
      </c>
      <c r="J142" t="s">
        <v>613</v>
      </c>
      <c r="K142" t="s">
        <v>257</v>
      </c>
      <c r="L142" t="s">
        <v>184</v>
      </c>
      <c r="M142" s="3">
        <f t="shared" si="2"/>
        <v>4</v>
      </c>
    </row>
    <row r="143" spans="1:13" x14ac:dyDescent="0.35">
      <c r="A143" t="s">
        <v>614</v>
      </c>
      <c r="B143" t="s">
        <v>174</v>
      </c>
      <c r="C143" t="s">
        <v>615</v>
      </c>
      <c r="D143" t="s">
        <v>190</v>
      </c>
      <c r="E143" t="s">
        <v>32</v>
      </c>
      <c r="F143" t="s">
        <v>48</v>
      </c>
      <c r="G143">
        <v>16</v>
      </c>
      <c r="H143" t="s">
        <v>252</v>
      </c>
      <c r="J143" t="s">
        <v>616</v>
      </c>
      <c r="K143" t="s">
        <v>270</v>
      </c>
      <c r="L143" t="s">
        <v>180</v>
      </c>
      <c r="M143" s="3" t="str">
        <f t="shared" si="2"/>
        <v/>
      </c>
    </row>
    <row r="144" spans="1:13" x14ac:dyDescent="0.35">
      <c r="A144" t="s">
        <v>617</v>
      </c>
      <c r="B144" t="s">
        <v>174</v>
      </c>
      <c r="C144" t="s">
        <v>618</v>
      </c>
      <c r="D144" t="s">
        <v>225</v>
      </c>
      <c r="E144" t="s">
        <v>49</v>
      </c>
      <c r="F144" t="s">
        <v>55</v>
      </c>
      <c r="G144">
        <v>6</v>
      </c>
      <c r="H144" t="s">
        <v>177</v>
      </c>
      <c r="I144" t="s">
        <v>55</v>
      </c>
      <c r="J144" t="s">
        <v>619</v>
      </c>
      <c r="K144" t="s">
        <v>192</v>
      </c>
      <c r="L144" t="s">
        <v>184</v>
      </c>
      <c r="M144" s="3">
        <f t="shared" si="2"/>
        <v>6</v>
      </c>
    </row>
    <row r="145" spans="1:13" x14ac:dyDescent="0.35">
      <c r="A145" t="s">
        <v>620</v>
      </c>
      <c r="B145" t="s">
        <v>174</v>
      </c>
      <c r="C145" t="s">
        <v>621</v>
      </c>
      <c r="D145" t="s">
        <v>190</v>
      </c>
      <c r="E145" t="s">
        <v>41</v>
      </c>
      <c r="F145" t="s">
        <v>49</v>
      </c>
      <c r="G145">
        <v>7</v>
      </c>
      <c r="H145" t="s">
        <v>177</v>
      </c>
      <c r="I145" t="s">
        <v>54</v>
      </c>
      <c r="J145" t="s">
        <v>622</v>
      </c>
      <c r="K145" t="s">
        <v>183</v>
      </c>
      <c r="L145" t="s">
        <v>180</v>
      </c>
      <c r="M145" s="3">
        <f t="shared" si="2"/>
        <v>13</v>
      </c>
    </row>
    <row r="146" spans="1:13" x14ac:dyDescent="0.35">
      <c r="A146" t="s">
        <v>623</v>
      </c>
      <c r="B146" t="s">
        <v>174</v>
      </c>
      <c r="C146" t="s">
        <v>624</v>
      </c>
      <c r="D146" t="s">
        <v>190</v>
      </c>
      <c r="E146" t="s">
        <v>35</v>
      </c>
      <c r="F146" t="s">
        <v>46</v>
      </c>
      <c r="G146">
        <v>12</v>
      </c>
      <c r="H146" t="s">
        <v>177</v>
      </c>
      <c r="I146" t="s">
        <v>47</v>
      </c>
      <c r="J146" t="s">
        <v>625</v>
      </c>
      <c r="K146" t="s">
        <v>270</v>
      </c>
      <c r="L146" t="s">
        <v>180</v>
      </c>
      <c r="M146" s="3">
        <f t="shared" si="2"/>
        <v>12</v>
      </c>
    </row>
    <row r="147" spans="1:13" x14ac:dyDescent="0.35">
      <c r="A147" t="s">
        <v>626</v>
      </c>
      <c r="B147" t="s">
        <v>174</v>
      </c>
      <c r="C147" t="s">
        <v>627</v>
      </c>
      <c r="D147" t="s">
        <v>190</v>
      </c>
      <c r="E147" t="s">
        <v>44</v>
      </c>
      <c r="F147" t="s">
        <v>50</v>
      </c>
      <c r="G147">
        <v>6</v>
      </c>
      <c r="H147" t="s">
        <v>177</v>
      </c>
      <c r="I147" t="s">
        <v>51</v>
      </c>
      <c r="J147" t="s">
        <v>628</v>
      </c>
      <c r="K147" t="s">
        <v>257</v>
      </c>
      <c r="L147" t="s">
        <v>184</v>
      </c>
      <c r="M147" s="3">
        <f t="shared" si="2"/>
        <v>7</v>
      </c>
    </row>
    <row r="148" spans="1:13" x14ac:dyDescent="0.35">
      <c r="A148" t="s">
        <v>629</v>
      </c>
      <c r="B148" t="s">
        <v>174</v>
      </c>
      <c r="C148" t="s">
        <v>630</v>
      </c>
      <c r="D148" t="s">
        <v>176</v>
      </c>
      <c r="E148" t="s">
        <v>36</v>
      </c>
      <c r="F148" t="s">
        <v>48</v>
      </c>
      <c r="G148">
        <v>12</v>
      </c>
      <c r="H148" t="s">
        <v>177</v>
      </c>
      <c r="I148" t="s">
        <v>49</v>
      </c>
      <c r="J148" t="s">
        <v>631</v>
      </c>
      <c r="K148" t="s">
        <v>183</v>
      </c>
      <c r="L148" t="s">
        <v>180</v>
      </c>
      <c r="M148" s="3">
        <f t="shared" si="2"/>
        <v>13</v>
      </c>
    </row>
    <row r="149" spans="1:13" x14ac:dyDescent="0.35">
      <c r="A149" t="s">
        <v>632</v>
      </c>
      <c r="B149" t="s">
        <v>174</v>
      </c>
      <c r="C149" t="s">
        <v>633</v>
      </c>
      <c r="D149" t="s">
        <v>236</v>
      </c>
      <c r="E149" t="s">
        <v>50</v>
      </c>
      <c r="F149" t="s">
        <v>51</v>
      </c>
      <c r="G149">
        <v>1</v>
      </c>
      <c r="H149" t="s">
        <v>177</v>
      </c>
      <c r="I149" t="s">
        <v>52</v>
      </c>
      <c r="J149" t="s">
        <v>634</v>
      </c>
      <c r="K149" t="s">
        <v>183</v>
      </c>
      <c r="L149" t="s">
        <v>180</v>
      </c>
      <c r="M149" s="3">
        <f t="shared" si="2"/>
        <v>2</v>
      </c>
    </row>
    <row r="150" spans="1:13" x14ac:dyDescent="0.35">
      <c r="A150" t="s">
        <v>635</v>
      </c>
      <c r="B150" t="s">
        <v>174</v>
      </c>
      <c r="C150" t="s">
        <v>636</v>
      </c>
      <c r="D150" t="s">
        <v>190</v>
      </c>
      <c r="E150" t="s">
        <v>47</v>
      </c>
      <c r="F150" t="s">
        <v>50</v>
      </c>
      <c r="G150">
        <v>4</v>
      </c>
      <c r="H150" t="s">
        <v>177</v>
      </c>
      <c r="I150" t="s">
        <v>51</v>
      </c>
      <c r="J150" t="s">
        <v>637</v>
      </c>
      <c r="K150" t="s">
        <v>257</v>
      </c>
      <c r="L150" t="s">
        <v>180</v>
      </c>
      <c r="M150" s="3">
        <f t="shared" si="2"/>
        <v>4</v>
      </c>
    </row>
    <row r="151" spans="1:13" x14ac:dyDescent="0.35">
      <c r="A151" t="s">
        <v>638</v>
      </c>
      <c r="B151" t="s">
        <v>174</v>
      </c>
      <c r="C151" t="s">
        <v>639</v>
      </c>
      <c r="D151" t="s">
        <v>190</v>
      </c>
      <c r="E151" t="s">
        <v>43</v>
      </c>
      <c r="F151" t="s">
        <v>48</v>
      </c>
      <c r="G151">
        <v>5</v>
      </c>
      <c r="H151" t="s">
        <v>195</v>
      </c>
      <c r="J151" t="s">
        <v>640</v>
      </c>
      <c r="K151" t="s">
        <v>257</v>
      </c>
      <c r="L151" t="s">
        <v>180</v>
      </c>
      <c r="M151" s="3" t="str">
        <f t="shared" si="2"/>
        <v/>
      </c>
    </row>
    <row r="152" spans="1:13" x14ac:dyDescent="0.35">
      <c r="A152" t="s">
        <v>641</v>
      </c>
      <c r="B152" t="s">
        <v>174</v>
      </c>
      <c r="C152" t="s">
        <v>642</v>
      </c>
      <c r="D152" t="s">
        <v>190</v>
      </c>
      <c r="E152" t="s">
        <v>48</v>
      </c>
      <c r="F152" t="s">
        <v>54</v>
      </c>
      <c r="G152">
        <v>6</v>
      </c>
      <c r="H152" t="s">
        <v>177</v>
      </c>
      <c r="I152" t="s">
        <v>54</v>
      </c>
      <c r="J152" t="s">
        <v>643</v>
      </c>
      <c r="K152" t="s">
        <v>257</v>
      </c>
      <c r="L152" t="s">
        <v>184</v>
      </c>
      <c r="M152" s="3">
        <f t="shared" si="2"/>
        <v>6</v>
      </c>
    </row>
    <row r="153" spans="1:13" x14ac:dyDescent="0.35">
      <c r="A153" t="s">
        <v>644</v>
      </c>
      <c r="B153" t="s">
        <v>174</v>
      </c>
      <c r="C153" t="s">
        <v>645</v>
      </c>
      <c r="D153" t="s">
        <v>190</v>
      </c>
      <c r="E153" t="s">
        <v>46</v>
      </c>
      <c r="F153" t="s">
        <v>53</v>
      </c>
      <c r="G153">
        <v>7</v>
      </c>
      <c r="H153" t="s">
        <v>177</v>
      </c>
      <c r="I153" t="s">
        <v>53</v>
      </c>
      <c r="J153" t="s">
        <v>646</v>
      </c>
      <c r="K153" t="s">
        <v>197</v>
      </c>
      <c r="L153" t="s">
        <v>184</v>
      </c>
      <c r="M153" s="3">
        <f t="shared" si="2"/>
        <v>7</v>
      </c>
    </row>
    <row r="154" spans="1:13" x14ac:dyDescent="0.35">
      <c r="A154" t="s">
        <v>647</v>
      </c>
      <c r="B154" t="s">
        <v>174</v>
      </c>
      <c r="C154" t="s">
        <v>648</v>
      </c>
      <c r="D154" t="s">
        <v>190</v>
      </c>
      <c r="E154" t="s">
        <v>46</v>
      </c>
      <c r="F154" t="s">
        <v>55</v>
      </c>
      <c r="G154">
        <v>9</v>
      </c>
      <c r="H154" t="s">
        <v>177</v>
      </c>
      <c r="I154" t="s">
        <v>55</v>
      </c>
      <c r="J154" t="s">
        <v>649</v>
      </c>
      <c r="K154" t="s">
        <v>197</v>
      </c>
      <c r="L154" t="s">
        <v>180</v>
      </c>
      <c r="M154" s="3">
        <f t="shared" si="2"/>
        <v>9</v>
      </c>
    </row>
    <row r="155" spans="1:13" x14ac:dyDescent="0.35">
      <c r="A155" t="s">
        <v>650</v>
      </c>
      <c r="B155" t="s">
        <v>174</v>
      </c>
      <c r="C155" t="s">
        <v>651</v>
      </c>
      <c r="D155" t="s">
        <v>190</v>
      </c>
      <c r="E155" t="s">
        <v>49</v>
      </c>
      <c r="F155" t="s">
        <v>53</v>
      </c>
      <c r="G155">
        <v>4</v>
      </c>
      <c r="H155" t="s">
        <v>177</v>
      </c>
      <c r="I155" t="s">
        <v>53</v>
      </c>
      <c r="J155" t="s">
        <v>652</v>
      </c>
      <c r="K155" t="s">
        <v>257</v>
      </c>
      <c r="L155" t="s">
        <v>184</v>
      </c>
      <c r="M155" s="3">
        <f t="shared" si="2"/>
        <v>4</v>
      </c>
    </row>
    <row r="156" spans="1:13" x14ac:dyDescent="0.35">
      <c r="A156" t="s">
        <v>653</v>
      </c>
      <c r="B156" t="s">
        <v>174</v>
      </c>
      <c r="C156" t="s">
        <v>654</v>
      </c>
      <c r="D156" t="s">
        <v>176</v>
      </c>
      <c r="E156" t="s">
        <v>43</v>
      </c>
      <c r="F156" t="s">
        <v>56</v>
      </c>
      <c r="G156">
        <v>13</v>
      </c>
      <c r="H156" t="s">
        <v>195</v>
      </c>
      <c r="J156" t="s">
        <v>655</v>
      </c>
      <c r="K156" t="s">
        <v>183</v>
      </c>
      <c r="L156" t="s">
        <v>180</v>
      </c>
      <c r="M156" s="3" t="str">
        <f t="shared" si="2"/>
        <v/>
      </c>
    </row>
    <row r="157" spans="1:13" x14ac:dyDescent="0.35">
      <c r="A157" t="s">
        <v>656</v>
      </c>
      <c r="B157" t="s">
        <v>174</v>
      </c>
      <c r="C157" t="s">
        <v>657</v>
      </c>
      <c r="D157" t="s">
        <v>190</v>
      </c>
      <c r="E157" t="s">
        <v>35</v>
      </c>
      <c r="F157" t="s">
        <v>55</v>
      </c>
      <c r="G157">
        <v>21</v>
      </c>
      <c r="H157" t="s">
        <v>177</v>
      </c>
      <c r="I157" t="s">
        <v>55</v>
      </c>
      <c r="J157" t="s">
        <v>658</v>
      </c>
      <c r="K157" t="s">
        <v>270</v>
      </c>
      <c r="L157" t="s">
        <v>180</v>
      </c>
      <c r="M157" s="3">
        <f t="shared" si="2"/>
        <v>20</v>
      </c>
    </row>
    <row r="158" spans="1:13" x14ac:dyDescent="0.35">
      <c r="A158" t="s">
        <v>659</v>
      </c>
      <c r="B158" t="s">
        <v>174</v>
      </c>
      <c r="C158" t="s">
        <v>660</v>
      </c>
      <c r="D158" t="s">
        <v>236</v>
      </c>
      <c r="E158" t="s">
        <v>50</v>
      </c>
      <c r="F158" t="s">
        <v>52</v>
      </c>
      <c r="G158">
        <v>2</v>
      </c>
      <c r="H158" t="s">
        <v>177</v>
      </c>
      <c r="I158" t="s">
        <v>53</v>
      </c>
      <c r="J158" t="s">
        <v>661</v>
      </c>
      <c r="K158" t="s">
        <v>183</v>
      </c>
      <c r="L158" t="s">
        <v>184</v>
      </c>
      <c r="M158" s="3">
        <f t="shared" si="2"/>
        <v>3</v>
      </c>
    </row>
    <row r="159" spans="1:13" x14ac:dyDescent="0.35">
      <c r="A159" t="s">
        <v>662</v>
      </c>
      <c r="B159" t="s">
        <v>174</v>
      </c>
      <c r="C159" t="s">
        <v>663</v>
      </c>
      <c r="D159" t="s">
        <v>190</v>
      </c>
      <c r="E159" t="s">
        <v>43</v>
      </c>
      <c r="F159" t="s">
        <v>50</v>
      </c>
      <c r="G159">
        <v>6</v>
      </c>
      <c r="H159" t="s">
        <v>195</v>
      </c>
      <c r="J159" t="s">
        <v>664</v>
      </c>
      <c r="K159" t="s">
        <v>197</v>
      </c>
      <c r="L159" t="s">
        <v>180</v>
      </c>
      <c r="M159" s="3" t="str">
        <f t="shared" si="2"/>
        <v/>
      </c>
    </row>
    <row r="160" spans="1:13" x14ac:dyDescent="0.35">
      <c r="A160" t="s">
        <v>665</v>
      </c>
      <c r="B160" t="s">
        <v>174</v>
      </c>
      <c r="C160" t="s">
        <v>666</v>
      </c>
      <c r="D160" t="s">
        <v>190</v>
      </c>
      <c r="E160" t="s">
        <v>48</v>
      </c>
      <c r="F160" t="s">
        <v>52</v>
      </c>
      <c r="G160">
        <v>3</v>
      </c>
      <c r="H160" t="s">
        <v>252</v>
      </c>
      <c r="J160" t="s">
        <v>667</v>
      </c>
      <c r="K160" t="s">
        <v>257</v>
      </c>
      <c r="L160" t="s">
        <v>180</v>
      </c>
      <c r="M160" s="3" t="str">
        <f t="shared" si="2"/>
        <v/>
      </c>
    </row>
    <row r="161" spans="1:13" x14ac:dyDescent="0.35">
      <c r="A161" t="s">
        <v>665</v>
      </c>
      <c r="B161" t="s">
        <v>174</v>
      </c>
      <c r="C161" t="s">
        <v>666</v>
      </c>
      <c r="D161" t="s">
        <v>190</v>
      </c>
      <c r="E161" t="s">
        <v>48</v>
      </c>
      <c r="F161" t="s">
        <v>54</v>
      </c>
      <c r="G161">
        <v>6</v>
      </c>
      <c r="H161" t="s">
        <v>252</v>
      </c>
      <c r="J161" t="s">
        <v>667</v>
      </c>
      <c r="K161" t="s">
        <v>257</v>
      </c>
      <c r="L161" t="s">
        <v>180</v>
      </c>
      <c r="M161" s="3" t="str">
        <f t="shared" si="2"/>
        <v/>
      </c>
    </row>
    <row r="162" spans="1:13" x14ac:dyDescent="0.35">
      <c r="A162" t="s">
        <v>668</v>
      </c>
      <c r="B162" t="s">
        <v>174</v>
      </c>
      <c r="C162" t="s">
        <v>669</v>
      </c>
      <c r="D162" t="s">
        <v>236</v>
      </c>
      <c r="E162" t="s">
        <v>46</v>
      </c>
      <c r="F162" t="s">
        <v>54</v>
      </c>
      <c r="G162">
        <v>7</v>
      </c>
      <c r="H162" t="s">
        <v>177</v>
      </c>
      <c r="I162" t="s">
        <v>54</v>
      </c>
      <c r="J162" t="s">
        <v>670</v>
      </c>
      <c r="K162" t="s">
        <v>183</v>
      </c>
      <c r="L162" t="s">
        <v>180</v>
      </c>
      <c r="M162" s="3">
        <f t="shared" si="2"/>
        <v>8</v>
      </c>
    </row>
    <row r="163" spans="1:13" x14ac:dyDescent="0.35">
      <c r="A163" t="s">
        <v>671</v>
      </c>
      <c r="B163" t="s">
        <v>174</v>
      </c>
      <c r="C163" t="s">
        <v>672</v>
      </c>
      <c r="D163" t="s">
        <v>190</v>
      </c>
      <c r="E163" t="s">
        <v>22</v>
      </c>
      <c r="F163" t="s">
        <v>43</v>
      </c>
      <c r="G163">
        <v>22</v>
      </c>
      <c r="H163" t="s">
        <v>177</v>
      </c>
      <c r="I163" t="s">
        <v>44</v>
      </c>
      <c r="J163" t="s">
        <v>673</v>
      </c>
      <c r="K163" t="s">
        <v>179</v>
      </c>
      <c r="L163" t="s">
        <v>180</v>
      </c>
      <c r="M163" s="3">
        <f t="shared" si="2"/>
        <v>22</v>
      </c>
    </row>
    <row r="164" spans="1:13" x14ac:dyDescent="0.35">
      <c r="A164" t="s">
        <v>674</v>
      </c>
      <c r="B164" t="s">
        <v>174</v>
      </c>
      <c r="C164" t="s">
        <v>675</v>
      </c>
      <c r="D164" t="s">
        <v>190</v>
      </c>
      <c r="E164" t="s">
        <v>43</v>
      </c>
      <c r="F164" t="s">
        <v>51</v>
      </c>
      <c r="G164">
        <v>8</v>
      </c>
      <c r="H164" t="s">
        <v>177</v>
      </c>
      <c r="I164" t="s">
        <v>52</v>
      </c>
      <c r="J164" t="s">
        <v>676</v>
      </c>
      <c r="K164" t="s">
        <v>257</v>
      </c>
      <c r="L164" t="s">
        <v>180</v>
      </c>
      <c r="M164" s="3">
        <f t="shared" si="2"/>
        <v>9</v>
      </c>
    </row>
    <row r="165" spans="1:13" x14ac:dyDescent="0.35">
      <c r="A165" t="s">
        <v>677</v>
      </c>
      <c r="B165" t="s">
        <v>174</v>
      </c>
      <c r="C165" t="s">
        <v>678</v>
      </c>
      <c r="D165" t="s">
        <v>225</v>
      </c>
      <c r="E165" t="s">
        <v>16</v>
      </c>
      <c r="F165" t="s">
        <v>44</v>
      </c>
      <c r="G165">
        <v>29</v>
      </c>
      <c r="H165" t="s">
        <v>252</v>
      </c>
      <c r="J165" t="s">
        <v>679</v>
      </c>
      <c r="K165" t="s">
        <v>331</v>
      </c>
      <c r="L165" t="s">
        <v>180</v>
      </c>
      <c r="M165" s="3" t="str">
        <f t="shared" si="2"/>
        <v/>
      </c>
    </row>
    <row r="166" spans="1:13" x14ac:dyDescent="0.35">
      <c r="A166" t="s">
        <v>680</v>
      </c>
      <c r="B166" t="s">
        <v>174</v>
      </c>
      <c r="C166" t="s">
        <v>681</v>
      </c>
      <c r="D166" t="s">
        <v>190</v>
      </c>
      <c r="E166" t="s">
        <v>40</v>
      </c>
      <c r="F166" t="s">
        <v>43</v>
      </c>
      <c r="G166">
        <v>2</v>
      </c>
      <c r="H166" t="s">
        <v>177</v>
      </c>
      <c r="I166" t="s">
        <v>43</v>
      </c>
      <c r="J166" t="s">
        <v>682</v>
      </c>
      <c r="K166" t="s">
        <v>257</v>
      </c>
      <c r="L166" t="s">
        <v>180</v>
      </c>
      <c r="M166" s="3">
        <f t="shared" si="2"/>
        <v>3</v>
      </c>
    </row>
    <row r="167" spans="1:13" x14ac:dyDescent="0.35">
      <c r="A167" t="s">
        <v>683</v>
      </c>
      <c r="B167" t="s">
        <v>174</v>
      </c>
      <c r="C167" t="s">
        <v>684</v>
      </c>
      <c r="D167" t="s">
        <v>190</v>
      </c>
      <c r="E167" t="s">
        <v>49</v>
      </c>
      <c r="F167" t="s">
        <v>53</v>
      </c>
      <c r="G167">
        <v>4</v>
      </c>
      <c r="H167" t="s">
        <v>177</v>
      </c>
      <c r="I167" t="s">
        <v>53</v>
      </c>
      <c r="J167" t="s">
        <v>685</v>
      </c>
      <c r="K167" t="s">
        <v>197</v>
      </c>
      <c r="L167" t="s">
        <v>180</v>
      </c>
      <c r="M167" s="3">
        <f t="shared" si="2"/>
        <v>4</v>
      </c>
    </row>
    <row r="168" spans="1:13" x14ac:dyDescent="0.35">
      <c r="A168" t="s">
        <v>686</v>
      </c>
      <c r="B168" t="s">
        <v>174</v>
      </c>
      <c r="C168" t="s">
        <v>687</v>
      </c>
      <c r="D168" t="s">
        <v>190</v>
      </c>
      <c r="E168" t="s">
        <v>44</v>
      </c>
      <c r="F168" t="s">
        <v>55</v>
      </c>
      <c r="G168">
        <v>10</v>
      </c>
      <c r="H168" t="s">
        <v>177</v>
      </c>
      <c r="I168" t="s">
        <v>55</v>
      </c>
      <c r="J168" t="s">
        <v>688</v>
      </c>
      <c r="K168" t="s">
        <v>183</v>
      </c>
      <c r="L168" t="s">
        <v>180</v>
      </c>
      <c r="M168" s="3">
        <f t="shared" si="2"/>
        <v>11</v>
      </c>
    </row>
    <row r="169" spans="1:13" x14ac:dyDescent="0.35">
      <c r="A169" t="s">
        <v>689</v>
      </c>
      <c r="B169" t="s">
        <v>174</v>
      </c>
      <c r="C169" t="s">
        <v>690</v>
      </c>
      <c r="D169" t="s">
        <v>236</v>
      </c>
      <c r="E169" t="s">
        <v>46</v>
      </c>
      <c r="F169" t="s">
        <v>54</v>
      </c>
      <c r="G169">
        <v>8</v>
      </c>
      <c r="H169" t="s">
        <v>177</v>
      </c>
      <c r="I169" t="s">
        <v>55</v>
      </c>
      <c r="J169" t="s">
        <v>691</v>
      </c>
      <c r="K169" t="s">
        <v>183</v>
      </c>
      <c r="L169" t="s">
        <v>180</v>
      </c>
      <c r="M169" s="3">
        <f t="shared" si="2"/>
        <v>9</v>
      </c>
    </row>
    <row r="170" spans="1:13" x14ac:dyDescent="0.35">
      <c r="A170" t="s">
        <v>692</v>
      </c>
      <c r="B170" t="s">
        <v>174</v>
      </c>
      <c r="C170" t="s">
        <v>693</v>
      </c>
      <c r="D170" t="s">
        <v>190</v>
      </c>
      <c r="E170" t="s">
        <v>36</v>
      </c>
      <c r="F170" t="s">
        <v>53</v>
      </c>
      <c r="G170">
        <v>17</v>
      </c>
      <c r="H170" t="s">
        <v>177</v>
      </c>
      <c r="I170" t="s">
        <v>54</v>
      </c>
      <c r="J170" t="s">
        <v>694</v>
      </c>
      <c r="K170" t="s">
        <v>270</v>
      </c>
      <c r="L170" t="s">
        <v>184</v>
      </c>
      <c r="M170" s="3">
        <f t="shared" si="2"/>
        <v>18</v>
      </c>
    </row>
    <row r="171" spans="1:13" x14ac:dyDescent="0.35">
      <c r="A171" t="s">
        <v>695</v>
      </c>
      <c r="B171" t="s">
        <v>174</v>
      </c>
      <c r="C171" t="s">
        <v>696</v>
      </c>
      <c r="D171" t="s">
        <v>190</v>
      </c>
      <c r="E171" t="s">
        <v>42</v>
      </c>
      <c r="F171" t="s">
        <v>54</v>
      </c>
      <c r="G171">
        <v>11</v>
      </c>
      <c r="H171" t="s">
        <v>195</v>
      </c>
      <c r="J171" t="s">
        <v>697</v>
      </c>
      <c r="K171" t="s">
        <v>183</v>
      </c>
      <c r="L171" t="s">
        <v>180</v>
      </c>
      <c r="M171" s="3" t="str">
        <f t="shared" si="2"/>
        <v/>
      </c>
    </row>
    <row r="172" spans="1:13" x14ac:dyDescent="0.35">
      <c r="A172" t="s">
        <v>698</v>
      </c>
      <c r="B172" t="s">
        <v>174</v>
      </c>
      <c r="C172" t="s">
        <v>699</v>
      </c>
      <c r="D172" t="s">
        <v>190</v>
      </c>
      <c r="E172" t="s">
        <v>51</v>
      </c>
      <c r="F172" t="s">
        <v>56</v>
      </c>
      <c r="G172">
        <v>4</v>
      </c>
      <c r="H172" t="s">
        <v>195</v>
      </c>
      <c r="J172" t="s">
        <v>700</v>
      </c>
      <c r="K172" t="s">
        <v>183</v>
      </c>
      <c r="L172" t="s">
        <v>184</v>
      </c>
      <c r="M172" s="3" t="str">
        <f t="shared" si="2"/>
        <v/>
      </c>
    </row>
    <row r="173" spans="1:13" x14ac:dyDescent="0.35">
      <c r="A173" t="s">
        <v>701</v>
      </c>
      <c r="B173" t="s">
        <v>174</v>
      </c>
      <c r="C173" t="s">
        <v>702</v>
      </c>
      <c r="D173" t="s">
        <v>236</v>
      </c>
      <c r="E173" t="s">
        <v>48</v>
      </c>
      <c r="F173" t="s">
        <v>55</v>
      </c>
      <c r="G173">
        <v>6</v>
      </c>
      <c r="H173" t="s">
        <v>177</v>
      </c>
      <c r="I173" t="s">
        <v>55</v>
      </c>
      <c r="J173" t="s">
        <v>703</v>
      </c>
      <c r="K173" t="s">
        <v>183</v>
      </c>
      <c r="L173" t="s">
        <v>184</v>
      </c>
      <c r="M173" s="3">
        <f t="shared" si="2"/>
        <v>7</v>
      </c>
    </row>
    <row r="174" spans="1:13" x14ac:dyDescent="0.35">
      <c r="A174" t="s">
        <v>704</v>
      </c>
      <c r="B174" t="s">
        <v>174</v>
      </c>
      <c r="C174" t="s">
        <v>705</v>
      </c>
      <c r="D174" t="s">
        <v>190</v>
      </c>
      <c r="E174" t="s">
        <v>50</v>
      </c>
      <c r="F174" t="s">
        <v>53</v>
      </c>
      <c r="G174">
        <v>2</v>
      </c>
      <c r="H174" t="s">
        <v>252</v>
      </c>
      <c r="J174" t="s">
        <v>706</v>
      </c>
      <c r="K174" t="s">
        <v>257</v>
      </c>
      <c r="L174" t="s">
        <v>180</v>
      </c>
      <c r="M174" s="3" t="str">
        <f t="shared" si="2"/>
        <v/>
      </c>
    </row>
    <row r="175" spans="1:13" x14ac:dyDescent="0.35">
      <c r="A175" t="s">
        <v>707</v>
      </c>
      <c r="B175" t="s">
        <v>174</v>
      </c>
      <c r="C175" t="s">
        <v>708</v>
      </c>
      <c r="D175" t="s">
        <v>225</v>
      </c>
      <c r="E175" t="s">
        <v>41</v>
      </c>
      <c r="F175" t="s">
        <v>48</v>
      </c>
      <c r="G175">
        <v>7</v>
      </c>
      <c r="H175" t="s">
        <v>177</v>
      </c>
      <c r="I175" t="s">
        <v>48</v>
      </c>
      <c r="J175" t="s">
        <v>709</v>
      </c>
      <c r="K175" t="s">
        <v>183</v>
      </c>
      <c r="L175" t="s">
        <v>180</v>
      </c>
      <c r="M175" s="3">
        <f t="shared" si="2"/>
        <v>7</v>
      </c>
    </row>
    <row r="176" spans="1:13" x14ac:dyDescent="0.35">
      <c r="A176" t="s">
        <v>710</v>
      </c>
      <c r="B176" t="s">
        <v>174</v>
      </c>
      <c r="C176" t="s">
        <v>711</v>
      </c>
      <c r="D176" t="s">
        <v>190</v>
      </c>
      <c r="E176" t="s">
        <v>40</v>
      </c>
      <c r="F176" t="s">
        <v>47</v>
      </c>
      <c r="G176">
        <v>7</v>
      </c>
      <c r="H176" t="s">
        <v>177</v>
      </c>
      <c r="I176" t="s">
        <v>47</v>
      </c>
      <c r="J176" t="s">
        <v>479</v>
      </c>
      <c r="K176" t="s">
        <v>197</v>
      </c>
      <c r="L176" t="s">
        <v>180</v>
      </c>
      <c r="M176" s="3">
        <f t="shared" si="2"/>
        <v>7</v>
      </c>
    </row>
    <row r="177" spans="1:13" x14ac:dyDescent="0.35">
      <c r="A177" t="s">
        <v>712</v>
      </c>
      <c r="B177" t="s">
        <v>174</v>
      </c>
      <c r="C177" t="s">
        <v>713</v>
      </c>
      <c r="D177" t="s">
        <v>190</v>
      </c>
      <c r="E177" t="s">
        <v>32</v>
      </c>
      <c r="F177" t="s">
        <v>54</v>
      </c>
      <c r="G177">
        <v>22</v>
      </c>
      <c r="H177" t="s">
        <v>177</v>
      </c>
      <c r="I177" t="s">
        <v>54</v>
      </c>
      <c r="J177" t="s">
        <v>714</v>
      </c>
      <c r="K177" t="s">
        <v>183</v>
      </c>
      <c r="L177" t="s">
        <v>180</v>
      </c>
      <c r="M177" s="3">
        <f t="shared" si="2"/>
        <v>22</v>
      </c>
    </row>
    <row r="178" spans="1:13" x14ac:dyDescent="0.35">
      <c r="A178" t="s">
        <v>715</v>
      </c>
      <c r="B178" t="s">
        <v>174</v>
      </c>
      <c r="C178" t="s">
        <v>716</v>
      </c>
      <c r="D178" t="s">
        <v>190</v>
      </c>
      <c r="E178" t="s">
        <v>37</v>
      </c>
      <c r="F178" t="s">
        <v>45</v>
      </c>
      <c r="G178">
        <v>8</v>
      </c>
      <c r="H178" t="s">
        <v>252</v>
      </c>
      <c r="J178" t="s">
        <v>717</v>
      </c>
      <c r="K178" t="s">
        <v>183</v>
      </c>
      <c r="L178" t="s">
        <v>180</v>
      </c>
      <c r="M178" s="3" t="str">
        <f t="shared" si="2"/>
        <v/>
      </c>
    </row>
    <row r="179" spans="1:13" x14ac:dyDescent="0.35">
      <c r="A179" t="s">
        <v>718</v>
      </c>
      <c r="B179" t="s">
        <v>174</v>
      </c>
      <c r="C179" t="s">
        <v>719</v>
      </c>
      <c r="D179" t="s">
        <v>190</v>
      </c>
      <c r="E179" t="s">
        <v>49</v>
      </c>
      <c r="F179" t="s">
        <v>51</v>
      </c>
      <c r="G179">
        <v>2</v>
      </c>
      <c r="H179" t="s">
        <v>252</v>
      </c>
      <c r="J179" t="s">
        <v>720</v>
      </c>
      <c r="K179" t="s">
        <v>197</v>
      </c>
      <c r="L179" t="s">
        <v>180</v>
      </c>
      <c r="M179" s="3" t="str">
        <f t="shared" si="2"/>
        <v/>
      </c>
    </row>
    <row r="180" spans="1:13" x14ac:dyDescent="0.35">
      <c r="A180" t="s">
        <v>718</v>
      </c>
      <c r="B180" t="s">
        <v>174</v>
      </c>
      <c r="C180" t="s">
        <v>719</v>
      </c>
      <c r="D180" t="s">
        <v>190</v>
      </c>
      <c r="E180" t="s">
        <v>49</v>
      </c>
      <c r="F180" t="s">
        <v>53</v>
      </c>
      <c r="G180">
        <v>3</v>
      </c>
      <c r="H180" t="s">
        <v>177</v>
      </c>
      <c r="I180" t="s">
        <v>54</v>
      </c>
      <c r="J180" t="s">
        <v>720</v>
      </c>
      <c r="K180" t="s">
        <v>197</v>
      </c>
      <c r="L180" t="s">
        <v>180</v>
      </c>
      <c r="M180" s="3">
        <f t="shared" si="2"/>
        <v>5</v>
      </c>
    </row>
    <row r="181" spans="1:13" x14ac:dyDescent="0.35">
      <c r="A181" t="s">
        <v>721</v>
      </c>
      <c r="B181" t="s">
        <v>174</v>
      </c>
      <c r="C181" t="s">
        <v>722</v>
      </c>
      <c r="D181" t="s">
        <v>190</v>
      </c>
      <c r="E181" t="s">
        <v>46</v>
      </c>
      <c r="F181" t="s">
        <v>50</v>
      </c>
      <c r="G181">
        <v>4</v>
      </c>
      <c r="H181" t="s">
        <v>177</v>
      </c>
      <c r="I181" t="s">
        <v>50</v>
      </c>
      <c r="J181" t="s">
        <v>723</v>
      </c>
      <c r="K181" t="s">
        <v>197</v>
      </c>
      <c r="L181" t="s">
        <v>184</v>
      </c>
      <c r="M181" s="3">
        <f t="shared" si="2"/>
        <v>4</v>
      </c>
    </row>
    <row r="182" spans="1:13" x14ac:dyDescent="0.35">
      <c r="A182" t="s">
        <v>724</v>
      </c>
      <c r="B182" t="s">
        <v>174</v>
      </c>
      <c r="C182" t="s">
        <v>725</v>
      </c>
      <c r="D182" t="s">
        <v>190</v>
      </c>
      <c r="E182" t="s">
        <v>46</v>
      </c>
      <c r="F182" t="s">
        <v>54</v>
      </c>
      <c r="G182">
        <v>8</v>
      </c>
      <c r="H182" t="s">
        <v>195</v>
      </c>
      <c r="J182" t="s">
        <v>726</v>
      </c>
      <c r="K182" t="s">
        <v>197</v>
      </c>
      <c r="L182" t="s">
        <v>180</v>
      </c>
      <c r="M182" s="3" t="str">
        <f t="shared" si="2"/>
        <v/>
      </c>
    </row>
    <row r="183" spans="1:13" x14ac:dyDescent="0.35">
      <c r="A183" t="s">
        <v>727</v>
      </c>
      <c r="B183" t="s">
        <v>174</v>
      </c>
      <c r="C183" t="s">
        <v>728</v>
      </c>
      <c r="D183" t="s">
        <v>190</v>
      </c>
      <c r="E183" t="s">
        <v>35</v>
      </c>
      <c r="F183" t="s">
        <v>46</v>
      </c>
      <c r="G183">
        <v>11</v>
      </c>
      <c r="H183" t="s">
        <v>177</v>
      </c>
      <c r="I183" t="s">
        <v>46</v>
      </c>
      <c r="J183" t="s">
        <v>729</v>
      </c>
      <c r="K183" t="s">
        <v>270</v>
      </c>
      <c r="L183" t="s">
        <v>180</v>
      </c>
      <c r="M183" s="3">
        <f t="shared" si="2"/>
        <v>11</v>
      </c>
    </row>
    <row r="184" spans="1:13" x14ac:dyDescent="0.35">
      <c r="A184" t="s">
        <v>730</v>
      </c>
      <c r="B184" t="s">
        <v>174</v>
      </c>
      <c r="C184" t="s">
        <v>731</v>
      </c>
      <c r="D184" t="s">
        <v>190</v>
      </c>
      <c r="E184" t="s">
        <v>44</v>
      </c>
      <c r="F184" t="s">
        <v>52</v>
      </c>
      <c r="G184">
        <v>8</v>
      </c>
      <c r="H184" t="s">
        <v>177</v>
      </c>
      <c r="I184" t="s">
        <v>53</v>
      </c>
      <c r="J184" t="s">
        <v>732</v>
      </c>
      <c r="K184" t="s">
        <v>197</v>
      </c>
      <c r="L184" t="s">
        <v>180</v>
      </c>
      <c r="M184" s="3">
        <f t="shared" si="2"/>
        <v>9</v>
      </c>
    </row>
    <row r="185" spans="1:13" x14ac:dyDescent="0.35">
      <c r="A185" t="s">
        <v>733</v>
      </c>
      <c r="B185" t="s">
        <v>174</v>
      </c>
      <c r="C185" t="s">
        <v>734</v>
      </c>
      <c r="D185" t="s">
        <v>225</v>
      </c>
      <c r="E185" t="s">
        <v>41</v>
      </c>
      <c r="F185" t="s">
        <v>54</v>
      </c>
      <c r="G185">
        <v>13</v>
      </c>
      <c r="H185" t="s">
        <v>177</v>
      </c>
      <c r="I185" t="s">
        <v>55</v>
      </c>
      <c r="J185" t="s">
        <v>735</v>
      </c>
      <c r="K185" t="s">
        <v>183</v>
      </c>
      <c r="L185" t="s">
        <v>180</v>
      </c>
      <c r="M185" s="3">
        <f t="shared" si="2"/>
        <v>14</v>
      </c>
    </row>
    <row r="186" spans="1:13" x14ac:dyDescent="0.35">
      <c r="A186" t="s">
        <v>736</v>
      </c>
      <c r="B186" t="s">
        <v>231</v>
      </c>
      <c r="C186" t="s">
        <v>737</v>
      </c>
      <c r="D186" t="s">
        <v>190</v>
      </c>
      <c r="E186" t="s">
        <v>46</v>
      </c>
      <c r="F186" t="s">
        <v>55</v>
      </c>
      <c r="G186">
        <v>9</v>
      </c>
      <c r="H186" t="s">
        <v>195</v>
      </c>
      <c r="J186" t="s">
        <v>738</v>
      </c>
      <c r="K186" t="s">
        <v>197</v>
      </c>
      <c r="L186" t="s">
        <v>180</v>
      </c>
      <c r="M186" s="3" t="str">
        <f t="shared" si="2"/>
        <v/>
      </c>
    </row>
    <row r="187" spans="1:13" x14ac:dyDescent="0.35">
      <c r="A187" t="s">
        <v>739</v>
      </c>
      <c r="B187" t="s">
        <v>174</v>
      </c>
      <c r="C187" t="s">
        <v>740</v>
      </c>
      <c r="D187" t="s">
        <v>176</v>
      </c>
      <c r="E187" t="s">
        <v>35</v>
      </c>
      <c r="F187" t="s">
        <v>53</v>
      </c>
      <c r="G187">
        <v>18</v>
      </c>
      <c r="H187" t="s">
        <v>177</v>
      </c>
      <c r="I187" t="s">
        <v>53</v>
      </c>
      <c r="J187" t="s">
        <v>741</v>
      </c>
      <c r="K187" t="s">
        <v>183</v>
      </c>
      <c r="L187" t="s">
        <v>180</v>
      </c>
      <c r="M187" s="3">
        <f t="shared" si="2"/>
        <v>18</v>
      </c>
    </row>
    <row r="188" spans="1:13" x14ac:dyDescent="0.35">
      <c r="A188" t="s">
        <v>742</v>
      </c>
      <c r="B188" t="s">
        <v>174</v>
      </c>
      <c r="C188" t="s">
        <v>743</v>
      </c>
      <c r="D188" t="s">
        <v>225</v>
      </c>
      <c r="E188" t="s">
        <v>25</v>
      </c>
      <c r="F188" t="s">
        <v>40</v>
      </c>
      <c r="G188">
        <v>15</v>
      </c>
      <c r="H188" t="s">
        <v>177</v>
      </c>
      <c r="I188" t="s">
        <v>41</v>
      </c>
      <c r="J188" t="s">
        <v>744</v>
      </c>
      <c r="K188" t="s">
        <v>183</v>
      </c>
      <c r="L188" t="s">
        <v>180</v>
      </c>
      <c r="M188" s="3">
        <f t="shared" si="2"/>
        <v>16</v>
      </c>
    </row>
    <row r="189" spans="1:13" x14ac:dyDescent="0.35">
      <c r="A189" t="s">
        <v>745</v>
      </c>
      <c r="B189" t="s">
        <v>174</v>
      </c>
      <c r="C189" t="s">
        <v>746</v>
      </c>
      <c r="D189" t="s">
        <v>176</v>
      </c>
      <c r="E189" t="s">
        <v>45</v>
      </c>
      <c r="F189" t="s">
        <v>52</v>
      </c>
      <c r="G189">
        <v>7</v>
      </c>
      <c r="H189" t="s">
        <v>177</v>
      </c>
      <c r="I189" t="s">
        <v>52</v>
      </c>
      <c r="J189" t="s">
        <v>747</v>
      </c>
      <c r="K189" t="s">
        <v>183</v>
      </c>
      <c r="L189" t="s">
        <v>184</v>
      </c>
      <c r="M189" s="3">
        <f t="shared" si="2"/>
        <v>7</v>
      </c>
    </row>
    <row r="190" spans="1:13" x14ac:dyDescent="0.35">
      <c r="A190" t="s">
        <v>748</v>
      </c>
      <c r="B190" t="s">
        <v>174</v>
      </c>
      <c r="C190" t="s">
        <v>749</v>
      </c>
      <c r="D190" t="s">
        <v>190</v>
      </c>
      <c r="E190" t="s">
        <v>44</v>
      </c>
      <c r="F190" t="s">
        <v>46</v>
      </c>
      <c r="G190">
        <v>2</v>
      </c>
      <c r="H190" t="s">
        <v>177</v>
      </c>
      <c r="I190" t="s">
        <v>47</v>
      </c>
      <c r="J190" t="s">
        <v>750</v>
      </c>
      <c r="K190" t="s">
        <v>257</v>
      </c>
      <c r="L190" t="s">
        <v>180</v>
      </c>
      <c r="M190" s="3">
        <f t="shared" si="2"/>
        <v>3</v>
      </c>
    </row>
    <row r="191" spans="1:13" x14ac:dyDescent="0.35">
      <c r="A191" t="s">
        <v>751</v>
      </c>
      <c r="B191" t="s">
        <v>174</v>
      </c>
      <c r="C191" t="s">
        <v>752</v>
      </c>
      <c r="D191" t="s">
        <v>190</v>
      </c>
      <c r="E191" t="s">
        <v>47</v>
      </c>
      <c r="F191" t="s">
        <v>55</v>
      </c>
      <c r="G191">
        <v>8</v>
      </c>
      <c r="H191" t="s">
        <v>177</v>
      </c>
      <c r="I191" t="s">
        <v>55</v>
      </c>
      <c r="J191" t="s">
        <v>753</v>
      </c>
      <c r="K191" t="s">
        <v>197</v>
      </c>
      <c r="L191" t="s">
        <v>180</v>
      </c>
      <c r="M191" s="3">
        <f t="shared" si="2"/>
        <v>8</v>
      </c>
    </row>
    <row r="192" spans="1:13" x14ac:dyDescent="0.35">
      <c r="A192" t="s">
        <v>754</v>
      </c>
      <c r="B192" t="s">
        <v>174</v>
      </c>
      <c r="C192" t="s">
        <v>755</v>
      </c>
      <c r="D192" t="s">
        <v>190</v>
      </c>
      <c r="E192" t="s">
        <v>50</v>
      </c>
      <c r="F192" t="s">
        <v>55</v>
      </c>
      <c r="G192">
        <v>5</v>
      </c>
      <c r="H192" t="s">
        <v>177</v>
      </c>
      <c r="I192" t="s">
        <v>56</v>
      </c>
      <c r="J192" t="s">
        <v>756</v>
      </c>
      <c r="K192" t="s">
        <v>257</v>
      </c>
      <c r="L192" t="s">
        <v>184</v>
      </c>
      <c r="M192" s="3">
        <f t="shared" si="2"/>
        <v>6</v>
      </c>
    </row>
    <row r="193" spans="1:13" x14ac:dyDescent="0.35">
      <c r="A193" t="s">
        <v>757</v>
      </c>
      <c r="B193" t="s">
        <v>174</v>
      </c>
      <c r="C193" t="s">
        <v>758</v>
      </c>
      <c r="D193" t="s">
        <v>494</v>
      </c>
      <c r="E193" t="s">
        <v>30</v>
      </c>
      <c r="F193" t="s">
        <v>55</v>
      </c>
      <c r="G193">
        <v>25</v>
      </c>
      <c r="H193" t="s">
        <v>177</v>
      </c>
      <c r="I193" t="s">
        <v>55</v>
      </c>
      <c r="J193" t="s">
        <v>759</v>
      </c>
      <c r="K193" t="s">
        <v>183</v>
      </c>
      <c r="L193" t="s">
        <v>180</v>
      </c>
      <c r="M193" s="3">
        <f t="shared" si="2"/>
        <v>25</v>
      </c>
    </row>
    <row r="194" spans="1:13" x14ac:dyDescent="0.35">
      <c r="A194" t="s">
        <v>760</v>
      </c>
      <c r="B194" t="s">
        <v>174</v>
      </c>
      <c r="C194" t="s">
        <v>761</v>
      </c>
      <c r="D194" t="s">
        <v>190</v>
      </c>
      <c r="E194" t="s">
        <v>49</v>
      </c>
      <c r="F194" t="s">
        <v>54</v>
      </c>
      <c r="G194">
        <v>5</v>
      </c>
      <c r="H194" t="s">
        <v>177</v>
      </c>
      <c r="I194" t="s">
        <v>54</v>
      </c>
      <c r="J194" t="s">
        <v>762</v>
      </c>
      <c r="K194" t="s">
        <v>257</v>
      </c>
      <c r="L194" t="s">
        <v>184</v>
      </c>
      <c r="M194" s="3">
        <f t="shared" si="2"/>
        <v>5</v>
      </c>
    </row>
    <row r="195" spans="1:13" x14ac:dyDescent="0.35">
      <c r="A195" t="s">
        <v>763</v>
      </c>
      <c r="B195" t="s">
        <v>174</v>
      </c>
      <c r="C195" t="s">
        <v>764</v>
      </c>
      <c r="D195" t="s">
        <v>190</v>
      </c>
      <c r="E195" t="s">
        <v>39</v>
      </c>
      <c r="F195" t="s">
        <v>50</v>
      </c>
      <c r="G195">
        <v>11</v>
      </c>
      <c r="H195" t="s">
        <v>195</v>
      </c>
      <c r="J195" t="s">
        <v>765</v>
      </c>
      <c r="K195" t="s">
        <v>270</v>
      </c>
      <c r="L195" t="s">
        <v>180</v>
      </c>
      <c r="M195" s="3" t="str">
        <f t="shared" ref="M195:M258" si="3">IF(H195="Efectivo",IFERROR((VALUE(RIGHT(I195,4))-VALUE(RIGHT(E195,4)))*12+(VALUE(LEFT(I195,2))-VALUE(LEFT(E195,2))),""),"")</f>
        <v/>
      </c>
    </row>
    <row r="196" spans="1:13" x14ac:dyDescent="0.35">
      <c r="A196" t="s">
        <v>766</v>
      </c>
      <c r="B196" t="s">
        <v>174</v>
      </c>
      <c r="C196" t="s">
        <v>767</v>
      </c>
      <c r="D196" t="s">
        <v>190</v>
      </c>
      <c r="E196" t="s">
        <v>42</v>
      </c>
      <c r="F196" t="s">
        <v>55</v>
      </c>
      <c r="G196">
        <v>12</v>
      </c>
      <c r="H196" t="s">
        <v>177</v>
      </c>
      <c r="I196" t="s">
        <v>55</v>
      </c>
      <c r="J196" t="s">
        <v>768</v>
      </c>
      <c r="K196" t="s">
        <v>197</v>
      </c>
      <c r="L196" t="s">
        <v>180</v>
      </c>
      <c r="M196" s="3">
        <f t="shared" si="3"/>
        <v>13</v>
      </c>
    </row>
    <row r="197" spans="1:13" x14ac:dyDescent="0.35">
      <c r="A197" t="s">
        <v>769</v>
      </c>
      <c r="B197" t="s">
        <v>174</v>
      </c>
      <c r="C197" t="s">
        <v>770</v>
      </c>
      <c r="D197" t="s">
        <v>190</v>
      </c>
      <c r="E197" t="s">
        <v>42</v>
      </c>
      <c r="F197" t="s">
        <v>47</v>
      </c>
      <c r="G197">
        <v>5</v>
      </c>
      <c r="H197" t="s">
        <v>195</v>
      </c>
      <c r="J197" t="s">
        <v>771</v>
      </c>
      <c r="K197" t="s">
        <v>270</v>
      </c>
      <c r="L197" t="s">
        <v>180</v>
      </c>
      <c r="M197" s="3" t="str">
        <f t="shared" si="3"/>
        <v/>
      </c>
    </row>
    <row r="198" spans="1:13" x14ac:dyDescent="0.35">
      <c r="A198" t="s">
        <v>772</v>
      </c>
      <c r="B198" t="s">
        <v>174</v>
      </c>
      <c r="C198" t="s">
        <v>773</v>
      </c>
      <c r="D198" t="s">
        <v>236</v>
      </c>
      <c r="E198" t="s">
        <v>46</v>
      </c>
      <c r="F198" t="s">
        <v>54</v>
      </c>
      <c r="G198">
        <v>8</v>
      </c>
      <c r="H198" t="s">
        <v>177</v>
      </c>
      <c r="I198" t="s">
        <v>54</v>
      </c>
      <c r="J198" t="s">
        <v>774</v>
      </c>
      <c r="K198" t="s">
        <v>192</v>
      </c>
      <c r="L198" t="s">
        <v>180</v>
      </c>
      <c r="M198" s="3">
        <f t="shared" si="3"/>
        <v>8</v>
      </c>
    </row>
    <row r="199" spans="1:13" x14ac:dyDescent="0.35">
      <c r="A199" t="s">
        <v>775</v>
      </c>
      <c r="B199" t="s">
        <v>174</v>
      </c>
      <c r="C199" t="s">
        <v>776</v>
      </c>
      <c r="D199" t="s">
        <v>190</v>
      </c>
      <c r="E199" t="s">
        <v>41</v>
      </c>
      <c r="F199" t="s">
        <v>48</v>
      </c>
      <c r="G199">
        <v>7</v>
      </c>
      <c r="H199" t="s">
        <v>177</v>
      </c>
      <c r="I199" t="s">
        <v>49</v>
      </c>
      <c r="J199" t="s">
        <v>777</v>
      </c>
      <c r="K199" t="s">
        <v>197</v>
      </c>
      <c r="L199" t="s">
        <v>180</v>
      </c>
      <c r="M199" s="3">
        <f t="shared" si="3"/>
        <v>8</v>
      </c>
    </row>
    <row r="200" spans="1:13" x14ac:dyDescent="0.35">
      <c r="A200" t="s">
        <v>778</v>
      </c>
      <c r="B200" t="s">
        <v>231</v>
      </c>
      <c r="C200" t="s">
        <v>779</v>
      </c>
      <c r="D200" t="s">
        <v>236</v>
      </c>
      <c r="E200" t="s">
        <v>35</v>
      </c>
      <c r="F200" t="s">
        <v>54</v>
      </c>
      <c r="G200">
        <v>18</v>
      </c>
      <c r="H200" t="s">
        <v>177</v>
      </c>
      <c r="I200" t="s">
        <v>54</v>
      </c>
      <c r="J200" t="s">
        <v>780</v>
      </c>
      <c r="K200" t="s">
        <v>183</v>
      </c>
      <c r="L200" t="s">
        <v>180</v>
      </c>
      <c r="M200" s="3">
        <f t="shared" si="3"/>
        <v>19</v>
      </c>
    </row>
    <row r="201" spans="1:13" x14ac:dyDescent="0.35">
      <c r="A201" t="s">
        <v>781</v>
      </c>
      <c r="B201" t="s">
        <v>174</v>
      </c>
      <c r="C201" t="s">
        <v>782</v>
      </c>
      <c r="D201" t="s">
        <v>176</v>
      </c>
      <c r="E201" t="s">
        <v>423</v>
      </c>
      <c r="F201" t="s">
        <v>43</v>
      </c>
      <c r="G201">
        <v>32</v>
      </c>
      <c r="H201" t="s">
        <v>177</v>
      </c>
      <c r="I201" t="s">
        <v>43</v>
      </c>
      <c r="J201" t="s">
        <v>783</v>
      </c>
      <c r="K201" t="s">
        <v>192</v>
      </c>
      <c r="L201" t="s">
        <v>180</v>
      </c>
      <c r="M201" s="3">
        <f t="shared" si="3"/>
        <v>32</v>
      </c>
    </row>
    <row r="202" spans="1:13" x14ac:dyDescent="0.35">
      <c r="A202" t="s">
        <v>784</v>
      </c>
      <c r="B202" t="s">
        <v>174</v>
      </c>
      <c r="C202" t="s">
        <v>785</v>
      </c>
      <c r="D202" t="s">
        <v>190</v>
      </c>
      <c r="E202" t="s">
        <v>34</v>
      </c>
      <c r="F202" t="s">
        <v>53</v>
      </c>
      <c r="G202">
        <v>19</v>
      </c>
      <c r="H202" t="s">
        <v>177</v>
      </c>
      <c r="I202" t="s">
        <v>55</v>
      </c>
      <c r="J202" t="s">
        <v>786</v>
      </c>
      <c r="K202" t="s">
        <v>270</v>
      </c>
      <c r="L202" t="s">
        <v>180</v>
      </c>
      <c r="M202" s="3">
        <f t="shared" si="3"/>
        <v>21</v>
      </c>
    </row>
    <row r="203" spans="1:13" x14ac:dyDescent="0.35">
      <c r="A203" t="s">
        <v>787</v>
      </c>
      <c r="B203" t="s">
        <v>174</v>
      </c>
      <c r="C203" t="s">
        <v>788</v>
      </c>
      <c r="D203" t="s">
        <v>190</v>
      </c>
      <c r="E203" t="s">
        <v>37</v>
      </c>
      <c r="F203" t="s">
        <v>42</v>
      </c>
      <c r="G203">
        <v>5</v>
      </c>
      <c r="H203" t="s">
        <v>177</v>
      </c>
      <c r="I203" t="s">
        <v>42</v>
      </c>
      <c r="J203" t="s">
        <v>789</v>
      </c>
      <c r="K203" t="s">
        <v>270</v>
      </c>
      <c r="L203" t="s">
        <v>180</v>
      </c>
      <c r="M203" s="3">
        <f t="shared" si="3"/>
        <v>5</v>
      </c>
    </row>
    <row r="204" spans="1:13" x14ac:dyDescent="0.35">
      <c r="A204" t="s">
        <v>790</v>
      </c>
      <c r="B204" t="s">
        <v>174</v>
      </c>
      <c r="C204" t="s">
        <v>791</v>
      </c>
      <c r="D204" t="s">
        <v>176</v>
      </c>
      <c r="E204" t="s">
        <v>42</v>
      </c>
      <c r="F204" t="s">
        <v>44</v>
      </c>
      <c r="G204">
        <v>2</v>
      </c>
      <c r="H204" t="s">
        <v>177</v>
      </c>
      <c r="I204" t="s">
        <v>45</v>
      </c>
      <c r="J204" t="s">
        <v>792</v>
      </c>
      <c r="K204" t="s">
        <v>183</v>
      </c>
      <c r="L204" t="s">
        <v>180</v>
      </c>
      <c r="M204" s="3">
        <f t="shared" si="3"/>
        <v>3</v>
      </c>
    </row>
    <row r="205" spans="1:13" x14ac:dyDescent="0.35">
      <c r="A205" t="s">
        <v>793</v>
      </c>
      <c r="B205" t="s">
        <v>174</v>
      </c>
      <c r="C205" t="s">
        <v>794</v>
      </c>
      <c r="D205" t="s">
        <v>190</v>
      </c>
      <c r="E205" t="s">
        <v>41</v>
      </c>
      <c r="F205" t="s">
        <v>52</v>
      </c>
      <c r="G205">
        <v>11</v>
      </c>
      <c r="H205" t="s">
        <v>177</v>
      </c>
      <c r="I205" t="s">
        <v>53</v>
      </c>
      <c r="J205" t="s">
        <v>795</v>
      </c>
      <c r="K205" t="s">
        <v>197</v>
      </c>
      <c r="L205" t="s">
        <v>180</v>
      </c>
      <c r="M205" s="3">
        <f t="shared" si="3"/>
        <v>12</v>
      </c>
    </row>
    <row r="206" spans="1:13" x14ac:dyDescent="0.35">
      <c r="A206" t="s">
        <v>796</v>
      </c>
      <c r="B206" t="s">
        <v>174</v>
      </c>
      <c r="C206" t="s">
        <v>797</v>
      </c>
      <c r="D206" t="s">
        <v>190</v>
      </c>
      <c r="E206" t="s">
        <v>46</v>
      </c>
      <c r="F206" t="s">
        <v>53</v>
      </c>
      <c r="G206">
        <v>7</v>
      </c>
      <c r="H206" t="s">
        <v>177</v>
      </c>
      <c r="I206" t="s">
        <v>53</v>
      </c>
      <c r="J206" t="s">
        <v>798</v>
      </c>
      <c r="K206" t="s">
        <v>197</v>
      </c>
      <c r="L206" t="s">
        <v>184</v>
      </c>
      <c r="M206" s="3">
        <f t="shared" si="3"/>
        <v>7</v>
      </c>
    </row>
    <row r="207" spans="1:13" x14ac:dyDescent="0.35">
      <c r="A207" t="s">
        <v>799</v>
      </c>
      <c r="B207" t="s">
        <v>174</v>
      </c>
      <c r="C207" t="s">
        <v>800</v>
      </c>
      <c r="D207" t="s">
        <v>176</v>
      </c>
      <c r="E207" t="s">
        <v>46</v>
      </c>
      <c r="F207" t="s">
        <v>51</v>
      </c>
      <c r="G207">
        <v>5</v>
      </c>
      <c r="H207" t="s">
        <v>177</v>
      </c>
      <c r="I207" t="s">
        <v>54</v>
      </c>
      <c r="J207" t="s">
        <v>801</v>
      </c>
      <c r="K207" t="s">
        <v>183</v>
      </c>
      <c r="L207" t="s">
        <v>184</v>
      </c>
      <c r="M207" s="3">
        <f t="shared" si="3"/>
        <v>8</v>
      </c>
    </row>
    <row r="208" spans="1:13" x14ac:dyDescent="0.35">
      <c r="A208" t="s">
        <v>802</v>
      </c>
      <c r="B208" t="s">
        <v>174</v>
      </c>
      <c r="C208" t="s">
        <v>803</v>
      </c>
      <c r="D208" t="s">
        <v>190</v>
      </c>
      <c r="E208" t="s">
        <v>42</v>
      </c>
      <c r="F208" t="s">
        <v>48</v>
      </c>
      <c r="G208">
        <v>6</v>
      </c>
      <c r="H208" t="s">
        <v>177</v>
      </c>
      <c r="I208" t="s">
        <v>51</v>
      </c>
      <c r="J208" t="s">
        <v>804</v>
      </c>
      <c r="K208" t="s">
        <v>270</v>
      </c>
      <c r="L208" t="s">
        <v>180</v>
      </c>
      <c r="M208" s="3">
        <f t="shared" si="3"/>
        <v>9</v>
      </c>
    </row>
    <row r="209" spans="1:13" x14ac:dyDescent="0.35">
      <c r="A209" t="s">
        <v>805</v>
      </c>
      <c r="B209" t="s">
        <v>174</v>
      </c>
      <c r="C209" t="s">
        <v>806</v>
      </c>
      <c r="D209" t="s">
        <v>190</v>
      </c>
      <c r="E209" t="s">
        <v>43</v>
      </c>
      <c r="F209" t="s">
        <v>47</v>
      </c>
      <c r="G209">
        <v>4</v>
      </c>
      <c r="H209" t="s">
        <v>177</v>
      </c>
      <c r="I209" t="s">
        <v>48</v>
      </c>
      <c r="J209" t="s">
        <v>807</v>
      </c>
      <c r="K209" t="s">
        <v>197</v>
      </c>
      <c r="L209" t="s">
        <v>180</v>
      </c>
      <c r="M209" s="3">
        <f t="shared" si="3"/>
        <v>5</v>
      </c>
    </row>
    <row r="210" spans="1:13" x14ac:dyDescent="0.35">
      <c r="A210" t="s">
        <v>808</v>
      </c>
      <c r="B210" t="s">
        <v>174</v>
      </c>
      <c r="C210" t="s">
        <v>809</v>
      </c>
      <c r="D210" t="s">
        <v>190</v>
      </c>
      <c r="E210" t="s">
        <v>36</v>
      </c>
      <c r="F210" t="s">
        <v>46</v>
      </c>
      <c r="G210">
        <v>10</v>
      </c>
      <c r="H210" t="s">
        <v>177</v>
      </c>
      <c r="I210" t="s">
        <v>47</v>
      </c>
      <c r="J210" t="s">
        <v>810</v>
      </c>
      <c r="K210" t="s">
        <v>257</v>
      </c>
      <c r="L210" t="s">
        <v>184</v>
      </c>
      <c r="M210" s="3">
        <f t="shared" si="3"/>
        <v>11</v>
      </c>
    </row>
    <row r="211" spans="1:13" x14ac:dyDescent="0.35">
      <c r="A211" t="s">
        <v>811</v>
      </c>
      <c r="B211" t="s">
        <v>174</v>
      </c>
      <c r="C211" t="s">
        <v>812</v>
      </c>
      <c r="D211" t="s">
        <v>190</v>
      </c>
      <c r="E211" t="s">
        <v>46</v>
      </c>
      <c r="F211" t="s">
        <v>55</v>
      </c>
      <c r="G211">
        <v>9</v>
      </c>
      <c r="H211" t="s">
        <v>195</v>
      </c>
      <c r="J211" t="s">
        <v>813</v>
      </c>
      <c r="K211" t="s">
        <v>257</v>
      </c>
      <c r="L211" t="s">
        <v>180</v>
      </c>
      <c r="M211" s="3" t="str">
        <f t="shared" si="3"/>
        <v/>
      </c>
    </row>
    <row r="212" spans="1:13" x14ac:dyDescent="0.35">
      <c r="A212" t="s">
        <v>814</v>
      </c>
      <c r="B212" t="s">
        <v>174</v>
      </c>
      <c r="C212" t="s">
        <v>815</v>
      </c>
      <c r="D212" t="s">
        <v>190</v>
      </c>
      <c r="E212" t="s">
        <v>50</v>
      </c>
      <c r="F212" t="s">
        <v>53</v>
      </c>
      <c r="G212">
        <v>2</v>
      </c>
      <c r="H212" t="s">
        <v>195</v>
      </c>
      <c r="J212" t="s">
        <v>816</v>
      </c>
      <c r="K212" t="s">
        <v>219</v>
      </c>
      <c r="L212" t="s">
        <v>180</v>
      </c>
      <c r="M212" s="3" t="str">
        <f t="shared" si="3"/>
        <v/>
      </c>
    </row>
    <row r="213" spans="1:13" x14ac:dyDescent="0.35">
      <c r="A213" t="s">
        <v>817</v>
      </c>
      <c r="B213" t="s">
        <v>174</v>
      </c>
      <c r="C213" t="s">
        <v>818</v>
      </c>
      <c r="D213" t="s">
        <v>190</v>
      </c>
      <c r="E213" t="s">
        <v>35</v>
      </c>
      <c r="F213" t="s">
        <v>51</v>
      </c>
      <c r="G213">
        <v>17</v>
      </c>
      <c r="H213" t="s">
        <v>252</v>
      </c>
      <c r="J213" t="s">
        <v>819</v>
      </c>
      <c r="K213" t="s">
        <v>192</v>
      </c>
      <c r="L213" t="s">
        <v>180</v>
      </c>
      <c r="M213" s="3" t="str">
        <f t="shared" si="3"/>
        <v/>
      </c>
    </row>
    <row r="214" spans="1:13" x14ac:dyDescent="0.35">
      <c r="A214" t="s">
        <v>817</v>
      </c>
      <c r="B214" t="s">
        <v>174</v>
      </c>
      <c r="C214" t="s">
        <v>818</v>
      </c>
      <c r="D214" t="s">
        <v>190</v>
      </c>
      <c r="E214" t="s">
        <v>35</v>
      </c>
      <c r="F214" t="s">
        <v>53</v>
      </c>
      <c r="G214">
        <v>18</v>
      </c>
      <c r="H214" t="s">
        <v>177</v>
      </c>
      <c r="I214" t="s">
        <v>55</v>
      </c>
      <c r="J214" t="s">
        <v>819</v>
      </c>
      <c r="K214" t="s">
        <v>192</v>
      </c>
      <c r="L214" t="s">
        <v>180</v>
      </c>
      <c r="M214" s="3">
        <f t="shared" si="3"/>
        <v>20</v>
      </c>
    </row>
    <row r="215" spans="1:13" x14ac:dyDescent="0.35">
      <c r="A215" t="s">
        <v>820</v>
      </c>
      <c r="B215" t="s">
        <v>174</v>
      </c>
      <c r="C215" t="s">
        <v>821</v>
      </c>
      <c r="D215" t="s">
        <v>190</v>
      </c>
      <c r="E215" t="s">
        <v>49</v>
      </c>
      <c r="F215" t="s">
        <v>53</v>
      </c>
      <c r="G215">
        <v>3</v>
      </c>
      <c r="H215" t="s">
        <v>177</v>
      </c>
      <c r="I215" t="s">
        <v>54</v>
      </c>
      <c r="J215" t="s">
        <v>822</v>
      </c>
      <c r="K215" t="s">
        <v>257</v>
      </c>
      <c r="L215" t="s">
        <v>180</v>
      </c>
      <c r="M215" s="3">
        <f t="shared" si="3"/>
        <v>5</v>
      </c>
    </row>
    <row r="216" spans="1:13" x14ac:dyDescent="0.35">
      <c r="A216" t="s">
        <v>823</v>
      </c>
      <c r="B216" t="s">
        <v>174</v>
      </c>
      <c r="C216" t="s">
        <v>824</v>
      </c>
      <c r="D216" t="s">
        <v>190</v>
      </c>
      <c r="E216" t="s">
        <v>42</v>
      </c>
      <c r="F216" t="s">
        <v>45</v>
      </c>
      <c r="G216">
        <v>2</v>
      </c>
      <c r="H216" t="s">
        <v>177</v>
      </c>
      <c r="I216" t="s">
        <v>45</v>
      </c>
      <c r="J216" t="s">
        <v>825</v>
      </c>
      <c r="K216" t="s">
        <v>183</v>
      </c>
      <c r="L216" t="s">
        <v>180</v>
      </c>
      <c r="M216" s="3">
        <f t="shared" si="3"/>
        <v>3</v>
      </c>
    </row>
    <row r="217" spans="1:13" x14ac:dyDescent="0.35">
      <c r="A217" t="s">
        <v>826</v>
      </c>
      <c r="B217" t="s">
        <v>174</v>
      </c>
      <c r="C217" t="s">
        <v>827</v>
      </c>
      <c r="D217" t="s">
        <v>190</v>
      </c>
      <c r="E217" t="s">
        <v>47</v>
      </c>
      <c r="F217" t="s">
        <v>55</v>
      </c>
      <c r="G217">
        <v>8</v>
      </c>
      <c r="H217" t="s">
        <v>177</v>
      </c>
      <c r="I217" t="s">
        <v>55</v>
      </c>
      <c r="J217" t="s">
        <v>828</v>
      </c>
      <c r="K217" t="s">
        <v>257</v>
      </c>
      <c r="L217" t="s">
        <v>180</v>
      </c>
      <c r="M217" s="3">
        <f t="shared" si="3"/>
        <v>8</v>
      </c>
    </row>
    <row r="218" spans="1:13" x14ac:dyDescent="0.35">
      <c r="A218" t="s">
        <v>829</v>
      </c>
      <c r="B218" t="s">
        <v>174</v>
      </c>
      <c r="C218" t="s">
        <v>830</v>
      </c>
      <c r="D218" t="s">
        <v>176</v>
      </c>
      <c r="E218" t="s">
        <v>47</v>
      </c>
      <c r="F218" t="s">
        <v>51</v>
      </c>
      <c r="G218">
        <v>4</v>
      </c>
      <c r="H218" t="s">
        <v>177</v>
      </c>
      <c r="I218" t="s">
        <v>53</v>
      </c>
      <c r="J218" t="s">
        <v>792</v>
      </c>
      <c r="K218" t="s">
        <v>183</v>
      </c>
      <c r="L218" t="s">
        <v>180</v>
      </c>
      <c r="M218" s="3">
        <f t="shared" si="3"/>
        <v>6</v>
      </c>
    </row>
    <row r="219" spans="1:13" x14ac:dyDescent="0.35">
      <c r="A219" t="s">
        <v>831</v>
      </c>
      <c r="B219" t="s">
        <v>174</v>
      </c>
      <c r="C219" t="s">
        <v>832</v>
      </c>
      <c r="D219" t="s">
        <v>190</v>
      </c>
      <c r="E219" t="s">
        <v>34</v>
      </c>
      <c r="F219" t="s">
        <v>47</v>
      </c>
      <c r="G219">
        <v>13</v>
      </c>
      <c r="H219" t="s">
        <v>177</v>
      </c>
      <c r="I219" t="s">
        <v>47</v>
      </c>
      <c r="J219" t="s">
        <v>833</v>
      </c>
      <c r="K219" t="s">
        <v>270</v>
      </c>
      <c r="L219" t="s">
        <v>180</v>
      </c>
      <c r="M219" s="3">
        <f t="shared" si="3"/>
        <v>13</v>
      </c>
    </row>
    <row r="220" spans="1:13" x14ac:dyDescent="0.35">
      <c r="A220" t="s">
        <v>834</v>
      </c>
      <c r="B220" t="s">
        <v>174</v>
      </c>
      <c r="C220" t="s">
        <v>835</v>
      </c>
      <c r="D220" t="s">
        <v>176</v>
      </c>
      <c r="E220" t="s">
        <v>46</v>
      </c>
      <c r="F220" t="s">
        <v>50</v>
      </c>
      <c r="G220">
        <v>4</v>
      </c>
      <c r="H220" t="s">
        <v>177</v>
      </c>
      <c r="I220" t="s">
        <v>51</v>
      </c>
      <c r="J220" t="s">
        <v>836</v>
      </c>
      <c r="K220" t="s">
        <v>183</v>
      </c>
      <c r="L220" t="s">
        <v>184</v>
      </c>
      <c r="M220" s="3">
        <f t="shared" si="3"/>
        <v>5</v>
      </c>
    </row>
    <row r="221" spans="1:13" x14ac:dyDescent="0.35">
      <c r="A221" t="s">
        <v>837</v>
      </c>
      <c r="B221" t="s">
        <v>174</v>
      </c>
      <c r="C221" t="s">
        <v>838</v>
      </c>
      <c r="D221" t="s">
        <v>190</v>
      </c>
      <c r="E221" t="s">
        <v>48</v>
      </c>
      <c r="F221" t="s">
        <v>50</v>
      </c>
      <c r="G221">
        <v>2</v>
      </c>
      <c r="H221" t="s">
        <v>177</v>
      </c>
      <c r="I221" t="s">
        <v>52</v>
      </c>
      <c r="J221" t="s">
        <v>839</v>
      </c>
      <c r="K221" t="s">
        <v>257</v>
      </c>
      <c r="L221" t="s">
        <v>184</v>
      </c>
      <c r="M221" s="3">
        <f t="shared" si="3"/>
        <v>4</v>
      </c>
    </row>
    <row r="222" spans="1:13" x14ac:dyDescent="0.35">
      <c r="A222" t="s">
        <v>840</v>
      </c>
      <c r="B222" t="s">
        <v>174</v>
      </c>
      <c r="C222" t="s">
        <v>841</v>
      </c>
      <c r="D222" t="s">
        <v>190</v>
      </c>
      <c r="E222" t="s">
        <v>39</v>
      </c>
      <c r="F222" t="s">
        <v>43</v>
      </c>
      <c r="G222">
        <v>4</v>
      </c>
      <c r="H222" t="s">
        <v>177</v>
      </c>
      <c r="I222" t="s">
        <v>44</v>
      </c>
      <c r="J222" t="s">
        <v>842</v>
      </c>
      <c r="K222" t="s">
        <v>270</v>
      </c>
      <c r="L222" t="s">
        <v>184</v>
      </c>
      <c r="M222" s="3">
        <f t="shared" si="3"/>
        <v>5</v>
      </c>
    </row>
    <row r="223" spans="1:13" x14ac:dyDescent="0.35">
      <c r="A223" t="s">
        <v>843</v>
      </c>
      <c r="B223" t="s">
        <v>174</v>
      </c>
      <c r="C223" t="s">
        <v>844</v>
      </c>
      <c r="D223" t="s">
        <v>190</v>
      </c>
      <c r="E223" t="s">
        <v>38</v>
      </c>
      <c r="F223" t="s">
        <v>54</v>
      </c>
      <c r="G223">
        <v>15</v>
      </c>
      <c r="H223" t="s">
        <v>177</v>
      </c>
      <c r="I223" t="s">
        <v>54</v>
      </c>
      <c r="J223" t="s">
        <v>845</v>
      </c>
      <c r="K223" t="s">
        <v>183</v>
      </c>
      <c r="L223" t="s">
        <v>180</v>
      </c>
      <c r="M223" s="3">
        <f t="shared" si="3"/>
        <v>16</v>
      </c>
    </row>
    <row r="224" spans="1:13" x14ac:dyDescent="0.35">
      <c r="A224" t="s">
        <v>846</v>
      </c>
      <c r="B224" t="s">
        <v>174</v>
      </c>
      <c r="C224" t="s">
        <v>847</v>
      </c>
      <c r="D224" t="s">
        <v>176</v>
      </c>
      <c r="E224" t="s">
        <v>46</v>
      </c>
      <c r="F224" t="s">
        <v>53</v>
      </c>
      <c r="G224">
        <v>7</v>
      </c>
      <c r="H224" t="s">
        <v>177</v>
      </c>
      <c r="I224" t="s">
        <v>54</v>
      </c>
      <c r="J224" t="s">
        <v>848</v>
      </c>
      <c r="K224" t="s">
        <v>183</v>
      </c>
      <c r="L224" t="s">
        <v>184</v>
      </c>
      <c r="M224" s="3">
        <f t="shared" si="3"/>
        <v>8</v>
      </c>
    </row>
    <row r="225" spans="1:13" x14ac:dyDescent="0.35">
      <c r="A225" t="s">
        <v>849</v>
      </c>
      <c r="B225" t="s">
        <v>174</v>
      </c>
      <c r="C225" t="s">
        <v>850</v>
      </c>
      <c r="D225" t="s">
        <v>176</v>
      </c>
      <c r="E225" t="s">
        <v>31</v>
      </c>
      <c r="F225" t="s">
        <v>56</v>
      </c>
      <c r="G225">
        <v>25</v>
      </c>
      <c r="H225" t="s">
        <v>195</v>
      </c>
      <c r="J225" t="s">
        <v>851</v>
      </c>
      <c r="K225" t="s">
        <v>852</v>
      </c>
      <c r="L225" t="s">
        <v>180</v>
      </c>
      <c r="M225" s="3" t="str">
        <f t="shared" si="3"/>
        <v/>
      </c>
    </row>
    <row r="226" spans="1:13" x14ac:dyDescent="0.35">
      <c r="A226" t="s">
        <v>853</v>
      </c>
      <c r="B226" t="s">
        <v>174</v>
      </c>
      <c r="C226" t="s">
        <v>854</v>
      </c>
      <c r="D226" t="s">
        <v>190</v>
      </c>
      <c r="E226" t="s">
        <v>44</v>
      </c>
      <c r="F226" t="s">
        <v>45</v>
      </c>
      <c r="G226">
        <v>1</v>
      </c>
      <c r="H226" t="s">
        <v>177</v>
      </c>
      <c r="I226" t="s">
        <v>45</v>
      </c>
      <c r="J226" t="s">
        <v>855</v>
      </c>
      <c r="K226" t="s">
        <v>257</v>
      </c>
      <c r="L226" t="s">
        <v>184</v>
      </c>
      <c r="M226" s="3">
        <f t="shared" si="3"/>
        <v>1</v>
      </c>
    </row>
    <row r="227" spans="1:13" x14ac:dyDescent="0.35">
      <c r="A227" t="s">
        <v>856</v>
      </c>
      <c r="B227" t="s">
        <v>174</v>
      </c>
      <c r="C227" t="s">
        <v>857</v>
      </c>
      <c r="D227" t="s">
        <v>190</v>
      </c>
      <c r="E227" t="s">
        <v>42</v>
      </c>
      <c r="F227" t="s">
        <v>47</v>
      </c>
      <c r="G227">
        <v>5</v>
      </c>
      <c r="H227" t="s">
        <v>177</v>
      </c>
      <c r="I227" t="s">
        <v>47</v>
      </c>
      <c r="J227" t="s">
        <v>858</v>
      </c>
      <c r="K227" t="s">
        <v>197</v>
      </c>
      <c r="L227" t="s">
        <v>180</v>
      </c>
      <c r="M227" s="3">
        <f t="shared" si="3"/>
        <v>5</v>
      </c>
    </row>
    <row r="228" spans="1:13" x14ac:dyDescent="0.35">
      <c r="A228" t="s">
        <v>859</v>
      </c>
      <c r="B228" t="s">
        <v>174</v>
      </c>
      <c r="C228" t="s">
        <v>860</v>
      </c>
      <c r="D228" t="s">
        <v>225</v>
      </c>
      <c r="E228" t="s">
        <v>31</v>
      </c>
      <c r="F228" t="s">
        <v>53</v>
      </c>
      <c r="G228">
        <v>22</v>
      </c>
      <c r="H228" t="s">
        <v>177</v>
      </c>
      <c r="I228" t="s">
        <v>54</v>
      </c>
      <c r="J228" t="s">
        <v>861</v>
      </c>
      <c r="K228" t="s">
        <v>183</v>
      </c>
      <c r="L228" t="s">
        <v>180</v>
      </c>
      <c r="M228" s="3">
        <f t="shared" si="3"/>
        <v>23</v>
      </c>
    </row>
    <row r="229" spans="1:13" x14ac:dyDescent="0.35">
      <c r="A229" t="s">
        <v>862</v>
      </c>
      <c r="B229" t="s">
        <v>174</v>
      </c>
      <c r="C229" t="s">
        <v>863</v>
      </c>
      <c r="D229" t="s">
        <v>190</v>
      </c>
      <c r="E229" t="s">
        <v>42</v>
      </c>
      <c r="F229" t="s">
        <v>55</v>
      </c>
      <c r="G229">
        <v>13</v>
      </c>
      <c r="H229" t="s">
        <v>177</v>
      </c>
      <c r="I229" t="s">
        <v>55</v>
      </c>
      <c r="J229" t="s">
        <v>864</v>
      </c>
      <c r="K229" t="s">
        <v>270</v>
      </c>
      <c r="L229" t="s">
        <v>180</v>
      </c>
      <c r="M229" s="3">
        <f t="shared" si="3"/>
        <v>13</v>
      </c>
    </row>
    <row r="230" spans="1:13" x14ac:dyDescent="0.35">
      <c r="A230" t="s">
        <v>865</v>
      </c>
      <c r="B230" t="s">
        <v>174</v>
      </c>
      <c r="C230" t="s">
        <v>866</v>
      </c>
      <c r="D230" t="s">
        <v>225</v>
      </c>
      <c r="E230" t="s">
        <v>32</v>
      </c>
      <c r="F230" t="s">
        <v>40</v>
      </c>
      <c r="G230">
        <v>7</v>
      </c>
      <c r="H230" t="s">
        <v>252</v>
      </c>
      <c r="J230" t="s">
        <v>867</v>
      </c>
      <c r="K230" t="s">
        <v>183</v>
      </c>
      <c r="L230" t="s">
        <v>180</v>
      </c>
      <c r="M230" s="3" t="str">
        <f t="shared" si="3"/>
        <v/>
      </c>
    </row>
    <row r="231" spans="1:13" x14ac:dyDescent="0.35">
      <c r="A231" t="s">
        <v>868</v>
      </c>
      <c r="B231" t="s">
        <v>174</v>
      </c>
      <c r="C231" t="s">
        <v>869</v>
      </c>
      <c r="D231" t="s">
        <v>176</v>
      </c>
      <c r="E231" t="s">
        <v>43</v>
      </c>
      <c r="F231" t="s">
        <v>51</v>
      </c>
      <c r="G231">
        <v>8</v>
      </c>
      <c r="H231" t="s">
        <v>252</v>
      </c>
      <c r="J231" t="s">
        <v>870</v>
      </c>
      <c r="K231" t="s">
        <v>183</v>
      </c>
      <c r="L231" t="s">
        <v>180</v>
      </c>
      <c r="M231" s="3" t="str">
        <f t="shared" si="3"/>
        <v/>
      </c>
    </row>
    <row r="232" spans="1:13" x14ac:dyDescent="0.35">
      <c r="A232" t="s">
        <v>871</v>
      </c>
      <c r="B232" t="s">
        <v>174</v>
      </c>
      <c r="C232" t="s">
        <v>872</v>
      </c>
      <c r="D232" t="s">
        <v>190</v>
      </c>
      <c r="E232" t="s">
        <v>29</v>
      </c>
      <c r="F232" t="s">
        <v>47</v>
      </c>
      <c r="G232">
        <v>18</v>
      </c>
      <c r="H232" t="s">
        <v>177</v>
      </c>
      <c r="I232" t="s">
        <v>48</v>
      </c>
      <c r="J232" t="s">
        <v>873</v>
      </c>
      <c r="K232" t="s">
        <v>183</v>
      </c>
      <c r="L232" t="s">
        <v>180</v>
      </c>
      <c r="M232" s="3">
        <f t="shared" si="3"/>
        <v>19</v>
      </c>
    </row>
    <row r="233" spans="1:13" x14ac:dyDescent="0.35">
      <c r="A233" t="s">
        <v>874</v>
      </c>
      <c r="B233" t="s">
        <v>174</v>
      </c>
      <c r="C233" t="s">
        <v>875</v>
      </c>
      <c r="D233" t="s">
        <v>190</v>
      </c>
      <c r="E233" t="s">
        <v>37</v>
      </c>
      <c r="F233" t="s">
        <v>55</v>
      </c>
      <c r="G233">
        <v>18</v>
      </c>
      <c r="H233" t="s">
        <v>177</v>
      </c>
      <c r="I233" t="s">
        <v>55</v>
      </c>
      <c r="J233" t="s">
        <v>876</v>
      </c>
      <c r="K233" t="s">
        <v>270</v>
      </c>
      <c r="L233" t="s">
        <v>184</v>
      </c>
      <c r="M233" s="3">
        <f t="shared" si="3"/>
        <v>18</v>
      </c>
    </row>
    <row r="234" spans="1:13" x14ac:dyDescent="0.35">
      <c r="A234" t="s">
        <v>877</v>
      </c>
      <c r="B234" t="s">
        <v>174</v>
      </c>
      <c r="C234" t="s">
        <v>878</v>
      </c>
      <c r="D234" t="s">
        <v>190</v>
      </c>
      <c r="E234" t="s">
        <v>46</v>
      </c>
      <c r="F234" t="s">
        <v>50</v>
      </c>
      <c r="G234">
        <v>4</v>
      </c>
      <c r="H234" t="s">
        <v>177</v>
      </c>
      <c r="I234" t="s">
        <v>51</v>
      </c>
      <c r="J234" t="s">
        <v>879</v>
      </c>
      <c r="K234" t="s">
        <v>257</v>
      </c>
      <c r="L234" t="s">
        <v>180</v>
      </c>
      <c r="M234" s="3">
        <f t="shared" si="3"/>
        <v>5</v>
      </c>
    </row>
    <row r="235" spans="1:13" x14ac:dyDescent="0.35">
      <c r="A235" t="s">
        <v>880</v>
      </c>
      <c r="B235" t="s">
        <v>174</v>
      </c>
      <c r="C235" t="s">
        <v>881</v>
      </c>
      <c r="D235" t="s">
        <v>190</v>
      </c>
      <c r="E235" t="s">
        <v>46</v>
      </c>
      <c r="F235" t="s">
        <v>53</v>
      </c>
      <c r="G235">
        <v>7</v>
      </c>
      <c r="H235" t="s">
        <v>177</v>
      </c>
      <c r="I235" t="s">
        <v>53</v>
      </c>
      <c r="J235" t="s">
        <v>882</v>
      </c>
      <c r="K235" t="s">
        <v>197</v>
      </c>
      <c r="L235" t="s">
        <v>184</v>
      </c>
      <c r="M235" s="3">
        <f t="shared" si="3"/>
        <v>7</v>
      </c>
    </row>
    <row r="236" spans="1:13" x14ac:dyDescent="0.35">
      <c r="A236" t="s">
        <v>883</v>
      </c>
      <c r="B236" t="s">
        <v>174</v>
      </c>
      <c r="C236" t="s">
        <v>884</v>
      </c>
      <c r="D236" t="s">
        <v>190</v>
      </c>
      <c r="E236" t="s">
        <v>50</v>
      </c>
      <c r="F236" t="s">
        <v>55</v>
      </c>
      <c r="G236">
        <v>5</v>
      </c>
      <c r="H236" t="s">
        <v>177</v>
      </c>
      <c r="I236" t="s">
        <v>55</v>
      </c>
      <c r="J236" t="s">
        <v>885</v>
      </c>
      <c r="K236" t="s">
        <v>219</v>
      </c>
      <c r="L236" t="s">
        <v>180</v>
      </c>
      <c r="M236" s="3">
        <f t="shared" si="3"/>
        <v>5</v>
      </c>
    </row>
    <row r="237" spans="1:13" x14ac:dyDescent="0.35">
      <c r="A237" t="s">
        <v>886</v>
      </c>
      <c r="B237" t="s">
        <v>174</v>
      </c>
      <c r="C237" t="s">
        <v>887</v>
      </c>
      <c r="D237" t="s">
        <v>236</v>
      </c>
      <c r="E237" t="s">
        <v>45</v>
      </c>
      <c r="F237" t="s">
        <v>47</v>
      </c>
      <c r="G237">
        <v>2</v>
      </c>
      <c r="H237" t="s">
        <v>195</v>
      </c>
      <c r="J237" t="s">
        <v>888</v>
      </c>
      <c r="K237" t="s">
        <v>183</v>
      </c>
      <c r="L237" t="s">
        <v>180</v>
      </c>
      <c r="M237" s="3" t="str">
        <f t="shared" si="3"/>
        <v/>
      </c>
    </row>
    <row r="238" spans="1:13" x14ac:dyDescent="0.35">
      <c r="A238" t="s">
        <v>889</v>
      </c>
      <c r="B238" t="s">
        <v>174</v>
      </c>
      <c r="C238" t="s">
        <v>890</v>
      </c>
      <c r="D238" t="s">
        <v>190</v>
      </c>
      <c r="E238" t="s">
        <v>48</v>
      </c>
      <c r="F238" t="s">
        <v>50</v>
      </c>
      <c r="G238">
        <v>2</v>
      </c>
      <c r="H238" t="s">
        <v>177</v>
      </c>
      <c r="I238" t="s">
        <v>53</v>
      </c>
      <c r="J238" t="s">
        <v>547</v>
      </c>
      <c r="K238" t="s">
        <v>183</v>
      </c>
      <c r="L238" t="s">
        <v>180</v>
      </c>
      <c r="M238" s="3">
        <f t="shared" si="3"/>
        <v>5</v>
      </c>
    </row>
    <row r="239" spans="1:13" x14ac:dyDescent="0.35">
      <c r="A239" t="s">
        <v>891</v>
      </c>
      <c r="B239" t="s">
        <v>174</v>
      </c>
      <c r="C239" t="s">
        <v>892</v>
      </c>
      <c r="D239" t="s">
        <v>190</v>
      </c>
      <c r="E239" t="s">
        <v>46</v>
      </c>
      <c r="F239" t="s">
        <v>48</v>
      </c>
      <c r="G239">
        <v>1</v>
      </c>
      <c r="H239" t="s">
        <v>177</v>
      </c>
      <c r="I239" t="s">
        <v>49</v>
      </c>
      <c r="J239" t="s">
        <v>893</v>
      </c>
      <c r="K239" t="s">
        <v>197</v>
      </c>
      <c r="L239" t="s">
        <v>180</v>
      </c>
      <c r="M239" s="3">
        <f t="shared" si="3"/>
        <v>3</v>
      </c>
    </row>
    <row r="240" spans="1:13" x14ac:dyDescent="0.35">
      <c r="A240" t="s">
        <v>894</v>
      </c>
      <c r="B240" t="s">
        <v>174</v>
      </c>
      <c r="C240" t="s">
        <v>895</v>
      </c>
      <c r="D240" t="s">
        <v>225</v>
      </c>
      <c r="E240" t="s">
        <v>48</v>
      </c>
      <c r="F240" t="s">
        <v>56</v>
      </c>
      <c r="G240">
        <v>8</v>
      </c>
      <c r="H240" t="s">
        <v>195</v>
      </c>
      <c r="J240" t="s">
        <v>896</v>
      </c>
      <c r="K240" t="s">
        <v>183</v>
      </c>
      <c r="L240" t="s">
        <v>180</v>
      </c>
      <c r="M240" s="3" t="str">
        <f t="shared" si="3"/>
        <v/>
      </c>
    </row>
    <row r="241" spans="1:13" x14ac:dyDescent="0.35">
      <c r="A241" t="s">
        <v>897</v>
      </c>
      <c r="B241" t="s">
        <v>174</v>
      </c>
      <c r="C241" t="s">
        <v>898</v>
      </c>
      <c r="D241" t="s">
        <v>190</v>
      </c>
      <c r="E241" t="s">
        <v>42</v>
      </c>
      <c r="F241" t="s">
        <v>45</v>
      </c>
      <c r="G241">
        <v>3</v>
      </c>
      <c r="H241" t="s">
        <v>177</v>
      </c>
      <c r="I241" t="s">
        <v>46</v>
      </c>
      <c r="J241" t="s">
        <v>899</v>
      </c>
      <c r="K241" t="s">
        <v>257</v>
      </c>
      <c r="L241" t="s">
        <v>180</v>
      </c>
      <c r="M241" s="3">
        <f t="shared" si="3"/>
        <v>4</v>
      </c>
    </row>
    <row r="242" spans="1:13" x14ac:dyDescent="0.35">
      <c r="A242" t="s">
        <v>900</v>
      </c>
      <c r="B242" t="s">
        <v>231</v>
      </c>
      <c r="C242" t="s">
        <v>901</v>
      </c>
      <c r="D242" t="s">
        <v>190</v>
      </c>
      <c r="E242" t="s">
        <v>34</v>
      </c>
      <c r="F242" t="s">
        <v>42</v>
      </c>
      <c r="G242">
        <v>8</v>
      </c>
      <c r="H242" t="s">
        <v>252</v>
      </c>
      <c r="J242" t="s">
        <v>902</v>
      </c>
      <c r="K242" t="s">
        <v>377</v>
      </c>
      <c r="L242" t="s">
        <v>180</v>
      </c>
      <c r="M242" s="3" t="str">
        <f t="shared" si="3"/>
        <v/>
      </c>
    </row>
    <row r="243" spans="1:13" x14ac:dyDescent="0.35">
      <c r="A243" t="s">
        <v>903</v>
      </c>
      <c r="B243" t="s">
        <v>174</v>
      </c>
      <c r="C243" t="s">
        <v>904</v>
      </c>
      <c r="D243" t="s">
        <v>236</v>
      </c>
      <c r="E243" t="s">
        <v>27</v>
      </c>
      <c r="F243" t="s">
        <v>40</v>
      </c>
      <c r="G243">
        <v>13</v>
      </c>
      <c r="H243" t="s">
        <v>252</v>
      </c>
      <c r="J243" t="s">
        <v>905</v>
      </c>
      <c r="K243" t="s">
        <v>183</v>
      </c>
      <c r="L243" t="s">
        <v>180</v>
      </c>
      <c r="M243" s="3" t="str">
        <f t="shared" si="3"/>
        <v/>
      </c>
    </row>
    <row r="244" spans="1:13" x14ac:dyDescent="0.35">
      <c r="A244" t="s">
        <v>906</v>
      </c>
      <c r="B244" t="s">
        <v>174</v>
      </c>
      <c r="C244" t="s">
        <v>907</v>
      </c>
      <c r="D244" t="s">
        <v>190</v>
      </c>
      <c r="E244" t="s">
        <v>50</v>
      </c>
      <c r="F244" t="s">
        <v>55</v>
      </c>
      <c r="G244">
        <v>5</v>
      </c>
      <c r="H244" t="s">
        <v>177</v>
      </c>
      <c r="I244" t="s">
        <v>55</v>
      </c>
      <c r="J244" t="s">
        <v>908</v>
      </c>
      <c r="K244" t="s">
        <v>219</v>
      </c>
      <c r="L244" t="s">
        <v>180</v>
      </c>
      <c r="M244" s="3">
        <f t="shared" si="3"/>
        <v>5</v>
      </c>
    </row>
    <row r="245" spans="1:13" x14ac:dyDescent="0.35">
      <c r="A245" t="s">
        <v>909</v>
      </c>
      <c r="B245" t="s">
        <v>174</v>
      </c>
      <c r="C245" t="s">
        <v>910</v>
      </c>
      <c r="D245" t="s">
        <v>236</v>
      </c>
      <c r="E245" t="s">
        <v>45</v>
      </c>
      <c r="F245" t="s">
        <v>55</v>
      </c>
      <c r="G245">
        <v>10</v>
      </c>
      <c r="H245" t="s">
        <v>177</v>
      </c>
      <c r="I245" t="s">
        <v>55</v>
      </c>
      <c r="J245" t="s">
        <v>911</v>
      </c>
      <c r="K245" t="s">
        <v>183</v>
      </c>
      <c r="L245" t="s">
        <v>184</v>
      </c>
      <c r="M245" s="3">
        <f t="shared" si="3"/>
        <v>10</v>
      </c>
    </row>
    <row r="246" spans="1:13" x14ac:dyDescent="0.35">
      <c r="A246" t="s">
        <v>912</v>
      </c>
      <c r="B246" t="s">
        <v>174</v>
      </c>
      <c r="C246" t="s">
        <v>913</v>
      </c>
      <c r="D246" t="s">
        <v>176</v>
      </c>
      <c r="E246" t="s">
        <v>45</v>
      </c>
      <c r="F246" t="s">
        <v>49</v>
      </c>
      <c r="G246">
        <v>4</v>
      </c>
      <c r="H246" t="s">
        <v>177</v>
      </c>
      <c r="I246" t="s">
        <v>49</v>
      </c>
      <c r="J246" t="s">
        <v>914</v>
      </c>
      <c r="K246" t="s">
        <v>183</v>
      </c>
      <c r="L246" t="s">
        <v>180</v>
      </c>
      <c r="M246" s="3">
        <f t="shared" si="3"/>
        <v>4</v>
      </c>
    </row>
    <row r="247" spans="1:13" x14ac:dyDescent="0.35">
      <c r="A247" t="s">
        <v>915</v>
      </c>
      <c r="B247" t="s">
        <v>174</v>
      </c>
      <c r="C247" t="s">
        <v>916</v>
      </c>
      <c r="D247" t="s">
        <v>190</v>
      </c>
      <c r="E247" t="s">
        <v>18</v>
      </c>
      <c r="F247" t="s">
        <v>43</v>
      </c>
      <c r="G247">
        <v>25</v>
      </c>
      <c r="H247" t="s">
        <v>252</v>
      </c>
      <c r="J247" t="s">
        <v>917</v>
      </c>
      <c r="K247" t="s">
        <v>183</v>
      </c>
      <c r="L247" t="s">
        <v>180</v>
      </c>
      <c r="M247" s="3" t="str">
        <f t="shared" si="3"/>
        <v/>
      </c>
    </row>
    <row r="248" spans="1:13" x14ac:dyDescent="0.35">
      <c r="A248" t="s">
        <v>918</v>
      </c>
      <c r="B248" t="s">
        <v>174</v>
      </c>
      <c r="C248" t="s">
        <v>919</v>
      </c>
      <c r="D248" t="s">
        <v>190</v>
      </c>
      <c r="E248" t="s">
        <v>38</v>
      </c>
      <c r="F248" t="s">
        <v>43</v>
      </c>
      <c r="G248">
        <v>5</v>
      </c>
      <c r="H248" t="s">
        <v>177</v>
      </c>
      <c r="I248" t="s">
        <v>43</v>
      </c>
      <c r="J248" t="s">
        <v>920</v>
      </c>
      <c r="K248" t="s">
        <v>270</v>
      </c>
      <c r="L248" t="s">
        <v>184</v>
      </c>
      <c r="M248" s="3">
        <f t="shared" si="3"/>
        <v>5</v>
      </c>
    </row>
    <row r="249" spans="1:13" x14ac:dyDescent="0.35">
      <c r="A249" t="s">
        <v>921</v>
      </c>
      <c r="B249" t="s">
        <v>174</v>
      </c>
      <c r="C249" t="s">
        <v>922</v>
      </c>
      <c r="D249" t="s">
        <v>190</v>
      </c>
      <c r="E249" t="s">
        <v>43</v>
      </c>
      <c r="F249" t="s">
        <v>48</v>
      </c>
      <c r="G249">
        <v>4</v>
      </c>
      <c r="H249" t="s">
        <v>177</v>
      </c>
      <c r="I249" t="s">
        <v>49</v>
      </c>
      <c r="J249" t="s">
        <v>923</v>
      </c>
      <c r="K249" t="s">
        <v>257</v>
      </c>
      <c r="L249" t="s">
        <v>180</v>
      </c>
      <c r="M249" s="3">
        <f t="shared" si="3"/>
        <v>6</v>
      </c>
    </row>
    <row r="250" spans="1:13" x14ac:dyDescent="0.35">
      <c r="A250" t="s">
        <v>924</v>
      </c>
      <c r="B250" t="s">
        <v>174</v>
      </c>
      <c r="C250" t="s">
        <v>925</v>
      </c>
      <c r="D250" t="s">
        <v>190</v>
      </c>
      <c r="E250" t="s">
        <v>37</v>
      </c>
      <c r="F250" t="s">
        <v>55</v>
      </c>
      <c r="G250">
        <v>18</v>
      </c>
      <c r="H250" t="s">
        <v>177</v>
      </c>
      <c r="I250" t="s">
        <v>55</v>
      </c>
      <c r="J250" t="s">
        <v>926</v>
      </c>
      <c r="K250" t="s">
        <v>270</v>
      </c>
      <c r="L250" t="s">
        <v>180</v>
      </c>
      <c r="M250" s="3">
        <f t="shared" si="3"/>
        <v>18</v>
      </c>
    </row>
    <row r="251" spans="1:13" x14ac:dyDescent="0.35">
      <c r="A251" t="s">
        <v>927</v>
      </c>
      <c r="B251" t="s">
        <v>174</v>
      </c>
      <c r="C251" t="s">
        <v>928</v>
      </c>
      <c r="D251" t="s">
        <v>190</v>
      </c>
      <c r="E251" t="s">
        <v>43</v>
      </c>
      <c r="F251" t="s">
        <v>53</v>
      </c>
      <c r="G251">
        <v>9</v>
      </c>
      <c r="H251" t="s">
        <v>195</v>
      </c>
      <c r="J251" t="s">
        <v>929</v>
      </c>
      <c r="K251" t="s">
        <v>183</v>
      </c>
      <c r="L251" t="s">
        <v>180</v>
      </c>
      <c r="M251" s="3" t="str">
        <f t="shared" si="3"/>
        <v/>
      </c>
    </row>
    <row r="252" spans="1:13" x14ac:dyDescent="0.35">
      <c r="A252" t="s">
        <v>930</v>
      </c>
      <c r="B252" t="s">
        <v>174</v>
      </c>
      <c r="C252" t="s">
        <v>931</v>
      </c>
      <c r="D252" t="s">
        <v>190</v>
      </c>
      <c r="E252" t="s">
        <v>35</v>
      </c>
      <c r="F252" t="s">
        <v>46</v>
      </c>
      <c r="G252">
        <v>11</v>
      </c>
      <c r="H252" t="s">
        <v>177</v>
      </c>
      <c r="I252" t="s">
        <v>46</v>
      </c>
      <c r="J252" t="s">
        <v>932</v>
      </c>
      <c r="K252" t="s">
        <v>270</v>
      </c>
      <c r="L252" t="s">
        <v>180</v>
      </c>
      <c r="M252" s="3">
        <f t="shared" si="3"/>
        <v>11</v>
      </c>
    </row>
    <row r="253" spans="1:13" x14ac:dyDescent="0.35">
      <c r="A253" t="s">
        <v>933</v>
      </c>
      <c r="B253" t="s">
        <v>174</v>
      </c>
      <c r="C253" t="s">
        <v>934</v>
      </c>
      <c r="D253" t="s">
        <v>190</v>
      </c>
      <c r="E253" t="s">
        <v>31</v>
      </c>
      <c r="F253" t="s">
        <v>56</v>
      </c>
      <c r="G253">
        <v>25</v>
      </c>
      <c r="H253" t="s">
        <v>195</v>
      </c>
      <c r="J253" t="s">
        <v>935</v>
      </c>
      <c r="K253" t="s">
        <v>183</v>
      </c>
      <c r="L253" t="s">
        <v>180</v>
      </c>
      <c r="M253" s="3" t="str">
        <f t="shared" si="3"/>
        <v/>
      </c>
    </row>
    <row r="254" spans="1:13" x14ac:dyDescent="0.35">
      <c r="A254" t="s">
        <v>936</v>
      </c>
      <c r="B254" t="s">
        <v>174</v>
      </c>
      <c r="C254" t="s">
        <v>937</v>
      </c>
      <c r="D254" t="s">
        <v>190</v>
      </c>
      <c r="E254" t="s">
        <v>49</v>
      </c>
      <c r="F254" t="s">
        <v>56</v>
      </c>
      <c r="G254">
        <v>7</v>
      </c>
      <c r="H254" t="s">
        <v>177</v>
      </c>
      <c r="I254" t="s">
        <v>56</v>
      </c>
      <c r="J254" t="s">
        <v>938</v>
      </c>
      <c r="K254" t="s">
        <v>257</v>
      </c>
      <c r="L254" t="s">
        <v>180</v>
      </c>
      <c r="M254" s="3">
        <f t="shared" si="3"/>
        <v>7</v>
      </c>
    </row>
    <row r="255" spans="1:13" x14ac:dyDescent="0.35">
      <c r="A255" t="s">
        <v>939</v>
      </c>
      <c r="B255" t="s">
        <v>174</v>
      </c>
      <c r="C255" t="s">
        <v>940</v>
      </c>
      <c r="D255" t="s">
        <v>190</v>
      </c>
      <c r="E255" t="s">
        <v>46</v>
      </c>
      <c r="F255" t="s">
        <v>54</v>
      </c>
      <c r="G255">
        <v>9</v>
      </c>
      <c r="H255" t="s">
        <v>177</v>
      </c>
      <c r="I255" t="s">
        <v>54</v>
      </c>
      <c r="J255" t="s">
        <v>941</v>
      </c>
      <c r="K255" t="s">
        <v>183</v>
      </c>
      <c r="L255" t="s">
        <v>180</v>
      </c>
      <c r="M255" s="3">
        <f t="shared" si="3"/>
        <v>8</v>
      </c>
    </row>
    <row r="256" spans="1:13" x14ac:dyDescent="0.35">
      <c r="A256" t="s">
        <v>942</v>
      </c>
      <c r="B256" t="s">
        <v>174</v>
      </c>
      <c r="C256" t="s">
        <v>943</v>
      </c>
      <c r="D256" t="s">
        <v>190</v>
      </c>
      <c r="E256" t="s">
        <v>29</v>
      </c>
      <c r="F256" t="s">
        <v>44</v>
      </c>
      <c r="G256">
        <v>16</v>
      </c>
      <c r="H256" t="s">
        <v>177</v>
      </c>
      <c r="I256" t="s">
        <v>44</v>
      </c>
      <c r="J256" t="s">
        <v>944</v>
      </c>
      <c r="K256" t="s">
        <v>183</v>
      </c>
      <c r="L256" t="s">
        <v>180</v>
      </c>
      <c r="M256" s="3">
        <f t="shared" si="3"/>
        <v>15</v>
      </c>
    </row>
    <row r="257" spans="1:13" x14ac:dyDescent="0.35">
      <c r="A257" t="s">
        <v>945</v>
      </c>
      <c r="B257" t="s">
        <v>174</v>
      </c>
      <c r="C257" t="s">
        <v>946</v>
      </c>
      <c r="D257" t="s">
        <v>190</v>
      </c>
      <c r="E257" t="s">
        <v>32</v>
      </c>
      <c r="F257" t="s">
        <v>45</v>
      </c>
      <c r="G257">
        <v>13</v>
      </c>
      <c r="H257" t="s">
        <v>177</v>
      </c>
      <c r="I257" t="s">
        <v>46</v>
      </c>
      <c r="J257" t="s">
        <v>947</v>
      </c>
      <c r="K257" t="s">
        <v>183</v>
      </c>
      <c r="L257" t="s">
        <v>180</v>
      </c>
      <c r="M257" s="3">
        <f t="shared" si="3"/>
        <v>14</v>
      </c>
    </row>
    <row r="258" spans="1:13" x14ac:dyDescent="0.35">
      <c r="A258" t="s">
        <v>948</v>
      </c>
      <c r="B258" t="s">
        <v>174</v>
      </c>
      <c r="C258" t="s">
        <v>949</v>
      </c>
      <c r="D258" t="s">
        <v>190</v>
      </c>
      <c r="E258" t="s">
        <v>47</v>
      </c>
      <c r="F258" t="s">
        <v>51</v>
      </c>
      <c r="G258">
        <v>4</v>
      </c>
      <c r="H258" t="s">
        <v>177</v>
      </c>
      <c r="I258" t="s">
        <v>52</v>
      </c>
      <c r="J258" t="s">
        <v>950</v>
      </c>
      <c r="K258" t="s">
        <v>257</v>
      </c>
      <c r="L258" t="s">
        <v>184</v>
      </c>
      <c r="M258" s="3">
        <f t="shared" si="3"/>
        <v>5</v>
      </c>
    </row>
    <row r="259" spans="1:13" x14ac:dyDescent="0.35">
      <c r="A259" t="s">
        <v>951</v>
      </c>
      <c r="B259" t="s">
        <v>174</v>
      </c>
      <c r="C259" t="s">
        <v>952</v>
      </c>
      <c r="D259" t="s">
        <v>190</v>
      </c>
      <c r="E259" t="s">
        <v>41</v>
      </c>
      <c r="F259" t="s">
        <v>47</v>
      </c>
      <c r="G259">
        <v>6</v>
      </c>
      <c r="H259" t="s">
        <v>252</v>
      </c>
      <c r="J259" t="s">
        <v>953</v>
      </c>
      <c r="K259" t="s">
        <v>197</v>
      </c>
      <c r="L259" t="s">
        <v>184</v>
      </c>
      <c r="M259" s="3" t="str">
        <f t="shared" ref="M259:M322" si="4">IF(H259="Efectivo",IFERROR((VALUE(RIGHT(I259,4))-VALUE(RIGHT(E259,4)))*12+(VALUE(LEFT(I259,2))-VALUE(LEFT(E259,2))),""),"")</f>
        <v/>
      </c>
    </row>
    <row r="260" spans="1:13" x14ac:dyDescent="0.35">
      <c r="A260" t="s">
        <v>951</v>
      </c>
      <c r="B260" t="s">
        <v>174</v>
      </c>
      <c r="C260" t="s">
        <v>952</v>
      </c>
      <c r="D260" t="s">
        <v>190</v>
      </c>
      <c r="E260" t="s">
        <v>41</v>
      </c>
      <c r="F260" t="s">
        <v>54</v>
      </c>
      <c r="G260">
        <v>13</v>
      </c>
      <c r="H260" t="s">
        <v>252</v>
      </c>
      <c r="J260" t="s">
        <v>953</v>
      </c>
      <c r="K260" t="s">
        <v>197</v>
      </c>
      <c r="L260" t="s">
        <v>184</v>
      </c>
      <c r="M260" s="3" t="str">
        <f t="shared" si="4"/>
        <v/>
      </c>
    </row>
    <row r="261" spans="1:13" x14ac:dyDescent="0.35">
      <c r="A261" t="s">
        <v>954</v>
      </c>
      <c r="B261" t="s">
        <v>174</v>
      </c>
      <c r="C261" t="s">
        <v>955</v>
      </c>
      <c r="D261" t="s">
        <v>190</v>
      </c>
      <c r="E261" t="s">
        <v>43</v>
      </c>
      <c r="F261" t="s">
        <v>47</v>
      </c>
      <c r="G261">
        <v>4</v>
      </c>
      <c r="H261" t="s">
        <v>177</v>
      </c>
      <c r="I261" t="s">
        <v>47</v>
      </c>
      <c r="J261" t="s">
        <v>956</v>
      </c>
      <c r="K261" t="s">
        <v>197</v>
      </c>
      <c r="L261" t="s">
        <v>184</v>
      </c>
      <c r="M261" s="3">
        <f t="shared" si="4"/>
        <v>4</v>
      </c>
    </row>
    <row r="262" spans="1:13" x14ac:dyDescent="0.35">
      <c r="A262" t="s">
        <v>957</v>
      </c>
      <c r="B262" t="s">
        <v>174</v>
      </c>
      <c r="C262" t="s">
        <v>958</v>
      </c>
      <c r="D262" t="s">
        <v>190</v>
      </c>
      <c r="E262" t="s">
        <v>43</v>
      </c>
      <c r="F262" t="s">
        <v>48</v>
      </c>
      <c r="G262">
        <v>5</v>
      </c>
      <c r="H262" t="s">
        <v>177</v>
      </c>
      <c r="I262" t="s">
        <v>49</v>
      </c>
      <c r="J262" t="s">
        <v>959</v>
      </c>
      <c r="K262" t="s">
        <v>197</v>
      </c>
      <c r="L262" t="s">
        <v>184</v>
      </c>
      <c r="M262" s="3">
        <f t="shared" si="4"/>
        <v>6</v>
      </c>
    </row>
    <row r="263" spans="1:13" x14ac:dyDescent="0.35">
      <c r="A263" t="s">
        <v>960</v>
      </c>
      <c r="B263" t="s">
        <v>174</v>
      </c>
      <c r="C263" t="s">
        <v>961</v>
      </c>
      <c r="D263" t="s">
        <v>190</v>
      </c>
      <c r="E263" t="s">
        <v>45</v>
      </c>
      <c r="F263" t="s">
        <v>55</v>
      </c>
      <c r="G263">
        <v>10</v>
      </c>
      <c r="H263" t="s">
        <v>195</v>
      </c>
      <c r="J263" t="s">
        <v>962</v>
      </c>
      <c r="K263" t="s">
        <v>197</v>
      </c>
      <c r="L263" t="s">
        <v>180</v>
      </c>
      <c r="M263" s="3" t="str">
        <f t="shared" si="4"/>
        <v/>
      </c>
    </row>
    <row r="264" spans="1:13" x14ac:dyDescent="0.35">
      <c r="A264" t="s">
        <v>963</v>
      </c>
      <c r="B264" t="s">
        <v>174</v>
      </c>
      <c r="C264" t="s">
        <v>964</v>
      </c>
      <c r="D264" t="s">
        <v>190</v>
      </c>
      <c r="E264" t="s">
        <v>50</v>
      </c>
      <c r="F264" t="s">
        <v>53</v>
      </c>
      <c r="G264">
        <v>2</v>
      </c>
      <c r="H264" t="s">
        <v>177</v>
      </c>
      <c r="I264" t="s">
        <v>53</v>
      </c>
      <c r="J264" t="s">
        <v>965</v>
      </c>
      <c r="K264" t="s">
        <v>197</v>
      </c>
      <c r="L264" t="s">
        <v>180</v>
      </c>
      <c r="M264" s="3">
        <f t="shared" si="4"/>
        <v>3</v>
      </c>
    </row>
    <row r="265" spans="1:13" x14ac:dyDescent="0.35">
      <c r="A265" t="s">
        <v>966</v>
      </c>
      <c r="B265" t="s">
        <v>174</v>
      </c>
      <c r="C265" t="s">
        <v>967</v>
      </c>
      <c r="D265" t="s">
        <v>190</v>
      </c>
      <c r="E265" t="s">
        <v>54</v>
      </c>
      <c r="F265" t="s">
        <v>56</v>
      </c>
      <c r="G265">
        <v>2</v>
      </c>
      <c r="H265" t="s">
        <v>177</v>
      </c>
      <c r="I265" t="s">
        <v>56</v>
      </c>
      <c r="J265" t="s">
        <v>968</v>
      </c>
      <c r="K265" t="s">
        <v>197</v>
      </c>
      <c r="L265" t="s">
        <v>180</v>
      </c>
      <c r="M265" s="3">
        <f t="shared" si="4"/>
        <v>2</v>
      </c>
    </row>
    <row r="266" spans="1:13" x14ac:dyDescent="0.35">
      <c r="A266" t="s">
        <v>969</v>
      </c>
      <c r="B266" t="s">
        <v>174</v>
      </c>
      <c r="C266" t="s">
        <v>970</v>
      </c>
      <c r="D266" t="s">
        <v>176</v>
      </c>
      <c r="E266" t="s">
        <v>46</v>
      </c>
      <c r="F266" t="s">
        <v>54</v>
      </c>
      <c r="G266">
        <v>8</v>
      </c>
      <c r="H266" t="s">
        <v>177</v>
      </c>
      <c r="I266" t="s">
        <v>54</v>
      </c>
      <c r="J266" t="s">
        <v>971</v>
      </c>
      <c r="K266" t="s">
        <v>183</v>
      </c>
      <c r="L266" t="s">
        <v>180</v>
      </c>
      <c r="M266" s="3">
        <f t="shared" si="4"/>
        <v>8</v>
      </c>
    </row>
    <row r="267" spans="1:13" x14ac:dyDescent="0.35">
      <c r="A267" t="s">
        <v>972</v>
      </c>
      <c r="B267" t="s">
        <v>174</v>
      </c>
      <c r="C267" t="s">
        <v>973</v>
      </c>
      <c r="D267" t="s">
        <v>190</v>
      </c>
      <c r="E267" t="s">
        <v>35</v>
      </c>
      <c r="F267" t="s">
        <v>44</v>
      </c>
      <c r="G267">
        <v>9</v>
      </c>
      <c r="H267" t="s">
        <v>177</v>
      </c>
      <c r="I267" t="s">
        <v>44</v>
      </c>
      <c r="J267" t="s">
        <v>974</v>
      </c>
      <c r="K267" t="s">
        <v>183</v>
      </c>
      <c r="L267" t="s">
        <v>180</v>
      </c>
      <c r="M267" s="3">
        <f t="shared" si="4"/>
        <v>9</v>
      </c>
    </row>
    <row r="268" spans="1:13" x14ac:dyDescent="0.35">
      <c r="A268" t="s">
        <v>975</v>
      </c>
      <c r="B268" t="s">
        <v>174</v>
      </c>
      <c r="C268" t="s">
        <v>976</v>
      </c>
      <c r="D268" t="s">
        <v>190</v>
      </c>
      <c r="E268" t="s">
        <v>45</v>
      </c>
      <c r="F268" t="s">
        <v>56</v>
      </c>
      <c r="G268">
        <v>11</v>
      </c>
      <c r="H268" t="s">
        <v>177</v>
      </c>
      <c r="I268" t="s">
        <v>56</v>
      </c>
      <c r="J268" t="s">
        <v>977</v>
      </c>
      <c r="K268" t="s">
        <v>257</v>
      </c>
      <c r="L268" t="s">
        <v>180</v>
      </c>
      <c r="M268" s="3">
        <f t="shared" si="4"/>
        <v>11</v>
      </c>
    </row>
    <row r="269" spans="1:13" x14ac:dyDescent="0.35">
      <c r="A269" t="s">
        <v>978</v>
      </c>
      <c r="B269" t="s">
        <v>174</v>
      </c>
      <c r="C269" t="s">
        <v>979</v>
      </c>
      <c r="D269" t="s">
        <v>190</v>
      </c>
      <c r="E269" t="s">
        <v>49</v>
      </c>
      <c r="F269" t="s">
        <v>54</v>
      </c>
      <c r="G269">
        <v>5</v>
      </c>
      <c r="H269" t="s">
        <v>177</v>
      </c>
      <c r="I269" t="s">
        <v>54</v>
      </c>
      <c r="J269" t="s">
        <v>980</v>
      </c>
      <c r="K269" t="s">
        <v>219</v>
      </c>
      <c r="L269" t="s">
        <v>180</v>
      </c>
      <c r="M269" s="3">
        <f t="shared" si="4"/>
        <v>5</v>
      </c>
    </row>
    <row r="270" spans="1:13" x14ac:dyDescent="0.35">
      <c r="A270" t="s">
        <v>981</v>
      </c>
      <c r="B270" t="s">
        <v>174</v>
      </c>
      <c r="C270" t="s">
        <v>982</v>
      </c>
      <c r="D270" t="s">
        <v>176</v>
      </c>
      <c r="E270" t="s">
        <v>49</v>
      </c>
      <c r="F270" t="s">
        <v>56</v>
      </c>
      <c r="G270">
        <v>6</v>
      </c>
      <c r="H270" t="s">
        <v>195</v>
      </c>
      <c r="J270" t="s">
        <v>983</v>
      </c>
      <c r="K270" t="s">
        <v>183</v>
      </c>
      <c r="L270" t="s">
        <v>184</v>
      </c>
      <c r="M270" s="3" t="str">
        <f t="shared" si="4"/>
        <v/>
      </c>
    </row>
    <row r="271" spans="1:13" x14ac:dyDescent="0.35">
      <c r="A271" t="s">
        <v>984</v>
      </c>
      <c r="B271" t="s">
        <v>174</v>
      </c>
      <c r="C271" t="s">
        <v>985</v>
      </c>
      <c r="D271" t="s">
        <v>190</v>
      </c>
      <c r="E271" t="s">
        <v>37</v>
      </c>
      <c r="F271" t="s">
        <v>51</v>
      </c>
      <c r="G271">
        <v>14</v>
      </c>
      <c r="H271" t="s">
        <v>177</v>
      </c>
      <c r="I271" t="s">
        <v>52</v>
      </c>
      <c r="J271" t="s">
        <v>986</v>
      </c>
      <c r="K271" t="s">
        <v>183</v>
      </c>
      <c r="L271" t="s">
        <v>180</v>
      </c>
      <c r="M271" s="3">
        <f t="shared" si="4"/>
        <v>15</v>
      </c>
    </row>
    <row r="272" spans="1:13" x14ac:dyDescent="0.35">
      <c r="A272" t="s">
        <v>987</v>
      </c>
      <c r="B272" t="s">
        <v>174</v>
      </c>
      <c r="C272" t="s">
        <v>988</v>
      </c>
      <c r="D272" t="s">
        <v>190</v>
      </c>
      <c r="E272" t="s">
        <v>24</v>
      </c>
      <c r="F272" t="s">
        <v>46</v>
      </c>
      <c r="G272">
        <v>22</v>
      </c>
      <c r="H272" t="s">
        <v>177</v>
      </c>
      <c r="I272" t="s">
        <v>46</v>
      </c>
      <c r="J272" t="s">
        <v>989</v>
      </c>
      <c r="K272" t="s">
        <v>377</v>
      </c>
      <c r="L272" t="s">
        <v>180</v>
      </c>
      <c r="M272" s="3">
        <f t="shared" si="4"/>
        <v>22</v>
      </c>
    </row>
    <row r="273" spans="1:13" x14ac:dyDescent="0.35">
      <c r="A273" t="s">
        <v>990</v>
      </c>
      <c r="B273" t="s">
        <v>174</v>
      </c>
      <c r="C273" t="s">
        <v>991</v>
      </c>
      <c r="D273" t="s">
        <v>190</v>
      </c>
      <c r="E273" t="s">
        <v>34</v>
      </c>
      <c r="F273" t="s">
        <v>46</v>
      </c>
      <c r="G273">
        <v>12</v>
      </c>
      <c r="H273" t="s">
        <v>177</v>
      </c>
      <c r="I273" t="s">
        <v>46</v>
      </c>
      <c r="J273" t="s">
        <v>992</v>
      </c>
      <c r="K273" t="s">
        <v>270</v>
      </c>
      <c r="L273" t="s">
        <v>180</v>
      </c>
      <c r="M273" s="3">
        <f t="shared" si="4"/>
        <v>12</v>
      </c>
    </row>
    <row r="274" spans="1:13" x14ac:dyDescent="0.35">
      <c r="A274" t="s">
        <v>993</v>
      </c>
      <c r="B274" t="s">
        <v>174</v>
      </c>
      <c r="C274" t="s">
        <v>994</v>
      </c>
      <c r="D274" t="s">
        <v>176</v>
      </c>
      <c r="E274" t="s">
        <v>44</v>
      </c>
      <c r="F274" t="s">
        <v>47</v>
      </c>
      <c r="G274">
        <v>3</v>
      </c>
      <c r="H274" t="s">
        <v>252</v>
      </c>
      <c r="J274" t="s">
        <v>995</v>
      </c>
      <c r="K274" t="s">
        <v>183</v>
      </c>
      <c r="L274" t="s">
        <v>180</v>
      </c>
      <c r="M274" s="3" t="str">
        <f t="shared" si="4"/>
        <v/>
      </c>
    </row>
    <row r="275" spans="1:13" x14ac:dyDescent="0.35">
      <c r="A275" t="s">
        <v>996</v>
      </c>
      <c r="B275" t="s">
        <v>174</v>
      </c>
      <c r="C275" t="s">
        <v>997</v>
      </c>
      <c r="D275" t="s">
        <v>190</v>
      </c>
      <c r="E275" t="s">
        <v>30</v>
      </c>
      <c r="F275" t="s">
        <v>40</v>
      </c>
      <c r="G275">
        <v>10</v>
      </c>
      <c r="H275" t="s">
        <v>177</v>
      </c>
      <c r="I275" t="s">
        <v>40</v>
      </c>
      <c r="J275" t="s">
        <v>998</v>
      </c>
      <c r="K275" t="s">
        <v>183</v>
      </c>
      <c r="L275" t="s">
        <v>180</v>
      </c>
      <c r="M275" s="3">
        <f t="shared" si="4"/>
        <v>10</v>
      </c>
    </row>
    <row r="276" spans="1:13" x14ac:dyDescent="0.35">
      <c r="A276" t="s">
        <v>999</v>
      </c>
      <c r="B276" t="s">
        <v>231</v>
      </c>
      <c r="C276" t="s">
        <v>1000</v>
      </c>
      <c r="D276" t="s">
        <v>236</v>
      </c>
      <c r="E276" t="s">
        <v>27</v>
      </c>
      <c r="F276" t="s">
        <v>48</v>
      </c>
      <c r="G276">
        <v>21</v>
      </c>
      <c r="H276" t="s">
        <v>195</v>
      </c>
      <c r="J276" t="s">
        <v>1001</v>
      </c>
      <c r="K276" t="s">
        <v>183</v>
      </c>
      <c r="L276" t="s">
        <v>180</v>
      </c>
      <c r="M276" s="3" t="str">
        <f t="shared" si="4"/>
        <v/>
      </c>
    </row>
    <row r="277" spans="1:13" x14ac:dyDescent="0.35">
      <c r="A277" t="s">
        <v>1002</v>
      </c>
      <c r="B277" t="s">
        <v>174</v>
      </c>
      <c r="C277" t="s">
        <v>1003</v>
      </c>
      <c r="D277" t="s">
        <v>190</v>
      </c>
      <c r="E277" t="s">
        <v>38</v>
      </c>
      <c r="F277" t="s">
        <v>47</v>
      </c>
      <c r="G277">
        <v>8</v>
      </c>
      <c r="H277" t="s">
        <v>177</v>
      </c>
      <c r="I277" t="s">
        <v>47</v>
      </c>
      <c r="J277" t="s">
        <v>1004</v>
      </c>
      <c r="K277" t="s">
        <v>270</v>
      </c>
      <c r="L277" t="s">
        <v>180</v>
      </c>
      <c r="M277" s="3">
        <f t="shared" si="4"/>
        <v>9</v>
      </c>
    </row>
    <row r="278" spans="1:13" x14ac:dyDescent="0.35">
      <c r="A278" t="s">
        <v>1005</v>
      </c>
      <c r="B278" t="s">
        <v>174</v>
      </c>
      <c r="C278" t="s">
        <v>1006</v>
      </c>
      <c r="D278" t="s">
        <v>236</v>
      </c>
      <c r="E278" t="s">
        <v>48</v>
      </c>
      <c r="F278" t="s">
        <v>51</v>
      </c>
      <c r="G278">
        <v>2</v>
      </c>
      <c r="H278" t="s">
        <v>195</v>
      </c>
      <c r="J278" t="s">
        <v>1007</v>
      </c>
      <c r="K278" t="s">
        <v>183</v>
      </c>
      <c r="L278" t="s">
        <v>184</v>
      </c>
      <c r="M278" s="3" t="str">
        <f t="shared" si="4"/>
        <v/>
      </c>
    </row>
    <row r="279" spans="1:13" x14ac:dyDescent="0.35">
      <c r="A279" t="s">
        <v>1008</v>
      </c>
      <c r="B279" t="s">
        <v>174</v>
      </c>
      <c r="C279" t="s">
        <v>1009</v>
      </c>
      <c r="D279" t="s">
        <v>236</v>
      </c>
      <c r="E279" t="s">
        <v>47</v>
      </c>
      <c r="F279" t="s">
        <v>56</v>
      </c>
      <c r="G279">
        <v>9</v>
      </c>
      <c r="H279" t="s">
        <v>195</v>
      </c>
      <c r="J279" t="s">
        <v>1010</v>
      </c>
      <c r="K279" t="s">
        <v>183</v>
      </c>
      <c r="L279" t="s">
        <v>180</v>
      </c>
      <c r="M279" s="3" t="str">
        <f t="shared" si="4"/>
        <v/>
      </c>
    </row>
    <row r="280" spans="1:13" x14ac:dyDescent="0.35">
      <c r="A280" t="s">
        <v>1011</v>
      </c>
      <c r="B280" t="s">
        <v>174</v>
      </c>
      <c r="C280" t="s">
        <v>1012</v>
      </c>
      <c r="D280" t="s">
        <v>190</v>
      </c>
      <c r="E280" t="s">
        <v>40</v>
      </c>
      <c r="F280" t="s">
        <v>53</v>
      </c>
      <c r="G280">
        <v>13</v>
      </c>
      <c r="H280" t="s">
        <v>177</v>
      </c>
      <c r="I280" t="s">
        <v>50</v>
      </c>
      <c r="J280" t="s">
        <v>1013</v>
      </c>
      <c r="K280" t="s">
        <v>197</v>
      </c>
      <c r="L280" t="s">
        <v>180</v>
      </c>
      <c r="M280" s="3">
        <f t="shared" si="4"/>
        <v>10</v>
      </c>
    </row>
    <row r="281" spans="1:13" x14ac:dyDescent="0.35">
      <c r="A281" t="s">
        <v>1014</v>
      </c>
      <c r="B281" t="s">
        <v>174</v>
      </c>
      <c r="C281" t="s">
        <v>1015</v>
      </c>
      <c r="D281" t="s">
        <v>190</v>
      </c>
      <c r="E281" t="s">
        <v>45</v>
      </c>
      <c r="F281" t="s">
        <v>50</v>
      </c>
      <c r="G281">
        <v>5</v>
      </c>
      <c r="H281" t="s">
        <v>195</v>
      </c>
      <c r="J281" t="s">
        <v>1016</v>
      </c>
      <c r="K281" t="s">
        <v>197</v>
      </c>
      <c r="L281" t="s">
        <v>180</v>
      </c>
      <c r="M281" s="3" t="str">
        <f t="shared" si="4"/>
        <v/>
      </c>
    </row>
    <row r="282" spans="1:13" x14ac:dyDescent="0.35">
      <c r="A282" t="s">
        <v>1017</v>
      </c>
      <c r="B282" t="s">
        <v>174</v>
      </c>
      <c r="C282" t="s">
        <v>1018</v>
      </c>
      <c r="D282" t="s">
        <v>190</v>
      </c>
      <c r="E282" t="s">
        <v>50</v>
      </c>
      <c r="F282" t="s">
        <v>55</v>
      </c>
      <c r="G282">
        <v>5</v>
      </c>
      <c r="H282" t="s">
        <v>177</v>
      </c>
      <c r="I282" t="s">
        <v>55</v>
      </c>
      <c r="J282" t="s">
        <v>1019</v>
      </c>
      <c r="K282" t="s">
        <v>219</v>
      </c>
      <c r="L282" t="s">
        <v>180</v>
      </c>
      <c r="M282" s="3">
        <f t="shared" si="4"/>
        <v>5</v>
      </c>
    </row>
    <row r="283" spans="1:13" x14ac:dyDescent="0.35">
      <c r="A283" t="s">
        <v>1020</v>
      </c>
      <c r="B283" t="s">
        <v>174</v>
      </c>
      <c r="C283" t="s">
        <v>1021</v>
      </c>
      <c r="D283" t="s">
        <v>190</v>
      </c>
      <c r="E283" t="s">
        <v>32</v>
      </c>
      <c r="F283" t="s">
        <v>53</v>
      </c>
      <c r="G283">
        <v>21</v>
      </c>
      <c r="H283" t="s">
        <v>177</v>
      </c>
      <c r="I283" t="s">
        <v>53</v>
      </c>
      <c r="J283" t="s">
        <v>1022</v>
      </c>
      <c r="K283" t="s">
        <v>183</v>
      </c>
      <c r="L283" t="s">
        <v>180</v>
      </c>
      <c r="M283" s="3">
        <f t="shared" si="4"/>
        <v>21</v>
      </c>
    </row>
    <row r="284" spans="1:13" x14ac:dyDescent="0.35">
      <c r="A284" t="s">
        <v>1023</v>
      </c>
      <c r="B284" t="s">
        <v>174</v>
      </c>
      <c r="C284" t="s">
        <v>1024</v>
      </c>
      <c r="D284" t="s">
        <v>225</v>
      </c>
      <c r="E284" t="s">
        <v>522</v>
      </c>
      <c r="F284" t="s">
        <v>50</v>
      </c>
      <c r="G284">
        <v>39</v>
      </c>
      <c r="H284" t="s">
        <v>252</v>
      </c>
      <c r="J284" t="s">
        <v>1025</v>
      </c>
      <c r="K284" t="s">
        <v>331</v>
      </c>
      <c r="L284" t="s">
        <v>180</v>
      </c>
      <c r="M284" s="3" t="str">
        <f t="shared" si="4"/>
        <v/>
      </c>
    </row>
    <row r="285" spans="1:13" x14ac:dyDescent="0.35">
      <c r="A285" t="s">
        <v>1026</v>
      </c>
      <c r="B285" t="s">
        <v>174</v>
      </c>
      <c r="C285" t="s">
        <v>1027</v>
      </c>
      <c r="D285" t="s">
        <v>190</v>
      </c>
      <c r="E285" t="s">
        <v>42</v>
      </c>
      <c r="F285" t="s">
        <v>45</v>
      </c>
      <c r="G285">
        <v>3</v>
      </c>
      <c r="H285" t="s">
        <v>177</v>
      </c>
      <c r="I285" t="s">
        <v>46</v>
      </c>
      <c r="J285" t="s">
        <v>1028</v>
      </c>
      <c r="K285" t="s">
        <v>197</v>
      </c>
      <c r="L285" t="s">
        <v>184</v>
      </c>
      <c r="M285" s="3">
        <f t="shared" si="4"/>
        <v>4</v>
      </c>
    </row>
    <row r="286" spans="1:13" x14ac:dyDescent="0.35">
      <c r="A286" t="s">
        <v>1029</v>
      </c>
      <c r="B286" t="s">
        <v>174</v>
      </c>
      <c r="C286" t="s">
        <v>1030</v>
      </c>
      <c r="D286" t="s">
        <v>190</v>
      </c>
      <c r="E286" t="s">
        <v>52</v>
      </c>
      <c r="F286" t="s">
        <v>56</v>
      </c>
      <c r="G286">
        <v>4</v>
      </c>
      <c r="H286" t="s">
        <v>177</v>
      </c>
      <c r="I286" t="s">
        <v>56</v>
      </c>
      <c r="J286" t="s">
        <v>1031</v>
      </c>
      <c r="K286" t="s">
        <v>183</v>
      </c>
      <c r="L286" t="s">
        <v>184</v>
      </c>
      <c r="M286" s="3">
        <f t="shared" si="4"/>
        <v>4</v>
      </c>
    </row>
    <row r="287" spans="1:13" x14ac:dyDescent="0.35">
      <c r="A287" t="s">
        <v>1032</v>
      </c>
      <c r="B287" t="s">
        <v>174</v>
      </c>
      <c r="C287" t="s">
        <v>1033</v>
      </c>
      <c r="D287" t="s">
        <v>190</v>
      </c>
      <c r="E287" t="s">
        <v>42</v>
      </c>
      <c r="F287" t="s">
        <v>46</v>
      </c>
      <c r="G287">
        <v>4</v>
      </c>
      <c r="H287" t="s">
        <v>177</v>
      </c>
      <c r="I287" t="s">
        <v>46</v>
      </c>
      <c r="J287" t="s">
        <v>1034</v>
      </c>
      <c r="K287" t="s">
        <v>270</v>
      </c>
      <c r="L287" t="s">
        <v>180</v>
      </c>
      <c r="M287" s="3">
        <f t="shared" si="4"/>
        <v>4</v>
      </c>
    </row>
    <row r="288" spans="1:13" x14ac:dyDescent="0.35">
      <c r="A288" t="s">
        <v>1035</v>
      </c>
      <c r="B288" t="s">
        <v>174</v>
      </c>
      <c r="C288" t="s">
        <v>1036</v>
      </c>
      <c r="D288" t="s">
        <v>190</v>
      </c>
      <c r="E288" t="s">
        <v>45</v>
      </c>
      <c r="F288" t="s">
        <v>56</v>
      </c>
      <c r="G288">
        <v>11</v>
      </c>
      <c r="H288" t="s">
        <v>177</v>
      </c>
      <c r="I288" t="s">
        <v>56</v>
      </c>
      <c r="J288" t="s">
        <v>1037</v>
      </c>
      <c r="K288" t="s">
        <v>197</v>
      </c>
      <c r="L288" t="s">
        <v>180</v>
      </c>
      <c r="M288" s="3">
        <f t="shared" si="4"/>
        <v>11</v>
      </c>
    </row>
    <row r="289" spans="1:13" x14ac:dyDescent="0.35">
      <c r="A289" t="s">
        <v>1038</v>
      </c>
      <c r="B289" t="s">
        <v>174</v>
      </c>
      <c r="C289" t="s">
        <v>1039</v>
      </c>
      <c r="D289" t="s">
        <v>176</v>
      </c>
      <c r="E289" t="s">
        <v>31</v>
      </c>
      <c r="F289" t="s">
        <v>40</v>
      </c>
      <c r="G289">
        <v>9</v>
      </c>
      <c r="H289" t="s">
        <v>177</v>
      </c>
      <c r="I289" t="s">
        <v>40</v>
      </c>
      <c r="J289" t="s">
        <v>1040</v>
      </c>
      <c r="K289" t="s">
        <v>183</v>
      </c>
      <c r="L289" t="s">
        <v>180</v>
      </c>
      <c r="M289" s="3">
        <f t="shared" si="4"/>
        <v>9</v>
      </c>
    </row>
    <row r="290" spans="1:13" x14ac:dyDescent="0.35">
      <c r="A290" t="s">
        <v>1041</v>
      </c>
      <c r="B290" t="s">
        <v>174</v>
      </c>
      <c r="C290" t="s">
        <v>1042</v>
      </c>
      <c r="D290" t="s">
        <v>190</v>
      </c>
      <c r="E290" t="s">
        <v>45</v>
      </c>
      <c r="F290" t="s">
        <v>55</v>
      </c>
      <c r="G290">
        <v>10</v>
      </c>
      <c r="H290" t="s">
        <v>177</v>
      </c>
      <c r="I290" t="s">
        <v>55</v>
      </c>
      <c r="J290" t="s">
        <v>1043</v>
      </c>
      <c r="K290" t="s">
        <v>270</v>
      </c>
      <c r="L290" t="s">
        <v>180</v>
      </c>
      <c r="M290" s="3">
        <f t="shared" si="4"/>
        <v>10</v>
      </c>
    </row>
    <row r="291" spans="1:13" x14ac:dyDescent="0.35">
      <c r="A291" t="s">
        <v>1044</v>
      </c>
      <c r="B291" t="s">
        <v>174</v>
      </c>
      <c r="C291" t="s">
        <v>1045</v>
      </c>
      <c r="D291" t="s">
        <v>190</v>
      </c>
      <c r="E291" t="s">
        <v>33</v>
      </c>
      <c r="F291" t="s">
        <v>41</v>
      </c>
      <c r="G291">
        <v>8</v>
      </c>
      <c r="H291" t="s">
        <v>177</v>
      </c>
      <c r="I291" t="s">
        <v>42</v>
      </c>
      <c r="J291" t="s">
        <v>1046</v>
      </c>
      <c r="K291" t="s">
        <v>270</v>
      </c>
      <c r="L291" t="s">
        <v>180</v>
      </c>
      <c r="M291" s="3">
        <f t="shared" si="4"/>
        <v>9</v>
      </c>
    </row>
    <row r="292" spans="1:13" x14ac:dyDescent="0.35">
      <c r="A292" t="s">
        <v>1047</v>
      </c>
      <c r="B292" t="s">
        <v>174</v>
      </c>
      <c r="C292" t="s">
        <v>1048</v>
      </c>
      <c r="D292" t="s">
        <v>176</v>
      </c>
      <c r="E292" t="s">
        <v>42</v>
      </c>
      <c r="F292" t="s">
        <v>54</v>
      </c>
      <c r="G292">
        <v>12</v>
      </c>
      <c r="H292" t="s">
        <v>195</v>
      </c>
      <c r="J292" t="s">
        <v>1049</v>
      </c>
      <c r="K292" t="s">
        <v>183</v>
      </c>
      <c r="L292" t="s">
        <v>180</v>
      </c>
      <c r="M292" s="3" t="str">
        <f t="shared" si="4"/>
        <v/>
      </c>
    </row>
    <row r="293" spans="1:13" x14ac:dyDescent="0.35">
      <c r="A293" t="s">
        <v>1050</v>
      </c>
      <c r="B293" t="s">
        <v>174</v>
      </c>
      <c r="C293" t="s">
        <v>1051</v>
      </c>
      <c r="D293" t="s">
        <v>190</v>
      </c>
      <c r="E293" t="s">
        <v>35</v>
      </c>
      <c r="F293" t="s">
        <v>47</v>
      </c>
      <c r="G293">
        <v>13</v>
      </c>
      <c r="H293" t="s">
        <v>177</v>
      </c>
      <c r="I293" t="s">
        <v>48</v>
      </c>
      <c r="J293" t="s">
        <v>1052</v>
      </c>
      <c r="K293" t="s">
        <v>270</v>
      </c>
      <c r="L293" t="s">
        <v>180</v>
      </c>
      <c r="M293" s="3">
        <f t="shared" si="4"/>
        <v>13</v>
      </c>
    </row>
    <row r="294" spans="1:13" x14ac:dyDescent="0.35">
      <c r="A294" t="s">
        <v>1053</v>
      </c>
      <c r="B294" t="s">
        <v>174</v>
      </c>
      <c r="C294" t="s">
        <v>1054</v>
      </c>
      <c r="D294" t="s">
        <v>190</v>
      </c>
      <c r="E294" t="s">
        <v>47</v>
      </c>
      <c r="F294" t="s">
        <v>53</v>
      </c>
      <c r="G294">
        <v>6</v>
      </c>
      <c r="H294" t="s">
        <v>177</v>
      </c>
      <c r="I294" t="s">
        <v>55</v>
      </c>
      <c r="J294" t="s">
        <v>1055</v>
      </c>
      <c r="K294" t="s">
        <v>197</v>
      </c>
      <c r="L294" t="s">
        <v>180</v>
      </c>
      <c r="M294" s="3">
        <f t="shared" si="4"/>
        <v>8</v>
      </c>
    </row>
    <row r="295" spans="1:13" x14ac:dyDescent="0.35">
      <c r="A295" t="s">
        <v>1056</v>
      </c>
      <c r="B295" t="s">
        <v>174</v>
      </c>
      <c r="C295" t="s">
        <v>1057</v>
      </c>
      <c r="D295" t="s">
        <v>190</v>
      </c>
      <c r="E295" t="s">
        <v>31</v>
      </c>
      <c r="F295" t="s">
        <v>53</v>
      </c>
      <c r="G295">
        <v>22</v>
      </c>
      <c r="H295" t="s">
        <v>177</v>
      </c>
      <c r="I295" t="s">
        <v>53</v>
      </c>
      <c r="J295" t="s">
        <v>1058</v>
      </c>
      <c r="K295" t="s">
        <v>183</v>
      </c>
      <c r="L295" t="s">
        <v>180</v>
      </c>
      <c r="M295" s="3">
        <f t="shared" si="4"/>
        <v>22</v>
      </c>
    </row>
    <row r="296" spans="1:13" x14ac:dyDescent="0.35">
      <c r="A296" t="s">
        <v>1059</v>
      </c>
      <c r="B296" t="s">
        <v>174</v>
      </c>
      <c r="C296" t="s">
        <v>1060</v>
      </c>
      <c r="D296" t="s">
        <v>236</v>
      </c>
      <c r="E296" t="s">
        <v>47</v>
      </c>
      <c r="F296" t="s">
        <v>56</v>
      </c>
      <c r="G296">
        <v>9</v>
      </c>
      <c r="H296" t="s">
        <v>195</v>
      </c>
      <c r="J296" t="s">
        <v>1061</v>
      </c>
      <c r="K296" t="s">
        <v>192</v>
      </c>
      <c r="L296" t="s">
        <v>180</v>
      </c>
      <c r="M296" s="3" t="str">
        <f t="shared" si="4"/>
        <v/>
      </c>
    </row>
    <row r="297" spans="1:13" x14ac:dyDescent="0.35">
      <c r="A297" t="s">
        <v>1062</v>
      </c>
      <c r="B297" t="s">
        <v>174</v>
      </c>
      <c r="C297" t="s">
        <v>1063</v>
      </c>
      <c r="D297" t="s">
        <v>190</v>
      </c>
      <c r="E297" t="s">
        <v>46</v>
      </c>
      <c r="F297" t="s">
        <v>52</v>
      </c>
      <c r="G297">
        <v>6</v>
      </c>
      <c r="H297" t="s">
        <v>177</v>
      </c>
      <c r="I297" t="s">
        <v>52</v>
      </c>
      <c r="J297" t="s">
        <v>1064</v>
      </c>
      <c r="K297" t="s">
        <v>257</v>
      </c>
      <c r="L297" t="s">
        <v>180</v>
      </c>
      <c r="M297" s="3">
        <f t="shared" si="4"/>
        <v>6</v>
      </c>
    </row>
    <row r="298" spans="1:13" x14ac:dyDescent="0.35">
      <c r="A298" t="s">
        <v>1065</v>
      </c>
      <c r="B298" t="s">
        <v>174</v>
      </c>
      <c r="C298" t="s">
        <v>1066</v>
      </c>
      <c r="D298" t="s">
        <v>190</v>
      </c>
      <c r="E298" t="s">
        <v>28</v>
      </c>
      <c r="F298" t="s">
        <v>48</v>
      </c>
      <c r="G298">
        <v>20</v>
      </c>
      <c r="H298" t="s">
        <v>252</v>
      </c>
      <c r="J298" t="s">
        <v>1067</v>
      </c>
      <c r="K298" t="s">
        <v>192</v>
      </c>
      <c r="L298" t="s">
        <v>180</v>
      </c>
      <c r="M298" s="3" t="str">
        <f t="shared" si="4"/>
        <v/>
      </c>
    </row>
    <row r="299" spans="1:13" x14ac:dyDescent="0.35">
      <c r="A299" t="s">
        <v>1065</v>
      </c>
      <c r="B299" t="s">
        <v>174</v>
      </c>
      <c r="C299" t="s">
        <v>1066</v>
      </c>
      <c r="D299" t="s">
        <v>190</v>
      </c>
      <c r="E299" t="s">
        <v>28</v>
      </c>
      <c r="F299" t="s">
        <v>53</v>
      </c>
      <c r="G299">
        <v>25</v>
      </c>
      <c r="H299" t="s">
        <v>177</v>
      </c>
      <c r="I299" t="s">
        <v>53</v>
      </c>
      <c r="J299" t="s">
        <v>1067</v>
      </c>
      <c r="K299" t="s">
        <v>192</v>
      </c>
      <c r="L299" t="s">
        <v>180</v>
      </c>
      <c r="M299" s="3">
        <f t="shared" si="4"/>
        <v>25</v>
      </c>
    </row>
    <row r="300" spans="1:13" x14ac:dyDescent="0.35">
      <c r="A300" t="s">
        <v>1068</v>
      </c>
      <c r="B300" t="s">
        <v>174</v>
      </c>
      <c r="C300" t="s">
        <v>1069</v>
      </c>
      <c r="D300" t="s">
        <v>190</v>
      </c>
      <c r="E300" t="s">
        <v>46</v>
      </c>
      <c r="F300" t="s">
        <v>48</v>
      </c>
      <c r="G300">
        <v>2</v>
      </c>
      <c r="H300" t="s">
        <v>177</v>
      </c>
      <c r="I300" t="s">
        <v>48</v>
      </c>
      <c r="J300" t="s">
        <v>1070</v>
      </c>
      <c r="K300" t="s">
        <v>257</v>
      </c>
      <c r="L300" t="s">
        <v>180</v>
      </c>
      <c r="M300" s="3">
        <f t="shared" si="4"/>
        <v>2</v>
      </c>
    </row>
    <row r="301" spans="1:13" x14ac:dyDescent="0.35">
      <c r="A301" t="s">
        <v>1071</v>
      </c>
      <c r="B301" t="s">
        <v>174</v>
      </c>
      <c r="C301" t="s">
        <v>1072</v>
      </c>
      <c r="D301" t="s">
        <v>176</v>
      </c>
      <c r="E301" t="s">
        <v>50</v>
      </c>
      <c r="F301" t="s">
        <v>53</v>
      </c>
      <c r="G301">
        <v>3</v>
      </c>
      <c r="H301" t="s">
        <v>177</v>
      </c>
      <c r="I301" t="s">
        <v>53</v>
      </c>
      <c r="J301" t="s">
        <v>1073</v>
      </c>
      <c r="K301" t="s">
        <v>183</v>
      </c>
      <c r="L301" t="s">
        <v>184</v>
      </c>
      <c r="M301" s="3">
        <f t="shared" si="4"/>
        <v>3</v>
      </c>
    </row>
    <row r="302" spans="1:13" x14ac:dyDescent="0.35">
      <c r="A302" t="s">
        <v>1074</v>
      </c>
      <c r="B302" t="s">
        <v>174</v>
      </c>
      <c r="C302" t="s">
        <v>1075</v>
      </c>
      <c r="D302" t="s">
        <v>190</v>
      </c>
      <c r="E302" t="s">
        <v>48</v>
      </c>
      <c r="F302" t="s">
        <v>56</v>
      </c>
      <c r="G302">
        <v>7</v>
      </c>
      <c r="H302" t="s">
        <v>177</v>
      </c>
      <c r="I302" t="s">
        <v>56</v>
      </c>
      <c r="J302" t="s">
        <v>1076</v>
      </c>
      <c r="K302" t="s">
        <v>197</v>
      </c>
      <c r="L302" t="s">
        <v>180</v>
      </c>
      <c r="M302" s="3">
        <f t="shared" si="4"/>
        <v>8</v>
      </c>
    </row>
    <row r="303" spans="1:13" x14ac:dyDescent="0.35">
      <c r="A303" t="s">
        <v>1077</v>
      </c>
      <c r="B303" t="s">
        <v>174</v>
      </c>
      <c r="C303" t="s">
        <v>1078</v>
      </c>
      <c r="D303" t="s">
        <v>190</v>
      </c>
      <c r="E303" t="s">
        <v>34</v>
      </c>
      <c r="F303" t="s">
        <v>40</v>
      </c>
      <c r="G303">
        <v>6</v>
      </c>
      <c r="H303" t="s">
        <v>177</v>
      </c>
      <c r="I303" t="s">
        <v>40</v>
      </c>
      <c r="J303" t="s">
        <v>1034</v>
      </c>
      <c r="K303" t="s">
        <v>270</v>
      </c>
      <c r="L303" t="s">
        <v>180</v>
      </c>
      <c r="M303" s="3">
        <f t="shared" si="4"/>
        <v>6</v>
      </c>
    </row>
    <row r="304" spans="1:13" x14ac:dyDescent="0.35">
      <c r="A304" t="s">
        <v>1079</v>
      </c>
      <c r="B304" t="s">
        <v>174</v>
      </c>
      <c r="C304" t="s">
        <v>1080</v>
      </c>
      <c r="D304" t="s">
        <v>190</v>
      </c>
      <c r="E304" t="s">
        <v>34</v>
      </c>
      <c r="F304" t="s">
        <v>42</v>
      </c>
      <c r="G304">
        <v>9</v>
      </c>
      <c r="H304" t="s">
        <v>177</v>
      </c>
      <c r="I304" t="s">
        <v>43</v>
      </c>
      <c r="J304" t="s">
        <v>1081</v>
      </c>
      <c r="K304" t="s">
        <v>183</v>
      </c>
      <c r="L304" t="s">
        <v>180</v>
      </c>
      <c r="M304" s="3">
        <f t="shared" si="4"/>
        <v>9</v>
      </c>
    </row>
    <row r="305" spans="1:13" x14ac:dyDescent="0.35">
      <c r="A305" t="s">
        <v>1082</v>
      </c>
      <c r="B305" t="s">
        <v>174</v>
      </c>
      <c r="C305" t="s">
        <v>1083</v>
      </c>
      <c r="D305" t="s">
        <v>190</v>
      </c>
      <c r="E305" t="s">
        <v>39</v>
      </c>
      <c r="F305" t="s">
        <v>42</v>
      </c>
      <c r="G305">
        <v>3</v>
      </c>
      <c r="H305" t="s">
        <v>177</v>
      </c>
      <c r="I305" t="s">
        <v>43</v>
      </c>
      <c r="J305" t="s">
        <v>1084</v>
      </c>
      <c r="K305" t="s">
        <v>270</v>
      </c>
      <c r="L305" t="s">
        <v>184</v>
      </c>
      <c r="M305" s="3">
        <f t="shared" si="4"/>
        <v>4</v>
      </c>
    </row>
    <row r="306" spans="1:13" x14ac:dyDescent="0.35">
      <c r="A306" t="s">
        <v>1085</v>
      </c>
      <c r="B306" t="s">
        <v>174</v>
      </c>
      <c r="C306" t="s">
        <v>1086</v>
      </c>
      <c r="D306" t="s">
        <v>176</v>
      </c>
      <c r="E306" t="s">
        <v>16</v>
      </c>
      <c r="F306" t="s">
        <v>51</v>
      </c>
      <c r="G306">
        <v>36</v>
      </c>
      <c r="H306" t="s">
        <v>252</v>
      </c>
      <c r="J306" t="s">
        <v>1087</v>
      </c>
      <c r="K306" t="s">
        <v>331</v>
      </c>
      <c r="L306" t="s">
        <v>180</v>
      </c>
      <c r="M306" s="3" t="str">
        <f t="shared" si="4"/>
        <v/>
      </c>
    </row>
    <row r="307" spans="1:13" x14ac:dyDescent="0.35">
      <c r="A307" t="s">
        <v>1088</v>
      </c>
      <c r="B307" t="s">
        <v>174</v>
      </c>
      <c r="C307" t="s">
        <v>1089</v>
      </c>
      <c r="D307" t="s">
        <v>236</v>
      </c>
      <c r="E307" t="s">
        <v>51</v>
      </c>
      <c r="F307" t="s">
        <v>55</v>
      </c>
      <c r="G307">
        <v>4</v>
      </c>
      <c r="H307" t="s">
        <v>177</v>
      </c>
      <c r="I307" t="s">
        <v>55</v>
      </c>
      <c r="J307" t="s">
        <v>1090</v>
      </c>
      <c r="K307" t="s">
        <v>183</v>
      </c>
      <c r="L307" t="s">
        <v>184</v>
      </c>
      <c r="M307" s="3">
        <f t="shared" si="4"/>
        <v>4</v>
      </c>
    </row>
    <row r="308" spans="1:13" x14ac:dyDescent="0.35">
      <c r="A308" t="s">
        <v>1091</v>
      </c>
      <c r="B308" t="s">
        <v>174</v>
      </c>
      <c r="C308" t="s">
        <v>1092</v>
      </c>
      <c r="D308" t="s">
        <v>190</v>
      </c>
      <c r="E308" t="s">
        <v>42</v>
      </c>
      <c r="F308" t="s">
        <v>48</v>
      </c>
      <c r="G308">
        <v>6</v>
      </c>
      <c r="H308" t="s">
        <v>195</v>
      </c>
      <c r="J308" t="s">
        <v>1093</v>
      </c>
      <c r="K308" t="s">
        <v>257</v>
      </c>
      <c r="L308" t="s">
        <v>180</v>
      </c>
      <c r="M308" s="3" t="str">
        <f t="shared" si="4"/>
        <v/>
      </c>
    </row>
    <row r="309" spans="1:13" x14ac:dyDescent="0.35">
      <c r="A309" t="s">
        <v>1094</v>
      </c>
      <c r="B309" t="s">
        <v>174</v>
      </c>
      <c r="C309" t="s">
        <v>1095</v>
      </c>
      <c r="D309" t="s">
        <v>190</v>
      </c>
      <c r="E309" t="s">
        <v>39</v>
      </c>
      <c r="F309" t="s">
        <v>44</v>
      </c>
      <c r="G309">
        <v>5</v>
      </c>
      <c r="H309" t="s">
        <v>177</v>
      </c>
      <c r="I309" t="s">
        <v>44</v>
      </c>
      <c r="J309" t="s">
        <v>1096</v>
      </c>
      <c r="K309" t="s">
        <v>270</v>
      </c>
      <c r="L309" t="s">
        <v>180</v>
      </c>
      <c r="M309" s="3">
        <f t="shared" si="4"/>
        <v>5</v>
      </c>
    </row>
    <row r="310" spans="1:13" x14ac:dyDescent="0.35">
      <c r="A310" t="s">
        <v>1097</v>
      </c>
      <c r="B310" t="s">
        <v>174</v>
      </c>
      <c r="C310" t="s">
        <v>1098</v>
      </c>
      <c r="D310" t="s">
        <v>225</v>
      </c>
      <c r="E310" t="s">
        <v>522</v>
      </c>
      <c r="F310" t="s">
        <v>45</v>
      </c>
      <c r="G310">
        <v>33</v>
      </c>
      <c r="H310" t="s">
        <v>177</v>
      </c>
      <c r="I310" t="s">
        <v>45</v>
      </c>
      <c r="J310" t="s">
        <v>1099</v>
      </c>
      <c r="K310" t="s">
        <v>179</v>
      </c>
      <c r="L310" t="s">
        <v>180</v>
      </c>
      <c r="M310" s="3">
        <f t="shared" si="4"/>
        <v>33</v>
      </c>
    </row>
    <row r="311" spans="1:13" x14ac:dyDescent="0.35">
      <c r="A311" t="s">
        <v>1100</v>
      </c>
      <c r="B311" t="s">
        <v>174</v>
      </c>
      <c r="C311" t="s">
        <v>1101</v>
      </c>
      <c r="D311" t="s">
        <v>176</v>
      </c>
      <c r="E311" t="s">
        <v>44</v>
      </c>
      <c r="F311" t="s">
        <v>45</v>
      </c>
      <c r="G311">
        <v>1</v>
      </c>
      <c r="H311" t="s">
        <v>177</v>
      </c>
      <c r="I311" t="s">
        <v>45</v>
      </c>
      <c r="J311" t="s">
        <v>1102</v>
      </c>
      <c r="K311" t="s">
        <v>183</v>
      </c>
      <c r="L311" t="s">
        <v>180</v>
      </c>
      <c r="M311" s="3">
        <f t="shared" si="4"/>
        <v>1</v>
      </c>
    </row>
    <row r="312" spans="1:13" x14ac:dyDescent="0.35">
      <c r="A312" t="s">
        <v>1103</v>
      </c>
      <c r="B312" t="s">
        <v>174</v>
      </c>
      <c r="C312" t="s">
        <v>1104</v>
      </c>
      <c r="D312" t="s">
        <v>190</v>
      </c>
      <c r="E312" t="s">
        <v>45</v>
      </c>
      <c r="F312" t="s">
        <v>54</v>
      </c>
      <c r="G312">
        <v>9</v>
      </c>
      <c r="H312" t="s">
        <v>177</v>
      </c>
      <c r="I312" t="s">
        <v>55</v>
      </c>
      <c r="J312" t="s">
        <v>1105</v>
      </c>
      <c r="K312" t="s">
        <v>197</v>
      </c>
      <c r="L312" t="s">
        <v>180</v>
      </c>
      <c r="M312" s="3">
        <f t="shared" si="4"/>
        <v>10</v>
      </c>
    </row>
    <row r="313" spans="1:13" x14ac:dyDescent="0.35">
      <c r="A313" t="s">
        <v>1106</v>
      </c>
      <c r="B313" t="s">
        <v>174</v>
      </c>
      <c r="C313" t="s">
        <v>1107</v>
      </c>
      <c r="D313" t="s">
        <v>176</v>
      </c>
      <c r="E313" t="s">
        <v>50</v>
      </c>
      <c r="F313" t="s">
        <v>53</v>
      </c>
      <c r="G313">
        <v>3</v>
      </c>
      <c r="H313" t="s">
        <v>195</v>
      </c>
      <c r="J313" t="s">
        <v>1108</v>
      </c>
      <c r="K313" t="s">
        <v>183</v>
      </c>
      <c r="L313" t="s">
        <v>180</v>
      </c>
      <c r="M313" s="3" t="str">
        <f t="shared" si="4"/>
        <v/>
      </c>
    </row>
    <row r="314" spans="1:13" x14ac:dyDescent="0.35">
      <c r="A314" t="s">
        <v>1109</v>
      </c>
      <c r="B314" t="s">
        <v>174</v>
      </c>
      <c r="C314" t="s">
        <v>1110</v>
      </c>
      <c r="D314" t="s">
        <v>236</v>
      </c>
      <c r="E314" t="s">
        <v>50</v>
      </c>
      <c r="F314" t="s">
        <v>53</v>
      </c>
      <c r="G314">
        <v>2</v>
      </c>
      <c r="H314" t="s">
        <v>177</v>
      </c>
      <c r="I314" t="s">
        <v>54</v>
      </c>
      <c r="J314" t="s">
        <v>1111</v>
      </c>
      <c r="K314" t="s">
        <v>257</v>
      </c>
      <c r="L314" t="s">
        <v>184</v>
      </c>
      <c r="M314" s="3">
        <f t="shared" si="4"/>
        <v>4</v>
      </c>
    </row>
    <row r="315" spans="1:13" x14ac:dyDescent="0.35">
      <c r="A315" t="s">
        <v>1112</v>
      </c>
      <c r="B315" t="s">
        <v>174</v>
      </c>
      <c r="C315" t="s">
        <v>1113</v>
      </c>
      <c r="D315" t="s">
        <v>190</v>
      </c>
      <c r="E315" t="s">
        <v>43</v>
      </c>
      <c r="F315" t="s">
        <v>56</v>
      </c>
      <c r="G315">
        <v>13</v>
      </c>
      <c r="H315" t="s">
        <v>195</v>
      </c>
      <c r="J315" t="s">
        <v>1114</v>
      </c>
      <c r="K315" t="s">
        <v>257</v>
      </c>
      <c r="L315" t="s">
        <v>180</v>
      </c>
      <c r="M315" s="3" t="str">
        <f t="shared" si="4"/>
        <v/>
      </c>
    </row>
    <row r="316" spans="1:13" x14ac:dyDescent="0.35">
      <c r="A316" t="s">
        <v>1115</v>
      </c>
      <c r="B316" t="s">
        <v>174</v>
      </c>
      <c r="C316" t="s">
        <v>1116</v>
      </c>
      <c r="D316" t="s">
        <v>190</v>
      </c>
      <c r="E316" t="s">
        <v>40</v>
      </c>
      <c r="F316" t="s">
        <v>54</v>
      </c>
      <c r="G316">
        <v>15</v>
      </c>
      <c r="H316" t="s">
        <v>177</v>
      </c>
      <c r="I316" t="s">
        <v>56</v>
      </c>
      <c r="J316" t="s">
        <v>1117</v>
      </c>
      <c r="K316" t="s">
        <v>270</v>
      </c>
      <c r="L316" t="s">
        <v>180</v>
      </c>
      <c r="M316" s="3">
        <f t="shared" si="4"/>
        <v>16</v>
      </c>
    </row>
    <row r="317" spans="1:13" x14ac:dyDescent="0.35">
      <c r="A317" t="s">
        <v>1118</v>
      </c>
      <c r="B317" t="s">
        <v>174</v>
      </c>
      <c r="C317" t="s">
        <v>1119</v>
      </c>
      <c r="D317" t="s">
        <v>190</v>
      </c>
      <c r="E317" t="s">
        <v>38</v>
      </c>
      <c r="F317" t="s">
        <v>45</v>
      </c>
      <c r="G317">
        <v>6</v>
      </c>
      <c r="H317" t="s">
        <v>252</v>
      </c>
      <c r="J317" t="s">
        <v>1120</v>
      </c>
      <c r="K317" t="s">
        <v>270</v>
      </c>
      <c r="L317" t="s">
        <v>180</v>
      </c>
      <c r="M317" s="3" t="str">
        <f t="shared" si="4"/>
        <v/>
      </c>
    </row>
    <row r="318" spans="1:13" x14ac:dyDescent="0.35">
      <c r="A318" t="s">
        <v>1118</v>
      </c>
      <c r="B318" t="s">
        <v>174</v>
      </c>
      <c r="C318" t="s">
        <v>1119</v>
      </c>
      <c r="D318" t="s">
        <v>190</v>
      </c>
      <c r="E318" t="s">
        <v>38</v>
      </c>
      <c r="F318" t="s">
        <v>56</v>
      </c>
      <c r="G318">
        <v>17</v>
      </c>
      <c r="H318" t="s">
        <v>177</v>
      </c>
      <c r="I318" t="s">
        <v>56</v>
      </c>
      <c r="J318" t="s">
        <v>1120</v>
      </c>
      <c r="K318" t="s">
        <v>270</v>
      </c>
      <c r="L318" t="s">
        <v>180</v>
      </c>
      <c r="M318" s="3">
        <f t="shared" si="4"/>
        <v>18</v>
      </c>
    </row>
    <row r="319" spans="1:13" x14ac:dyDescent="0.35">
      <c r="A319" t="s">
        <v>1121</v>
      </c>
      <c r="B319" t="s">
        <v>174</v>
      </c>
      <c r="C319" t="s">
        <v>1122</v>
      </c>
      <c r="D319" t="s">
        <v>190</v>
      </c>
      <c r="E319" t="s">
        <v>29</v>
      </c>
      <c r="F319" t="s">
        <v>56</v>
      </c>
      <c r="G319">
        <v>27</v>
      </c>
      <c r="H319" t="s">
        <v>177</v>
      </c>
      <c r="I319" t="s">
        <v>56</v>
      </c>
      <c r="J319" t="s">
        <v>1123</v>
      </c>
      <c r="K319" t="s">
        <v>270</v>
      </c>
      <c r="L319" t="s">
        <v>180</v>
      </c>
      <c r="M319" s="3">
        <f t="shared" si="4"/>
        <v>27</v>
      </c>
    </row>
    <row r="320" spans="1:13" x14ac:dyDescent="0.35">
      <c r="A320" t="s">
        <v>1124</v>
      </c>
      <c r="B320" t="s">
        <v>174</v>
      </c>
      <c r="C320" t="s">
        <v>1125</v>
      </c>
      <c r="D320" t="s">
        <v>176</v>
      </c>
      <c r="E320" t="s">
        <v>49</v>
      </c>
      <c r="F320" t="s">
        <v>55</v>
      </c>
      <c r="G320">
        <v>6</v>
      </c>
      <c r="H320" t="s">
        <v>177</v>
      </c>
      <c r="I320" t="s">
        <v>55</v>
      </c>
      <c r="J320" t="s">
        <v>1126</v>
      </c>
      <c r="K320" t="s">
        <v>183</v>
      </c>
      <c r="L320" t="s">
        <v>184</v>
      </c>
      <c r="M320" s="3">
        <f t="shared" si="4"/>
        <v>6</v>
      </c>
    </row>
    <row r="321" spans="1:13" x14ac:dyDescent="0.35">
      <c r="A321" t="s">
        <v>1127</v>
      </c>
      <c r="B321" t="s">
        <v>174</v>
      </c>
      <c r="C321" t="s">
        <v>1128</v>
      </c>
      <c r="D321" t="s">
        <v>225</v>
      </c>
      <c r="E321" t="s">
        <v>51</v>
      </c>
      <c r="F321" t="s">
        <v>54</v>
      </c>
      <c r="G321">
        <v>2</v>
      </c>
      <c r="H321" t="s">
        <v>177</v>
      </c>
      <c r="I321" t="s">
        <v>55</v>
      </c>
      <c r="J321" t="s">
        <v>1129</v>
      </c>
      <c r="K321" t="s">
        <v>183</v>
      </c>
      <c r="L321" t="s">
        <v>184</v>
      </c>
      <c r="M321" s="3">
        <f t="shared" si="4"/>
        <v>4</v>
      </c>
    </row>
    <row r="322" spans="1:13" x14ac:dyDescent="0.35">
      <c r="A322" t="s">
        <v>1130</v>
      </c>
      <c r="B322" t="s">
        <v>174</v>
      </c>
      <c r="C322" t="s">
        <v>1131</v>
      </c>
      <c r="D322" t="s">
        <v>190</v>
      </c>
      <c r="E322" t="s">
        <v>45</v>
      </c>
      <c r="F322" t="s">
        <v>56</v>
      </c>
      <c r="G322">
        <v>10</v>
      </c>
      <c r="H322" t="s">
        <v>177</v>
      </c>
      <c r="I322" t="s">
        <v>56</v>
      </c>
      <c r="J322" t="s">
        <v>1132</v>
      </c>
      <c r="K322" t="s">
        <v>197</v>
      </c>
      <c r="L322" t="s">
        <v>180</v>
      </c>
      <c r="M322" s="3">
        <f t="shared" si="4"/>
        <v>11</v>
      </c>
    </row>
    <row r="323" spans="1:13" x14ac:dyDescent="0.35">
      <c r="A323" t="s">
        <v>1133</v>
      </c>
      <c r="B323" t="s">
        <v>174</v>
      </c>
      <c r="C323" t="s">
        <v>1134</v>
      </c>
      <c r="D323" t="s">
        <v>190</v>
      </c>
      <c r="E323" t="s">
        <v>44</v>
      </c>
      <c r="F323" t="s">
        <v>52</v>
      </c>
      <c r="G323">
        <v>8</v>
      </c>
      <c r="H323" t="s">
        <v>177</v>
      </c>
      <c r="I323" t="s">
        <v>52</v>
      </c>
      <c r="J323" t="s">
        <v>1135</v>
      </c>
      <c r="K323" t="s">
        <v>257</v>
      </c>
      <c r="L323" t="s">
        <v>180</v>
      </c>
      <c r="M323" s="3">
        <f t="shared" ref="M323:M386" si="5">IF(H323="Efectivo",IFERROR((VALUE(RIGHT(I323,4))-VALUE(RIGHT(E323,4)))*12+(VALUE(LEFT(I323,2))-VALUE(LEFT(E323,2))),""),"")</f>
        <v>8</v>
      </c>
    </row>
    <row r="324" spans="1:13" x14ac:dyDescent="0.35">
      <c r="A324" t="s">
        <v>1136</v>
      </c>
      <c r="B324" t="s">
        <v>174</v>
      </c>
      <c r="C324" t="s">
        <v>1137</v>
      </c>
      <c r="D324" t="s">
        <v>190</v>
      </c>
      <c r="E324" t="s">
        <v>52</v>
      </c>
      <c r="F324" t="s">
        <v>54</v>
      </c>
      <c r="G324">
        <v>1</v>
      </c>
      <c r="H324" t="s">
        <v>177</v>
      </c>
      <c r="I324" t="s">
        <v>54</v>
      </c>
      <c r="J324" t="s">
        <v>1138</v>
      </c>
      <c r="K324" t="s">
        <v>197</v>
      </c>
      <c r="L324" t="s">
        <v>180</v>
      </c>
      <c r="M324" s="3">
        <f t="shared" si="5"/>
        <v>2</v>
      </c>
    </row>
    <row r="325" spans="1:13" x14ac:dyDescent="0.35">
      <c r="A325" t="s">
        <v>1139</v>
      </c>
      <c r="B325" t="s">
        <v>174</v>
      </c>
      <c r="C325" t="s">
        <v>1140</v>
      </c>
      <c r="D325" t="s">
        <v>236</v>
      </c>
      <c r="E325" t="s">
        <v>38</v>
      </c>
      <c r="F325" t="s">
        <v>54</v>
      </c>
      <c r="G325">
        <v>16</v>
      </c>
      <c r="H325" t="s">
        <v>195</v>
      </c>
      <c r="J325" t="s">
        <v>1141</v>
      </c>
      <c r="K325" t="s">
        <v>331</v>
      </c>
      <c r="L325" t="s">
        <v>180</v>
      </c>
      <c r="M325" s="3" t="str">
        <f t="shared" si="5"/>
        <v/>
      </c>
    </row>
    <row r="326" spans="1:13" x14ac:dyDescent="0.35">
      <c r="A326" t="s">
        <v>1142</v>
      </c>
      <c r="B326" t="s">
        <v>174</v>
      </c>
      <c r="C326" t="s">
        <v>1143</v>
      </c>
      <c r="D326" t="s">
        <v>190</v>
      </c>
      <c r="E326" t="s">
        <v>48</v>
      </c>
      <c r="F326" t="s">
        <v>52</v>
      </c>
      <c r="G326">
        <v>4</v>
      </c>
      <c r="H326" t="s">
        <v>177</v>
      </c>
      <c r="I326" t="s">
        <v>53</v>
      </c>
      <c r="J326" t="s">
        <v>1144</v>
      </c>
      <c r="K326" t="s">
        <v>257</v>
      </c>
      <c r="L326" t="s">
        <v>184</v>
      </c>
      <c r="M326" s="3">
        <f t="shared" si="5"/>
        <v>5</v>
      </c>
    </row>
    <row r="327" spans="1:13" x14ac:dyDescent="0.35">
      <c r="A327" t="s">
        <v>1145</v>
      </c>
      <c r="B327" t="s">
        <v>174</v>
      </c>
      <c r="C327" t="s">
        <v>1146</v>
      </c>
      <c r="D327" t="s">
        <v>190</v>
      </c>
      <c r="E327" t="s">
        <v>47</v>
      </c>
      <c r="F327" t="s">
        <v>50</v>
      </c>
      <c r="G327">
        <v>3</v>
      </c>
      <c r="H327" t="s">
        <v>177</v>
      </c>
      <c r="I327" t="s">
        <v>50</v>
      </c>
      <c r="J327" t="s">
        <v>1147</v>
      </c>
      <c r="K327" t="s">
        <v>197</v>
      </c>
      <c r="L327" t="s">
        <v>180</v>
      </c>
      <c r="M327" s="3">
        <f t="shared" si="5"/>
        <v>3</v>
      </c>
    </row>
    <row r="328" spans="1:13" x14ac:dyDescent="0.35">
      <c r="A328" t="s">
        <v>1148</v>
      </c>
      <c r="B328" t="s">
        <v>174</v>
      </c>
      <c r="C328" t="s">
        <v>1149</v>
      </c>
      <c r="D328" t="s">
        <v>190</v>
      </c>
      <c r="E328" t="s">
        <v>45</v>
      </c>
      <c r="F328" t="s">
        <v>48</v>
      </c>
      <c r="G328">
        <v>3</v>
      </c>
      <c r="H328" t="s">
        <v>177</v>
      </c>
      <c r="I328" t="s">
        <v>48</v>
      </c>
      <c r="J328" t="s">
        <v>1150</v>
      </c>
      <c r="K328" t="s">
        <v>257</v>
      </c>
      <c r="L328" t="s">
        <v>184</v>
      </c>
      <c r="M328" s="3">
        <f t="shared" si="5"/>
        <v>3</v>
      </c>
    </row>
    <row r="329" spans="1:13" x14ac:dyDescent="0.35">
      <c r="A329" t="s">
        <v>1151</v>
      </c>
      <c r="B329" t="s">
        <v>174</v>
      </c>
      <c r="C329" t="s">
        <v>1152</v>
      </c>
      <c r="D329" t="s">
        <v>176</v>
      </c>
      <c r="E329" t="s">
        <v>50</v>
      </c>
      <c r="F329" t="s">
        <v>54</v>
      </c>
      <c r="G329">
        <v>4</v>
      </c>
      <c r="H329" t="s">
        <v>177</v>
      </c>
      <c r="I329" t="s">
        <v>54</v>
      </c>
      <c r="J329" t="s">
        <v>1153</v>
      </c>
      <c r="K329" t="s">
        <v>183</v>
      </c>
      <c r="L329" t="s">
        <v>180</v>
      </c>
      <c r="M329" s="3">
        <f t="shared" si="5"/>
        <v>4</v>
      </c>
    </row>
    <row r="330" spans="1:13" x14ac:dyDescent="0.35">
      <c r="A330" t="s">
        <v>1154</v>
      </c>
      <c r="B330" t="s">
        <v>174</v>
      </c>
      <c r="C330" t="s">
        <v>1155</v>
      </c>
      <c r="D330" t="s">
        <v>190</v>
      </c>
      <c r="E330" t="s">
        <v>50</v>
      </c>
      <c r="F330" t="s">
        <v>56</v>
      </c>
      <c r="G330">
        <v>6</v>
      </c>
      <c r="H330" t="s">
        <v>195</v>
      </c>
      <c r="J330" t="s">
        <v>1156</v>
      </c>
      <c r="K330" t="s">
        <v>197</v>
      </c>
      <c r="L330" t="s">
        <v>180</v>
      </c>
      <c r="M330" s="3" t="str">
        <f t="shared" si="5"/>
        <v/>
      </c>
    </row>
    <row r="331" spans="1:13" x14ac:dyDescent="0.35">
      <c r="A331" t="s">
        <v>1157</v>
      </c>
      <c r="B331" t="s">
        <v>174</v>
      </c>
      <c r="C331" t="s">
        <v>1158</v>
      </c>
      <c r="D331" t="s">
        <v>176</v>
      </c>
      <c r="E331" t="s">
        <v>48</v>
      </c>
      <c r="F331" t="s">
        <v>53</v>
      </c>
      <c r="G331">
        <v>5</v>
      </c>
      <c r="H331" t="s">
        <v>177</v>
      </c>
      <c r="I331" t="s">
        <v>53</v>
      </c>
      <c r="J331" t="s">
        <v>1159</v>
      </c>
      <c r="K331" t="s">
        <v>183</v>
      </c>
      <c r="L331" t="s">
        <v>184</v>
      </c>
      <c r="M331" s="3">
        <f t="shared" si="5"/>
        <v>5</v>
      </c>
    </row>
    <row r="332" spans="1:13" x14ac:dyDescent="0.35">
      <c r="A332" t="s">
        <v>1160</v>
      </c>
      <c r="B332" t="s">
        <v>174</v>
      </c>
      <c r="C332" t="s">
        <v>1161</v>
      </c>
      <c r="D332" t="s">
        <v>176</v>
      </c>
      <c r="E332" t="s">
        <v>45</v>
      </c>
      <c r="F332" t="s">
        <v>48</v>
      </c>
      <c r="G332">
        <v>3</v>
      </c>
      <c r="H332" t="s">
        <v>195</v>
      </c>
      <c r="J332" t="s">
        <v>1162</v>
      </c>
      <c r="K332" t="s">
        <v>377</v>
      </c>
      <c r="L332" t="s">
        <v>180</v>
      </c>
      <c r="M332" s="3" t="str">
        <f t="shared" si="5"/>
        <v/>
      </c>
    </row>
    <row r="333" spans="1:13" x14ac:dyDescent="0.35">
      <c r="A333" t="s">
        <v>1163</v>
      </c>
      <c r="B333" t="s">
        <v>174</v>
      </c>
      <c r="C333" t="s">
        <v>1164</v>
      </c>
      <c r="D333" t="s">
        <v>190</v>
      </c>
      <c r="E333" t="s">
        <v>44</v>
      </c>
      <c r="F333" t="s">
        <v>47</v>
      </c>
      <c r="G333">
        <v>3</v>
      </c>
      <c r="H333" t="s">
        <v>177</v>
      </c>
      <c r="I333" t="s">
        <v>52</v>
      </c>
      <c r="J333" t="s">
        <v>1165</v>
      </c>
      <c r="K333" t="s">
        <v>257</v>
      </c>
      <c r="L333" t="s">
        <v>180</v>
      </c>
      <c r="M333" s="3">
        <f t="shared" si="5"/>
        <v>8</v>
      </c>
    </row>
    <row r="334" spans="1:13" x14ac:dyDescent="0.35">
      <c r="A334" t="s">
        <v>1166</v>
      </c>
      <c r="B334" t="s">
        <v>174</v>
      </c>
      <c r="C334" t="s">
        <v>1167</v>
      </c>
      <c r="D334" t="s">
        <v>190</v>
      </c>
      <c r="E334" t="s">
        <v>41</v>
      </c>
      <c r="F334" t="s">
        <v>56</v>
      </c>
      <c r="G334">
        <v>14</v>
      </c>
      <c r="H334" t="s">
        <v>177</v>
      </c>
      <c r="I334" t="s">
        <v>56</v>
      </c>
      <c r="J334" t="s">
        <v>1168</v>
      </c>
      <c r="K334" t="s">
        <v>183</v>
      </c>
      <c r="L334" t="s">
        <v>180</v>
      </c>
      <c r="M334" s="3">
        <f t="shared" si="5"/>
        <v>15</v>
      </c>
    </row>
    <row r="335" spans="1:13" x14ac:dyDescent="0.35">
      <c r="A335" t="s">
        <v>1169</v>
      </c>
      <c r="B335" t="s">
        <v>174</v>
      </c>
      <c r="C335" t="s">
        <v>1170</v>
      </c>
      <c r="D335" t="s">
        <v>190</v>
      </c>
      <c r="E335" t="s">
        <v>22</v>
      </c>
      <c r="F335" t="s">
        <v>51</v>
      </c>
      <c r="G335">
        <v>30</v>
      </c>
      <c r="H335" t="s">
        <v>177</v>
      </c>
      <c r="I335" t="s">
        <v>53</v>
      </c>
      <c r="J335" t="s">
        <v>1171</v>
      </c>
      <c r="K335" t="s">
        <v>179</v>
      </c>
      <c r="L335" t="s">
        <v>180</v>
      </c>
      <c r="M335" s="3">
        <f t="shared" si="5"/>
        <v>31</v>
      </c>
    </row>
    <row r="336" spans="1:13" x14ac:dyDescent="0.35">
      <c r="A336" t="s">
        <v>1172</v>
      </c>
      <c r="B336" t="s">
        <v>174</v>
      </c>
      <c r="C336" t="s">
        <v>1173</v>
      </c>
      <c r="D336" t="s">
        <v>190</v>
      </c>
      <c r="E336" t="s">
        <v>42</v>
      </c>
      <c r="F336" t="s">
        <v>47</v>
      </c>
      <c r="G336">
        <v>5</v>
      </c>
      <c r="H336" t="s">
        <v>177</v>
      </c>
      <c r="I336" t="s">
        <v>47</v>
      </c>
      <c r="J336" t="s">
        <v>1174</v>
      </c>
      <c r="K336" t="s">
        <v>257</v>
      </c>
      <c r="L336" t="s">
        <v>180</v>
      </c>
      <c r="M336" s="3">
        <f t="shared" si="5"/>
        <v>5</v>
      </c>
    </row>
    <row r="337" spans="1:13" x14ac:dyDescent="0.35">
      <c r="A337" t="s">
        <v>1175</v>
      </c>
      <c r="B337" t="s">
        <v>174</v>
      </c>
      <c r="C337" t="s">
        <v>1176</v>
      </c>
      <c r="D337" t="s">
        <v>190</v>
      </c>
      <c r="E337" t="s">
        <v>24</v>
      </c>
      <c r="F337" t="s">
        <v>43</v>
      </c>
      <c r="G337">
        <v>19</v>
      </c>
      <c r="H337" t="s">
        <v>177</v>
      </c>
      <c r="I337" t="s">
        <v>43</v>
      </c>
      <c r="J337" t="s">
        <v>1177</v>
      </c>
      <c r="K337" t="s">
        <v>183</v>
      </c>
      <c r="L337" t="s">
        <v>180</v>
      </c>
      <c r="M337" s="3">
        <f t="shared" si="5"/>
        <v>19</v>
      </c>
    </row>
    <row r="338" spans="1:13" x14ac:dyDescent="0.35">
      <c r="A338" t="s">
        <v>1178</v>
      </c>
      <c r="B338" t="s">
        <v>174</v>
      </c>
      <c r="C338" t="s">
        <v>1179</v>
      </c>
      <c r="D338" t="s">
        <v>190</v>
      </c>
      <c r="E338" t="s">
        <v>45</v>
      </c>
      <c r="F338" t="s">
        <v>47</v>
      </c>
      <c r="G338">
        <v>2</v>
      </c>
      <c r="H338" t="s">
        <v>177</v>
      </c>
      <c r="I338" t="s">
        <v>47</v>
      </c>
      <c r="J338" t="s">
        <v>1180</v>
      </c>
      <c r="K338" t="s">
        <v>257</v>
      </c>
      <c r="L338" t="s">
        <v>184</v>
      </c>
      <c r="M338" s="3">
        <f t="shared" si="5"/>
        <v>2</v>
      </c>
    </row>
    <row r="339" spans="1:13" x14ac:dyDescent="0.35">
      <c r="A339" t="s">
        <v>1181</v>
      </c>
      <c r="B339" t="s">
        <v>174</v>
      </c>
      <c r="C339" t="s">
        <v>1182</v>
      </c>
      <c r="D339" t="s">
        <v>176</v>
      </c>
      <c r="E339" t="s">
        <v>46</v>
      </c>
      <c r="F339" t="s">
        <v>55</v>
      </c>
      <c r="G339">
        <v>9</v>
      </c>
      <c r="H339" t="s">
        <v>177</v>
      </c>
      <c r="I339" t="s">
        <v>55</v>
      </c>
      <c r="J339" t="s">
        <v>1183</v>
      </c>
      <c r="K339" t="s">
        <v>183</v>
      </c>
      <c r="L339" t="s">
        <v>184</v>
      </c>
      <c r="M339" s="3">
        <f t="shared" si="5"/>
        <v>9</v>
      </c>
    </row>
    <row r="340" spans="1:13" x14ac:dyDescent="0.35">
      <c r="A340" t="s">
        <v>1184</v>
      </c>
      <c r="B340" t="s">
        <v>174</v>
      </c>
      <c r="C340" t="s">
        <v>1185</v>
      </c>
      <c r="D340" t="s">
        <v>225</v>
      </c>
      <c r="E340" t="s">
        <v>42</v>
      </c>
      <c r="F340" t="s">
        <v>53</v>
      </c>
      <c r="G340">
        <v>11</v>
      </c>
      <c r="H340" t="s">
        <v>177</v>
      </c>
      <c r="I340" t="s">
        <v>53</v>
      </c>
      <c r="J340" t="s">
        <v>1186</v>
      </c>
      <c r="K340" t="s">
        <v>192</v>
      </c>
      <c r="L340" t="s">
        <v>180</v>
      </c>
      <c r="M340" s="3">
        <f t="shared" si="5"/>
        <v>11</v>
      </c>
    </row>
    <row r="341" spans="1:13" x14ac:dyDescent="0.35">
      <c r="A341" t="s">
        <v>1187</v>
      </c>
      <c r="B341" t="s">
        <v>174</v>
      </c>
      <c r="C341" t="s">
        <v>1188</v>
      </c>
      <c r="D341" t="s">
        <v>176</v>
      </c>
      <c r="E341" t="s">
        <v>50</v>
      </c>
      <c r="F341" t="s">
        <v>54</v>
      </c>
      <c r="G341">
        <v>4</v>
      </c>
      <c r="H341" t="s">
        <v>177</v>
      </c>
      <c r="I341" t="s">
        <v>54</v>
      </c>
      <c r="J341" t="s">
        <v>1189</v>
      </c>
      <c r="K341" t="s">
        <v>183</v>
      </c>
      <c r="L341" t="s">
        <v>184</v>
      </c>
      <c r="M341" s="3">
        <f t="shared" si="5"/>
        <v>4</v>
      </c>
    </row>
    <row r="342" spans="1:13" x14ac:dyDescent="0.35">
      <c r="A342" t="s">
        <v>1190</v>
      </c>
      <c r="B342" t="s">
        <v>174</v>
      </c>
      <c r="C342" t="s">
        <v>1191</v>
      </c>
      <c r="D342" t="s">
        <v>190</v>
      </c>
      <c r="E342" t="s">
        <v>49</v>
      </c>
      <c r="F342" t="s">
        <v>54</v>
      </c>
      <c r="G342">
        <v>5</v>
      </c>
      <c r="H342" t="s">
        <v>177</v>
      </c>
      <c r="I342" t="s">
        <v>54</v>
      </c>
      <c r="J342" t="s">
        <v>1192</v>
      </c>
      <c r="K342" t="s">
        <v>257</v>
      </c>
      <c r="L342" t="s">
        <v>184</v>
      </c>
      <c r="M342" s="3">
        <f t="shared" si="5"/>
        <v>5</v>
      </c>
    </row>
    <row r="343" spans="1:13" x14ac:dyDescent="0.35">
      <c r="A343" t="s">
        <v>1193</v>
      </c>
      <c r="B343" t="s">
        <v>174</v>
      </c>
      <c r="C343" t="s">
        <v>1194</v>
      </c>
      <c r="D343" t="s">
        <v>225</v>
      </c>
      <c r="E343" t="s">
        <v>39</v>
      </c>
      <c r="F343" t="s">
        <v>55</v>
      </c>
      <c r="G343">
        <v>16</v>
      </c>
      <c r="H343" t="s">
        <v>177</v>
      </c>
      <c r="I343" t="s">
        <v>55</v>
      </c>
      <c r="J343" t="s">
        <v>1195</v>
      </c>
      <c r="K343" t="s">
        <v>183</v>
      </c>
      <c r="L343" t="s">
        <v>180</v>
      </c>
      <c r="M343" s="3">
        <f t="shared" si="5"/>
        <v>16</v>
      </c>
    </row>
    <row r="344" spans="1:13" x14ac:dyDescent="0.35">
      <c r="A344" t="s">
        <v>1196</v>
      </c>
      <c r="B344" t="s">
        <v>174</v>
      </c>
      <c r="C344" t="s">
        <v>1197</v>
      </c>
      <c r="D344" t="s">
        <v>190</v>
      </c>
      <c r="E344" t="s">
        <v>38</v>
      </c>
      <c r="F344" t="s">
        <v>50</v>
      </c>
      <c r="G344">
        <v>12</v>
      </c>
      <c r="H344" t="s">
        <v>177</v>
      </c>
      <c r="I344" t="s">
        <v>54</v>
      </c>
      <c r="J344" t="s">
        <v>1198</v>
      </c>
      <c r="K344" t="s">
        <v>270</v>
      </c>
      <c r="L344" t="s">
        <v>180</v>
      </c>
      <c r="M344" s="3">
        <f t="shared" si="5"/>
        <v>16</v>
      </c>
    </row>
    <row r="345" spans="1:13" x14ac:dyDescent="0.35">
      <c r="A345" t="s">
        <v>1199</v>
      </c>
      <c r="B345" t="s">
        <v>174</v>
      </c>
      <c r="C345" t="s">
        <v>1200</v>
      </c>
      <c r="D345" t="s">
        <v>190</v>
      </c>
      <c r="E345" t="s">
        <v>49</v>
      </c>
      <c r="F345" t="s">
        <v>56</v>
      </c>
      <c r="G345">
        <v>7</v>
      </c>
      <c r="H345" t="s">
        <v>177</v>
      </c>
      <c r="I345" t="s">
        <v>56</v>
      </c>
      <c r="J345" t="s">
        <v>1201</v>
      </c>
      <c r="K345" t="s">
        <v>197</v>
      </c>
      <c r="L345" t="s">
        <v>180</v>
      </c>
      <c r="M345" s="3">
        <f t="shared" si="5"/>
        <v>7</v>
      </c>
    </row>
    <row r="346" spans="1:13" x14ac:dyDescent="0.35">
      <c r="A346" t="s">
        <v>1202</v>
      </c>
      <c r="B346" t="s">
        <v>174</v>
      </c>
      <c r="C346" t="s">
        <v>1203</v>
      </c>
      <c r="D346" t="s">
        <v>190</v>
      </c>
      <c r="E346" t="s">
        <v>38</v>
      </c>
      <c r="F346" t="s">
        <v>42</v>
      </c>
      <c r="G346">
        <v>3</v>
      </c>
      <c r="H346" t="s">
        <v>177</v>
      </c>
      <c r="I346" t="s">
        <v>42</v>
      </c>
      <c r="J346" t="s">
        <v>346</v>
      </c>
      <c r="K346" t="s">
        <v>270</v>
      </c>
      <c r="L346" t="s">
        <v>180</v>
      </c>
      <c r="M346" s="3">
        <f t="shared" si="5"/>
        <v>4</v>
      </c>
    </row>
    <row r="347" spans="1:13" x14ac:dyDescent="0.35">
      <c r="A347" t="s">
        <v>1204</v>
      </c>
      <c r="B347" t="s">
        <v>174</v>
      </c>
      <c r="C347" t="s">
        <v>1205</v>
      </c>
      <c r="D347" t="s">
        <v>190</v>
      </c>
      <c r="E347" t="s">
        <v>42</v>
      </c>
      <c r="F347" t="s">
        <v>50</v>
      </c>
      <c r="G347">
        <v>8</v>
      </c>
      <c r="H347" t="s">
        <v>195</v>
      </c>
      <c r="J347" t="s">
        <v>1206</v>
      </c>
      <c r="K347" t="s">
        <v>257</v>
      </c>
      <c r="L347" t="s">
        <v>180</v>
      </c>
      <c r="M347" s="3" t="str">
        <f t="shared" si="5"/>
        <v/>
      </c>
    </row>
    <row r="348" spans="1:13" x14ac:dyDescent="0.35">
      <c r="A348" t="s">
        <v>1207</v>
      </c>
      <c r="B348" t="s">
        <v>174</v>
      </c>
      <c r="C348" t="s">
        <v>1208</v>
      </c>
      <c r="D348" t="s">
        <v>190</v>
      </c>
      <c r="E348" t="s">
        <v>23</v>
      </c>
      <c r="F348" t="s">
        <v>48</v>
      </c>
      <c r="G348">
        <v>25</v>
      </c>
      <c r="H348" t="s">
        <v>177</v>
      </c>
      <c r="I348" t="s">
        <v>48</v>
      </c>
      <c r="J348" t="s">
        <v>1209</v>
      </c>
      <c r="K348" t="s">
        <v>192</v>
      </c>
      <c r="L348" t="s">
        <v>180</v>
      </c>
      <c r="M348" s="3">
        <f t="shared" si="5"/>
        <v>25</v>
      </c>
    </row>
    <row r="349" spans="1:13" x14ac:dyDescent="0.35">
      <c r="A349" t="s">
        <v>1207</v>
      </c>
      <c r="B349" t="s">
        <v>174</v>
      </c>
      <c r="C349" t="s">
        <v>1208</v>
      </c>
      <c r="D349" t="s">
        <v>190</v>
      </c>
      <c r="E349" t="s">
        <v>23</v>
      </c>
      <c r="F349" t="s">
        <v>55</v>
      </c>
      <c r="G349">
        <v>33</v>
      </c>
      <c r="H349" t="s">
        <v>177</v>
      </c>
      <c r="I349" t="s">
        <v>56</v>
      </c>
      <c r="J349" t="s">
        <v>1209</v>
      </c>
      <c r="K349" t="s">
        <v>192</v>
      </c>
      <c r="L349" t="s">
        <v>180</v>
      </c>
      <c r="M349" s="3">
        <f t="shared" si="5"/>
        <v>33</v>
      </c>
    </row>
    <row r="350" spans="1:13" x14ac:dyDescent="0.35">
      <c r="A350" t="s">
        <v>1210</v>
      </c>
      <c r="B350" t="s">
        <v>174</v>
      </c>
      <c r="C350" t="s">
        <v>1211</v>
      </c>
      <c r="D350" t="s">
        <v>190</v>
      </c>
      <c r="E350" t="s">
        <v>48</v>
      </c>
      <c r="F350" t="s">
        <v>54</v>
      </c>
      <c r="G350">
        <v>5</v>
      </c>
      <c r="H350" t="s">
        <v>177</v>
      </c>
      <c r="I350" t="s">
        <v>54</v>
      </c>
      <c r="J350" t="s">
        <v>1212</v>
      </c>
      <c r="K350" t="s">
        <v>257</v>
      </c>
      <c r="L350" t="s">
        <v>180</v>
      </c>
      <c r="M350" s="3">
        <f t="shared" si="5"/>
        <v>6</v>
      </c>
    </row>
    <row r="351" spans="1:13" x14ac:dyDescent="0.35">
      <c r="A351" t="s">
        <v>1213</v>
      </c>
      <c r="B351" t="s">
        <v>174</v>
      </c>
      <c r="C351" t="s">
        <v>1214</v>
      </c>
      <c r="D351" t="s">
        <v>236</v>
      </c>
      <c r="E351" t="s">
        <v>50</v>
      </c>
      <c r="F351" t="s">
        <v>54</v>
      </c>
      <c r="G351">
        <v>3</v>
      </c>
      <c r="H351" t="s">
        <v>177</v>
      </c>
      <c r="I351" t="s">
        <v>54</v>
      </c>
      <c r="J351" t="s">
        <v>1215</v>
      </c>
      <c r="K351" t="s">
        <v>257</v>
      </c>
      <c r="L351" t="s">
        <v>184</v>
      </c>
      <c r="M351" s="3">
        <f t="shared" si="5"/>
        <v>4</v>
      </c>
    </row>
    <row r="352" spans="1:13" x14ac:dyDescent="0.35">
      <c r="A352" t="s">
        <v>1216</v>
      </c>
      <c r="B352" t="s">
        <v>174</v>
      </c>
      <c r="C352" t="s">
        <v>1217</v>
      </c>
      <c r="D352" t="s">
        <v>225</v>
      </c>
      <c r="E352" t="s">
        <v>25</v>
      </c>
      <c r="F352" t="s">
        <v>51</v>
      </c>
      <c r="G352">
        <v>26</v>
      </c>
      <c r="H352" t="s">
        <v>177</v>
      </c>
      <c r="I352" t="s">
        <v>52</v>
      </c>
      <c r="J352" t="s">
        <v>1218</v>
      </c>
      <c r="K352" t="s">
        <v>183</v>
      </c>
      <c r="L352" t="s">
        <v>180</v>
      </c>
      <c r="M352" s="3">
        <f t="shared" si="5"/>
        <v>27</v>
      </c>
    </row>
    <row r="353" spans="1:13" x14ac:dyDescent="0.35">
      <c r="A353" t="s">
        <v>1219</v>
      </c>
      <c r="B353" t="s">
        <v>174</v>
      </c>
      <c r="C353" t="s">
        <v>1220</v>
      </c>
      <c r="D353" t="s">
        <v>176</v>
      </c>
      <c r="E353" t="s">
        <v>35</v>
      </c>
      <c r="F353" t="s">
        <v>45</v>
      </c>
      <c r="G353">
        <v>10</v>
      </c>
      <c r="H353" t="s">
        <v>177</v>
      </c>
      <c r="I353" t="s">
        <v>45</v>
      </c>
      <c r="J353" t="s">
        <v>1221</v>
      </c>
      <c r="K353" t="s">
        <v>183</v>
      </c>
      <c r="L353" t="s">
        <v>180</v>
      </c>
      <c r="M353" s="3">
        <f t="shared" si="5"/>
        <v>10</v>
      </c>
    </row>
    <row r="354" spans="1:13" x14ac:dyDescent="0.35">
      <c r="A354" t="s">
        <v>1222</v>
      </c>
      <c r="B354" t="s">
        <v>174</v>
      </c>
      <c r="C354" t="s">
        <v>1223</v>
      </c>
      <c r="D354" t="s">
        <v>176</v>
      </c>
      <c r="E354" t="s">
        <v>46</v>
      </c>
      <c r="F354" t="s">
        <v>49</v>
      </c>
      <c r="G354">
        <v>2</v>
      </c>
      <c r="H354" t="s">
        <v>195</v>
      </c>
      <c r="J354" t="s">
        <v>1102</v>
      </c>
      <c r="K354" t="s">
        <v>183</v>
      </c>
      <c r="L354" t="s">
        <v>180</v>
      </c>
      <c r="M354" s="3" t="str">
        <f t="shared" si="5"/>
        <v/>
      </c>
    </row>
    <row r="355" spans="1:13" x14ac:dyDescent="0.35">
      <c r="A355" t="s">
        <v>1224</v>
      </c>
      <c r="B355" t="s">
        <v>174</v>
      </c>
      <c r="C355" t="s">
        <v>1225</v>
      </c>
      <c r="D355" t="s">
        <v>176</v>
      </c>
      <c r="E355" t="s">
        <v>33</v>
      </c>
      <c r="F355" t="s">
        <v>55</v>
      </c>
      <c r="G355">
        <v>22</v>
      </c>
      <c r="H355" t="s">
        <v>195</v>
      </c>
      <c r="J355" t="s">
        <v>1226</v>
      </c>
      <c r="K355" t="s">
        <v>183</v>
      </c>
      <c r="L355" t="s">
        <v>180</v>
      </c>
      <c r="M355" s="3" t="str">
        <f t="shared" si="5"/>
        <v/>
      </c>
    </row>
    <row r="356" spans="1:13" x14ac:dyDescent="0.35">
      <c r="A356" t="s">
        <v>1227</v>
      </c>
      <c r="B356" t="s">
        <v>174</v>
      </c>
      <c r="C356" t="s">
        <v>1228</v>
      </c>
      <c r="D356" t="s">
        <v>236</v>
      </c>
      <c r="E356" t="s">
        <v>44</v>
      </c>
      <c r="F356" t="s">
        <v>53</v>
      </c>
      <c r="G356">
        <v>9</v>
      </c>
      <c r="H356" t="s">
        <v>177</v>
      </c>
      <c r="I356" t="s">
        <v>54</v>
      </c>
      <c r="J356" t="s">
        <v>1229</v>
      </c>
      <c r="K356" t="s">
        <v>183</v>
      </c>
      <c r="L356" t="s">
        <v>184</v>
      </c>
      <c r="M356" s="3">
        <f t="shared" si="5"/>
        <v>10</v>
      </c>
    </row>
    <row r="357" spans="1:13" x14ac:dyDescent="0.35">
      <c r="A357" t="s">
        <v>1230</v>
      </c>
      <c r="B357" t="s">
        <v>174</v>
      </c>
      <c r="C357" t="s">
        <v>1231</v>
      </c>
      <c r="D357" t="s">
        <v>190</v>
      </c>
      <c r="E357" t="s">
        <v>53</v>
      </c>
      <c r="F357" t="s">
        <v>56</v>
      </c>
      <c r="G357">
        <v>3</v>
      </c>
      <c r="H357" t="s">
        <v>195</v>
      </c>
      <c r="J357" t="s">
        <v>1232</v>
      </c>
      <c r="K357" t="s">
        <v>197</v>
      </c>
      <c r="L357" t="s">
        <v>184</v>
      </c>
      <c r="M357" s="3" t="str">
        <f t="shared" si="5"/>
        <v/>
      </c>
    </row>
    <row r="358" spans="1:13" x14ac:dyDescent="0.35">
      <c r="A358" t="s">
        <v>1233</v>
      </c>
      <c r="B358" t="s">
        <v>174</v>
      </c>
      <c r="C358" t="s">
        <v>1234</v>
      </c>
      <c r="D358" t="s">
        <v>190</v>
      </c>
      <c r="E358" t="s">
        <v>47</v>
      </c>
      <c r="F358" t="s">
        <v>51</v>
      </c>
      <c r="G358">
        <v>4</v>
      </c>
      <c r="H358" t="s">
        <v>252</v>
      </c>
      <c r="J358" t="s">
        <v>535</v>
      </c>
      <c r="K358" t="s">
        <v>197</v>
      </c>
      <c r="L358" t="s">
        <v>184</v>
      </c>
      <c r="M358" s="3" t="str">
        <f t="shared" si="5"/>
        <v/>
      </c>
    </row>
    <row r="359" spans="1:13" x14ac:dyDescent="0.35">
      <c r="A359" t="s">
        <v>1233</v>
      </c>
      <c r="B359" t="s">
        <v>174</v>
      </c>
      <c r="C359" t="s">
        <v>1234</v>
      </c>
      <c r="D359" t="s">
        <v>190</v>
      </c>
      <c r="E359" t="s">
        <v>47</v>
      </c>
      <c r="F359" t="s">
        <v>53</v>
      </c>
      <c r="G359">
        <v>5</v>
      </c>
      <c r="H359" t="s">
        <v>252</v>
      </c>
      <c r="J359" t="s">
        <v>535</v>
      </c>
      <c r="K359" t="s">
        <v>197</v>
      </c>
      <c r="L359" t="s">
        <v>184</v>
      </c>
      <c r="M359" s="3" t="str">
        <f t="shared" si="5"/>
        <v/>
      </c>
    </row>
    <row r="360" spans="1:13" x14ac:dyDescent="0.35">
      <c r="A360" t="s">
        <v>1235</v>
      </c>
      <c r="B360" t="s">
        <v>174</v>
      </c>
      <c r="C360" t="s">
        <v>1236</v>
      </c>
      <c r="D360" t="s">
        <v>176</v>
      </c>
      <c r="E360" t="s">
        <v>47</v>
      </c>
      <c r="F360" t="s">
        <v>55</v>
      </c>
      <c r="G360">
        <v>8</v>
      </c>
      <c r="H360" t="s">
        <v>195</v>
      </c>
      <c r="J360" t="s">
        <v>1237</v>
      </c>
      <c r="K360" t="s">
        <v>183</v>
      </c>
      <c r="L360" t="s">
        <v>180</v>
      </c>
      <c r="M360" s="3" t="str">
        <f t="shared" si="5"/>
        <v/>
      </c>
    </row>
    <row r="361" spans="1:13" x14ac:dyDescent="0.35">
      <c r="A361" t="s">
        <v>1238</v>
      </c>
      <c r="B361" t="s">
        <v>174</v>
      </c>
      <c r="C361" t="s">
        <v>1239</v>
      </c>
      <c r="D361" t="s">
        <v>225</v>
      </c>
      <c r="E361" t="s">
        <v>49</v>
      </c>
      <c r="F361" t="s">
        <v>55</v>
      </c>
      <c r="G361">
        <v>6</v>
      </c>
      <c r="H361" t="s">
        <v>195</v>
      </c>
      <c r="J361" t="s">
        <v>1240</v>
      </c>
      <c r="K361" t="s">
        <v>183</v>
      </c>
      <c r="L361" t="s">
        <v>180</v>
      </c>
      <c r="M361" s="3" t="str">
        <f t="shared" si="5"/>
        <v/>
      </c>
    </row>
    <row r="362" spans="1:13" x14ac:dyDescent="0.35">
      <c r="A362" t="s">
        <v>1241</v>
      </c>
      <c r="B362" t="s">
        <v>174</v>
      </c>
      <c r="C362" t="s">
        <v>1242</v>
      </c>
      <c r="D362" t="s">
        <v>190</v>
      </c>
      <c r="E362" t="s">
        <v>41</v>
      </c>
      <c r="F362" t="s">
        <v>47</v>
      </c>
      <c r="G362">
        <v>6</v>
      </c>
      <c r="H362" t="s">
        <v>252</v>
      </c>
      <c r="J362" t="s">
        <v>1243</v>
      </c>
      <c r="K362" t="s">
        <v>197</v>
      </c>
      <c r="L362" t="s">
        <v>180</v>
      </c>
      <c r="M362" s="3" t="str">
        <f t="shared" si="5"/>
        <v/>
      </c>
    </row>
    <row r="363" spans="1:13" x14ac:dyDescent="0.35">
      <c r="A363" t="s">
        <v>1241</v>
      </c>
      <c r="B363" t="s">
        <v>174</v>
      </c>
      <c r="C363" t="s">
        <v>1242</v>
      </c>
      <c r="D363" t="s">
        <v>190</v>
      </c>
      <c r="E363" t="s">
        <v>41</v>
      </c>
      <c r="F363" t="s">
        <v>55</v>
      </c>
      <c r="G363">
        <v>14</v>
      </c>
      <c r="H363" t="s">
        <v>177</v>
      </c>
      <c r="I363" t="s">
        <v>55</v>
      </c>
      <c r="J363" t="s">
        <v>1243</v>
      </c>
      <c r="K363" t="s">
        <v>197</v>
      </c>
      <c r="L363" t="s">
        <v>180</v>
      </c>
      <c r="M363" s="3">
        <f t="shared" si="5"/>
        <v>14</v>
      </c>
    </row>
    <row r="364" spans="1:13" x14ac:dyDescent="0.35">
      <c r="A364" t="s">
        <v>1244</v>
      </c>
      <c r="B364" t="s">
        <v>174</v>
      </c>
      <c r="C364" t="s">
        <v>1245</v>
      </c>
      <c r="D364" t="s">
        <v>190</v>
      </c>
      <c r="E364" t="s">
        <v>36</v>
      </c>
      <c r="F364" t="s">
        <v>44</v>
      </c>
      <c r="G364">
        <v>8</v>
      </c>
      <c r="H364" t="s">
        <v>177</v>
      </c>
      <c r="I364" t="s">
        <v>45</v>
      </c>
      <c r="J364" t="s">
        <v>1246</v>
      </c>
      <c r="K364" t="s">
        <v>257</v>
      </c>
      <c r="L364" t="s">
        <v>184</v>
      </c>
      <c r="M364" s="3">
        <f t="shared" si="5"/>
        <v>9</v>
      </c>
    </row>
    <row r="365" spans="1:13" x14ac:dyDescent="0.35">
      <c r="A365" t="s">
        <v>1247</v>
      </c>
      <c r="B365" t="s">
        <v>174</v>
      </c>
      <c r="C365" t="s">
        <v>1248</v>
      </c>
      <c r="D365" t="s">
        <v>190</v>
      </c>
      <c r="E365" t="s">
        <v>27</v>
      </c>
      <c r="F365" t="s">
        <v>48</v>
      </c>
      <c r="G365">
        <v>21</v>
      </c>
      <c r="H365" t="s">
        <v>195</v>
      </c>
      <c r="J365" t="s">
        <v>1249</v>
      </c>
      <c r="K365" t="s">
        <v>183</v>
      </c>
      <c r="L365" t="s">
        <v>180</v>
      </c>
      <c r="M365" s="3" t="str">
        <f t="shared" si="5"/>
        <v/>
      </c>
    </row>
    <row r="366" spans="1:13" x14ac:dyDescent="0.35">
      <c r="A366" t="s">
        <v>1250</v>
      </c>
      <c r="B366" t="s">
        <v>174</v>
      </c>
      <c r="C366" t="s">
        <v>1251</v>
      </c>
      <c r="D366" t="s">
        <v>190</v>
      </c>
      <c r="E366" t="s">
        <v>48</v>
      </c>
      <c r="F366" t="s">
        <v>55</v>
      </c>
      <c r="G366">
        <v>7</v>
      </c>
      <c r="H366" t="s">
        <v>177</v>
      </c>
      <c r="I366" t="s">
        <v>56</v>
      </c>
      <c r="J366" t="s">
        <v>1252</v>
      </c>
      <c r="K366" t="s">
        <v>197</v>
      </c>
      <c r="L366" t="s">
        <v>184</v>
      </c>
      <c r="M366" s="3">
        <f t="shared" si="5"/>
        <v>8</v>
      </c>
    </row>
    <row r="367" spans="1:13" x14ac:dyDescent="0.35">
      <c r="A367" t="s">
        <v>1253</v>
      </c>
      <c r="B367" t="s">
        <v>174</v>
      </c>
      <c r="C367" t="s">
        <v>1254</v>
      </c>
      <c r="D367" t="s">
        <v>236</v>
      </c>
      <c r="E367" t="s">
        <v>52</v>
      </c>
      <c r="F367" t="s">
        <v>56</v>
      </c>
      <c r="G367">
        <v>4</v>
      </c>
      <c r="H367" t="s">
        <v>195</v>
      </c>
      <c r="J367" t="s">
        <v>1255</v>
      </c>
      <c r="K367" t="s">
        <v>183</v>
      </c>
      <c r="L367" t="s">
        <v>180</v>
      </c>
      <c r="M367" s="3" t="str">
        <f t="shared" si="5"/>
        <v/>
      </c>
    </row>
    <row r="368" spans="1:13" x14ac:dyDescent="0.35">
      <c r="A368" t="s">
        <v>1256</v>
      </c>
      <c r="B368" t="s">
        <v>174</v>
      </c>
      <c r="C368" t="s">
        <v>1257</v>
      </c>
      <c r="D368" t="s">
        <v>176</v>
      </c>
      <c r="E368" t="s">
        <v>51</v>
      </c>
      <c r="F368" t="s">
        <v>55</v>
      </c>
      <c r="G368">
        <v>4</v>
      </c>
      <c r="H368" t="s">
        <v>177</v>
      </c>
      <c r="I368" t="s">
        <v>55</v>
      </c>
      <c r="J368" t="s">
        <v>1258</v>
      </c>
      <c r="K368" t="s">
        <v>183</v>
      </c>
      <c r="L368" t="s">
        <v>180</v>
      </c>
      <c r="M368" s="3">
        <f t="shared" si="5"/>
        <v>4</v>
      </c>
    </row>
    <row r="369" spans="1:13" x14ac:dyDescent="0.35">
      <c r="A369" t="s">
        <v>1259</v>
      </c>
      <c r="B369" t="s">
        <v>174</v>
      </c>
      <c r="C369" t="s">
        <v>1260</v>
      </c>
      <c r="D369" t="s">
        <v>190</v>
      </c>
      <c r="E369" t="s">
        <v>39</v>
      </c>
      <c r="F369" t="s">
        <v>42</v>
      </c>
      <c r="G369">
        <v>4</v>
      </c>
      <c r="H369" t="s">
        <v>177</v>
      </c>
      <c r="I369" t="s">
        <v>43</v>
      </c>
      <c r="J369" t="s">
        <v>1261</v>
      </c>
      <c r="K369" t="s">
        <v>270</v>
      </c>
      <c r="L369" t="s">
        <v>180</v>
      </c>
      <c r="M369" s="3">
        <f t="shared" si="5"/>
        <v>4</v>
      </c>
    </row>
    <row r="370" spans="1:13" x14ac:dyDescent="0.35">
      <c r="A370" t="s">
        <v>1262</v>
      </c>
      <c r="B370" t="s">
        <v>174</v>
      </c>
      <c r="C370" t="s">
        <v>1263</v>
      </c>
      <c r="D370" t="s">
        <v>236</v>
      </c>
      <c r="E370" t="s">
        <v>50</v>
      </c>
      <c r="F370" t="s">
        <v>55</v>
      </c>
      <c r="G370">
        <v>4</v>
      </c>
      <c r="H370" t="s">
        <v>177</v>
      </c>
      <c r="I370" t="s">
        <v>55</v>
      </c>
      <c r="J370" t="s">
        <v>1264</v>
      </c>
      <c r="K370" t="s">
        <v>257</v>
      </c>
      <c r="L370" t="s">
        <v>184</v>
      </c>
      <c r="M370" s="3">
        <f t="shared" si="5"/>
        <v>5</v>
      </c>
    </row>
    <row r="371" spans="1:13" x14ac:dyDescent="0.35">
      <c r="A371" t="s">
        <v>1265</v>
      </c>
      <c r="B371" t="s">
        <v>174</v>
      </c>
      <c r="C371" t="s">
        <v>1266</v>
      </c>
      <c r="D371" t="s">
        <v>190</v>
      </c>
      <c r="E371" t="s">
        <v>48</v>
      </c>
      <c r="F371" t="s">
        <v>50</v>
      </c>
      <c r="G371">
        <v>3</v>
      </c>
      <c r="H371" t="s">
        <v>177</v>
      </c>
      <c r="I371" t="s">
        <v>51</v>
      </c>
      <c r="J371" t="s">
        <v>1267</v>
      </c>
      <c r="K371" t="s">
        <v>270</v>
      </c>
      <c r="L371" t="s">
        <v>184</v>
      </c>
      <c r="M371" s="3">
        <f t="shared" si="5"/>
        <v>3</v>
      </c>
    </row>
    <row r="372" spans="1:13" x14ac:dyDescent="0.35">
      <c r="A372" t="s">
        <v>1268</v>
      </c>
      <c r="B372" t="s">
        <v>174</v>
      </c>
      <c r="C372" t="s">
        <v>1269</v>
      </c>
      <c r="D372" t="s">
        <v>190</v>
      </c>
      <c r="E372" t="s">
        <v>47</v>
      </c>
      <c r="F372" t="s">
        <v>53</v>
      </c>
      <c r="G372">
        <v>6</v>
      </c>
      <c r="H372" t="s">
        <v>177</v>
      </c>
      <c r="I372" t="s">
        <v>54</v>
      </c>
      <c r="J372" t="s">
        <v>1270</v>
      </c>
      <c r="K372" t="s">
        <v>270</v>
      </c>
      <c r="L372" t="s">
        <v>180</v>
      </c>
      <c r="M372" s="3">
        <f t="shared" si="5"/>
        <v>7</v>
      </c>
    </row>
    <row r="373" spans="1:13" x14ac:dyDescent="0.35">
      <c r="A373" t="s">
        <v>1271</v>
      </c>
      <c r="B373" t="s">
        <v>174</v>
      </c>
      <c r="C373" t="s">
        <v>1272</v>
      </c>
      <c r="D373" t="s">
        <v>190</v>
      </c>
      <c r="E373" t="s">
        <v>44</v>
      </c>
      <c r="F373" t="s">
        <v>47</v>
      </c>
      <c r="G373">
        <v>3</v>
      </c>
      <c r="H373" t="s">
        <v>177</v>
      </c>
      <c r="I373" t="s">
        <v>47</v>
      </c>
      <c r="J373" t="s">
        <v>1273</v>
      </c>
      <c r="K373" t="s">
        <v>197</v>
      </c>
      <c r="L373" t="s">
        <v>180</v>
      </c>
      <c r="M373" s="3">
        <f t="shared" si="5"/>
        <v>3</v>
      </c>
    </row>
    <row r="374" spans="1:13" x14ac:dyDescent="0.35">
      <c r="A374" t="s">
        <v>1274</v>
      </c>
      <c r="B374" t="s">
        <v>174</v>
      </c>
      <c r="C374" t="s">
        <v>1275</v>
      </c>
      <c r="D374" t="s">
        <v>176</v>
      </c>
      <c r="E374" t="s">
        <v>48</v>
      </c>
      <c r="F374" t="s">
        <v>54</v>
      </c>
      <c r="G374">
        <v>6</v>
      </c>
      <c r="H374" t="s">
        <v>177</v>
      </c>
      <c r="I374" t="s">
        <v>54</v>
      </c>
      <c r="J374" t="s">
        <v>1276</v>
      </c>
      <c r="K374" t="s">
        <v>183</v>
      </c>
      <c r="L374" t="s">
        <v>180</v>
      </c>
      <c r="M374" s="3">
        <f t="shared" si="5"/>
        <v>6</v>
      </c>
    </row>
    <row r="375" spans="1:13" x14ac:dyDescent="0.35">
      <c r="A375" t="s">
        <v>1277</v>
      </c>
      <c r="B375" t="s">
        <v>174</v>
      </c>
      <c r="C375" t="s">
        <v>1278</v>
      </c>
      <c r="D375" t="s">
        <v>190</v>
      </c>
      <c r="E375" t="s">
        <v>41</v>
      </c>
      <c r="F375" t="s">
        <v>43</v>
      </c>
      <c r="G375">
        <v>2</v>
      </c>
      <c r="H375" t="s">
        <v>195</v>
      </c>
      <c r="J375" t="s">
        <v>1279</v>
      </c>
      <c r="K375" t="s">
        <v>197</v>
      </c>
      <c r="L375" t="s">
        <v>184</v>
      </c>
      <c r="M375" s="3" t="str">
        <f t="shared" si="5"/>
        <v/>
      </c>
    </row>
    <row r="376" spans="1:13" x14ac:dyDescent="0.35">
      <c r="A376" t="s">
        <v>1280</v>
      </c>
      <c r="B376" t="s">
        <v>174</v>
      </c>
      <c r="C376" t="s">
        <v>1281</v>
      </c>
      <c r="D376" t="s">
        <v>190</v>
      </c>
      <c r="E376" t="s">
        <v>51</v>
      </c>
      <c r="F376" t="s">
        <v>55</v>
      </c>
      <c r="G376">
        <v>4</v>
      </c>
      <c r="H376" t="s">
        <v>177</v>
      </c>
      <c r="I376" t="s">
        <v>55</v>
      </c>
      <c r="J376" t="s">
        <v>1282</v>
      </c>
      <c r="K376" t="s">
        <v>257</v>
      </c>
      <c r="L376" t="s">
        <v>184</v>
      </c>
      <c r="M376" s="3">
        <f t="shared" si="5"/>
        <v>4</v>
      </c>
    </row>
    <row r="377" spans="1:13" x14ac:dyDescent="0.35">
      <c r="A377" t="s">
        <v>1283</v>
      </c>
      <c r="B377" t="s">
        <v>174</v>
      </c>
      <c r="C377" t="s">
        <v>1284</v>
      </c>
      <c r="D377" t="s">
        <v>190</v>
      </c>
      <c r="E377" t="s">
        <v>43</v>
      </c>
      <c r="F377" t="s">
        <v>52</v>
      </c>
      <c r="G377">
        <v>8</v>
      </c>
      <c r="H377" t="s">
        <v>177</v>
      </c>
      <c r="I377" t="s">
        <v>52</v>
      </c>
      <c r="J377" t="s">
        <v>1285</v>
      </c>
      <c r="K377" t="s">
        <v>197</v>
      </c>
      <c r="L377" t="s">
        <v>180</v>
      </c>
      <c r="M377" s="3">
        <f t="shared" si="5"/>
        <v>9</v>
      </c>
    </row>
    <row r="378" spans="1:13" x14ac:dyDescent="0.35">
      <c r="A378" t="s">
        <v>1286</v>
      </c>
      <c r="B378" t="s">
        <v>174</v>
      </c>
      <c r="C378" t="s">
        <v>1287</v>
      </c>
      <c r="D378" t="s">
        <v>190</v>
      </c>
      <c r="E378" t="s">
        <v>48</v>
      </c>
      <c r="F378" t="s">
        <v>53</v>
      </c>
      <c r="G378">
        <v>4</v>
      </c>
      <c r="H378" t="s">
        <v>195</v>
      </c>
      <c r="J378" t="s">
        <v>1288</v>
      </c>
      <c r="K378" t="s">
        <v>257</v>
      </c>
      <c r="L378" t="s">
        <v>184</v>
      </c>
      <c r="M378" s="3" t="str">
        <f t="shared" si="5"/>
        <v/>
      </c>
    </row>
    <row r="379" spans="1:13" x14ac:dyDescent="0.35">
      <c r="A379" t="s">
        <v>1289</v>
      </c>
      <c r="B379" t="s">
        <v>174</v>
      </c>
      <c r="C379" t="s">
        <v>1290</v>
      </c>
      <c r="D379" t="s">
        <v>190</v>
      </c>
      <c r="E379" t="s">
        <v>47</v>
      </c>
      <c r="F379" t="s">
        <v>54</v>
      </c>
      <c r="G379">
        <v>7</v>
      </c>
      <c r="H379" t="s">
        <v>177</v>
      </c>
      <c r="I379" t="s">
        <v>55</v>
      </c>
      <c r="J379" t="s">
        <v>1291</v>
      </c>
      <c r="K379" t="s">
        <v>197</v>
      </c>
      <c r="L379" t="s">
        <v>180</v>
      </c>
      <c r="M379" s="3">
        <f t="shared" si="5"/>
        <v>8</v>
      </c>
    </row>
    <row r="380" spans="1:13" x14ac:dyDescent="0.35">
      <c r="A380" t="s">
        <v>1292</v>
      </c>
      <c r="B380" t="s">
        <v>174</v>
      </c>
      <c r="C380" t="s">
        <v>1293</v>
      </c>
      <c r="D380" t="s">
        <v>190</v>
      </c>
      <c r="E380" t="s">
        <v>41</v>
      </c>
      <c r="F380" t="s">
        <v>55</v>
      </c>
      <c r="G380">
        <v>14</v>
      </c>
      <c r="H380" t="s">
        <v>177</v>
      </c>
      <c r="I380" t="s">
        <v>55</v>
      </c>
      <c r="J380" t="s">
        <v>1294</v>
      </c>
      <c r="K380" t="s">
        <v>183</v>
      </c>
      <c r="L380" t="s">
        <v>180</v>
      </c>
      <c r="M380" s="3">
        <f t="shared" si="5"/>
        <v>14</v>
      </c>
    </row>
    <row r="381" spans="1:13" x14ac:dyDescent="0.35">
      <c r="A381" t="s">
        <v>1295</v>
      </c>
      <c r="B381" t="s">
        <v>174</v>
      </c>
      <c r="C381" t="s">
        <v>1296</v>
      </c>
      <c r="D381" t="s">
        <v>176</v>
      </c>
      <c r="E381" t="s">
        <v>36</v>
      </c>
      <c r="F381" t="s">
        <v>49</v>
      </c>
      <c r="G381">
        <v>13</v>
      </c>
      <c r="H381" t="s">
        <v>177</v>
      </c>
      <c r="I381" t="s">
        <v>49</v>
      </c>
      <c r="J381" t="s">
        <v>1297</v>
      </c>
      <c r="K381" t="s">
        <v>183</v>
      </c>
      <c r="L381" t="s">
        <v>180</v>
      </c>
      <c r="M381" s="3">
        <f t="shared" si="5"/>
        <v>13</v>
      </c>
    </row>
    <row r="382" spans="1:13" x14ac:dyDescent="0.35">
      <c r="A382" t="s">
        <v>1298</v>
      </c>
      <c r="B382" t="s">
        <v>174</v>
      </c>
      <c r="C382" t="s">
        <v>1299</v>
      </c>
      <c r="D382" t="s">
        <v>176</v>
      </c>
      <c r="E382" t="s">
        <v>47</v>
      </c>
      <c r="F382" t="s">
        <v>54</v>
      </c>
      <c r="G382">
        <v>7</v>
      </c>
      <c r="H382" t="s">
        <v>177</v>
      </c>
      <c r="I382" t="s">
        <v>54</v>
      </c>
      <c r="J382" t="s">
        <v>1300</v>
      </c>
      <c r="K382" t="s">
        <v>183</v>
      </c>
      <c r="L382" t="s">
        <v>180</v>
      </c>
      <c r="M382" s="3">
        <f t="shared" si="5"/>
        <v>7</v>
      </c>
    </row>
    <row r="383" spans="1:13" x14ac:dyDescent="0.35">
      <c r="A383" t="s">
        <v>1301</v>
      </c>
      <c r="B383" t="s">
        <v>174</v>
      </c>
      <c r="C383" t="s">
        <v>1302</v>
      </c>
      <c r="D383" t="s">
        <v>190</v>
      </c>
      <c r="E383" t="s">
        <v>48</v>
      </c>
      <c r="F383" t="s">
        <v>50</v>
      </c>
      <c r="G383">
        <v>2</v>
      </c>
      <c r="H383" t="s">
        <v>177</v>
      </c>
      <c r="I383" t="s">
        <v>52</v>
      </c>
      <c r="J383" t="s">
        <v>1303</v>
      </c>
      <c r="K383" t="s">
        <v>197</v>
      </c>
      <c r="L383" t="s">
        <v>180</v>
      </c>
      <c r="M383" s="3">
        <f t="shared" si="5"/>
        <v>4</v>
      </c>
    </row>
    <row r="384" spans="1:13" x14ac:dyDescent="0.35">
      <c r="A384" t="s">
        <v>1304</v>
      </c>
      <c r="B384" t="s">
        <v>174</v>
      </c>
      <c r="C384" t="s">
        <v>1305</v>
      </c>
      <c r="D384" t="s">
        <v>190</v>
      </c>
      <c r="E384" t="s">
        <v>48</v>
      </c>
      <c r="F384" t="s">
        <v>51</v>
      </c>
      <c r="G384">
        <v>3</v>
      </c>
      <c r="H384" t="s">
        <v>177</v>
      </c>
      <c r="I384" t="s">
        <v>53</v>
      </c>
      <c r="J384" t="s">
        <v>1306</v>
      </c>
      <c r="K384" t="s">
        <v>197</v>
      </c>
      <c r="L384" t="s">
        <v>180</v>
      </c>
      <c r="M384" s="3">
        <f t="shared" si="5"/>
        <v>5</v>
      </c>
    </row>
    <row r="385" spans="1:13" x14ac:dyDescent="0.35">
      <c r="A385" t="s">
        <v>1307</v>
      </c>
      <c r="B385" t="s">
        <v>174</v>
      </c>
      <c r="C385" t="s">
        <v>1308</v>
      </c>
      <c r="D385" t="s">
        <v>190</v>
      </c>
      <c r="E385" t="s">
        <v>45</v>
      </c>
      <c r="F385" t="s">
        <v>48</v>
      </c>
      <c r="G385">
        <v>2</v>
      </c>
      <c r="H385" t="s">
        <v>177</v>
      </c>
      <c r="I385" t="s">
        <v>48</v>
      </c>
      <c r="J385" t="s">
        <v>1309</v>
      </c>
      <c r="K385" t="s">
        <v>257</v>
      </c>
      <c r="L385" t="s">
        <v>180</v>
      </c>
      <c r="M385" s="3">
        <f t="shared" si="5"/>
        <v>3</v>
      </c>
    </row>
    <row r="386" spans="1:13" x14ac:dyDescent="0.35">
      <c r="A386" t="s">
        <v>1310</v>
      </c>
      <c r="B386" t="s">
        <v>174</v>
      </c>
      <c r="C386" t="s">
        <v>1311</v>
      </c>
      <c r="D386" t="s">
        <v>190</v>
      </c>
      <c r="E386" t="s">
        <v>24</v>
      </c>
      <c r="F386" t="s">
        <v>45</v>
      </c>
      <c r="G386">
        <v>21</v>
      </c>
      <c r="H386" t="s">
        <v>177</v>
      </c>
      <c r="I386" t="s">
        <v>46</v>
      </c>
      <c r="J386" t="s">
        <v>1312</v>
      </c>
      <c r="K386" t="s">
        <v>183</v>
      </c>
      <c r="L386" t="s">
        <v>180</v>
      </c>
      <c r="M386" s="3">
        <f t="shared" si="5"/>
        <v>22</v>
      </c>
    </row>
    <row r="387" spans="1:13" x14ac:dyDescent="0.35">
      <c r="A387" t="s">
        <v>1313</v>
      </c>
      <c r="B387" t="s">
        <v>174</v>
      </c>
      <c r="C387" t="s">
        <v>1314</v>
      </c>
      <c r="D387" t="s">
        <v>190</v>
      </c>
      <c r="E387" t="s">
        <v>43</v>
      </c>
      <c r="F387" t="s">
        <v>45</v>
      </c>
      <c r="G387">
        <v>2</v>
      </c>
      <c r="H387" t="s">
        <v>177</v>
      </c>
      <c r="I387" t="s">
        <v>45</v>
      </c>
      <c r="J387" t="s">
        <v>532</v>
      </c>
      <c r="K387" t="s">
        <v>257</v>
      </c>
      <c r="L387" t="s">
        <v>184</v>
      </c>
      <c r="M387" s="3">
        <f t="shared" ref="M387:M450" si="6">IF(H387="Efectivo",IFERROR((VALUE(RIGHT(I387,4))-VALUE(RIGHT(E387,4)))*12+(VALUE(LEFT(I387,2))-VALUE(LEFT(E387,2))),""),"")</f>
        <v>2</v>
      </c>
    </row>
    <row r="388" spans="1:13" x14ac:dyDescent="0.35">
      <c r="A388" t="s">
        <v>1315</v>
      </c>
      <c r="B388" t="s">
        <v>174</v>
      </c>
      <c r="C388" t="s">
        <v>1316</v>
      </c>
      <c r="D388" t="s">
        <v>190</v>
      </c>
      <c r="E388" t="s">
        <v>43</v>
      </c>
      <c r="F388" t="s">
        <v>47</v>
      </c>
      <c r="G388">
        <v>4</v>
      </c>
      <c r="H388" t="s">
        <v>177</v>
      </c>
      <c r="I388" t="s">
        <v>47</v>
      </c>
      <c r="J388" t="s">
        <v>1317</v>
      </c>
      <c r="K388" t="s">
        <v>197</v>
      </c>
      <c r="L388" t="s">
        <v>180</v>
      </c>
      <c r="M388" s="3">
        <f t="shared" si="6"/>
        <v>4</v>
      </c>
    </row>
    <row r="389" spans="1:13" x14ac:dyDescent="0.35">
      <c r="A389" t="s">
        <v>1318</v>
      </c>
      <c r="B389" t="s">
        <v>174</v>
      </c>
      <c r="C389" t="s">
        <v>1319</v>
      </c>
      <c r="D389" t="s">
        <v>190</v>
      </c>
      <c r="E389" t="s">
        <v>44</v>
      </c>
      <c r="F389" t="s">
        <v>55</v>
      </c>
      <c r="G389">
        <v>12</v>
      </c>
      <c r="H389" t="s">
        <v>177</v>
      </c>
      <c r="I389" t="s">
        <v>55</v>
      </c>
      <c r="J389" t="s">
        <v>1320</v>
      </c>
      <c r="K389" t="s">
        <v>183</v>
      </c>
      <c r="L389" t="s">
        <v>180</v>
      </c>
      <c r="M389" s="3">
        <f t="shared" si="6"/>
        <v>11</v>
      </c>
    </row>
    <row r="390" spans="1:13" x14ac:dyDescent="0.35">
      <c r="A390" t="s">
        <v>1321</v>
      </c>
      <c r="B390" t="s">
        <v>174</v>
      </c>
      <c r="C390" t="s">
        <v>1322</v>
      </c>
      <c r="D390" t="s">
        <v>190</v>
      </c>
      <c r="E390" t="s">
        <v>43</v>
      </c>
      <c r="F390" t="s">
        <v>56</v>
      </c>
      <c r="G390">
        <v>13</v>
      </c>
      <c r="H390" t="s">
        <v>195</v>
      </c>
      <c r="J390" t="s">
        <v>1323</v>
      </c>
      <c r="K390" t="s">
        <v>192</v>
      </c>
      <c r="L390" t="s">
        <v>180</v>
      </c>
      <c r="M390" s="3" t="str">
        <f t="shared" si="6"/>
        <v/>
      </c>
    </row>
    <row r="391" spans="1:13" x14ac:dyDescent="0.35">
      <c r="A391" t="s">
        <v>1324</v>
      </c>
      <c r="B391" t="s">
        <v>231</v>
      </c>
      <c r="C391" t="s">
        <v>1325</v>
      </c>
      <c r="D391" t="s">
        <v>236</v>
      </c>
      <c r="E391" t="s">
        <v>48</v>
      </c>
      <c r="F391" t="s">
        <v>53</v>
      </c>
      <c r="G391">
        <v>4</v>
      </c>
      <c r="H391" t="s">
        <v>177</v>
      </c>
      <c r="I391" t="s">
        <v>54</v>
      </c>
      <c r="J391" t="s">
        <v>1326</v>
      </c>
      <c r="K391" t="s">
        <v>183</v>
      </c>
      <c r="L391" t="s">
        <v>180</v>
      </c>
      <c r="M391" s="3">
        <f t="shared" si="6"/>
        <v>6</v>
      </c>
    </row>
    <row r="392" spans="1:13" x14ac:dyDescent="0.35">
      <c r="A392" t="s">
        <v>1327</v>
      </c>
      <c r="B392" t="s">
        <v>174</v>
      </c>
      <c r="C392" t="s">
        <v>1328</v>
      </c>
      <c r="D392" t="s">
        <v>236</v>
      </c>
      <c r="E392" t="s">
        <v>38</v>
      </c>
      <c r="F392" t="s">
        <v>44</v>
      </c>
      <c r="G392">
        <v>6</v>
      </c>
      <c r="H392" t="s">
        <v>177</v>
      </c>
      <c r="I392" t="s">
        <v>44</v>
      </c>
      <c r="J392" t="s">
        <v>1329</v>
      </c>
      <c r="K392" t="s">
        <v>183</v>
      </c>
      <c r="L392" t="s">
        <v>180</v>
      </c>
      <c r="M392" s="3">
        <f t="shared" si="6"/>
        <v>6</v>
      </c>
    </row>
    <row r="393" spans="1:13" x14ac:dyDescent="0.35">
      <c r="A393" t="s">
        <v>1330</v>
      </c>
      <c r="B393" t="s">
        <v>174</v>
      </c>
      <c r="C393" t="s">
        <v>1331</v>
      </c>
      <c r="D393" t="s">
        <v>176</v>
      </c>
      <c r="E393" t="s">
        <v>50</v>
      </c>
      <c r="F393" t="s">
        <v>54</v>
      </c>
      <c r="G393">
        <v>3</v>
      </c>
      <c r="H393" t="s">
        <v>177</v>
      </c>
      <c r="I393" t="s">
        <v>54</v>
      </c>
      <c r="J393" t="s">
        <v>1332</v>
      </c>
      <c r="K393" t="s">
        <v>183</v>
      </c>
      <c r="L393" t="s">
        <v>184</v>
      </c>
      <c r="M393" s="3">
        <f t="shared" si="6"/>
        <v>4</v>
      </c>
    </row>
    <row r="394" spans="1:13" x14ac:dyDescent="0.35">
      <c r="A394" t="s">
        <v>1333</v>
      </c>
      <c r="B394" t="s">
        <v>174</v>
      </c>
      <c r="C394" t="s">
        <v>1334</v>
      </c>
      <c r="D394" t="s">
        <v>190</v>
      </c>
      <c r="E394" t="s">
        <v>42</v>
      </c>
      <c r="F394" t="s">
        <v>54</v>
      </c>
      <c r="G394">
        <v>12</v>
      </c>
      <c r="H394" t="s">
        <v>252</v>
      </c>
      <c r="J394" t="s">
        <v>1335</v>
      </c>
      <c r="K394" t="s">
        <v>197</v>
      </c>
      <c r="L394" t="s">
        <v>180</v>
      </c>
      <c r="M394" s="3" t="str">
        <f t="shared" si="6"/>
        <v/>
      </c>
    </row>
    <row r="395" spans="1:13" x14ac:dyDescent="0.35">
      <c r="A395" t="s">
        <v>1333</v>
      </c>
      <c r="B395" t="s">
        <v>174</v>
      </c>
      <c r="C395" t="s">
        <v>1334</v>
      </c>
      <c r="D395" t="s">
        <v>190</v>
      </c>
      <c r="E395" t="s">
        <v>35</v>
      </c>
      <c r="F395" t="s">
        <v>56</v>
      </c>
      <c r="G395">
        <v>21</v>
      </c>
      <c r="H395" t="s">
        <v>252</v>
      </c>
      <c r="J395" t="s">
        <v>1335</v>
      </c>
      <c r="K395" t="s">
        <v>197</v>
      </c>
      <c r="L395" t="s">
        <v>180</v>
      </c>
      <c r="M395" s="3" t="str">
        <f t="shared" si="6"/>
        <v/>
      </c>
    </row>
    <row r="396" spans="1:13" x14ac:dyDescent="0.35">
      <c r="A396" t="s">
        <v>1336</v>
      </c>
      <c r="B396" t="s">
        <v>174</v>
      </c>
      <c r="C396" t="s">
        <v>1337</v>
      </c>
      <c r="D396" t="s">
        <v>225</v>
      </c>
      <c r="E396" t="s">
        <v>46</v>
      </c>
      <c r="F396" t="s">
        <v>50</v>
      </c>
      <c r="G396">
        <v>4</v>
      </c>
      <c r="H396" t="s">
        <v>252</v>
      </c>
      <c r="J396" t="s">
        <v>1338</v>
      </c>
      <c r="K396" t="s">
        <v>183</v>
      </c>
      <c r="L396" t="s">
        <v>184</v>
      </c>
      <c r="M396" s="3" t="str">
        <f t="shared" si="6"/>
        <v/>
      </c>
    </row>
    <row r="397" spans="1:13" x14ac:dyDescent="0.35">
      <c r="A397" t="s">
        <v>1339</v>
      </c>
      <c r="B397" t="s">
        <v>174</v>
      </c>
      <c r="C397" t="s">
        <v>1340</v>
      </c>
      <c r="D397" t="s">
        <v>190</v>
      </c>
      <c r="E397" t="s">
        <v>44</v>
      </c>
      <c r="F397" t="s">
        <v>54</v>
      </c>
      <c r="G397">
        <v>10</v>
      </c>
      <c r="H397" t="s">
        <v>177</v>
      </c>
      <c r="I397" t="s">
        <v>55</v>
      </c>
      <c r="J397" t="s">
        <v>1341</v>
      </c>
      <c r="K397" t="s">
        <v>257</v>
      </c>
      <c r="L397" t="s">
        <v>184</v>
      </c>
      <c r="M397" s="3">
        <f t="shared" si="6"/>
        <v>11</v>
      </c>
    </row>
    <row r="398" spans="1:13" x14ac:dyDescent="0.35">
      <c r="A398" t="s">
        <v>1342</v>
      </c>
      <c r="B398" t="s">
        <v>174</v>
      </c>
      <c r="C398" t="s">
        <v>1343</v>
      </c>
      <c r="D398" t="s">
        <v>190</v>
      </c>
      <c r="E398" t="s">
        <v>21</v>
      </c>
      <c r="F398" t="s">
        <v>48</v>
      </c>
      <c r="G398">
        <v>27</v>
      </c>
      <c r="H398" t="s">
        <v>252</v>
      </c>
      <c r="J398" t="s">
        <v>1344</v>
      </c>
      <c r="K398" t="s">
        <v>179</v>
      </c>
      <c r="L398" t="s">
        <v>180</v>
      </c>
      <c r="M398" s="3" t="str">
        <f t="shared" si="6"/>
        <v/>
      </c>
    </row>
    <row r="399" spans="1:13" x14ac:dyDescent="0.35">
      <c r="A399" t="s">
        <v>1345</v>
      </c>
      <c r="B399" t="s">
        <v>174</v>
      </c>
      <c r="C399" t="s">
        <v>1346</v>
      </c>
      <c r="D399" t="s">
        <v>236</v>
      </c>
      <c r="E399" t="s">
        <v>54</v>
      </c>
      <c r="F399" t="s">
        <v>55</v>
      </c>
      <c r="G399">
        <v>1</v>
      </c>
      <c r="H399" t="s">
        <v>177</v>
      </c>
      <c r="I399" t="s">
        <v>55</v>
      </c>
      <c r="J399" t="s">
        <v>1347</v>
      </c>
      <c r="K399" t="s">
        <v>183</v>
      </c>
      <c r="L399" t="s">
        <v>184</v>
      </c>
      <c r="M399" s="3">
        <f t="shared" si="6"/>
        <v>1</v>
      </c>
    </row>
    <row r="400" spans="1:13" x14ac:dyDescent="0.35">
      <c r="A400" t="s">
        <v>1348</v>
      </c>
      <c r="B400" t="s">
        <v>174</v>
      </c>
      <c r="C400" t="s">
        <v>1349</v>
      </c>
      <c r="D400" t="s">
        <v>190</v>
      </c>
      <c r="E400" t="s">
        <v>38</v>
      </c>
      <c r="F400" t="s">
        <v>42</v>
      </c>
      <c r="G400">
        <v>4</v>
      </c>
      <c r="H400" t="s">
        <v>177</v>
      </c>
      <c r="I400" t="s">
        <v>43</v>
      </c>
      <c r="J400" t="s">
        <v>1350</v>
      </c>
      <c r="K400" t="s">
        <v>270</v>
      </c>
      <c r="L400" t="s">
        <v>184</v>
      </c>
      <c r="M400" s="3">
        <f t="shared" si="6"/>
        <v>5</v>
      </c>
    </row>
    <row r="401" spans="1:13" x14ac:dyDescent="0.35">
      <c r="A401" t="s">
        <v>1351</v>
      </c>
      <c r="B401" t="s">
        <v>174</v>
      </c>
      <c r="C401" t="s">
        <v>1352</v>
      </c>
      <c r="D401" t="s">
        <v>190</v>
      </c>
      <c r="E401" t="s">
        <v>43</v>
      </c>
      <c r="F401" t="s">
        <v>47</v>
      </c>
      <c r="G401">
        <v>4</v>
      </c>
      <c r="H401" t="s">
        <v>195</v>
      </c>
      <c r="J401" t="s">
        <v>1353</v>
      </c>
      <c r="K401" t="s">
        <v>197</v>
      </c>
      <c r="L401" t="s">
        <v>180</v>
      </c>
      <c r="M401" s="3" t="str">
        <f t="shared" si="6"/>
        <v/>
      </c>
    </row>
    <row r="402" spans="1:13" x14ac:dyDescent="0.35">
      <c r="A402" t="s">
        <v>1354</v>
      </c>
      <c r="B402" t="s">
        <v>174</v>
      </c>
      <c r="C402" t="s">
        <v>1355</v>
      </c>
      <c r="D402" t="s">
        <v>190</v>
      </c>
      <c r="E402" t="s">
        <v>34</v>
      </c>
      <c r="F402" t="s">
        <v>44</v>
      </c>
      <c r="G402">
        <v>10</v>
      </c>
      <c r="H402" t="s">
        <v>177</v>
      </c>
      <c r="I402" t="s">
        <v>44</v>
      </c>
      <c r="J402" t="s">
        <v>1356</v>
      </c>
      <c r="K402" t="s">
        <v>179</v>
      </c>
      <c r="L402" t="s">
        <v>180</v>
      </c>
      <c r="M402" s="3">
        <f t="shared" si="6"/>
        <v>10</v>
      </c>
    </row>
    <row r="403" spans="1:13" x14ac:dyDescent="0.35">
      <c r="A403" t="s">
        <v>1357</v>
      </c>
      <c r="B403" t="s">
        <v>174</v>
      </c>
      <c r="C403" t="s">
        <v>1358</v>
      </c>
      <c r="D403" t="s">
        <v>225</v>
      </c>
      <c r="E403" t="s">
        <v>38</v>
      </c>
      <c r="F403" t="s">
        <v>41</v>
      </c>
      <c r="G403">
        <v>3</v>
      </c>
      <c r="H403" t="s">
        <v>177</v>
      </c>
      <c r="I403" t="s">
        <v>41</v>
      </c>
      <c r="J403" t="s">
        <v>1359</v>
      </c>
      <c r="K403" t="s">
        <v>183</v>
      </c>
      <c r="L403" t="s">
        <v>180</v>
      </c>
      <c r="M403" s="3">
        <f t="shared" si="6"/>
        <v>3</v>
      </c>
    </row>
    <row r="404" spans="1:13" x14ac:dyDescent="0.35">
      <c r="A404" t="s">
        <v>1360</v>
      </c>
      <c r="B404" t="s">
        <v>174</v>
      </c>
      <c r="C404" t="s">
        <v>1361</v>
      </c>
      <c r="D404" t="s">
        <v>176</v>
      </c>
      <c r="E404" t="s">
        <v>46</v>
      </c>
      <c r="F404" t="s">
        <v>52</v>
      </c>
      <c r="G404">
        <v>6</v>
      </c>
      <c r="H404" t="s">
        <v>177</v>
      </c>
      <c r="I404" t="s">
        <v>52</v>
      </c>
      <c r="J404" t="s">
        <v>1362</v>
      </c>
      <c r="K404" t="s">
        <v>183</v>
      </c>
      <c r="L404" t="s">
        <v>180</v>
      </c>
      <c r="M404" s="3">
        <f t="shared" si="6"/>
        <v>6</v>
      </c>
    </row>
    <row r="405" spans="1:13" x14ac:dyDescent="0.35">
      <c r="A405" t="s">
        <v>1363</v>
      </c>
      <c r="B405" t="s">
        <v>174</v>
      </c>
      <c r="C405" t="s">
        <v>1364</v>
      </c>
      <c r="D405" t="s">
        <v>190</v>
      </c>
      <c r="E405" t="s">
        <v>45</v>
      </c>
      <c r="F405" t="s">
        <v>48</v>
      </c>
      <c r="G405">
        <v>3</v>
      </c>
      <c r="H405" t="s">
        <v>177</v>
      </c>
      <c r="I405" t="s">
        <v>49</v>
      </c>
      <c r="J405" t="s">
        <v>1365</v>
      </c>
      <c r="K405" t="s">
        <v>257</v>
      </c>
      <c r="L405" t="s">
        <v>180</v>
      </c>
      <c r="M405" s="3">
        <f t="shared" si="6"/>
        <v>4</v>
      </c>
    </row>
    <row r="406" spans="1:13" x14ac:dyDescent="0.35">
      <c r="A406" t="s">
        <v>1366</v>
      </c>
      <c r="B406" t="s">
        <v>174</v>
      </c>
      <c r="C406" t="s">
        <v>1367</v>
      </c>
      <c r="D406" t="s">
        <v>190</v>
      </c>
      <c r="E406" t="s">
        <v>43</v>
      </c>
      <c r="F406" t="s">
        <v>51</v>
      </c>
      <c r="G406">
        <v>8</v>
      </c>
      <c r="H406" t="s">
        <v>177</v>
      </c>
      <c r="I406" t="s">
        <v>51</v>
      </c>
      <c r="J406" t="s">
        <v>1368</v>
      </c>
      <c r="K406" t="s">
        <v>257</v>
      </c>
      <c r="L406" t="s">
        <v>184</v>
      </c>
      <c r="M406" s="3">
        <f t="shared" si="6"/>
        <v>8</v>
      </c>
    </row>
    <row r="407" spans="1:13" x14ac:dyDescent="0.35">
      <c r="A407" t="s">
        <v>1369</v>
      </c>
      <c r="B407" t="s">
        <v>174</v>
      </c>
      <c r="C407" t="s">
        <v>1370</v>
      </c>
      <c r="D407" t="s">
        <v>190</v>
      </c>
      <c r="E407" t="s">
        <v>26</v>
      </c>
      <c r="F407" t="s">
        <v>45</v>
      </c>
      <c r="G407">
        <v>20</v>
      </c>
      <c r="H407" t="s">
        <v>252</v>
      </c>
      <c r="I407" t="s">
        <v>46</v>
      </c>
      <c r="J407" t="s">
        <v>1371</v>
      </c>
      <c r="K407" t="s">
        <v>1372</v>
      </c>
      <c r="L407" t="s">
        <v>180</v>
      </c>
      <c r="M407" s="3" t="str">
        <f t="shared" si="6"/>
        <v/>
      </c>
    </row>
    <row r="408" spans="1:13" x14ac:dyDescent="0.35">
      <c r="A408" t="s">
        <v>1369</v>
      </c>
      <c r="B408" t="s">
        <v>174</v>
      </c>
      <c r="C408" t="s">
        <v>1370</v>
      </c>
      <c r="D408" t="s">
        <v>190</v>
      </c>
      <c r="E408" t="s">
        <v>26</v>
      </c>
      <c r="F408" t="s">
        <v>55</v>
      </c>
      <c r="G408">
        <v>29</v>
      </c>
      <c r="H408" t="s">
        <v>195</v>
      </c>
      <c r="J408" t="s">
        <v>1371</v>
      </c>
      <c r="K408" t="s">
        <v>1372</v>
      </c>
      <c r="L408" t="s">
        <v>180</v>
      </c>
      <c r="M408" s="3" t="str">
        <f t="shared" si="6"/>
        <v/>
      </c>
    </row>
    <row r="409" spans="1:13" x14ac:dyDescent="0.35">
      <c r="A409" t="s">
        <v>1373</v>
      </c>
      <c r="B409" t="s">
        <v>174</v>
      </c>
      <c r="C409" t="s">
        <v>1374</v>
      </c>
      <c r="D409" t="s">
        <v>190</v>
      </c>
      <c r="E409" t="s">
        <v>44</v>
      </c>
      <c r="F409" t="s">
        <v>48</v>
      </c>
      <c r="G409">
        <v>3</v>
      </c>
      <c r="H409" t="s">
        <v>195</v>
      </c>
      <c r="J409" t="s">
        <v>1375</v>
      </c>
      <c r="K409" t="s">
        <v>257</v>
      </c>
      <c r="L409" t="s">
        <v>180</v>
      </c>
      <c r="M409" s="3" t="str">
        <f t="shared" si="6"/>
        <v/>
      </c>
    </row>
    <row r="410" spans="1:13" x14ac:dyDescent="0.35">
      <c r="A410" t="s">
        <v>1376</v>
      </c>
      <c r="B410" t="s">
        <v>174</v>
      </c>
      <c r="C410" t="s">
        <v>1377</v>
      </c>
      <c r="D410" t="s">
        <v>225</v>
      </c>
      <c r="E410" t="s">
        <v>37</v>
      </c>
      <c r="F410" t="s">
        <v>46</v>
      </c>
      <c r="G410">
        <v>9</v>
      </c>
      <c r="H410" t="s">
        <v>252</v>
      </c>
      <c r="J410" t="s">
        <v>1378</v>
      </c>
      <c r="K410" t="s">
        <v>331</v>
      </c>
      <c r="L410" t="s">
        <v>180</v>
      </c>
      <c r="M410" s="3" t="str">
        <f t="shared" si="6"/>
        <v/>
      </c>
    </row>
    <row r="411" spans="1:13" x14ac:dyDescent="0.35">
      <c r="A411" t="s">
        <v>1376</v>
      </c>
      <c r="B411" t="s">
        <v>174</v>
      </c>
      <c r="C411" t="s">
        <v>1377</v>
      </c>
      <c r="D411" t="s">
        <v>225</v>
      </c>
      <c r="E411" t="s">
        <v>37</v>
      </c>
      <c r="F411" t="s">
        <v>51</v>
      </c>
      <c r="G411">
        <v>14</v>
      </c>
      <c r="H411" t="s">
        <v>177</v>
      </c>
      <c r="I411" t="s">
        <v>52</v>
      </c>
      <c r="J411" t="s">
        <v>1378</v>
      </c>
      <c r="K411" t="s">
        <v>331</v>
      </c>
      <c r="L411" t="s">
        <v>180</v>
      </c>
      <c r="M411" s="3">
        <f t="shared" si="6"/>
        <v>15</v>
      </c>
    </row>
    <row r="412" spans="1:13" x14ac:dyDescent="0.35">
      <c r="A412" t="s">
        <v>1379</v>
      </c>
      <c r="B412" t="s">
        <v>174</v>
      </c>
      <c r="C412" t="s">
        <v>1380</v>
      </c>
      <c r="D412" t="s">
        <v>190</v>
      </c>
      <c r="E412" t="s">
        <v>47</v>
      </c>
      <c r="F412" t="s">
        <v>52</v>
      </c>
      <c r="G412">
        <v>5</v>
      </c>
      <c r="H412" t="s">
        <v>177</v>
      </c>
      <c r="I412" t="s">
        <v>52</v>
      </c>
      <c r="J412" t="s">
        <v>1381</v>
      </c>
      <c r="K412" t="s">
        <v>257</v>
      </c>
      <c r="L412" t="s">
        <v>184</v>
      </c>
      <c r="M412" s="3">
        <f t="shared" si="6"/>
        <v>5</v>
      </c>
    </row>
    <row r="413" spans="1:13" x14ac:dyDescent="0.35">
      <c r="A413" t="s">
        <v>1382</v>
      </c>
      <c r="B413" t="s">
        <v>174</v>
      </c>
      <c r="C413" t="s">
        <v>1383</v>
      </c>
      <c r="D413" t="s">
        <v>190</v>
      </c>
      <c r="E413" t="s">
        <v>37</v>
      </c>
      <c r="F413" t="s">
        <v>54</v>
      </c>
      <c r="G413">
        <v>16</v>
      </c>
      <c r="H413" t="s">
        <v>177</v>
      </c>
      <c r="I413" t="s">
        <v>54</v>
      </c>
      <c r="J413" t="s">
        <v>1384</v>
      </c>
      <c r="K413" t="s">
        <v>377</v>
      </c>
      <c r="L413" t="s">
        <v>180</v>
      </c>
      <c r="M413" s="3">
        <f t="shared" si="6"/>
        <v>17</v>
      </c>
    </row>
    <row r="414" spans="1:13" x14ac:dyDescent="0.35">
      <c r="A414" t="s">
        <v>1385</v>
      </c>
      <c r="B414" t="s">
        <v>174</v>
      </c>
      <c r="C414" t="s">
        <v>1386</v>
      </c>
      <c r="D414" t="s">
        <v>190</v>
      </c>
      <c r="E414" t="s">
        <v>45</v>
      </c>
      <c r="F414" t="s">
        <v>55</v>
      </c>
      <c r="G414">
        <v>10</v>
      </c>
      <c r="H414" t="s">
        <v>195</v>
      </c>
      <c r="J414" t="s">
        <v>1387</v>
      </c>
      <c r="K414" t="s">
        <v>270</v>
      </c>
      <c r="L414" t="s">
        <v>180</v>
      </c>
      <c r="M414" s="3" t="str">
        <f t="shared" si="6"/>
        <v/>
      </c>
    </row>
    <row r="415" spans="1:13" x14ac:dyDescent="0.35">
      <c r="A415" t="s">
        <v>1388</v>
      </c>
      <c r="B415" t="s">
        <v>231</v>
      </c>
      <c r="C415" t="s">
        <v>1389</v>
      </c>
      <c r="D415" t="s">
        <v>190</v>
      </c>
      <c r="E415" t="s">
        <v>41</v>
      </c>
      <c r="F415" t="s">
        <v>45</v>
      </c>
      <c r="G415">
        <v>4</v>
      </c>
      <c r="H415" t="s">
        <v>177</v>
      </c>
      <c r="I415" t="s">
        <v>45</v>
      </c>
      <c r="J415" t="s">
        <v>1390</v>
      </c>
      <c r="K415" t="s">
        <v>197</v>
      </c>
      <c r="L415" t="s">
        <v>184</v>
      </c>
      <c r="M415" s="3">
        <f t="shared" si="6"/>
        <v>4</v>
      </c>
    </row>
    <row r="416" spans="1:13" x14ac:dyDescent="0.35">
      <c r="A416" t="s">
        <v>1391</v>
      </c>
      <c r="B416" t="s">
        <v>174</v>
      </c>
      <c r="C416" t="s">
        <v>1392</v>
      </c>
      <c r="D416" t="s">
        <v>190</v>
      </c>
      <c r="E416" t="s">
        <v>40</v>
      </c>
      <c r="F416" t="s">
        <v>55</v>
      </c>
      <c r="G416">
        <v>15</v>
      </c>
      <c r="H416" t="s">
        <v>195</v>
      </c>
      <c r="J416" t="s">
        <v>1393</v>
      </c>
      <c r="K416" t="s">
        <v>197</v>
      </c>
      <c r="L416" t="s">
        <v>184</v>
      </c>
      <c r="M416" s="3" t="str">
        <f t="shared" si="6"/>
        <v/>
      </c>
    </row>
    <row r="417" spans="1:13" x14ac:dyDescent="0.35">
      <c r="A417" t="s">
        <v>1394</v>
      </c>
      <c r="B417" t="s">
        <v>174</v>
      </c>
      <c r="C417" t="s">
        <v>1395</v>
      </c>
      <c r="D417" t="s">
        <v>190</v>
      </c>
      <c r="E417" t="s">
        <v>44</v>
      </c>
      <c r="F417" t="s">
        <v>47</v>
      </c>
      <c r="G417">
        <v>2</v>
      </c>
      <c r="H417" t="s">
        <v>177</v>
      </c>
      <c r="I417" t="s">
        <v>47</v>
      </c>
      <c r="J417" t="s">
        <v>1396</v>
      </c>
      <c r="K417" t="s">
        <v>257</v>
      </c>
      <c r="L417" t="s">
        <v>184</v>
      </c>
      <c r="M417" s="3">
        <f t="shared" si="6"/>
        <v>3</v>
      </c>
    </row>
    <row r="418" spans="1:13" x14ac:dyDescent="0.35">
      <c r="A418" t="s">
        <v>1397</v>
      </c>
      <c r="B418" t="s">
        <v>174</v>
      </c>
      <c r="C418" t="s">
        <v>1398</v>
      </c>
      <c r="D418" t="s">
        <v>190</v>
      </c>
      <c r="E418" t="s">
        <v>48</v>
      </c>
      <c r="F418" t="s">
        <v>51</v>
      </c>
      <c r="G418">
        <v>3</v>
      </c>
      <c r="H418" t="s">
        <v>177</v>
      </c>
      <c r="I418" t="s">
        <v>53</v>
      </c>
      <c r="J418" t="s">
        <v>1399</v>
      </c>
      <c r="K418" t="s">
        <v>197</v>
      </c>
      <c r="L418" t="s">
        <v>184</v>
      </c>
      <c r="M418" s="3">
        <f t="shared" si="6"/>
        <v>5</v>
      </c>
    </row>
    <row r="419" spans="1:13" x14ac:dyDescent="0.35">
      <c r="A419" t="s">
        <v>1400</v>
      </c>
      <c r="B419" t="s">
        <v>174</v>
      </c>
      <c r="C419" t="s">
        <v>1401</v>
      </c>
      <c r="D419" t="s">
        <v>190</v>
      </c>
      <c r="E419" t="s">
        <v>46</v>
      </c>
      <c r="F419" t="s">
        <v>52</v>
      </c>
      <c r="G419">
        <v>6</v>
      </c>
      <c r="H419" t="s">
        <v>177</v>
      </c>
      <c r="I419" t="s">
        <v>52</v>
      </c>
      <c r="J419" t="s">
        <v>1402</v>
      </c>
      <c r="K419" t="s">
        <v>197</v>
      </c>
      <c r="L419" t="s">
        <v>180</v>
      </c>
      <c r="M419" s="3">
        <f t="shared" si="6"/>
        <v>6</v>
      </c>
    </row>
    <row r="420" spans="1:13" x14ac:dyDescent="0.35">
      <c r="A420" t="s">
        <v>1403</v>
      </c>
      <c r="B420" t="s">
        <v>174</v>
      </c>
      <c r="C420" t="s">
        <v>1404</v>
      </c>
      <c r="D420" t="s">
        <v>190</v>
      </c>
      <c r="E420" t="s">
        <v>32</v>
      </c>
      <c r="F420" t="s">
        <v>46</v>
      </c>
      <c r="G420">
        <v>14</v>
      </c>
      <c r="H420" t="s">
        <v>195</v>
      </c>
      <c r="J420" t="s">
        <v>1405</v>
      </c>
      <c r="K420" t="s">
        <v>270</v>
      </c>
      <c r="L420" t="s">
        <v>180</v>
      </c>
      <c r="M420" s="3" t="str">
        <f t="shared" si="6"/>
        <v/>
      </c>
    </row>
    <row r="421" spans="1:13" x14ac:dyDescent="0.35">
      <c r="A421" t="s">
        <v>1406</v>
      </c>
      <c r="B421" t="s">
        <v>174</v>
      </c>
      <c r="C421" t="s">
        <v>1407</v>
      </c>
      <c r="D421" t="s">
        <v>190</v>
      </c>
      <c r="E421" t="s">
        <v>40</v>
      </c>
      <c r="F421" t="s">
        <v>42</v>
      </c>
      <c r="G421">
        <v>2</v>
      </c>
      <c r="H421" t="s">
        <v>177</v>
      </c>
      <c r="I421" t="s">
        <v>42</v>
      </c>
      <c r="J421" t="s">
        <v>1408</v>
      </c>
      <c r="K421" t="s">
        <v>197</v>
      </c>
      <c r="L421" t="s">
        <v>180</v>
      </c>
      <c r="M421" s="3">
        <f t="shared" si="6"/>
        <v>2</v>
      </c>
    </row>
    <row r="422" spans="1:13" x14ac:dyDescent="0.35">
      <c r="A422" t="s">
        <v>1409</v>
      </c>
      <c r="B422" t="s">
        <v>174</v>
      </c>
      <c r="C422" t="s">
        <v>1410</v>
      </c>
      <c r="D422" t="s">
        <v>190</v>
      </c>
      <c r="E422" t="s">
        <v>39</v>
      </c>
      <c r="F422" t="s">
        <v>42</v>
      </c>
      <c r="G422">
        <v>3</v>
      </c>
      <c r="H422" t="s">
        <v>177</v>
      </c>
      <c r="I422" t="s">
        <v>42</v>
      </c>
      <c r="J422" t="s">
        <v>1411</v>
      </c>
      <c r="K422" t="s">
        <v>270</v>
      </c>
      <c r="L422" t="s">
        <v>180</v>
      </c>
      <c r="M422" s="3">
        <f t="shared" si="6"/>
        <v>3</v>
      </c>
    </row>
    <row r="423" spans="1:13" x14ac:dyDescent="0.35">
      <c r="A423" t="s">
        <v>1412</v>
      </c>
      <c r="B423" t="s">
        <v>174</v>
      </c>
      <c r="C423" t="s">
        <v>1413</v>
      </c>
      <c r="D423" t="s">
        <v>190</v>
      </c>
      <c r="E423" t="s">
        <v>41</v>
      </c>
      <c r="F423" t="s">
        <v>48</v>
      </c>
      <c r="G423">
        <v>7</v>
      </c>
      <c r="H423" t="s">
        <v>177</v>
      </c>
      <c r="I423" t="s">
        <v>48</v>
      </c>
      <c r="J423" t="s">
        <v>1414</v>
      </c>
      <c r="K423" t="s">
        <v>197</v>
      </c>
      <c r="L423" t="s">
        <v>184</v>
      </c>
      <c r="M423" s="3">
        <f t="shared" si="6"/>
        <v>7</v>
      </c>
    </row>
    <row r="424" spans="1:13" x14ac:dyDescent="0.35">
      <c r="A424" t="s">
        <v>1415</v>
      </c>
      <c r="B424" t="s">
        <v>174</v>
      </c>
      <c r="C424" t="s">
        <v>1416</v>
      </c>
      <c r="D424" t="s">
        <v>176</v>
      </c>
      <c r="E424" t="s">
        <v>20</v>
      </c>
      <c r="F424" t="s">
        <v>42</v>
      </c>
      <c r="G424">
        <v>23</v>
      </c>
      <c r="H424" t="s">
        <v>177</v>
      </c>
      <c r="I424" t="s">
        <v>42</v>
      </c>
      <c r="J424" t="s">
        <v>1417</v>
      </c>
      <c r="K424" t="s">
        <v>183</v>
      </c>
      <c r="L424" t="s">
        <v>180</v>
      </c>
      <c r="M424" s="3">
        <f t="shared" si="6"/>
        <v>22</v>
      </c>
    </row>
    <row r="425" spans="1:13" x14ac:dyDescent="0.35">
      <c r="A425" t="s">
        <v>1418</v>
      </c>
      <c r="B425" t="s">
        <v>174</v>
      </c>
      <c r="C425" t="s">
        <v>1419</v>
      </c>
      <c r="D425" t="s">
        <v>190</v>
      </c>
      <c r="E425" t="s">
        <v>49</v>
      </c>
      <c r="F425" t="s">
        <v>52</v>
      </c>
      <c r="G425">
        <v>3</v>
      </c>
      <c r="H425" t="s">
        <v>177</v>
      </c>
      <c r="I425" t="s">
        <v>53</v>
      </c>
      <c r="J425" t="s">
        <v>1420</v>
      </c>
      <c r="K425" t="s">
        <v>219</v>
      </c>
      <c r="L425" t="s">
        <v>180</v>
      </c>
      <c r="M425" s="3">
        <f t="shared" si="6"/>
        <v>4</v>
      </c>
    </row>
    <row r="426" spans="1:13" x14ac:dyDescent="0.35">
      <c r="A426" t="s">
        <v>1421</v>
      </c>
      <c r="B426" t="s">
        <v>174</v>
      </c>
      <c r="C426" t="s">
        <v>1422</v>
      </c>
      <c r="D426" t="s">
        <v>190</v>
      </c>
      <c r="E426" t="s">
        <v>43</v>
      </c>
      <c r="F426" t="s">
        <v>48</v>
      </c>
      <c r="G426">
        <v>5</v>
      </c>
      <c r="H426" t="s">
        <v>252</v>
      </c>
      <c r="J426" t="s">
        <v>1423</v>
      </c>
      <c r="K426" t="s">
        <v>197</v>
      </c>
      <c r="L426" t="s">
        <v>184</v>
      </c>
      <c r="M426" s="3" t="str">
        <f t="shared" si="6"/>
        <v/>
      </c>
    </row>
    <row r="427" spans="1:13" x14ac:dyDescent="0.35">
      <c r="A427" t="s">
        <v>1424</v>
      </c>
      <c r="B427" t="s">
        <v>174</v>
      </c>
      <c r="C427" t="s">
        <v>1425</v>
      </c>
      <c r="D427" t="s">
        <v>190</v>
      </c>
      <c r="E427" t="s">
        <v>37</v>
      </c>
      <c r="F427" t="s">
        <v>43</v>
      </c>
      <c r="G427">
        <v>7</v>
      </c>
      <c r="H427" t="s">
        <v>177</v>
      </c>
      <c r="I427" t="s">
        <v>44</v>
      </c>
      <c r="J427" t="s">
        <v>1426</v>
      </c>
      <c r="K427" t="s">
        <v>270</v>
      </c>
      <c r="L427" t="s">
        <v>184</v>
      </c>
      <c r="M427" s="3">
        <f t="shared" si="6"/>
        <v>7</v>
      </c>
    </row>
    <row r="428" spans="1:13" x14ac:dyDescent="0.35">
      <c r="A428" t="s">
        <v>1427</v>
      </c>
      <c r="B428" t="s">
        <v>174</v>
      </c>
      <c r="C428" t="s">
        <v>1428</v>
      </c>
      <c r="D428" t="s">
        <v>190</v>
      </c>
      <c r="E428" t="s">
        <v>39</v>
      </c>
      <c r="F428" t="s">
        <v>44</v>
      </c>
      <c r="G428">
        <v>5</v>
      </c>
      <c r="H428" t="s">
        <v>177</v>
      </c>
      <c r="I428" t="s">
        <v>45</v>
      </c>
      <c r="J428" t="s">
        <v>1429</v>
      </c>
      <c r="K428" t="s">
        <v>270</v>
      </c>
      <c r="L428" t="s">
        <v>180</v>
      </c>
      <c r="M428" s="3">
        <f t="shared" si="6"/>
        <v>6</v>
      </c>
    </row>
    <row r="429" spans="1:13" x14ac:dyDescent="0.35">
      <c r="A429" t="s">
        <v>1430</v>
      </c>
      <c r="B429" t="s">
        <v>174</v>
      </c>
      <c r="C429" t="s">
        <v>1431</v>
      </c>
      <c r="D429" t="s">
        <v>236</v>
      </c>
      <c r="E429" t="s">
        <v>42</v>
      </c>
      <c r="F429" t="s">
        <v>47</v>
      </c>
      <c r="G429">
        <v>5</v>
      </c>
      <c r="H429" t="s">
        <v>177</v>
      </c>
      <c r="I429" t="s">
        <v>48</v>
      </c>
      <c r="J429" t="s">
        <v>1432</v>
      </c>
      <c r="K429" t="s">
        <v>192</v>
      </c>
      <c r="L429" t="s">
        <v>180</v>
      </c>
      <c r="M429" s="3">
        <f t="shared" si="6"/>
        <v>6</v>
      </c>
    </row>
    <row r="430" spans="1:13" x14ac:dyDescent="0.35">
      <c r="A430" t="s">
        <v>1433</v>
      </c>
      <c r="B430" t="s">
        <v>174</v>
      </c>
      <c r="C430" t="s">
        <v>1434</v>
      </c>
      <c r="D430" t="s">
        <v>190</v>
      </c>
      <c r="E430" t="s">
        <v>48</v>
      </c>
      <c r="F430" t="s">
        <v>53</v>
      </c>
      <c r="G430">
        <v>5</v>
      </c>
      <c r="H430" t="s">
        <v>177</v>
      </c>
      <c r="I430" t="s">
        <v>56</v>
      </c>
      <c r="J430" t="s">
        <v>1435</v>
      </c>
      <c r="K430" t="s">
        <v>197</v>
      </c>
      <c r="L430" t="s">
        <v>180</v>
      </c>
      <c r="M430" s="3">
        <f t="shared" si="6"/>
        <v>8</v>
      </c>
    </row>
    <row r="431" spans="1:13" x14ac:dyDescent="0.35">
      <c r="A431" t="s">
        <v>1436</v>
      </c>
      <c r="B431" t="s">
        <v>174</v>
      </c>
      <c r="C431" t="s">
        <v>1437</v>
      </c>
      <c r="D431" t="s">
        <v>176</v>
      </c>
      <c r="E431" t="s">
        <v>49</v>
      </c>
      <c r="F431" t="s">
        <v>51</v>
      </c>
      <c r="G431">
        <v>2</v>
      </c>
      <c r="H431" t="s">
        <v>195</v>
      </c>
      <c r="J431" t="s">
        <v>1438</v>
      </c>
      <c r="K431" t="s">
        <v>183</v>
      </c>
      <c r="L431" t="s">
        <v>180</v>
      </c>
      <c r="M431" s="3" t="str">
        <f t="shared" si="6"/>
        <v/>
      </c>
    </row>
    <row r="432" spans="1:13" x14ac:dyDescent="0.35">
      <c r="A432" t="s">
        <v>1439</v>
      </c>
      <c r="B432" t="s">
        <v>174</v>
      </c>
      <c r="C432" t="s">
        <v>1440</v>
      </c>
      <c r="D432" t="s">
        <v>190</v>
      </c>
      <c r="E432" t="s">
        <v>49</v>
      </c>
      <c r="F432" t="s">
        <v>52</v>
      </c>
      <c r="G432">
        <v>3</v>
      </c>
      <c r="H432" t="s">
        <v>195</v>
      </c>
      <c r="J432" t="s">
        <v>1441</v>
      </c>
      <c r="K432" t="s">
        <v>197</v>
      </c>
      <c r="L432" t="s">
        <v>180</v>
      </c>
      <c r="M432" s="3" t="str">
        <f t="shared" si="6"/>
        <v/>
      </c>
    </row>
    <row r="433" spans="1:13" x14ac:dyDescent="0.35">
      <c r="A433" t="s">
        <v>1442</v>
      </c>
      <c r="B433" t="s">
        <v>174</v>
      </c>
      <c r="C433" t="s">
        <v>1443</v>
      </c>
      <c r="D433" t="s">
        <v>190</v>
      </c>
      <c r="E433" t="s">
        <v>49</v>
      </c>
      <c r="F433" t="s">
        <v>52</v>
      </c>
      <c r="G433">
        <v>3</v>
      </c>
      <c r="H433" t="s">
        <v>177</v>
      </c>
      <c r="I433" t="s">
        <v>53</v>
      </c>
      <c r="J433" t="s">
        <v>1444</v>
      </c>
      <c r="K433" t="s">
        <v>257</v>
      </c>
      <c r="L433" t="s">
        <v>184</v>
      </c>
      <c r="M433" s="3">
        <f t="shared" si="6"/>
        <v>4</v>
      </c>
    </row>
    <row r="434" spans="1:13" x14ac:dyDescent="0.35">
      <c r="A434" t="s">
        <v>1445</v>
      </c>
      <c r="B434" t="s">
        <v>174</v>
      </c>
      <c r="C434" t="s">
        <v>1446</v>
      </c>
      <c r="D434" t="s">
        <v>190</v>
      </c>
      <c r="E434" t="s">
        <v>48</v>
      </c>
      <c r="F434" t="s">
        <v>54</v>
      </c>
      <c r="G434">
        <v>6</v>
      </c>
      <c r="H434" t="s">
        <v>177</v>
      </c>
      <c r="I434" t="s">
        <v>55</v>
      </c>
      <c r="J434" t="s">
        <v>1447</v>
      </c>
      <c r="K434" t="s">
        <v>257</v>
      </c>
      <c r="L434" t="s">
        <v>180</v>
      </c>
      <c r="M434" s="3">
        <f t="shared" si="6"/>
        <v>7</v>
      </c>
    </row>
    <row r="435" spans="1:13" x14ac:dyDescent="0.35">
      <c r="A435" t="s">
        <v>1448</v>
      </c>
      <c r="B435" t="s">
        <v>174</v>
      </c>
      <c r="C435" t="s">
        <v>1449</v>
      </c>
      <c r="D435" t="s">
        <v>176</v>
      </c>
      <c r="E435" t="s">
        <v>40</v>
      </c>
      <c r="F435" t="s">
        <v>45</v>
      </c>
      <c r="G435">
        <v>5</v>
      </c>
      <c r="H435" t="s">
        <v>252</v>
      </c>
      <c r="J435" t="s">
        <v>1450</v>
      </c>
      <c r="K435" t="s">
        <v>183</v>
      </c>
      <c r="L435" t="s">
        <v>180</v>
      </c>
      <c r="M435" s="3" t="str">
        <f t="shared" si="6"/>
        <v/>
      </c>
    </row>
    <row r="436" spans="1:13" x14ac:dyDescent="0.35">
      <c r="A436" t="s">
        <v>1451</v>
      </c>
      <c r="B436" t="s">
        <v>174</v>
      </c>
      <c r="C436" t="s">
        <v>1452</v>
      </c>
      <c r="D436" t="s">
        <v>190</v>
      </c>
      <c r="E436" t="s">
        <v>40</v>
      </c>
      <c r="F436" t="s">
        <v>43</v>
      </c>
      <c r="G436">
        <v>3</v>
      </c>
      <c r="H436" t="s">
        <v>195</v>
      </c>
      <c r="J436" t="s">
        <v>1453</v>
      </c>
      <c r="K436" t="s">
        <v>197</v>
      </c>
      <c r="L436" t="s">
        <v>180</v>
      </c>
      <c r="M436" s="3" t="str">
        <f t="shared" si="6"/>
        <v/>
      </c>
    </row>
    <row r="437" spans="1:13" x14ac:dyDescent="0.35">
      <c r="A437" t="s">
        <v>1454</v>
      </c>
      <c r="B437" t="s">
        <v>174</v>
      </c>
      <c r="C437" t="s">
        <v>1455</v>
      </c>
      <c r="D437" t="s">
        <v>190</v>
      </c>
      <c r="E437" t="s">
        <v>40</v>
      </c>
      <c r="F437" t="s">
        <v>47</v>
      </c>
      <c r="G437">
        <v>7</v>
      </c>
      <c r="H437" t="s">
        <v>177</v>
      </c>
      <c r="I437" t="s">
        <v>47</v>
      </c>
      <c r="J437" t="s">
        <v>1456</v>
      </c>
      <c r="K437" t="s">
        <v>270</v>
      </c>
      <c r="L437" t="s">
        <v>184</v>
      </c>
      <c r="M437" s="3">
        <f t="shared" si="6"/>
        <v>7</v>
      </c>
    </row>
    <row r="438" spans="1:13" x14ac:dyDescent="0.35">
      <c r="A438" t="s">
        <v>1457</v>
      </c>
      <c r="B438" t="s">
        <v>174</v>
      </c>
      <c r="C438" t="s">
        <v>1458</v>
      </c>
      <c r="D438" t="s">
        <v>190</v>
      </c>
      <c r="E438" t="s">
        <v>42</v>
      </c>
      <c r="F438" t="s">
        <v>56</v>
      </c>
      <c r="G438">
        <v>14</v>
      </c>
      <c r="H438" t="s">
        <v>177</v>
      </c>
      <c r="I438" t="s">
        <v>56</v>
      </c>
      <c r="J438" t="s">
        <v>1459</v>
      </c>
      <c r="K438" t="s">
        <v>257</v>
      </c>
      <c r="L438" t="s">
        <v>180</v>
      </c>
      <c r="M438" s="3">
        <f t="shared" si="6"/>
        <v>14</v>
      </c>
    </row>
    <row r="439" spans="1:13" x14ac:dyDescent="0.35">
      <c r="A439" t="s">
        <v>1460</v>
      </c>
      <c r="B439" t="s">
        <v>174</v>
      </c>
      <c r="C439" t="s">
        <v>1461</v>
      </c>
      <c r="D439" t="s">
        <v>190</v>
      </c>
      <c r="E439" t="s">
        <v>44</v>
      </c>
      <c r="F439" t="s">
        <v>55</v>
      </c>
      <c r="G439">
        <v>11</v>
      </c>
      <c r="H439" t="s">
        <v>177</v>
      </c>
      <c r="I439" t="s">
        <v>55</v>
      </c>
      <c r="J439" t="s">
        <v>1462</v>
      </c>
      <c r="K439" t="s">
        <v>270</v>
      </c>
      <c r="L439" t="s">
        <v>180</v>
      </c>
      <c r="M439" s="3">
        <f t="shared" si="6"/>
        <v>11</v>
      </c>
    </row>
    <row r="440" spans="1:13" x14ac:dyDescent="0.35">
      <c r="A440" t="s">
        <v>1463</v>
      </c>
      <c r="B440" t="s">
        <v>174</v>
      </c>
      <c r="C440" t="s">
        <v>1464</v>
      </c>
      <c r="D440" t="s">
        <v>190</v>
      </c>
      <c r="E440" t="s">
        <v>43</v>
      </c>
      <c r="F440" t="s">
        <v>51</v>
      </c>
      <c r="G440">
        <v>8</v>
      </c>
      <c r="H440" t="s">
        <v>252</v>
      </c>
      <c r="J440" t="s">
        <v>1465</v>
      </c>
      <c r="K440" t="s">
        <v>197</v>
      </c>
      <c r="L440" t="s">
        <v>180</v>
      </c>
      <c r="M440" s="3" t="str">
        <f t="shared" si="6"/>
        <v/>
      </c>
    </row>
    <row r="441" spans="1:13" x14ac:dyDescent="0.35">
      <c r="A441" t="s">
        <v>1466</v>
      </c>
      <c r="B441" t="s">
        <v>174</v>
      </c>
      <c r="C441" t="s">
        <v>1467</v>
      </c>
      <c r="D441" t="s">
        <v>190</v>
      </c>
      <c r="E441" t="s">
        <v>46</v>
      </c>
      <c r="F441" t="s">
        <v>55</v>
      </c>
      <c r="G441">
        <v>9</v>
      </c>
      <c r="H441" t="s">
        <v>177</v>
      </c>
      <c r="I441" t="s">
        <v>55</v>
      </c>
      <c r="J441" t="s">
        <v>1468</v>
      </c>
      <c r="K441" t="s">
        <v>257</v>
      </c>
      <c r="L441" t="s">
        <v>184</v>
      </c>
      <c r="M441" s="3">
        <f t="shared" si="6"/>
        <v>9</v>
      </c>
    </row>
    <row r="442" spans="1:13" x14ac:dyDescent="0.35">
      <c r="A442" t="s">
        <v>1469</v>
      </c>
      <c r="B442" t="s">
        <v>174</v>
      </c>
      <c r="C442" t="s">
        <v>1470</v>
      </c>
      <c r="D442" t="s">
        <v>190</v>
      </c>
      <c r="E442" t="s">
        <v>42</v>
      </c>
      <c r="F442" t="s">
        <v>48</v>
      </c>
      <c r="G442">
        <v>6</v>
      </c>
      <c r="H442" t="s">
        <v>177</v>
      </c>
      <c r="I442" t="s">
        <v>48</v>
      </c>
      <c r="J442" t="s">
        <v>1471</v>
      </c>
      <c r="K442" t="s">
        <v>197</v>
      </c>
      <c r="L442" t="s">
        <v>180</v>
      </c>
      <c r="M442" s="3">
        <f t="shared" si="6"/>
        <v>6</v>
      </c>
    </row>
    <row r="443" spans="1:13" x14ac:dyDescent="0.35">
      <c r="A443" t="s">
        <v>1472</v>
      </c>
      <c r="B443" t="s">
        <v>174</v>
      </c>
      <c r="C443" t="s">
        <v>1473</v>
      </c>
      <c r="D443" t="s">
        <v>236</v>
      </c>
      <c r="E443" t="s">
        <v>34</v>
      </c>
      <c r="F443" t="s">
        <v>46</v>
      </c>
      <c r="G443">
        <v>12</v>
      </c>
      <c r="H443" t="s">
        <v>177</v>
      </c>
      <c r="I443" t="s">
        <v>46</v>
      </c>
      <c r="J443" t="s">
        <v>1474</v>
      </c>
      <c r="K443" t="s">
        <v>331</v>
      </c>
      <c r="L443" t="s">
        <v>180</v>
      </c>
      <c r="M443" s="3">
        <f t="shared" si="6"/>
        <v>12</v>
      </c>
    </row>
    <row r="444" spans="1:13" x14ac:dyDescent="0.35">
      <c r="A444" t="s">
        <v>1472</v>
      </c>
      <c r="B444" t="s">
        <v>174</v>
      </c>
      <c r="C444" t="s">
        <v>1473</v>
      </c>
      <c r="D444" t="s">
        <v>236</v>
      </c>
      <c r="E444" t="s">
        <v>34</v>
      </c>
      <c r="F444" t="s">
        <v>50</v>
      </c>
      <c r="G444">
        <v>16</v>
      </c>
      <c r="H444" t="s">
        <v>195</v>
      </c>
      <c r="J444" t="s">
        <v>1474</v>
      </c>
      <c r="K444" t="s">
        <v>331</v>
      </c>
      <c r="L444" t="s">
        <v>180</v>
      </c>
      <c r="M444" s="3" t="str">
        <f t="shared" si="6"/>
        <v/>
      </c>
    </row>
    <row r="445" spans="1:13" x14ac:dyDescent="0.35">
      <c r="A445" t="s">
        <v>1475</v>
      </c>
      <c r="B445" t="s">
        <v>174</v>
      </c>
      <c r="C445" t="s">
        <v>1476</v>
      </c>
      <c r="D445" t="s">
        <v>236</v>
      </c>
      <c r="E445" t="s">
        <v>50</v>
      </c>
      <c r="F445" t="s">
        <v>55</v>
      </c>
      <c r="G445">
        <v>4</v>
      </c>
      <c r="H445" t="s">
        <v>177</v>
      </c>
      <c r="I445" t="s">
        <v>55</v>
      </c>
      <c r="J445" t="s">
        <v>1477</v>
      </c>
      <c r="K445" t="s">
        <v>183</v>
      </c>
      <c r="L445" t="s">
        <v>184</v>
      </c>
      <c r="M445" s="3">
        <f t="shared" si="6"/>
        <v>5</v>
      </c>
    </row>
    <row r="446" spans="1:13" x14ac:dyDescent="0.35">
      <c r="A446" t="s">
        <v>1478</v>
      </c>
      <c r="B446" t="s">
        <v>174</v>
      </c>
      <c r="C446" t="s">
        <v>1479</v>
      </c>
      <c r="D446" t="s">
        <v>176</v>
      </c>
      <c r="E446" t="s">
        <v>44</v>
      </c>
      <c r="F446" t="s">
        <v>46</v>
      </c>
      <c r="G446">
        <v>2</v>
      </c>
      <c r="H446" t="s">
        <v>177</v>
      </c>
      <c r="I446" t="s">
        <v>46</v>
      </c>
      <c r="J446" t="s">
        <v>1480</v>
      </c>
      <c r="K446" t="s">
        <v>183</v>
      </c>
      <c r="L446" t="s">
        <v>184</v>
      </c>
      <c r="M446" s="3">
        <f t="shared" si="6"/>
        <v>2</v>
      </c>
    </row>
    <row r="447" spans="1:13" x14ac:dyDescent="0.35">
      <c r="A447" t="s">
        <v>1481</v>
      </c>
      <c r="B447" t="s">
        <v>174</v>
      </c>
      <c r="C447" t="s">
        <v>1482</v>
      </c>
      <c r="D447" t="s">
        <v>190</v>
      </c>
      <c r="E447" t="s">
        <v>47</v>
      </c>
      <c r="F447" t="s">
        <v>53</v>
      </c>
      <c r="G447">
        <v>5</v>
      </c>
      <c r="H447" t="s">
        <v>177</v>
      </c>
      <c r="I447" t="s">
        <v>54</v>
      </c>
      <c r="J447" t="s">
        <v>1483</v>
      </c>
      <c r="K447" t="s">
        <v>257</v>
      </c>
      <c r="L447" t="s">
        <v>180</v>
      </c>
      <c r="M447" s="3">
        <f t="shared" si="6"/>
        <v>7</v>
      </c>
    </row>
    <row r="448" spans="1:13" x14ac:dyDescent="0.35">
      <c r="A448" t="s">
        <v>1484</v>
      </c>
      <c r="B448" t="s">
        <v>174</v>
      </c>
      <c r="C448" t="s">
        <v>1485</v>
      </c>
      <c r="D448" t="s">
        <v>190</v>
      </c>
      <c r="E448" t="s">
        <v>30</v>
      </c>
      <c r="F448" t="s">
        <v>45</v>
      </c>
      <c r="G448">
        <v>15</v>
      </c>
      <c r="H448" t="s">
        <v>177</v>
      </c>
      <c r="I448" t="s">
        <v>46</v>
      </c>
      <c r="J448" t="s">
        <v>1486</v>
      </c>
      <c r="K448" t="s">
        <v>183</v>
      </c>
      <c r="L448" t="s">
        <v>180</v>
      </c>
      <c r="M448" s="3">
        <f t="shared" si="6"/>
        <v>16</v>
      </c>
    </row>
    <row r="449" spans="1:13" x14ac:dyDescent="0.35">
      <c r="A449" t="s">
        <v>1487</v>
      </c>
      <c r="B449" t="s">
        <v>174</v>
      </c>
      <c r="C449" t="s">
        <v>1488</v>
      </c>
      <c r="D449" t="s">
        <v>190</v>
      </c>
      <c r="E449" t="s">
        <v>49</v>
      </c>
      <c r="F449" t="s">
        <v>54</v>
      </c>
      <c r="G449">
        <v>5</v>
      </c>
      <c r="H449" t="s">
        <v>177</v>
      </c>
      <c r="I449" t="s">
        <v>54</v>
      </c>
      <c r="J449" t="s">
        <v>1489</v>
      </c>
      <c r="K449" t="s">
        <v>197</v>
      </c>
      <c r="L449" t="s">
        <v>180</v>
      </c>
      <c r="M449" s="3">
        <f t="shared" si="6"/>
        <v>5</v>
      </c>
    </row>
    <row r="450" spans="1:13" x14ac:dyDescent="0.35">
      <c r="A450" t="s">
        <v>1490</v>
      </c>
      <c r="B450" t="s">
        <v>174</v>
      </c>
      <c r="C450" t="s">
        <v>1491</v>
      </c>
      <c r="D450" t="s">
        <v>176</v>
      </c>
      <c r="E450" t="s">
        <v>45</v>
      </c>
      <c r="F450" t="s">
        <v>54</v>
      </c>
      <c r="G450">
        <v>9</v>
      </c>
      <c r="H450" t="s">
        <v>177</v>
      </c>
      <c r="I450" t="s">
        <v>54</v>
      </c>
      <c r="J450" t="s">
        <v>1492</v>
      </c>
      <c r="K450" t="s">
        <v>183</v>
      </c>
      <c r="L450" t="s">
        <v>180</v>
      </c>
      <c r="M450" s="3">
        <f t="shared" si="6"/>
        <v>9</v>
      </c>
    </row>
    <row r="451" spans="1:13" x14ac:dyDescent="0.35">
      <c r="A451" t="s">
        <v>1493</v>
      </c>
      <c r="B451" t="s">
        <v>174</v>
      </c>
      <c r="C451" t="s">
        <v>1494</v>
      </c>
      <c r="D451" t="s">
        <v>190</v>
      </c>
      <c r="E451" t="s">
        <v>37</v>
      </c>
      <c r="F451" t="s">
        <v>53</v>
      </c>
      <c r="G451">
        <v>16</v>
      </c>
      <c r="H451" t="s">
        <v>177</v>
      </c>
      <c r="I451" t="s">
        <v>53</v>
      </c>
      <c r="J451" t="s">
        <v>1495</v>
      </c>
      <c r="K451" t="s">
        <v>192</v>
      </c>
      <c r="L451" t="s">
        <v>180</v>
      </c>
      <c r="M451" s="3">
        <f t="shared" ref="M451:M514" si="7">IF(H451="Efectivo",IFERROR((VALUE(RIGHT(I451,4))-VALUE(RIGHT(E451,4)))*12+(VALUE(LEFT(I451,2))-VALUE(LEFT(E451,2))),""),"")</f>
        <v>16</v>
      </c>
    </row>
    <row r="452" spans="1:13" x14ac:dyDescent="0.35">
      <c r="A452" t="s">
        <v>1496</v>
      </c>
      <c r="B452" t="s">
        <v>174</v>
      </c>
      <c r="C452" t="s">
        <v>1497</v>
      </c>
      <c r="D452" t="s">
        <v>190</v>
      </c>
      <c r="E452" t="s">
        <v>29</v>
      </c>
      <c r="F452" t="s">
        <v>45</v>
      </c>
      <c r="G452">
        <v>15</v>
      </c>
      <c r="H452" t="s">
        <v>177</v>
      </c>
      <c r="I452" t="s">
        <v>44</v>
      </c>
      <c r="J452" t="s">
        <v>1498</v>
      </c>
      <c r="K452" t="s">
        <v>270</v>
      </c>
      <c r="L452" t="s">
        <v>180</v>
      </c>
      <c r="M452" s="3">
        <f t="shared" si="7"/>
        <v>15</v>
      </c>
    </row>
    <row r="453" spans="1:13" x14ac:dyDescent="0.35">
      <c r="A453" t="s">
        <v>1499</v>
      </c>
      <c r="B453" t="s">
        <v>174</v>
      </c>
      <c r="C453" t="s">
        <v>1500</v>
      </c>
      <c r="D453" t="s">
        <v>190</v>
      </c>
      <c r="E453" t="s">
        <v>47</v>
      </c>
      <c r="F453" t="s">
        <v>53</v>
      </c>
      <c r="G453">
        <v>6</v>
      </c>
      <c r="H453" t="s">
        <v>177</v>
      </c>
      <c r="I453" t="s">
        <v>55</v>
      </c>
      <c r="J453" t="s">
        <v>1501</v>
      </c>
      <c r="K453" t="s">
        <v>197</v>
      </c>
      <c r="L453" t="s">
        <v>180</v>
      </c>
      <c r="M453" s="3">
        <f t="shared" si="7"/>
        <v>8</v>
      </c>
    </row>
    <row r="454" spans="1:13" x14ac:dyDescent="0.35">
      <c r="A454" t="s">
        <v>1502</v>
      </c>
      <c r="B454" t="s">
        <v>174</v>
      </c>
      <c r="C454" t="s">
        <v>1503</v>
      </c>
      <c r="D454" t="s">
        <v>190</v>
      </c>
      <c r="E454" t="s">
        <v>41</v>
      </c>
      <c r="F454" t="s">
        <v>45</v>
      </c>
      <c r="G454">
        <v>4</v>
      </c>
      <c r="H454" t="s">
        <v>177</v>
      </c>
      <c r="I454" t="s">
        <v>46</v>
      </c>
      <c r="J454" t="s">
        <v>1504</v>
      </c>
      <c r="K454" t="s">
        <v>270</v>
      </c>
      <c r="L454" t="s">
        <v>180</v>
      </c>
      <c r="M454" s="3">
        <f t="shared" si="7"/>
        <v>5</v>
      </c>
    </row>
    <row r="455" spans="1:13" x14ac:dyDescent="0.35">
      <c r="A455" t="s">
        <v>1505</v>
      </c>
      <c r="B455" t="s">
        <v>174</v>
      </c>
      <c r="C455" t="s">
        <v>1506</v>
      </c>
      <c r="D455" t="s">
        <v>190</v>
      </c>
      <c r="E455" t="s">
        <v>33</v>
      </c>
      <c r="F455" t="s">
        <v>50</v>
      </c>
      <c r="G455">
        <v>18</v>
      </c>
      <c r="H455" t="s">
        <v>177</v>
      </c>
      <c r="I455" t="s">
        <v>51</v>
      </c>
      <c r="J455" t="s">
        <v>1507</v>
      </c>
      <c r="K455" t="s">
        <v>183</v>
      </c>
      <c r="L455" t="s">
        <v>180</v>
      </c>
      <c r="M455" s="3">
        <f t="shared" si="7"/>
        <v>18</v>
      </c>
    </row>
    <row r="456" spans="1:13" x14ac:dyDescent="0.35">
      <c r="A456" t="s">
        <v>1508</v>
      </c>
      <c r="B456" t="s">
        <v>174</v>
      </c>
      <c r="C456" t="s">
        <v>1509</v>
      </c>
      <c r="D456" t="s">
        <v>176</v>
      </c>
      <c r="E456" t="s">
        <v>47</v>
      </c>
      <c r="F456" t="s">
        <v>52</v>
      </c>
      <c r="G456">
        <v>5</v>
      </c>
      <c r="H456" t="s">
        <v>177</v>
      </c>
      <c r="I456" t="s">
        <v>52</v>
      </c>
      <c r="J456" t="s">
        <v>1510</v>
      </c>
      <c r="K456" t="s">
        <v>183</v>
      </c>
      <c r="L456" t="s">
        <v>180</v>
      </c>
      <c r="M456" s="3">
        <f t="shared" si="7"/>
        <v>5</v>
      </c>
    </row>
    <row r="457" spans="1:13" x14ac:dyDescent="0.35">
      <c r="A457" t="s">
        <v>1511</v>
      </c>
      <c r="B457" t="s">
        <v>174</v>
      </c>
      <c r="C457" t="s">
        <v>1512</v>
      </c>
      <c r="D457" t="s">
        <v>176</v>
      </c>
      <c r="E457" t="s">
        <v>50</v>
      </c>
      <c r="F457" t="s">
        <v>54</v>
      </c>
      <c r="G457">
        <v>4</v>
      </c>
      <c r="H457" t="s">
        <v>177</v>
      </c>
      <c r="I457" t="s">
        <v>54</v>
      </c>
      <c r="J457" t="s">
        <v>1513</v>
      </c>
      <c r="K457" t="s">
        <v>183</v>
      </c>
      <c r="L457" t="s">
        <v>184</v>
      </c>
      <c r="M457" s="3">
        <f t="shared" si="7"/>
        <v>4</v>
      </c>
    </row>
    <row r="458" spans="1:13" x14ac:dyDescent="0.35">
      <c r="A458" t="s">
        <v>1514</v>
      </c>
      <c r="B458" t="s">
        <v>174</v>
      </c>
      <c r="C458" t="s">
        <v>1515</v>
      </c>
      <c r="D458" t="s">
        <v>190</v>
      </c>
      <c r="E458" t="s">
        <v>30</v>
      </c>
      <c r="F458" t="s">
        <v>54</v>
      </c>
      <c r="G458">
        <v>24</v>
      </c>
      <c r="H458" t="s">
        <v>177</v>
      </c>
      <c r="I458" t="s">
        <v>54</v>
      </c>
      <c r="J458" t="s">
        <v>1516</v>
      </c>
      <c r="K458" t="s">
        <v>192</v>
      </c>
      <c r="L458" t="s">
        <v>180</v>
      </c>
      <c r="M458" s="3">
        <f t="shared" si="7"/>
        <v>24</v>
      </c>
    </row>
    <row r="459" spans="1:13" x14ac:dyDescent="0.35">
      <c r="A459" t="s">
        <v>1517</v>
      </c>
      <c r="B459" t="s">
        <v>174</v>
      </c>
      <c r="C459" t="s">
        <v>1518</v>
      </c>
      <c r="D459" t="s">
        <v>190</v>
      </c>
      <c r="E459" t="s">
        <v>42</v>
      </c>
      <c r="F459" t="s">
        <v>45</v>
      </c>
      <c r="G459">
        <v>2</v>
      </c>
      <c r="H459" t="s">
        <v>177</v>
      </c>
      <c r="I459" t="s">
        <v>45</v>
      </c>
      <c r="J459" t="s">
        <v>1519</v>
      </c>
      <c r="K459" t="s">
        <v>270</v>
      </c>
      <c r="L459" t="s">
        <v>180</v>
      </c>
      <c r="M459" s="3">
        <f t="shared" si="7"/>
        <v>3</v>
      </c>
    </row>
    <row r="460" spans="1:13" x14ac:dyDescent="0.35">
      <c r="A460" t="s">
        <v>1520</v>
      </c>
      <c r="B460" t="s">
        <v>174</v>
      </c>
      <c r="C460" t="s">
        <v>1521</v>
      </c>
      <c r="D460" t="s">
        <v>190</v>
      </c>
      <c r="E460" t="s">
        <v>50</v>
      </c>
      <c r="F460" t="s">
        <v>55</v>
      </c>
      <c r="G460">
        <v>4</v>
      </c>
      <c r="H460" t="s">
        <v>177</v>
      </c>
      <c r="I460" t="s">
        <v>55</v>
      </c>
      <c r="J460" t="s">
        <v>1522</v>
      </c>
      <c r="K460" t="s">
        <v>219</v>
      </c>
      <c r="L460" t="s">
        <v>180</v>
      </c>
      <c r="M460" s="3">
        <f t="shared" si="7"/>
        <v>5</v>
      </c>
    </row>
    <row r="461" spans="1:13" x14ac:dyDescent="0.35">
      <c r="A461" t="s">
        <v>1523</v>
      </c>
      <c r="B461" t="s">
        <v>174</v>
      </c>
      <c r="C461" t="s">
        <v>1524</v>
      </c>
      <c r="D461" t="s">
        <v>190</v>
      </c>
      <c r="E461" t="s">
        <v>49</v>
      </c>
      <c r="F461" t="s">
        <v>56</v>
      </c>
      <c r="G461">
        <v>7</v>
      </c>
      <c r="H461" t="s">
        <v>195</v>
      </c>
      <c r="J461" t="s">
        <v>1525</v>
      </c>
      <c r="K461" t="s">
        <v>183</v>
      </c>
      <c r="L461" t="s">
        <v>184</v>
      </c>
      <c r="M461" s="3" t="str">
        <f t="shared" si="7"/>
        <v/>
      </c>
    </row>
    <row r="462" spans="1:13" x14ac:dyDescent="0.35">
      <c r="A462" t="s">
        <v>1526</v>
      </c>
      <c r="B462" t="s">
        <v>174</v>
      </c>
      <c r="C462" t="s">
        <v>1527</v>
      </c>
      <c r="D462" t="s">
        <v>190</v>
      </c>
      <c r="E462" t="s">
        <v>46</v>
      </c>
      <c r="F462" t="s">
        <v>49</v>
      </c>
      <c r="G462">
        <v>2</v>
      </c>
      <c r="H462" t="s">
        <v>252</v>
      </c>
      <c r="J462" t="s">
        <v>1528</v>
      </c>
      <c r="K462" t="s">
        <v>257</v>
      </c>
      <c r="L462" t="s">
        <v>180</v>
      </c>
      <c r="M462" s="3" t="str">
        <f t="shared" si="7"/>
        <v/>
      </c>
    </row>
    <row r="463" spans="1:13" x14ac:dyDescent="0.35">
      <c r="A463" t="s">
        <v>1529</v>
      </c>
      <c r="B463" t="s">
        <v>174</v>
      </c>
      <c r="C463" t="s">
        <v>1530</v>
      </c>
      <c r="D463" t="s">
        <v>190</v>
      </c>
      <c r="E463" t="s">
        <v>41</v>
      </c>
      <c r="F463" t="s">
        <v>43</v>
      </c>
      <c r="G463">
        <v>2</v>
      </c>
      <c r="H463" t="s">
        <v>177</v>
      </c>
      <c r="I463" t="s">
        <v>44</v>
      </c>
      <c r="J463" t="s">
        <v>1531</v>
      </c>
      <c r="K463" t="s">
        <v>197</v>
      </c>
      <c r="L463" t="s">
        <v>184</v>
      </c>
      <c r="M463" s="3">
        <f t="shared" si="7"/>
        <v>3</v>
      </c>
    </row>
    <row r="464" spans="1:13" x14ac:dyDescent="0.35">
      <c r="A464" t="s">
        <v>1532</v>
      </c>
      <c r="B464" t="s">
        <v>174</v>
      </c>
      <c r="C464" t="s">
        <v>1533</v>
      </c>
      <c r="D464" t="s">
        <v>190</v>
      </c>
      <c r="E464" t="s">
        <v>38</v>
      </c>
      <c r="F464" t="s">
        <v>47</v>
      </c>
      <c r="G464">
        <v>9</v>
      </c>
      <c r="H464" t="s">
        <v>177</v>
      </c>
      <c r="I464" t="s">
        <v>48</v>
      </c>
      <c r="J464" t="s">
        <v>1534</v>
      </c>
      <c r="K464" t="s">
        <v>270</v>
      </c>
      <c r="L464" t="s">
        <v>180</v>
      </c>
      <c r="M464" s="3">
        <f t="shared" si="7"/>
        <v>10</v>
      </c>
    </row>
    <row r="465" spans="1:13" x14ac:dyDescent="0.35">
      <c r="A465" t="s">
        <v>1535</v>
      </c>
      <c r="B465" t="s">
        <v>174</v>
      </c>
      <c r="C465" t="s">
        <v>1536</v>
      </c>
      <c r="D465" t="s">
        <v>190</v>
      </c>
      <c r="E465" t="s">
        <v>37</v>
      </c>
      <c r="F465" t="s">
        <v>55</v>
      </c>
      <c r="G465">
        <v>18</v>
      </c>
      <c r="H465" t="s">
        <v>177</v>
      </c>
      <c r="I465" t="s">
        <v>55</v>
      </c>
      <c r="J465" t="s">
        <v>1537</v>
      </c>
      <c r="K465" t="s">
        <v>192</v>
      </c>
      <c r="L465" t="s">
        <v>180</v>
      </c>
      <c r="M465" s="3">
        <f t="shared" si="7"/>
        <v>18</v>
      </c>
    </row>
    <row r="466" spans="1:13" x14ac:dyDescent="0.35">
      <c r="A466" t="s">
        <v>1538</v>
      </c>
      <c r="B466" t="s">
        <v>174</v>
      </c>
      <c r="C466" t="s">
        <v>1539</v>
      </c>
      <c r="D466" t="s">
        <v>494</v>
      </c>
      <c r="E466" t="s">
        <v>18</v>
      </c>
      <c r="F466" t="s">
        <v>44</v>
      </c>
      <c r="G466">
        <v>26</v>
      </c>
      <c r="H466" t="s">
        <v>177</v>
      </c>
      <c r="I466" t="s">
        <v>44</v>
      </c>
      <c r="J466" t="s">
        <v>1540</v>
      </c>
      <c r="K466" t="s">
        <v>179</v>
      </c>
      <c r="L466" t="s">
        <v>180</v>
      </c>
      <c r="M466" s="3">
        <f t="shared" si="7"/>
        <v>26</v>
      </c>
    </row>
    <row r="467" spans="1:13" x14ac:dyDescent="0.35">
      <c r="A467" t="s">
        <v>1541</v>
      </c>
      <c r="B467" t="s">
        <v>174</v>
      </c>
      <c r="C467" t="s">
        <v>1542</v>
      </c>
      <c r="D467" t="s">
        <v>190</v>
      </c>
      <c r="E467" t="s">
        <v>45</v>
      </c>
      <c r="F467" t="s">
        <v>48</v>
      </c>
      <c r="G467">
        <v>3</v>
      </c>
      <c r="H467" t="s">
        <v>195</v>
      </c>
      <c r="J467" t="s">
        <v>1543</v>
      </c>
      <c r="K467" t="s">
        <v>197</v>
      </c>
      <c r="L467" t="s">
        <v>180</v>
      </c>
      <c r="M467" s="3" t="str">
        <f t="shared" si="7"/>
        <v/>
      </c>
    </row>
    <row r="468" spans="1:13" x14ac:dyDescent="0.35">
      <c r="A468" t="s">
        <v>1544</v>
      </c>
      <c r="B468" t="s">
        <v>174</v>
      </c>
      <c r="C468" t="s">
        <v>1545</v>
      </c>
      <c r="D468" t="s">
        <v>176</v>
      </c>
      <c r="E468" t="s">
        <v>44</v>
      </c>
      <c r="F468" t="s">
        <v>54</v>
      </c>
      <c r="G468">
        <v>10</v>
      </c>
      <c r="H468" t="s">
        <v>177</v>
      </c>
      <c r="I468" t="s">
        <v>54</v>
      </c>
      <c r="J468" t="s">
        <v>1546</v>
      </c>
      <c r="K468" t="s">
        <v>183</v>
      </c>
      <c r="L468" t="s">
        <v>180</v>
      </c>
      <c r="M468" s="3">
        <f t="shared" si="7"/>
        <v>10</v>
      </c>
    </row>
    <row r="469" spans="1:13" x14ac:dyDescent="0.35">
      <c r="A469" t="s">
        <v>1547</v>
      </c>
      <c r="B469" t="s">
        <v>174</v>
      </c>
      <c r="C469" t="s">
        <v>1548</v>
      </c>
      <c r="D469" t="s">
        <v>176</v>
      </c>
      <c r="E469" t="s">
        <v>43</v>
      </c>
      <c r="F469" t="s">
        <v>53</v>
      </c>
      <c r="G469">
        <v>9</v>
      </c>
      <c r="H469" t="s">
        <v>177</v>
      </c>
      <c r="I469" t="s">
        <v>53</v>
      </c>
      <c r="J469" t="s">
        <v>1549</v>
      </c>
      <c r="K469" t="s">
        <v>183</v>
      </c>
      <c r="L469" t="s">
        <v>180</v>
      </c>
      <c r="M469" s="3">
        <f t="shared" si="7"/>
        <v>10</v>
      </c>
    </row>
    <row r="470" spans="1:13" x14ac:dyDescent="0.35">
      <c r="A470" t="s">
        <v>1550</v>
      </c>
      <c r="B470" t="s">
        <v>174</v>
      </c>
      <c r="C470" t="s">
        <v>1551</v>
      </c>
      <c r="D470" t="s">
        <v>190</v>
      </c>
      <c r="E470" t="s">
        <v>43</v>
      </c>
      <c r="F470" t="s">
        <v>50</v>
      </c>
      <c r="G470">
        <v>6</v>
      </c>
      <c r="H470" t="s">
        <v>195</v>
      </c>
      <c r="J470" t="s">
        <v>1552</v>
      </c>
      <c r="K470" t="s">
        <v>183</v>
      </c>
      <c r="L470" t="s">
        <v>180</v>
      </c>
      <c r="M470" s="3" t="str">
        <f t="shared" si="7"/>
        <v/>
      </c>
    </row>
    <row r="471" spans="1:13" x14ac:dyDescent="0.35">
      <c r="A471" t="s">
        <v>1553</v>
      </c>
      <c r="B471" t="s">
        <v>174</v>
      </c>
      <c r="C471" t="s">
        <v>1554</v>
      </c>
      <c r="D471" t="s">
        <v>225</v>
      </c>
      <c r="E471" t="s">
        <v>35</v>
      </c>
      <c r="F471" t="s">
        <v>52</v>
      </c>
      <c r="G471">
        <v>17</v>
      </c>
      <c r="H471" t="s">
        <v>177</v>
      </c>
      <c r="I471" t="s">
        <v>54</v>
      </c>
      <c r="J471" t="s">
        <v>1555</v>
      </c>
      <c r="K471" t="s">
        <v>183</v>
      </c>
      <c r="L471" t="s">
        <v>180</v>
      </c>
      <c r="M471" s="3">
        <f t="shared" si="7"/>
        <v>19</v>
      </c>
    </row>
    <row r="472" spans="1:13" x14ac:dyDescent="0.35">
      <c r="A472" t="s">
        <v>1556</v>
      </c>
      <c r="B472" t="s">
        <v>174</v>
      </c>
      <c r="C472" t="s">
        <v>1557</v>
      </c>
      <c r="D472" t="s">
        <v>190</v>
      </c>
      <c r="E472" t="s">
        <v>47</v>
      </c>
      <c r="F472" t="s">
        <v>49</v>
      </c>
      <c r="G472">
        <v>1</v>
      </c>
      <c r="H472" t="s">
        <v>177</v>
      </c>
      <c r="I472" t="s">
        <v>49</v>
      </c>
      <c r="J472" t="s">
        <v>1558</v>
      </c>
      <c r="K472" t="s">
        <v>197</v>
      </c>
      <c r="L472" t="s">
        <v>180</v>
      </c>
      <c r="M472" s="3">
        <f t="shared" si="7"/>
        <v>2</v>
      </c>
    </row>
    <row r="473" spans="1:13" x14ac:dyDescent="0.35">
      <c r="A473" t="s">
        <v>1559</v>
      </c>
      <c r="B473" t="s">
        <v>174</v>
      </c>
      <c r="C473" t="s">
        <v>1560</v>
      </c>
      <c r="D473" t="s">
        <v>190</v>
      </c>
      <c r="E473" t="s">
        <v>35</v>
      </c>
      <c r="F473" t="s">
        <v>40</v>
      </c>
      <c r="G473">
        <v>5</v>
      </c>
      <c r="H473" t="s">
        <v>177</v>
      </c>
      <c r="I473" t="s">
        <v>40</v>
      </c>
      <c r="J473" t="s">
        <v>1561</v>
      </c>
      <c r="K473" t="s">
        <v>270</v>
      </c>
      <c r="L473" t="s">
        <v>184</v>
      </c>
      <c r="M473" s="3">
        <f t="shared" si="7"/>
        <v>5</v>
      </c>
    </row>
    <row r="474" spans="1:13" x14ac:dyDescent="0.35">
      <c r="A474" t="s">
        <v>1562</v>
      </c>
      <c r="B474" t="s">
        <v>174</v>
      </c>
      <c r="C474" t="s">
        <v>1563</v>
      </c>
      <c r="D474" t="s">
        <v>190</v>
      </c>
      <c r="E474" t="s">
        <v>43</v>
      </c>
      <c r="F474" t="s">
        <v>47</v>
      </c>
      <c r="G474">
        <v>4</v>
      </c>
      <c r="H474" t="s">
        <v>177</v>
      </c>
      <c r="I474" t="s">
        <v>47</v>
      </c>
      <c r="J474" t="s">
        <v>1564</v>
      </c>
      <c r="K474" t="s">
        <v>197</v>
      </c>
      <c r="L474" t="s">
        <v>184</v>
      </c>
      <c r="M474" s="3">
        <f t="shared" si="7"/>
        <v>4</v>
      </c>
    </row>
    <row r="475" spans="1:13" x14ac:dyDescent="0.35">
      <c r="A475" t="s">
        <v>1565</v>
      </c>
      <c r="B475" t="s">
        <v>174</v>
      </c>
      <c r="C475" t="s">
        <v>1566</v>
      </c>
      <c r="D475" t="s">
        <v>190</v>
      </c>
      <c r="E475" t="s">
        <v>34</v>
      </c>
      <c r="F475" t="s">
        <v>43</v>
      </c>
      <c r="G475">
        <v>9</v>
      </c>
      <c r="H475" t="s">
        <v>177</v>
      </c>
      <c r="I475" t="s">
        <v>44</v>
      </c>
      <c r="J475" t="s">
        <v>1567</v>
      </c>
      <c r="K475" t="s">
        <v>183</v>
      </c>
      <c r="L475" t="s">
        <v>180</v>
      </c>
      <c r="M475" s="3">
        <f t="shared" si="7"/>
        <v>10</v>
      </c>
    </row>
    <row r="476" spans="1:13" x14ac:dyDescent="0.35">
      <c r="A476" t="s">
        <v>1568</v>
      </c>
      <c r="B476" t="s">
        <v>174</v>
      </c>
      <c r="C476" t="s">
        <v>1569</v>
      </c>
      <c r="D476" t="s">
        <v>190</v>
      </c>
      <c r="E476" t="s">
        <v>35</v>
      </c>
      <c r="F476" t="s">
        <v>42</v>
      </c>
      <c r="G476">
        <v>6</v>
      </c>
      <c r="H476" t="s">
        <v>177</v>
      </c>
      <c r="I476" t="s">
        <v>42</v>
      </c>
      <c r="J476" t="s">
        <v>1570</v>
      </c>
      <c r="K476" t="s">
        <v>183</v>
      </c>
      <c r="L476" t="s">
        <v>180</v>
      </c>
      <c r="M476" s="3">
        <f t="shared" si="7"/>
        <v>7</v>
      </c>
    </row>
    <row r="477" spans="1:13" x14ac:dyDescent="0.35">
      <c r="A477" t="s">
        <v>1571</v>
      </c>
      <c r="B477" t="s">
        <v>174</v>
      </c>
      <c r="C477" t="s">
        <v>1572</v>
      </c>
      <c r="D477" t="s">
        <v>190</v>
      </c>
      <c r="E477" t="s">
        <v>47</v>
      </c>
      <c r="F477" t="s">
        <v>52</v>
      </c>
      <c r="G477">
        <v>5</v>
      </c>
      <c r="H477" t="s">
        <v>177</v>
      </c>
      <c r="I477" t="s">
        <v>53</v>
      </c>
      <c r="J477" t="s">
        <v>1573</v>
      </c>
      <c r="K477" t="s">
        <v>257</v>
      </c>
      <c r="L477" t="s">
        <v>184</v>
      </c>
      <c r="M477" s="3">
        <f t="shared" si="7"/>
        <v>6</v>
      </c>
    </row>
    <row r="478" spans="1:13" x14ac:dyDescent="0.35">
      <c r="A478" t="s">
        <v>1574</v>
      </c>
      <c r="B478" t="s">
        <v>174</v>
      </c>
      <c r="C478" t="s">
        <v>1575</v>
      </c>
      <c r="D478" t="s">
        <v>225</v>
      </c>
      <c r="E478" t="s">
        <v>34</v>
      </c>
      <c r="F478" t="s">
        <v>40</v>
      </c>
      <c r="G478">
        <v>6</v>
      </c>
      <c r="H478" t="s">
        <v>252</v>
      </c>
      <c r="J478" t="s">
        <v>1576</v>
      </c>
      <c r="K478" t="s">
        <v>192</v>
      </c>
      <c r="L478" t="s">
        <v>180</v>
      </c>
      <c r="M478" s="3" t="str">
        <f t="shared" si="7"/>
        <v/>
      </c>
    </row>
    <row r="479" spans="1:13" x14ac:dyDescent="0.35">
      <c r="A479" t="s">
        <v>1574</v>
      </c>
      <c r="B479" t="s">
        <v>174</v>
      </c>
      <c r="C479" t="s">
        <v>1575</v>
      </c>
      <c r="D479" t="s">
        <v>225</v>
      </c>
      <c r="E479" t="s">
        <v>34</v>
      </c>
      <c r="F479" t="s">
        <v>55</v>
      </c>
      <c r="G479">
        <v>21</v>
      </c>
      <c r="H479" t="s">
        <v>177</v>
      </c>
      <c r="I479" t="s">
        <v>55</v>
      </c>
      <c r="J479" t="s">
        <v>1576</v>
      </c>
      <c r="K479" t="s">
        <v>192</v>
      </c>
      <c r="L479" t="s">
        <v>180</v>
      </c>
      <c r="M479" s="3">
        <f t="shared" si="7"/>
        <v>21</v>
      </c>
    </row>
    <row r="480" spans="1:13" x14ac:dyDescent="0.35">
      <c r="A480" t="s">
        <v>1577</v>
      </c>
      <c r="B480" t="s">
        <v>174</v>
      </c>
      <c r="C480" t="s">
        <v>1578</v>
      </c>
      <c r="D480" t="s">
        <v>190</v>
      </c>
      <c r="E480" t="s">
        <v>45</v>
      </c>
      <c r="F480" t="s">
        <v>47</v>
      </c>
      <c r="G480">
        <v>2</v>
      </c>
      <c r="H480" t="s">
        <v>252</v>
      </c>
      <c r="J480" t="s">
        <v>1579</v>
      </c>
      <c r="K480" t="s">
        <v>197</v>
      </c>
      <c r="L480" t="s">
        <v>180</v>
      </c>
      <c r="M480" s="3" t="str">
        <f t="shared" si="7"/>
        <v/>
      </c>
    </row>
    <row r="481" spans="1:13" x14ac:dyDescent="0.35">
      <c r="A481" t="s">
        <v>1580</v>
      </c>
      <c r="B481" t="s">
        <v>174</v>
      </c>
      <c r="C481" t="s">
        <v>1581</v>
      </c>
      <c r="D481" t="s">
        <v>190</v>
      </c>
      <c r="E481" t="s">
        <v>35</v>
      </c>
      <c r="F481" t="s">
        <v>44</v>
      </c>
      <c r="G481">
        <v>9</v>
      </c>
      <c r="H481" t="s">
        <v>177</v>
      </c>
      <c r="I481" t="s">
        <v>45</v>
      </c>
      <c r="J481" t="s">
        <v>1582</v>
      </c>
      <c r="K481" t="s">
        <v>183</v>
      </c>
      <c r="L481" t="s">
        <v>180</v>
      </c>
      <c r="M481" s="3">
        <f t="shared" si="7"/>
        <v>10</v>
      </c>
    </row>
    <row r="482" spans="1:13" x14ac:dyDescent="0.35">
      <c r="A482" t="s">
        <v>1583</v>
      </c>
      <c r="B482" t="s">
        <v>174</v>
      </c>
      <c r="C482" t="s">
        <v>1584</v>
      </c>
      <c r="D482" t="s">
        <v>190</v>
      </c>
      <c r="E482" t="s">
        <v>37</v>
      </c>
      <c r="F482" t="s">
        <v>45</v>
      </c>
      <c r="G482">
        <v>7</v>
      </c>
      <c r="H482" t="s">
        <v>177</v>
      </c>
      <c r="I482" t="s">
        <v>45</v>
      </c>
      <c r="J482" t="s">
        <v>1585</v>
      </c>
      <c r="K482" t="s">
        <v>270</v>
      </c>
      <c r="L482" t="s">
        <v>184</v>
      </c>
      <c r="M482" s="3">
        <f t="shared" si="7"/>
        <v>8</v>
      </c>
    </row>
    <row r="483" spans="1:13" x14ac:dyDescent="0.35">
      <c r="A483" t="s">
        <v>1586</v>
      </c>
      <c r="B483" t="s">
        <v>174</v>
      </c>
      <c r="C483" t="s">
        <v>1587</v>
      </c>
      <c r="D483" t="s">
        <v>190</v>
      </c>
      <c r="E483" t="s">
        <v>32</v>
      </c>
      <c r="F483" t="s">
        <v>52</v>
      </c>
      <c r="G483">
        <v>20</v>
      </c>
      <c r="H483" t="s">
        <v>177</v>
      </c>
      <c r="I483" t="s">
        <v>52</v>
      </c>
      <c r="J483" t="s">
        <v>1588</v>
      </c>
      <c r="K483" t="s">
        <v>183</v>
      </c>
      <c r="L483" t="s">
        <v>180</v>
      </c>
      <c r="M483" s="3">
        <f t="shared" si="7"/>
        <v>20</v>
      </c>
    </row>
    <row r="484" spans="1:13" x14ac:dyDescent="0.35">
      <c r="A484" t="s">
        <v>1589</v>
      </c>
      <c r="B484" t="s">
        <v>174</v>
      </c>
      <c r="C484" t="s">
        <v>1590</v>
      </c>
      <c r="D484" t="s">
        <v>190</v>
      </c>
      <c r="E484" t="s">
        <v>48</v>
      </c>
      <c r="F484" t="s">
        <v>51</v>
      </c>
      <c r="G484">
        <v>2</v>
      </c>
      <c r="H484" t="s">
        <v>177</v>
      </c>
      <c r="I484" t="s">
        <v>53</v>
      </c>
      <c r="J484" t="s">
        <v>1591</v>
      </c>
      <c r="K484" t="s">
        <v>257</v>
      </c>
      <c r="L484" t="s">
        <v>180</v>
      </c>
      <c r="M484" s="3">
        <f t="shared" si="7"/>
        <v>5</v>
      </c>
    </row>
    <row r="485" spans="1:13" x14ac:dyDescent="0.35">
      <c r="A485" t="s">
        <v>1592</v>
      </c>
      <c r="B485" t="s">
        <v>174</v>
      </c>
      <c r="C485" t="s">
        <v>1593</v>
      </c>
      <c r="D485" t="s">
        <v>190</v>
      </c>
      <c r="E485" t="s">
        <v>46</v>
      </c>
      <c r="F485" t="s">
        <v>52</v>
      </c>
      <c r="G485">
        <v>6</v>
      </c>
      <c r="H485" t="s">
        <v>177</v>
      </c>
      <c r="I485" t="s">
        <v>52</v>
      </c>
      <c r="J485" t="s">
        <v>1246</v>
      </c>
      <c r="K485" t="s">
        <v>257</v>
      </c>
      <c r="L485" t="s">
        <v>184</v>
      </c>
      <c r="M485" s="3">
        <f t="shared" si="7"/>
        <v>6</v>
      </c>
    </row>
    <row r="486" spans="1:13" x14ac:dyDescent="0.35">
      <c r="A486" t="s">
        <v>1594</v>
      </c>
      <c r="B486" t="s">
        <v>174</v>
      </c>
      <c r="C486" t="s">
        <v>1595</v>
      </c>
      <c r="D486" t="s">
        <v>190</v>
      </c>
      <c r="E486" t="s">
        <v>45</v>
      </c>
      <c r="F486" t="s">
        <v>54</v>
      </c>
      <c r="G486">
        <v>9</v>
      </c>
      <c r="H486" t="s">
        <v>177</v>
      </c>
      <c r="I486" t="s">
        <v>54</v>
      </c>
      <c r="J486" t="s">
        <v>1596</v>
      </c>
      <c r="K486" t="s">
        <v>197</v>
      </c>
      <c r="L486" t="s">
        <v>180</v>
      </c>
      <c r="M486" s="3">
        <f t="shared" si="7"/>
        <v>9</v>
      </c>
    </row>
    <row r="487" spans="1:13" x14ac:dyDescent="0.35">
      <c r="A487" t="s">
        <v>1597</v>
      </c>
      <c r="B487" t="s">
        <v>174</v>
      </c>
      <c r="C487" t="s">
        <v>1598</v>
      </c>
      <c r="D487" t="s">
        <v>190</v>
      </c>
      <c r="E487" t="s">
        <v>33</v>
      </c>
      <c r="F487" t="s">
        <v>43</v>
      </c>
      <c r="G487">
        <v>10</v>
      </c>
      <c r="H487" t="s">
        <v>177</v>
      </c>
      <c r="I487" t="s">
        <v>43</v>
      </c>
      <c r="J487" t="s">
        <v>1599</v>
      </c>
      <c r="K487" t="s">
        <v>183</v>
      </c>
      <c r="L487" t="s">
        <v>180</v>
      </c>
      <c r="M487" s="3">
        <f t="shared" si="7"/>
        <v>10</v>
      </c>
    </row>
    <row r="488" spans="1:13" x14ac:dyDescent="0.35">
      <c r="A488" t="s">
        <v>1600</v>
      </c>
      <c r="B488" t="s">
        <v>174</v>
      </c>
      <c r="C488" t="s">
        <v>1601</v>
      </c>
      <c r="D488" t="s">
        <v>190</v>
      </c>
      <c r="E488" t="s">
        <v>46</v>
      </c>
      <c r="F488" t="s">
        <v>48</v>
      </c>
      <c r="G488">
        <v>2</v>
      </c>
      <c r="H488" t="s">
        <v>177</v>
      </c>
      <c r="I488" t="s">
        <v>48</v>
      </c>
      <c r="J488" t="s">
        <v>1519</v>
      </c>
      <c r="K488" t="s">
        <v>270</v>
      </c>
      <c r="L488" t="s">
        <v>180</v>
      </c>
      <c r="M488" s="3">
        <f t="shared" si="7"/>
        <v>2</v>
      </c>
    </row>
    <row r="489" spans="1:13" x14ac:dyDescent="0.35">
      <c r="A489" t="s">
        <v>1602</v>
      </c>
      <c r="B489" t="s">
        <v>174</v>
      </c>
      <c r="C489" t="s">
        <v>1603</v>
      </c>
      <c r="D489" t="s">
        <v>190</v>
      </c>
      <c r="E489" t="s">
        <v>42</v>
      </c>
      <c r="F489" t="s">
        <v>45</v>
      </c>
      <c r="G489">
        <v>3</v>
      </c>
      <c r="H489" t="s">
        <v>177</v>
      </c>
      <c r="I489" t="s">
        <v>46</v>
      </c>
      <c r="J489" t="s">
        <v>1604</v>
      </c>
      <c r="K489" t="s">
        <v>270</v>
      </c>
      <c r="L489" t="s">
        <v>180</v>
      </c>
      <c r="M489" s="3">
        <f t="shared" si="7"/>
        <v>4</v>
      </c>
    </row>
    <row r="490" spans="1:13" x14ac:dyDescent="0.35">
      <c r="A490" t="s">
        <v>1605</v>
      </c>
      <c r="B490" t="s">
        <v>174</v>
      </c>
      <c r="C490" t="s">
        <v>1606</v>
      </c>
      <c r="D490" t="s">
        <v>236</v>
      </c>
      <c r="E490" t="s">
        <v>44</v>
      </c>
      <c r="F490" t="s">
        <v>54</v>
      </c>
      <c r="G490">
        <v>9</v>
      </c>
      <c r="H490" t="s">
        <v>252</v>
      </c>
      <c r="J490" t="s">
        <v>1607</v>
      </c>
      <c r="K490" t="s">
        <v>183</v>
      </c>
      <c r="L490" t="s">
        <v>184</v>
      </c>
      <c r="M490" s="3" t="str">
        <f t="shared" si="7"/>
        <v/>
      </c>
    </row>
    <row r="491" spans="1:13" x14ac:dyDescent="0.35">
      <c r="A491" t="s">
        <v>1608</v>
      </c>
      <c r="B491" t="s">
        <v>174</v>
      </c>
      <c r="C491" t="s">
        <v>1609</v>
      </c>
      <c r="D491" t="s">
        <v>190</v>
      </c>
      <c r="E491" t="s">
        <v>42</v>
      </c>
      <c r="F491" t="s">
        <v>56</v>
      </c>
      <c r="G491">
        <v>14</v>
      </c>
      <c r="H491" t="s">
        <v>177</v>
      </c>
      <c r="I491" t="s">
        <v>56</v>
      </c>
      <c r="J491" t="s">
        <v>1610</v>
      </c>
      <c r="K491" t="s">
        <v>270</v>
      </c>
      <c r="L491" t="s">
        <v>180</v>
      </c>
      <c r="M491" s="3">
        <f t="shared" si="7"/>
        <v>14</v>
      </c>
    </row>
    <row r="492" spans="1:13" x14ac:dyDescent="0.35">
      <c r="A492" t="s">
        <v>1611</v>
      </c>
      <c r="B492" t="s">
        <v>174</v>
      </c>
      <c r="C492" t="s">
        <v>1612</v>
      </c>
      <c r="D492" t="s">
        <v>225</v>
      </c>
      <c r="E492" t="s">
        <v>31</v>
      </c>
      <c r="F492" t="s">
        <v>41</v>
      </c>
      <c r="G492">
        <v>10</v>
      </c>
      <c r="H492" t="s">
        <v>177</v>
      </c>
      <c r="I492" t="s">
        <v>41</v>
      </c>
      <c r="J492" t="s">
        <v>1613</v>
      </c>
      <c r="K492" t="s">
        <v>183</v>
      </c>
      <c r="L492" t="s">
        <v>180</v>
      </c>
      <c r="M492" s="3">
        <f t="shared" si="7"/>
        <v>10</v>
      </c>
    </row>
    <row r="493" spans="1:13" x14ac:dyDescent="0.35">
      <c r="A493" t="s">
        <v>1614</v>
      </c>
      <c r="B493" t="s">
        <v>174</v>
      </c>
      <c r="C493" t="s">
        <v>1615</v>
      </c>
      <c r="D493" t="s">
        <v>190</v>
      </c>
      <c r="E493" t="s">
        <v>42</v>
      </c>
      <c r="F493" t="s">
        <v>47</v>
      </c>
      <c r="G493">
        <v>5</v>
      </c>
      <c r="H493" t="s">
        <v>177</v>
      </c>
      <c r="I493" t="s">
        <v>47</v>
      </c>
      <c r="J493" t="s">
        <v>1616</v>
      </c>
      <c r="K493" t="s">
        <v>257</v>
      </c>
      <c r="L493" t="s">
        <v>180</v>
      </c>
      <c r="M493" s="3">
        <f t="shared" si="7"/>
        <v>5</v>
      </c>
    </row>
    <row r="494" spans="1:13" x14ac:dyDescent="0.35">
      <c r="A494" t="s">
        <v>1617</v>
      </c>
      <c r="B494" t="s">
        <v>174</v>
      </c>
      <c r="C494" t="s">
        <v>1618</v>
      </c>
      <c r="D494" t="s">
        <v>176</v>
      </c>
      <c r="E494" t="s">
        <v>50</v>
      </c>
      <c r="F494" t="s">
        <v>54</v>
      </c>
      <c r="G494">
        <v>4</v>
      </c>
      <c r="H494" t="s">
        <v>177</v>
      </c>
      <c r="I494" t="s">
        <v>54</v>
      </c>
      <c r="J494" t="s">
        <v>1619</v>
      </c>
      <c r="K494" t="s">
        <v>183</v>
      </c>
      <c r="L494" t="s">
        <v>184</v>
      </c>
      <c r="M494" s="3">
        <f t="shared" si="7"/>
        <v>4</v>
      </c>
    </row>
    <row r="495" spans="1:13" x14ac:dyDescent="0.35">
      <c r="A495" t="s">
        <v>1620</v>
      </c>
      <c r="B495" t="s">
        <v>174</v>
      </c>
      <c r="C495" t="s">
        <v>1621</v>
      </c>
      <c r="D495" t="s">
        <v>176</v>
      </c>
      <c r="E495" t="s">
        <v>49</v>
      </c>
      <c r="F495" t="s">
        <v>52</v>
      </c>
      <c r="G495">
        <v>3</v>
      </c>
      <c r="H495" t="s">
        <v>177</v>
      </c>
      <c r="I495" t="s">
        <v>52</v>
      </c>
      <c r="J495" t="s">
        <v>1622</v>
      </c>
      <c r="K495" t="s">
        <v>183</v>
      </c>
      <c r="L495" t="s">
        <v>180</v>
      </c>
      <c r="M495" s="3">
        <f t="shared" si="7"/>
        <v>3</v>
      </c>
    </row>
    <row r="496" spans="1:13" x14ac:dyDescent="0.35">
      <c r="A496" t="s">
        <v>1623</v>
      </c>
      <c r="B496" t="s">
        <v>174</v>
      </c>
      <c r="C496" t="s">
        <v>1624</v>
      </c>
      <c r="D496" t="s">
        <v>190</v>
      </c>
      <c r="E496" t="s">
        <v>46</v>
      </c>
      <c r="F496" t="s">
        <v>48</v>
      </c>
      <c r="G496">
        <v>2</v>
      </c>
      <c r="H496" t="s">
        <v>195</v>
      </c>
      <c r="J496" t="s">
        <v>1625</v>
      </c>
      <c r="K496" t="s">
        <v>270</v>
      </c>
      <c r="L496" t="s">
        <v>180</v>
      </c>
      <c r="M496" s="3" t="str">
        <f t="shared" si="7"/>
        <v/>
      </c>
    </row>
    <row r="497" spans="1:13" x14ac:dyDescent="0.35">
      <c r="A497" t="s">
        <v>1626</v>
      </c>
      <c r="B497" t="s">
        <v>174</v>
      </c>
      <c r="C497" t="s">
        <v>1627</v>
      </c>
      <c r="D497" t="s">
        <v>190</v>
      </c>
      <c r="E497" t="s">
        <v>23</v>
      </c>
      <c r="F497" t="s">
        <v>44</v>
      </c>
      <c r="G497">
        <v>21</v>
      </c>
      <c r="H497" t="s">
        <v>177</v>
      </c>
      <c r="I497" t="s">
        <v>44</v>
      </c>
      <c r="J497" t="s">
        <v>1628</v>
      </c>
      <c r="K497" t="s">
        <v>377</v>
      </c>
      <c r="L497" t="s">
        <v>180</v>
      </c>
      <c r="M497" s="3">
        <f t="shared" si="7"/>
        <v>21</v>
      </c>
    </row>
    <row r="498" spans="1:13" x14ac:dyDescent="0.35">
      <c r="A498" t="s">
        <v>1629</v>
      </c>
      <c r="B498" t="s">
        <v>174</v>
      </c>
      <c r="C498" t="s">
        <v>1630</v>
      </c>
      <c r="D498" t="s">
        <v>225</v>
      </c>
      <c r="E498" t="s">
        <v>1631</v>
      </c>
      <c r="F498" t="s">
        <v>40</v>
      </c>
      <c r="G498">
        <v>36</v>
      </c>
      <c r="H498" t="s">
        <v>177</v>
      </c>
      <c r="I498" t="s">
        <v>41</v>
      </c>
      <c r="J498" t="s">
        <v>1632</v>
      </c>
      <c r="K498" t="s">
        <v>183</v>
      </c>
      <c r="L498" t="s">
        <v>180</v>
      </c>
      <c r="M498" s="3">
        <f t="shared" si="7"/>
        <v>36</v>
      </c>
    </row>
    <row r="499" spans="1:13" x14ac:dyDescent="0.35">
      <c r="A499" t="s">
        <v>1633</v>
      </c>
      <c r="B499" t="s">
        <v>174</v>
      </c>
      <c r="C499" t="s">
        <v>1634</v>
      </c>
      <c r="D499" t="s">
        <v>190</v>
      </c>
      <c r="E499" t="s">
        <v>35</v>
      </c>
      <c r="F499" t="s">
        <v>43</v>
      </c>
      <c r="G499">
        <v>8</v>
      </c>
      <c r="H499" t="s">
        <v>177</v>
      </c>
      <c r="I499" t="s">
        <v>43</v>
      </c>
      <c r="J499" t="s">
        <v>1635</v>
      </c>
      <c r="K499" t="s">
        <v>377</v>
      </c>
      <c r="L499" t="s">
        <v>180</v>
      </c>
      <c r="M499" s="3">
        <f t="shared" si="7"/>
        <v>8</v>
      </c>
    </row>
    <row r="500" spans="1:13" x14ac:dyDescent="0.35">
      <c r="A500" t="s">
        <v>1636</v>
      </c>
      <c r="B500" t="s">
        <v>174</v>
      </c>
      <c r="C500" t="s">
        <v>1637</v>
      </c>
      <c r="D500" t="s">
        <v>190</v>
      </c>
      <c r="E500" t="s">
        <v>46</v>
      </c>
      <c r="F500" t="s">
        <v>54</v>
      </c>
      <c r="G500">
        <v>7</v>
      </c>
      <c r="H500" t="s">
        <v>177</v>
      </c>
      <c r="I500" t="s">
        <v>54</v>
      </c>
      <c r="J500" t="s">
        <v>1638</v>
      </c>
      <c r="K500" t="s">
        <v>197</v>
      </c>
      <c r="L500" t="s">
        <v>180</v>
      </c>
      <c r="M500" s="3">
        <f t="shared" si="7"/>
        <v>8</v>
      </c>
    </row>
    <row r="501" spans="1:13" x14ac:dyDescent="0.35">
      <c r="A501" t="s">
        <v>1639</v>
      </c>
      <c r="B501" t="s">
        <v>174</v>
      </c>
      <c r="C501" t="s">
        <v>1640</v>
      </c>
      <c r="D501" t="s">
        <v>190</v>
      </c>
      <c r="E501" t="s">
        <v>49</v>
      </c>
      <c r="F501" t="s">
        <v>54</v>
      </c>
      <c r="G501">
        <v>6</v>
      </c>
      <c r="H501" t="s">
        <v>177</v>
      </c>
      <c r="I501" t="s">
        <v>55</v>
      </c>
      <c r="J501" t="s">
        <v>1641</v>
      </c>
      <c r="K501" t="s">
        <v>257</v>
      </c>
      <c r="L501" t="s">
        <v>184</v>
      </c>
      <c r="M501" s="3">
        <f t="shared" si="7"/>
        <v>6</v>
      </c>
    </row>
    <row r="502" spans="1:13" x14ac:dyDescent="0.35">
      <c r="A502" t="s">
        <v>1642</v>
      </c>
      <c r="B502" t="s">
        <v>174</v>
      </c>
      <c r="C502" t="s">
        <v>1643</v>
      </c>
      <c r="D502" t="s">
        <v>176</v>
      </c>
      <c r="E502" t="s">
        <v>31</v>
      </c>
      <c r="F502" t="s">
        <v>49</v>
      </c>
      <c r="G502">
        <v>18</v>
      </c>
      <c r="H502" t="s">
        <v>252</v>
      </c>
      <c r="J502" t="s">
        <v>1644</v>
      </c>
      <c r="K502" t="s">
        <v>183</v>
      </c>
      <c r="L502" t="s">
        <v>180</v>
      </c>
      <c r="M502" s="3" t="str">
        <f t="shared" si="7"/>
        <v/>
      </c>
    </row>
    <row r="503" spans="1:13" x14ac:dyDescent="0.35">
      <c r="A503" t="s">
        <v>1645</v>
      </c>
      <c r="B503" t="s">
        <v>174</v>
      </c>
      <c r="C503" t="s">
        <v>1646</v>
      </c>
      <c r="D503" t="s">
        <v>190</v>
      </c>
      <c r="E503" t="s">
        <v>51</v>
      </c>
      <c r="F503" t="s">
        <v>55</v>
      </c>
      <c r="G503">
        <v>4</v>
      </c>
      <c r="H503" t="s">
        <v>177</v>
      </c>
      <c r="I503" t="s">
        <v>56</v>
      </c>
      <c r="J503" t="s">
        <v>1647</v>
      </c>
      <c r="K503" t="s">
        <v>183</v>
      </c>
      <c r="L503" t="s">
        <v>180</v>
      </c>
      <c r="M503" s="3">
        <f t="shared" si="7"/>
        <v>5</v>
      </c>
    </row>
    <row r="504" spans="1:13" x14ac:dyDescent="0.35">
      <c r="A504" t="s">
        <v>1648</v>
      </c>
      <c r="B504" t="s">
        <v>174</v>
      </c>
      <c r="C504" t="s">
        <v>1649</v>
      </c>
      <c r="D504" t="s">
        <v>190</v>
      </c>
      <c r="E504" t="s">
        <v>44</v>
      </c>
      <c r="F504" t="s">
        <v>49</v>
      </c>
      <c r="G504">
        <v>4</v>
      </c>
      <c r="H504" t="s">
        <v>195</v>
      </c>
      <c r="J504" t="s">
        <v>1650</v>
      </c>
      <c r="K504" t="s">
        <v>197</v>
      </c>
      <c r="L504" t="s">
        <v>180</v>
      </c>
      <c r="M504" s="3" t="str">
        <f t="shared" si="7"/>
        <v/>
      </c>
    </row>
    <row r="505" spans="1:13" x14ac:dyDescent="0.35">
      <c r="A505" t="s">
        <v>1651</v>
      </c>
      <c r="B505" t="s">
        <v>174</v>
      </c>
      <c r="C505" t="s">
        <v>1652</v>
      </c>
      <c r="D505" t="s">
        <v>190</v>
      </c>
      <c r="E505" t="s">
        <v>42</v>
      </c>
      <c r="F505" t="s">
        <v>44</v>
      </c>
      <c r="G505">
        <v>2</v>
      </c>
      <c r="H505" t="s">
        <v>177</v>
      </c>
      <c r="I505" t="s">
        <v>44</v>
      </c>
      <c r="J505" t="s">
        <v>1653</v>
      </c>
      <c r="K505" t="s">
        <v>270</v>
      </c>
      <c r="L505" t="s">
        <v>184</v>
      </c>
      <c r="M505" s="3">
        <f t="shared" si="7"/>
        <v>2</v>
      </c>
    </row>
    <row r="506" spans="1:13" x14ac:dyDescent="0.35">
      <c r="A506" t="s">
        <v>1654</v>
      </c>
      <c r="B506" t="s">
        <v>174</v>
      </c>
      <c r="C506" t="s">
        <v>1655</v>
      </c>
      <c r="D506" t="s">
        <v>190</v>
      </c>
      <c r="E506" t="s">
        <v>46</v>
      </c>
      <c r="F506" t="s">
        <v>49</v>
      </c>
      <c r="G506">
        <v>3</v>
      </c>
      <c r="H506" t="s">
        <v>195</v>
      </c>
      <c r="J506" t="s">
        <v>1656</v>
      </c>
      <c r="K506" t="s">
        <v>257</v>
      </c>
      <c r="L506" t="s">
        <v>180</v>
      </c>
      <c r="M506" s="3" t="str">
        <f t="shared" si="7"/>
        <v/>
      </c>
    </row>
    <row r="507" spans="1:13" x14ac:dyDescent="0.35">
      <c r="A507" t="s">
        <v>1657</v>
      </c>
      <c r="B507" t="s">
        <v>174</v>
      </c>
      <c r="C507" t="s">
        <v>1658</v>
      </c>
      <c r="D507" t="s">
        <v>190</v>
      </c>
      <c r="E507" t="s">
        <v>37</v>
      </c>
      <c r="F507" t="s">
        <v>52</v>
      </c>
      <c r="G507">
        <v>15</v>
      </c>
      <c r="H507" t="s">
        <v>177</v>
      </c>
      <c r="I507" t="s">
        <v>53</v>
      </c>
      <c r="J507" t="s">
        <v>1659</v>
      </c>
      <c r="K507" t="s">
        <v>183</v>
      </c>
      <c r="L507" t="s">
        <v>180</v>
      </c>
      <c r="M507" s="3">
        <f t="shared" si="7"/>
        <v>16</v>
      </c>
    </row>
    <row r="508" spans="1:13" x14ac:dyDescent="0.35">
      <c r="A508" t="s">
        <v>1660</v>
      </c>
      <c r="B508" t="s">
        <v>174</v>
      </c>
      <c r="C508" t="s">
        <v>1661</v>
      </c>
      <c r="D508" t="s">
        <v>190</v>
      </c>
      <c r="E508" t="s">
        <v>38</v>
      </c>
      <c r="F508" t="s">
        <v>42</v>
      </c>
      <c r="G508">
        <v>4</v>
      </c>
      <c r="H508" t="s">
        <v>177</v>
      </c>
      <c r="I508" t="s">
        <v>42</v>
      </c>
      <c r="J508" t="s">
        <v>1662</v>
      </c>
      <c r="K508" t="s">
        <v>270</v>
      </c>
      <c r="L508" t="s">
        <v>184</v>
      </c>
      <c r="M508" s="3">
        <f t="shared" si="7"/>
        <v>4</v>
      </c>
    </row>
    <row r="509" spans="1:13" x14ac:dyDescent="0.35">
      <c r="A509" t="s">
        <v>1663</v>
      </c>
      <c r="B509" t="s">
        <v>174</v>
      </c>
      <c r="C509" t="s">
        <v>1664</v>
      </c>
      <c r="D509" t="s">
        <v>190</v>
      </c>
      <c r="E509" t="s">
        <v>49</v>
      </c>
      <c r="F509" t="s">
        <v>56</v>
      </c>
      <c r="G509">
        <v>7</v>
      </c>
      <c r="H509" t="s">
        <v>177</v>
      </c>
      <c r="I509" t="s">
        <v>56</v>
      </c>
      <c r="J509" t="s">
        <v>1665</v>
      </c>
      <c r="K509" t="s">
        <v>257</v>
      </c>
      <c r="L509" t="s">
        <v>180</v>
      </c>
      <c r="M509" s="3">
        <f t="shared" si="7"/>
        <v>7</v>
      </c>
    </row>
    <row r="510" spans="1:13" x14ac:dyDescent="0.35">
      <c r="A510" t="s">
        <v>1666</v>
      </c>
      <c r="B510" t="s">
        <v>174</v>
      </c>
      <c r="C510" t="s">
        <v>1667</v>
      </c>
      <c r="D510" t="s">
        <v>190</v>
      </c>
      <c r="E510" t="s">
        <v>41</v>
      </c>
      <c r="F510" t="s">
        <v>43</v>
      </c>
      <c r="G510">
        <v>2</v>
      </c>
      <c r="H510" t="s">
        <v>177</v>
      </c>
      <c r="I510" t="s">
        <v>44</v>
      </c>
      <c r="J510" t="s">
        <v>1232</v>
      </c>
      <c r="K510" t="s">
        <v>197</v>
      </c>
      <c r="L510" t="s">
        <v>184</v>
      </c>
      <c r="M510" s="3">
        <f t="shared" si="7"/>
        <v>3</v>
      </c>
    </row>
    <row r="511" spans="1:13" x14ac:dyDescent="0.35">
      <c r="A511" t="s">
        <v>1668</v>
      </c>
      <c r="B511" t="s">
        <v>174</v>
      </c>
      <c r="C511" t="s">
        <v>1669</v>
      </c>
      <c r="D511" t="s">
        <v>190</v>
      </c>
      <c r="E511" t="s">
        <v>18</v>
      </c>
      <c r="F511" t="s">
        <v>43</v>
      </c>
      <c r="G511">
        <v>24</v>
      </c>
      <c r="H511" t="s">
        <v>177</v>
      </c>
      <c r="I511" t="s">
        <v>43</v>
      </c>
      <c r="J511" t="s">
        <v>1670</v>
      </c>
      <c r="K511" t="s">
        <v>179</v>
      </c>
      <c r="L511" t="s">
        <v>180</v>
      </c>
      <c r="M511" s="3">
        <f t="shared" si="7"/>
        <v>25</v>
      </c>
    </row>
    <row r="512" spans="1:13" x14ac:dyDescent="0.35">
      <c r="A512" t="s">
        <v>1671</v>
      </c>
      <c r="B512" t="s">
        <v>174</v>
      </c>
      <c r="C512" t="s">
        <v>1672</v>
      </c>
      <c r="D512" t="s">
        <v>190</v>
      </c>
      <c r="E512" t="s">
        <v>48</v>
      </c>
      <c r="F512" t="s">
        <v>56</v>
      </c>
      <c r="G512">
        <v>7</v>
      </c>
      <c r="H512" t="s">
        <v>195</v>
      </c>
      <c r="J512" t="s">
        <v>1673</v>
      </c>
      <c r="K512" t="s">
        <v>257</v>
      </c>
      <c r="L512" t="s">
        <v>180</v>
      </c>
      <c r="M512" s="3" t="str">
        <f t="shared" si="7"/>
        <v/>
      </c>
    </row>
    <row r="513" spans="1:13" x14ac:dyDescent="0.35">
      <c r="A513" t="s">
        <v>1674</v>
      </c>
      <c r="B513" t="s">
        <v>174</v>
      </c>
      <c r="C513" t="s">
        <v>1675</v>
      </c>
      <c r="D513" t="s">
        <v>190</v>
      </c>
      <c r="E513" t="s">
        <v>39</v>
      </c>
      <c r="F513" t="s">
        <v>47</v>
      </c>
      <c r="G513">
        <v>8</v>
      </c>
      <c r="H513" t="s">
        <v>177</v>
      </c>
      <c r="I513" t="s">
        <v>47</v>
      </c>
      <c r="J513" t="s">
        <v>1676</v>
      </c>
      <c r="K513" t="s">
        <v>270</v>
      </c>
      <c r="L513" t="s">
        <v>180</v>
      </c>
      <c r="M513" s="3">
        <f t="shared" si="7"/>
        <v>8</v>
      </c>
    </row>
    <row r="514" spans="1:13" x14ac:dyDescent="0.35">
      <c r="A514" t="s">
        <v>1677</v>
      </c>
      <c r="B514" t="s">
        <v>174</v>
      </c>
      <c r="C514" t="s">
        <v>1678</v>
      </c>
      <c r="D514" t="s">
        <v>190</v>
      </c>
      <c r="E514" t="s">
        <v>40</v>
      </c>
      <c r="F514" t="s">
        <v>42</v>
      </c>
      <c r="G514">
        <v>2</v>
      </c>
      <c r="H514" t="s">
        <v>177</v>
      </c>
      <c r="I514" t="s">
        <v>42</v>
      </c>
      <c r="J514" t="s">
        <v>1679</v>
      </c>
      <c r="K514" t="s">
        <v>270</v>
      </c>
      <c r="L514" t="s">
        <v>184</v>
      </c>
      <c r="M514" s="3">
        <f t="shared" si="7"/>
        <v>2</v>
      </c>
    </row>
    <row r="515" spans="1:13" x14ac:dyDescent="0.35">
      <c r="A515" t="s">
        <v>1680</v>
      </c>
      <c r="B515" t="s">
        <v>174</v>
      </c>
      <c r="C515" t="s">
        <v>1681</v>
      </c>
      <c r="D515" t="s">
        <v>190</v>
      </c>
      <c r="E515" t="s">
        <v>42</v>
      </c>
      <c r="F515" t="s">
        <v>45</v>
      </c>
      <c r="G515">
        <v>3</v>
      </c>
      <c r="H515" t="s">
        <v>177</v>
      </c>
      <c r="I515" t="s">
        <v>45</v>
      </c>
      <c r="J515" t="s">
        <v>1682</v>
      </c>
      <c r="K515" t="s">
        <v>197</v>
      </c>
      <c r="L515" t="s">
        <v>184</v>
      </c>
      <c r="M515" s="3">
        <f t="shared" ref="M515:M578" si="8">IF(H515="Efectivo",IFERROR((VALUE(RIGHT(I515,4))-VALUE(RIGHT(E515,4)))*12+(VALUE(LEFT(I515,2))-VALUE(LEFT(E515,2))),""),"")</f>
        <v>3</v>
      </c>
    </row>
    <row r="516" spans="1:13" x14ac:dyDescent="0.35">
      <c r="A516" t="s">
        <v>1683</v>
      </c>
      <c r="B516" t="s">
        <v>174</v>
      </c>
      <c r="C516" t="s">
        <v>1684</v>
      </c>
      <c r="D516" t="s">
        <v>494</v>
      </c>
      <c r="E516" t="s">
        <v>23</v>
      </c>
      <c r="F516" t="s">
        <v>44</v>
      </c>
      <c r="G516">
        <v>21</v>
      </c>
      <c r="H516" t="s">
        <v>177</v>
      </c>
      <c r="I516" t="s">
        <v>45</v>
      </c>
      <c r="J516" t="s">
        <v>1685</v>
      </c>
      <c r="K516" t="s">
        <v>183</v>
      </c>
      <c r="L516" t="s">
        <v>180</v>
      </c>
      <c r="M516" s="3">
        <f t="shared" si="8"/>
        <v>22</v>
      </c>
    </row>
    <row r="517" spans="1:13" x14ac:dyDescent="0.35">
      <c r="A517" t="s">
        <v>1686</v>
      </c>
      <c r="B517" t="s">
        <v>174</v>
      </c>
      <c r="C517" t="s">
        <v>1687</v>
      </c>
      <c r="D517" t="s">
        <v>190</v>
      </c>
      <c r="E517" t="s">
        <v>41</v>
      </c>
      <c r="F517" t="s">
        <v>44</v>
      </c>
      <c r="G517">
        <v>3</v>
      </c>
      <c r="H517" t="s">
        <v>177</v>
      </c>
      <c r="I517" t="s">
        <v>45</v>
      </c>
      <c r="J517" t="s">
        <v>420</v>
      </c>
      <c r="K517" t="s">
        <v>270</v>
      </c>
      <c r="L517" t="s">
        <v>184</v>
      </c>
      <c r="M517" s="3">
        <f t="shared" si="8"/>
        <v>4</v>
      </c>
    </row>
    <row r="518" spans="1:13" x14ac:dyDescent="0.35">
      <c r="A518" t="s">
        <v>1688</v>
      </c>
      <c r="B518" t="s">
        <v>174</v>
      </c>
      <c r="C518" t="s">
        <v>1689</v>
      </c>
      <c r="D518" t="s">
        <v>190</v>
      </c>
      <c r="E518" t="s">
        <v>42</v>
      </c>
      <c r="F518" t="s">
        <v>53</v>
      </c>
      <c r="G518">
        <v>11</v>
      </c>
      <c r="H518" t="s">
        <v>195</v>
      </c>
      <c r="J518" t="s">
        <v>1690</v>
      </c>
      <c r="K518" t="s">
        <v>197</v>
      </c>
      <c r="L518" t="s">
        <v>180</v>
      </c>
      <c r="M518" s="3" t="str">
        <f t="shared" si="8"/>
        <v/>
      </c>
    </row>
    <row r="519" spans="1:13" x14ac:dyDescent="0.35">
      <c r="A519" t="s">
        <v>1691</v>
      </c>
      <c r="B519" t="s">
        <v>174</v>
      </c>
      <c r="C519" t="s">
        <v>1692</v>
      </c>
      <c r="D519" t="s">
        <v>190</v>
      </c>
      <c r="E519" t="s">
        <v>45</v>
      </c>
      <c r="F519" t="s">
        <v>47</v>
      </c>
      <c r="G519">
        <v>2</v>
      </c>
      <c r="H519" t="s">
        <v>177</v>
      </c>
      <c r="I519" t="s">
        <v>48</v>
      </c>
      <c r="J519" t="s">
        <v>1693</v>
      </c>
      <c r="K519" t="s">
        <v>257</v>
      </c>
      <c r="L519" t="s">
        <v>184</v>
      </c>
      <c r="M519" s="3">
        <f t="shared" si="8"/>
        <v>3</v>
      </c>
    </row>
    <row r="520" spans="1:13" x14ac:dyDescent="0.35">
      <c r="A520" t="s">
        <v>1694</v>
      </c>
      <c r="B520" t="s">
        <v>174</v>
      </c>
      <c r="C520" t="s">
        <v>1695</v>
      </c>
      <c r="D520" t="s">
        <v>176</v>
      </c>
      <c r="E520" t="s">
        <v>49</v>
      </c>
      <c r="F520" t="s">
        <v>55</v>
      </c>
      <c r="G520">
        <v>6</v>
      </c>
      <c r="H520" t="s">
        <v>177</v>
      </c>
      <c r="I520" t="s">
        <v>55</v>
      </c>
      <c r="J520" t="s">
        <v>1696</v>
      </c>
      <c r="K520" t="s">
        <v>183</v>
      </c>
      <c r="L520" t="s">
        <v>180</v>
      </c>
      <c r="M520" s="3">
        <f t="shared" si="8"/>
        <v>6</v>
      </c>
    </row>
    <row r="521" spans="1:13" x14ac:dyDescent="0.35">
      <c r="A521" t="s">
        <v>1697</v>
      </c>
      <c r="B521" t="s">
        <v>174</v>
      </c>
      <c r="C521" t="s">
        <v>1698</v>
      </c>
      <c r="D521" t="s">
        <v>225</v>
      </c>
      <c r="E521" t="s">
        <v>30</v>
      </c>
      <c r="F521" t="s">
        <v>51</v>
      </c>
      <c r="G521">
        <v>22</v>
      </c>
      <c r="H521" t="s">
        <v>177</v>
      </c>
      <c r="I521" t="s">
        <v>52</v>
      </c>
      <c r="J521" t="s">
        <v>1699</v>
      </c>
      <c r="K521" t="s">
        <v>183</v>
      </c>
      <c r="L521" t="s">
        <v>180</v>
      </c>
      <c r="M521" s="3">
        <f t="shared" si="8"/>
        <v>22</v>
      </c>
    </row>
    <row r="522" spans="1:13" x14ac:dyDescent="0.35">
      <c r="A522" t="s">
        <v>1700</v>
      </c>
      <c r="B522" t="s">
        <v>174</v>
      </c>
      <c r="C522" t="s">
        <v>1701</v>
      </c>
      <c r="D522" t="s">
        <v>190</v>
      </c>
      <c r="E522" t="s">
        <v>50</v>
      </c>
      <c r="F522" t="s">
        <v>53</v>
      </c>
      <c r="G522">
        <v>3</v>
      </c>
      <c r="H522" t="s">
        <v>177</v>
      </c>
      <c r="I522" t="s">
        <v>53</v>
      </c>
      <c r="J522" t="s">
        <v>1702</v>
      </c>
      <c r="K522" t="s">
        <v>197</v>
      </c>
      <c r="L522" t="s">
        <v>180</v>
      </c>
      <c r="M522" s="3">
        <f t="shared" si="8"/>
        <v>3</v>
      </c>
    </row>
    <row r="523" spans="1:13" x14ac:dyDescent="0.35">
      <c r="A523" t="s">
        <v>1703</v>
      </c>
      <c r="B523" t="s">
        <v>174</v>
      </c>
      <c r="C523" t="s">
        <v>1704</v>
      </c>
      <c r="D523" t="s">
        <v>176</v>
      </c>
      <c r="E523" t="s">
        <v>27</v>
      </c>
      <c r="F523" t="s">
        <v>42</v>
      </c>
      <c r="G523">
        <v>15</v>
      </c>
      <c r="H523" t="s">
        <v>177</v>
      </c>
      <c r="I523" t="s">
        <v>42</v>
      </c>
      <c r="J523" t="s">
        <v>1705</v>
      </c>
      <c r="K523" t="s">
        <v>183</v>
      </c>
      <c r="L523" t="s">
        <v>180</v>
      </c>
      <c r="M523" s="3">
        <f t="shared" si="8"/>
        <v>15</v>
      </c>
    </row>
    <row r="524" spans="1:13" x14ac:dyDescent="0.35">
      <c r="A524" t="s">
        <v>1706</v>
      </c>
      <c r="B524" t="s">
        <v>174</v>
      </c>
      <c r="C524" t="s">
        <v>1707</v>
      </c>
      <c r="D524" t="s">
        <v>190</v>
      </c>
      <c r="E524" t="s">
        <v>40</v>
      </c>
      <c r="F524" t="s">
        <v>45</v>
      </c>
      <c r="G524">
        <v>4</v>
      </c>
      <c r="H524" t="s">
        <v>177</v>
      </c>
      <c r="I524" t="s">
        <v>45</v>
      </c>
      <c r="J524" t="s">
        <v>1708</v>
      </c>
      <c r="K524" t="s">
        <v>197</v>
      </c>
      <c r="L524" t="s">
        <v>184</v>
      </c>
      <c r="M524" s="3">
        <f t="shared" si="8"/>
        <v>5</v>
      </c>
    </row>
    <row r="525" spans="1:13" x14ac:dyDescent="0.35">
      <c r="A525" t="s">
        <v>1709</v>
      </c>
      <c r="B525" t="s">
        <v>174</v>
      </c>
      <c r="C525" t="s">
        <v>1710</v>
      </c>
      <c r="D525" t="s">
        <v>176</v>
      </c>
      <c r="E525" t="s">
        <v>48</v>
      </c>
      <c r="F525" t="s">
        <v>54</v>
      </c>
      <c r="G525">
        <v>5</v>
      </c>
      <c r="H525" t="s">
        <v>177</v>
      </c>
      <c r="I525" t="s">
        <v>54</v>
      </c>
      <c r="J525" t="s">
        <v>1711</v>
      </c>
      <c r="K525" t="s">
        <v>183</v>
      </c>
      <c r="L525" t="s">
        <v>184</v>
      </c>
      <c r="M525" s="3">
        <f t="shared" si="8"/>
        <v>6</v>
      </c>
    </row>
    <row r="526" spans="1:13" x14ac:dyDescent="0.35">
      <c r="A526" t="s">
        <v>1712</v>
      </c>
      <c r="B526" t="s">
        <v>174</v>
      </c>
      <c r="C526" t="s">
        <v>1713</v>
      </c>
      <c r="D526" t="s">
        <v>190</v>
      </c>
      <c r="E526" t="s">
        <v>38</v>
      </c>
      <c r="F526" t="s">
        <v>45</v>
      </c>
      <c r="G526">
        <v>6</v>
      </c>
      <c r="H526" t="s">
        <v>177</v>
      </c>
      <c r="I526" t="s">
        <v>45</v>
      </c>
      <c r="J526" t="s">
        <v>1714</v>
      </c>
      <c r="K526" t="s">
        <v>270</v>
      </c>
      <c r="L526" t="s">
        <v>180</v>
      </c>
      <c r="M526" s="3">
        <f t="shared" si="8"/>
        <v>7</v>
      </c>
    </row>
    <row r="527" spans="1:13" x14ac:dyDescent="0.35">
      <c r="A527" t="s">
        <v>1715</v>
      </c>
      <c r="B527" t="s">
        <v>174</v>
      </c>
      <c r="C527" t="s">
        <v>1716</v>
      </c>
      <c r="D527" t="s">
        <v>236</v>
      </c>
      <c r="E527" t="s">
        <v>45</v>
      </c>
      <c r="F527" t="s">
        <v>48</v>
      </c>
      <c r="G527">
        <v>3</v>
      </c>
      <c r="H527" t="s">
        <v>195</v>
      </c>
      <c r="J527" t="s">
        <v>1717</v>
      </c>
      <c r="K527" t="s">
        <v>183</v>
      </c>
      <c r="L527" t="s">
        <v>180</v>
      </c>
      <c r="M527" s="3" t="str">
        <f t="shared" si="8"/>
        <v/>
      </c>
    </row>
    <row r="528" spans="1:13" x14ac:dyDescent="0.35">
      <c r="A528" t="s">
        <v>1718</v>
      </c>
      <c r="B528" t="s">
        <v>174</v>
      </c>
      <c r="C528" t="s">
        <v>1719</v>
      </c>
      <c r="D528" t="s">
        <v>190</v>
      </c>
      <c r="E528" t="s">
        <v>51</v>
      </c>
      <c r="F528" t="s">
        <v>55</v>
      </c>
      <c r="G528">
        <v>4</v>
      </c>
      <c r="H528" t="s">
        <v>177</v>
      </c>
      <c r="I528" t="s">
        <v>55</v>
      </c>
      <c r="J528" t="s">
        <v>1720</v>
      </c>
      <c r="K528" t="s">
        <v>183</v>
      </c>
      <c r="L528" t="s">
        <v>184</v>
      </c>
      <c r="M528" s="3">
        <f t="shared" si="8"/>
        <v>4</v>
      </c>
    </row>
    <row r="529" spans="1:13" x14ac:dyDescent="0.35">
      <c r="A529" t="s">
        <v>1721</v>
      </c>
      <c r="B529" t="s">
        <v>174</v>
      </c>
      <c r="C529" t="s">
        <v>1722</v>
      </c>
      <c r="D529" t="s">
        <v>225</v>
      </c>
      <c r="E529" t="s">
        <v>1723</v>
      </c>
      <c r="F529" t="s">
        <v>50</v>
      </c>
      <c r="G529">
        <v>36</v>
      </c>
      <c r="H529" t="s">
        <v>177</v>
      </c>
      <c r="I529" t="s">
        <v>52</v>
      </c>
      <c r="J529" t="s">
        <v>1724</v>
      </c>
      <c r="K529" t="s">
        <v>852</v>
      </c>
      <c r="L529" t="s">
        <v>180</v>
      </c>
      <c r="M529" s="3">
        <f t="shared" si="8"/>
        <v>38</v>
      </c>
    </row>
    <row r="530" spans="1:13" x14ac:dyDescent="0.35">
      <c r="A530" t="s">
        <v>1725</v>
      </c>
      <c r="B530" t="s">
        <v>174</v>
      </c>
      <c r="C530" t="s">
        <v>1726</v>
      </c>
      <c r="D530" t="s">
        <v>236</v>
      </c>
      <c r="E530" t="s">
        <v>49</v>
      </c>
      <c r="F530" t="s">
        <v>51</v>
      </c>
      <c r="G530">
        <v>2</v>
      </c>
      <c r="H530" t="s">
        <v>177</v>
      </c>
      <c r="I530" t="s">
        <v>53</v>
      </c>
      <c r="J530" t="s">
        <v>1727</v>
      </c>
      <c r="K530" t="s">
        <v>192</v>
      </c>
      <c r="L530" t="s">
        <v>180</v>
      </c>
      <c r="M530" s="3">
        <f t="shared" si="8"/>
        <v>4</v>
      </c>
    </row>
    <row r="531" spans="1:13" x14ac:dyDescent="0.35">
      <c r="A531" t="s">
        <v>1728</v>
      </c>
      <c r="B531" t="s">
        <v>174</v>
      </c>
      <c r="C531" t="s">
        <v>1729</v>
      </c>
      <c r="D531" t="s">
        <v>190</v>
      </c>
      <c r="E531" t="s">
        <v>43</v>
      </c>
      <c r="F531" t="s">
        <v>54</v>
      </c>
      <c r="G531">
        <v>10</v>
      </c>
      <c r="H531" t="s">
        <v>177</v>
      </c>
      <c r="I531" t="s">
        <v>56</v>
      </c>
      <c r="J531" t="s">
        <v>1730</v>
      </c>
      <c r="K531" t="s">
        <v>197</v>
      </c>
      <c r="L531" t="s">
        <v>180</v>
      </c>
      <c r="M531" s="3">
        <f t="shared" si="8"/>
        <v>13</v>
      </c>
    </row>
    <row r="532" spans="1:13" x14ac:dyDescent="0.35">
      <c r="A532" t="s">
        <v>1731</v>
      </c>
      <c r="B532" t="s">
        <v>174</v>
      </c>
      <c r="C532" t="s">
        <v>1732</v>
      </c>
      <c r="D532" t="s">
        <v>190</v>
      </c>
      <c r="E532" t="s">
        <v>34</v>
      </c>
      <c r="F532" t="s">
        <v>48</v>
      </c>
      <c r="G532">
        <v>14</v>
      </c>
      <c r="H532" t="s">
        <v>195</v>
      </c>
      <c r="J532" t="s">
        <v>1733</v>
      </c>
      <c r="K532" t="s">
        <v>270</v>
      </c>
      <c r="L532" t="s">
        <v>180</v>
      </c>
      <c r="M532" s="3" t="str">
        <f t="shared" si="8"/>
        <v/>
      </c>
    </row>
    <row r="533" spans="1:13" x14ac:dyDescent="0.35">
      <c r="A533" t="s">
        <v>1734</v>
      </c>
      <c r="B533" t="s">
        <v>174</v>
      </c>
      <c r="C533" t="s">
        <v>1735</v>
      </c>
      <c r="D533" t="s">
        <v>190</v>
      </c>
      <c r="E533" t="s">
        <v>42</v>
      </c>
      <c r="F533" t="s">
        <v>54</v>
      </c>
      <c r="G533">
        <v>12</v>
      </c>
      <c r="H533" t="s">
        <v>177</v>
      </c>
      <c r="I533" t="s">
        <v>54</v>
      </c>
      <c r="J533" t="s">
        <v>1736</v>
      </c>
      <c r="K533" t="s">
        <v>270</v>
      </c>
      <c r="L533" t="s">
        <v>180</v>
      </c>
      <c r="M533" s="3">
        <f t="shared" si="8"/>
        <v>12</v>
      </c>
    </row>
    <row r="534" spans="1:13" x14ac:dyDescent="0.35">
      <c r="A534" t="s">
        <v>1737</v>
      </c>
      <c r="B534" t="s">
        <v>174</v>
      </c>
      <c r="C534" t="s">
        <v>1738</v>
      </c>
      <c r="D534" t="s">
        <v>176</v>
      </c>
      <c r="E534" t="s">
        <v>48</v>
      </c>
      <c r="F534" t="s">
        <v>54</v>
      </c>
      <c r="G534">
        <v>6</v>
      </c>
      <c r="H534" t="s">
        <v>177</v>
      </c>
      <c r="I534" t="s">
        <v>54</v>
      </c>
      <c r="J534" t="s">
        <v>1739</v>
      </c>
      <c r="K534" t="s">
        <v>183</v>
      </c>
      <c r="L534" t="s">
        <v>184</v>
      </c>
      <c r="M534" s="3">
        <f t="shared" si="8"/>
        <v>6</v>
      </c>
    </row>
    <row r="535" spans="1:13" x14ac:dyDescent="0.35">
      <c r="A535" t="s">
        <v>1740</v>
      </c>
      <c r="B535" t="s">
        <v>174</v>
      </c>
      <c r="C535" t="s">
        <v>1741</v>
      </c>
      <c r="D535" t="s">
        <v>190</v>
      </c>
      <c r="E535" t="s">
        <v>45</v>
      </c>
      <c r="F535" t="s">
        <v>56</v>
      </c>
      <c r="G535">
        <v>11</v>
      </c>
      <c r="H535" t="s">
        <v>195</v>
      </c>
      <c r="J535" t="s">
        <v>1742</v>
      </c>
      <c r="K535" t="s">
        <v>197</v>
      </c>
      <c r="L535" t="s">
        <v>180</v>
      </c>
      <c r="M535" s="3" t="str">
        <f t="shared" si="8"/>
        <v/>
      </c>
    </row>
    <row r="536" spans="1:13" x14ac:dyDescent="0.35">
      <c r="A536" t="s">
        <v>1743</v>
      </c>
      <c r="B536" t="s">
        <v>174</v>
      </c>
      <c r="C536" t="s">
        <v>1744</v>
      </c>
      <c r="D536" t="s">
        <v>225</v>
      </c>
      <c r="E536" t="s">
        <v>16</v>
      </c>
      <c r="F536" t="s">
        <v>48</v>
      </c>
      <c r="G536">
        <v>33</v>
      </c>
      <c r="H536" t="s">
        <v>252</v>
      </c>
      <c r="J536" t="s">
        <v>1745</v>
      </c>
      <c r="K536" t="s">
        <v>852</v>
      </c>
      <c r="L536" t="s">
        <v>180</v>
      </c>
      <c r="M536" s="3" t="str">
        <f t="shared" si="8"/>
        <v/>
      </c>
    </row>
    <row r="537" spans="1:13" x14ac:dyDescent="0.35">
      <c r="A537" t="s">
        <v>1746</v>
      </c>
      <c r="B537" t="s">
        <v>174</v>
      </c>
      <c r="C537" t="s">
        <v>1747</v>
      </c>
      <c r="D537" t="s">
        <v>190</v>
      </c>
      <c r="E537" t="s">
        <v>40</v>
      </c>
      <c r="F537" t="s">
        <v>48</v>
      </c>
      <c r="G537">
        <v>7</v>
      </c>
      <c r="H537" t="s">
        <v>177</v>
      </c>
      <c r="I537" t="s">
        <v>48</v>
      </c>
      <c r="J537" t="s">
        <v>1748</v>
      </c>
      <c r="K537" t="s">
        <v>183</v>
      </c>
      <c r="L537" t="s">
        <v>180</v>
      </c>
      <c r="M537" s="3">
        <f t="shared" si="8"/>
        <v>8</v>
      </c>
    </row>
    <row r="538" spans="1:13" x14ac:dyDescent="0.35">
      <c r="A538" t="s">
        <v>1749</v>
      </c>
      <c r="B538" t="s">
        <v>174</v>
      </c>
      <c r="C538" t="s">
        <v>1750</v>
      </c>
      <c r="D538" t="s">
        <v>190</v>
      </c>
      <c r="E538" t="s">
        <v>49</v>
      </c>
      <c r="F538" t="s">
        <v>54</v>
      </c>
      <c r="G538">
        <v>5</v>
      </c>
      <c r="H538" t="s">
        <v>177</v>
      </c>
      <c r="I538" t="s">
        <v>54</v>
      </c>
      <c r="J538" t="s">
        <v>1751</v>
      </c>
      <c r="K538" t="s">
        <v>257</v>
      </c>
      <c r="L538" t="s">
        <v>180</v>
      </c>
      <c r="M538" s="3">
        <f t="shared" si="8"/>
        <v>5</v>
      </c>
    </row>
    <row r="539" spans="1:13" x14ac:dyDescent="0.35">
      <c r="A539" t="s">
        <v>1752</v>
      </c>
      <c r="B539" t="s">
        <v>174</v>
      </c>
      <c r="C539" t="s">
        <v>1753</v>
      </c>
      <c r="D539" t="s">
        <v>190</v>
      </c>
      <c r="E539" t="s">
        <v>52</v>
      </c>
      <c r="F539" t="s">
        <v>56</v>
      </c>
      <c r="G539">
        <v>4</v>
      </c>
      <c r="H539" t="s">
        <v>195</v>
      </c>
      <c r="J539" t="s">
        <v>1754</v>
      </c>
      <c r="K539" t="s">
        <v>197</v>
      </c>
      <c r="L539" t="s">
        <v>180</v>
      </c>
      <c r="M539" s="3" t="str">
        <f t="shared" si="8"/>
        <v/>
      </c>
    </row>
    <row r="540" spans="1:13" x14ac:dyDescent="0.35">
      <c r="A540" t="s">
        <v>1755</v>
      </c>
      <c r="B540" t="s">
        <v>174</v>
      </c>
      <c r="C540" t="s">
        <v>1756</v>
      </c>
      <c r="D540" t="s">
        <v>176</v>
      </c>
      <c r="E540" t="s">
        <v>26</v>
      </c>
      <c r="F540" t="s">
        <v>54</v>
      </c>
      <c r="G540">
        <v>28</v>
      </c>
      <c r="H540" t="s">
        <v>177</v>
      </c>
      <c r="I540" t="s">
        <v>54</v>
      </c>
      <c r="J540" t="s">
        <v>1757</v>
      </c>
      <c r="K540" t="s">
        <v>183</v>
      </c>
      <c r="L540" t="s">
        <v>180</v>
      </c>
      <c r="M540" s="3">
        <f t="shared" si="8"/>
        <v>28</v>
      </c>
    </row>
    <row r="541" spans="1:13" x14ac:dyDescent="0.35">
      <c r="A541" t="s">
        <v>1758</v>
      </c>
      <c r="B541" t="s">
        <v>174</v>
      </c>
      <c r="C541" t="s">
        <v>1759</v>
      </c>
      <c r="D541" t="s">
        <v>190</v>
      </c>
      <c r="E541" t="s">
        <v>50</v>
      </c>
      <c r="F541" t="s">
        <v>54</v>
      </c>
      <c r="G541">
        <v>4</v>
      </c>
      <c r="H541" t="s">
        <v>177</v>
      </c>
      <c r="I541" t="s">
        <v>56</v>
      </c>
      <c r="J541" t="s">
        <v>1760</v>
      </c>
      <c r="K541" t="s">
        <v>219</v>
      </c>
      <c r="L541" t="s">
        <v>180</v>
      </c>
      <c r="M541" s="3">
        <f t="shared" si="8"/>
        <v>6</v>
      </c>
    </row>
    <row r="542" spans="1:13" x14ac:dyDescent="0.35">
      <c r="A542" t="s">
        <v>1761</v>
      </c>
      <c r="B542" t="s">
        <v>174</v>
      </c>
      <c r="C542" t="s">
        <v>1762</v>
      </c>
      <c r="D542" t="s">
        <v>190</v>
      </c>
      <c r="E542" t="s">
        <v>45</v>
      </c>
      <c r="F542" t="s">
        <v>54</v>
      </c>
      <c r="G542">
        <v>9</v>
      </c>
      <c r="H542" t="s">
        <v>177</v>
      </c>
      <c r="I542" t="s">
        <v>54</v>
      </c>
      <c r="J542" t="s">
        <v>1763</v>
      </c>
      <c r="K542" t="s">
        <v>183</v>
      </c>
      <c r="L542" t="s">
        <v>180</v>
      </c>
      <c r="M542" s="3">
        <f t="shared" si="8"/>
        <v>9</v>
      </c>
    </row>
    <row r="543" spans="1:13" x14ac:dyDescent="0.35">
      <c r="A543" t="s">
        <v>1764</v>
      </c>
      <c r="B543" t="s">
        <v>174</v>
      </c>
      <c r="C543" t="s">
        <v>1765</v>
      </c>
      <c r="D543" t="s">
        <v>190</v>
      </c>
      <c r="E543" t="s">
        <v>36</v>
      </c>
      <c r="F543" t="s">
        <v>50</v>
      </c>
      <c r="G543">
        <v>14</v>
      </c>
      <c r="H543" t="s">
        <v>177</v>
      </c>
      <c r="I543" t="s">
        <v>52</v>
      </c>
      <c r="J543" t="s">
        <v>1766</v>
      </c>
      <c r="K543" t="s">
        <v>257</v>
      </c>
      <c r="L543" t="s">
        <v>184</v>
      </c>
      <c r="M543" s="3">
        <f t="shared" si="8"/>
        <v>16</v>
      </c>
    </row>
    <row r="544" spans="1:13" x14ac:dyDescent="0.35">
      <c r="A544" t="s">
        <v>1767</v>
      </c>
      <c r="B544" t="s">
        <v>174</v>
      </c>
      <c r="C544" t="s">
        <v>1768</v>
      </c>
      <c r="D544" t="s">
        <v>190</v>
      </c>
      <c r="E544" t="s">
        <v>37</v>
      </c>
      <c r="F544" t="s">
        <v>53</v>
      </c>
      <c r="G544">
        <v>16</v>
      </c>
      <c r="H544" t="s">
        <v>177</v>
      </c>
      <c r="I544" t="s">
        <v>53</v>
      </c>
      <c r="J544" t="s">
        <v>1769</v>
      </c>
      <c r="K544" t="s">
        <v>270</v>
      </c>
      <c r="L544" t="s">
        <v>180</v>
      </c>
      <c r="M544" s="3">
        <f t="shared" si="8"/>
        <v>16</v>
      </c>
    </row>
    <row r="545" spans="1:13" x14ac:dyDescent="0.35">
      <c r="A545" t="s">
        <v>1770</v>
      </c>
      <c r="B545" t="s">
        <v>174</v>
      </c>
      <c r="C545" t="s">
        <v>1771</v>
      </c>
      <c r="D545" t="s">
        <v>190</v>
      </c>
      <c r="E545" t="s">
        <v>47</v>
      </c>
      <c r="F545" t="s">
        <v>52</v>
      </c>
      <c r="G545">
        <v>5</v>
      </c>
      <c r="H545" t="s">
        <v>177</v>
      </c>
      <c r="I545" t="s">
        <v>52</v>
      </c>
      <c r="J545" t="s">
        <v>1772</v>
      </c>
      <c r="K545" t="s">
        <v>197</v>
      </c>
      <c r="L545" t="s">
        <v>180</v>
      </c>
      <c r="M545" s="3">
        <f t="shared" si="8"/>
        <v>5</v>
      </c>
    </row>
    <row r="546" spans="1:13" x14ac:dyDescent="0.35">
      <c r="A546" t="s">
        <v>1773</v>
      </c>
      <c r="B546" t="s">
        <v>174</v>
      </c>
      <c r="C546" t="s">
        <v>1774</v>
      </c>
      <c r="D546" t="s">
        <v>190</v>
      </c>
      <c r="E546" t="s">
        <v>41</v>
      </c>
      <c r="F546" t="s">
        <v>43</v>
      </c>
      <c r="G546">
        <v>2</v>
      </c>
      <c r="H546" t="s">
        <v>177</v>
      </c>
      <c r="I546" t="s">
        <v>44</v>
      </c>
      <c r="J546" t="s">
        <v>402</v>
      </c>
      <c r="K546" t="s">
        <v>197</v>
      </c>
      <c r="L546" t="s">
        <v>184</v>
      </c>
      <c r="M546" s="3">
        <f t="shared" si="8"/>
        <v>3</v>
      </c>
    </row>
    <row r="547" spans="1:13" x14ac:dyDescent="0.35">
      <c r="A547" t="s">
        <v>1775</v>
      </c>
      <c r="B547" t="s">
        <v>174</v>
      </c>
      <c r="C547" t="s">
        <v>1776</v>
      </c>
      <c r="D547" t="s">
        <v>236</v>
      </c>
      <c r="E547" t="s">
        <v>24</v>
      </c>
      <c r="F547" t="s">
        <v>53</v>
      </c>
      <c r="G547">
        <v>29</v>
      </c>
      <c r="H547" t="s">
        <v>177</v>
      </c>
      <c r="I547" t="s">
        <v>53</v>
      </c>
      <c r="J547" t="s">
        <v>1777</v>
      </c>
      <c r="K547" t="s">
        <v>183</v>
      </c>
      <c r="L547" t="s">
        <v>180</v>
      </c>
      <c r="M547" s="3">
        <f t="shared" si="8"/>
        <v>29</v>
      </c>
    </row>
    <row r="548" spans="1:13" x14ac:dyDescent="0.35">
      <c r="A548" t="s">
        <v>1778</v>
      </c>
      <c r="B548" t="s">
        <v>174</v>
      </c>
      <c r="C548" t="s">
        <v>1779</v>
      </c>
      <c r="D548" t="s">
        <v>190</v>
      </c>
      <c r="E548" t="s">
        <v>46</v>
      </c>
      <c r="F548" t="s">
        <v>53</v>
      </c>
      <c r="G548">
        <v>7</v>
      </c>
      <c r="H548" t="s">
        <v>177</v>
      </c>
      <c r="I548" t="s">
        <v>56</v>
      </c>
      <c r="J548" t="s">
        <v>1780</v>
      </c>
      <c r="K548" t="s">
        <v>270</v>
      </c>
      <c r="L548" t="s">
        <v>180</v>
      </c>
      <c r="M548" s="3">
        <f t="shared" si="8"/>
        <v>10</v>
      </c>
    </row>
    <row r="549" spans="1:13" x14ac:dyDescent="0.35">
      <c r="A549" t="s">
        <v>1781</v>
      </c>
      <c r="B549" t="s">
        <v>231</v>
      </c>
      <c r="C549" t="s">
        <v>1782</v>
      </c>
      <c r="D549" t="s">
        <v>190</v>
      </c>
      <c r="E549" t="s">
        <v>47</v>
      </c>
      <c r="F549" t="s">
        <v>55</v>
      </c>
      <c r="G549">
        <v>7</v>
      </c>
      <c r="H549" t="s">
        <v>195</v>
      </c>
      <c r="J549" t="s">
        <v>1783</v>
      </c>
      <c r="K549" t="s">
        <v>197</v>
      </c>
      <c r="L549" t="s">
        <v>180</v>
      </c>
      <c r="M549" s="3" t="str">
        <f t="shared" si="8"/>
        <v/>
      </c>
    </row>
    <row r="550" spans="1:13" x14ac:dyDescent="0.35">
      <c r="A550" t="s">
        <v>1784</v>
      </c>
      <c r="B550" t="s">
        <v>174</v>
      </c>
      <c r="C550" t="s">
        <v>1785</v>
      </c>
      <c r="D550" t="s">
        <v>190</v>
      </c>
      <c r="E550" t="s">
        <v>31</v>
      </c>
      <c r="F550" t="s">
        <v>43</v>
      </c>
      <c r="G550">
        <v>11</v>
      </c>
      <c r="H550" t="s">
        <v>195</v>
      </c>
      <c r="J550" t="s">
        <v>1786</v>
      </c>
      <c r="K550" t="s">
        <v>183</v>
      </c>
      <c r="L550" t="s">
        <v>180</v>
      </c>
      <c r="M550" s="3" t="str">
        <f t="shared" si="8"/>
        <v/>
      </c>
    </row>
    <row r="551" spans="1:13" x14ac:dyDescent="0.35">
      <c r="A551" t="s">
        <v>1787</v>
      </c>
      <c r="B551" t="s">
        <v>174</v>
      </c>
      <c r="C551" t="s">
        <v>1788</v>
      </c>
      <c r="D551" t="s">
        <v>190</v>
      </c>
      <c r="E551" t="s">
        <v>44</v>
      </c>
      <c r="F551" t="s">
        <v>48</v>
      </c>
      <c r="G551">
        <v>4</v>
      </c>
      <c r="H551" t="s">
        <v>195</v>
      </c>
      <c r="J551" t="s">
        <v>1789</v>
      </c>
      <c r="K551" t="s">
        <v>270</v>
      </c>
      <c r="L551" t="s">
        <v>180</v>
      </c>
      <c r="M551" s="3" t="str">
        <f t="shared" si="8"/>
        <v/>
      </c>
    </row>
    <row r="552" spans="1:13" x14ac:dyDescent="0.35">
      <c r="A552" t="s">
        <v>1790</v>
      </c>
      <c r="B552" t="s">
        <v>174</v>
      </c>
      <c r="C552" t="s">
        <v>1791</v>
      </c>
      <c r="D552" t="s">
        <v>190</v>
      </c>
      <c r="E552" t="s">
        <v>41</v>
      </c>
      <c r="F552" t="s">
        <v>56</v>
      </c>
      <c r="G552">
        <v>14</v>
      </c>
      <c r="H552" t="s">
        <v>177</v>
      </c>
      <c r="I552" t="s">
        <v>56</v>
      </c>
      <c r="J552" t="s">
        <v>1792</v>
      </c>
      <c r="K552" t="s">
        <v>197</v>
      </c>
      <c r="L552" t="s">
        <v>180</v>
      </c>
      <c r="M552" s="3">
        <f t="shared" si="8"/>
        <v>15</v>
      </c>
    </row>
    <row r="553" spans="1:13" x14ac:dyDescent="0.35">
      <c r="A553" t="s">
        <v>1793</v>
      </c>
      <c r="B553" t="s">
        <v>174</v>
      </c>
      <c r="C553" t="s">
        <v>1794</v>
      </c>
      <c r="D553" t="s">
        <v>176</v>
      </c>
      <c r="E553" t="s">
        <v>39</v>
      </c>
      <c r="F553" t="s">
        <v>53</v>
      </c>
      <c r="G553">
        <v>15</v>
      </c>
      <c r="H553" t="s">
        <v>177</v>
      </c>
      <c r="I553" t="s">
        <v>53</v>
      </c>
      <c r="J553" t="s">
        <v>1795</v>
      </c>
      <c r="K553" t="s">
        <v>183</v>
      </c>
      <c r="L553" t="s">
        <v>180</v>
      </c>
      <c r="M553" s="3">
        <f t="shared" si="8"/>
        <v>14</v>
      </c>
    </row>
    <row r="554" spans="1:13" x14ac:dyDescent="0.35">
      <c r="A554" t="s">
        <v>1796</v>
      </c>
      <c r="B554" t="s">
        <v>174</v>
      </c>
      <c r="C554" t="s">
        <v>1797</v>
      </c>
      <c r="D554" t="s">
        <v>190</v>
      </c>
      <c r="E554" t="s">
        <v>44</v>
      </c>
      <c r="F554" t="s">
        <v>55</v>
      </c>
      <c r="G554">
        <v>10</v>
      </c>
      <c r="H554" t="s">
        <v>177</v>
      </c>
      <c r="I554" t="s">
        <v>55</v>
      </c>
      <c r="J554" t="s">
        <v>1798</v>
      </c>
      <c r="K554" t="s">
        <v>270</v>
      </c>
      <c r="L554" t="s">
        <v>180</v>
      </c>
      <c r="M554" s="3">
        <f t="shared" si="8"/>
        <v>11</v>
      </c>
    </row>
    <row r="555" spans="1:13" x14ac:dyDescent="0.35">
      <c r="A555" t="s">
        <v>1799</v>
      </c>
      <c r="B555" t="s">
        <v>174</v>
      </c>
      <c r="C555" t="s">
        <v>1800</v>
      </c>
      <c r="D555" t="s">
        <v>190</v>
      </c>
      <c r="E555" t="s">
        <v>49</v>
      </c>
      <c r="F555" t="s">
        <v>51</v>
      </c>
      <c r="G555">
        <v>2</v>
      </c>
      <c r="H555" t="s">
        <v>177</v>
      </c>
      <c r="I555" t="s">
        <v>52</v>
      </c>
      <c r="J555" t="s">
        <v>1801</v>
      </c>
      <c r="K555" t="s">
        <v>197</v>
      </c>
      <c r="L555" t="s">
        <v>180</v>
      </c>
      <c r="M555" s="3">
        <f t="shared" si="8"/>
        <v>3</v>
      </c>
    </row>
    <row r="556" spans="1:13" x14ac:dyDescent="0.35">
      <c r="A556" t="s">
        <v>1802</v>
      </c>
      <c r="B556" t="s">
        <v>174</v>
      </c>
      <c r="C556" t="s">
        <v>1803</v>
      </c>
      <c r="D556" t="s">
        <v>190</v>
      </c>
      <c r="E556" t="s">
        <v>50</v>
      </c>
      <c r="F556" t="s">
        <v>53</v>
      </c>
      <c r="G556">
        <v>3</v>
      </c>
      <c r="H556" t="s">
        <v>195</v>
      </c>
      <c r="J556" t="s">
        <v>1804</v>
      </c>
      <c r="K556" t="s">
        <v>183</v>
      </c>
      <c r="L556" t="s">
        <v>180</v>
      </c>
      <c r="M556" s="3" t="str">
        <f t="shared" si="8"/>
        <v/>
      </c>
    </row>
    <row r="557" spans="1:13" x14ac:dyDescent="0.35">
      <c r="A557" t="s">
        <v>1805</v>
      </c>
      <c r="B557" t="s">
        <v>174</v>
      </c>
      <c r="C557" t="s">
        <v>1806</v>
      </c>
      <c r="D557" t="s">
        <v>190</v>
      </c>
      <c r="E557" t="s">
        <v>43</v>
      </c>
      <c r="F557" t="s">
        <v>50</v>
      </c>
      <c r="G557">
        <v>6</v>
      </c>
      <c r="H557" t="s">
        <v>195</v>
      </c>
      <c r="J557" t="s">
        <v>1807</v>
      </c>
      <c r="K557" t="s">
        <v>257</v>
      </c>
      <c r="L557" t="s">
        <v>184</v>
      </c>
      <c r="M557" s="3" t="str">
        <f t="shared" si="8"/>
        <v/>
      </c>
    </row>
    <row r="558" spans="1:13" x14ac:dyDescent="0.35">
      <c r="A558" t="s">
        <v>1808</v>
      </c>
      <c r="B558" t="s">
        <v>174</v>
      </c>
      <c r="C558" t="s">
        <v>1809</v>
      </c>
      <c r="D558" t="s">
        <v>176</v>
      </c>
      <c r="E558" t="s">
        <v>522</v>
      </c>
      <c r="F558" t="s">
        <v>40</v>
      </c>
      <c r="G558">
        <v>28</v>
      </c>
      <c r="H558" t="s">
        <v>252</v>
      </c>
      <c r="J558" t="s">
        <v>1810</v>
      </c>
      <c r="K558" t="s">
        <v>852</v>
      </c>
      <c r="L558" t="s">
        <v>180</v>
      </c>
      <c r="M558" s="3" t="str">
        <f t="shared" si="8"/>
        <v/>
      </c>
    </row>
    <row r="559" spans="1:13" x14ac:dyDescent="0.35">
      <c r="A559" t="s">
        <v>1811</v>
      </c>
      <c r="B559" t="s">
        <v>174</v>
      </c>
      <c r="C559" t="s">
        <v>1812</v>
      </c>
      <c r="D559" t="s">
        <v>190</v>
      </c>
      <c r="E559" t="s">
        <v>32</v>
      </c>
      <c r="F559" t="s">
        <v>54</v>
      </c>
      <c r="G559">
        <v>22</v>
      </c>
      <c r="H559" t="s">
        <v>177</v>
      </c>
      <c r="I559" t="s">
        <v>54</v>
      </c>
      <c r="J559" t="s">
        <v>1813</v>
      </c>
      <c r="K559" t="s">
        <v>270</v>
      </c>
      <c r="L559" t="s">
        <v>180</v>
      </c>
      <c r="M559" s="3">
        <f t="shared" si="8"/>
        <v>22</v>
      </c>
    </row>
    <row r="560" spans="1:13" x14ac:dyDescent="0.35">
      <c r="A560" t="s">
        <v>1814</v>
      </c>
      <c r="B560" t="s">
        <v>174</v>
      </c>
      <c r="C560" t="s">
        <v>1815</v>
      </c>
      <c r="D560" t="s">
        <v>190</v>
      </c>
      <c r="E560" t="s">
        <v>36</v>
      </c>
      <c r="F560" t="s">
        <v>54</v>
      </c>
      <c r="G560">
        <v>18</v>
      </c>
      <c r="H560" t="s">
        <v>177</v>
      </c>
      <c r="I560" t="s">
        <v>54</v>
      </c>
      <c r="J560" t="s">
        <v>1816</v>
      </c>
      <c r="K560" t="s">
        <v>192</v>
      </c>
      <c r="L560" t="s">
        <v>180</v>
      </c>
      <c r="M560" s="3">
        <f t="shared" si="8"/>
        <v>18</v>
      </c>
    </row>
    <row r="561" spans="1:13" x14ac:dyDescent="0.35">
      <c r="A561" t="s">
        <v>1817</v>
      </c>
      <c r="B561" t="s">
        <v>174</v>
      </c>
      <c r="C561" t="s">
        <v>1818</v>
      </c>
      <c r="D561" t="s">
        <v>190</v>
      </c>
      <c r="E561" t="s">
        <v>46</v>
      </c>
      <c r="F561" t="s">
        <v>50</v>
      </c>
      <c r="G561">
        <v>4</v>
      </c>
      <c r="H561" t="s">
        <v>177</v>
      </c>
      <c r="I561" t="s">
        <v>50</v>
      </c>
      <c r="J561" t="s">
        <v>233</v>
      </c>
      <c r="K561" t="s">
        <v>197</v>
      </c>
      <c r="L561" t="s">
        <v>180</v>
      </c>
      <c r="M561" s="3">
        <f t="shared" si="8"/>
        <v>4</v>
      </c>
    </row>
    <row r="562" spans="1:13" x14ac:dyDescent="0.35">
      <c r="A562" t="s">
        <v>1819</v>
      </c>
      <c r="B562" t="s">
        <v>174</v>
      </c>
      <c r="C562" t="s">
        <v>1820</v>
      </c>
      <c r="D562" t="s">
        <v>190</v>
      </c>
      <c r="E562" t="s">
        <v>44</v>
      </c>
      <c r="F562" t="s">
        <v>54</v>
      </c>
      <c r="G562">
        <v>10</v>
      </c>
      <c r="H562" t="s">
        <v>177</v>
      </c>
      <c r="I562" t="s">
        <v>54</v>
      </c>
      <c r="J562" t="s">
        <v>1821</v>
      </c>
      <c r="K562" t="s">
        <v>183</v>
      </c>
      <c r="L562" t="s">
        <v>184</v>
      </c>
      <c r="M562" s="3">
        <f t="shared" si="8"/>
        <v>10</v>
      </c>
    </row>
    <row r="563" spans="1:13" x14ac:dyDescent="0.35">
      <c r="A563" t="s">
        <v>1822</v>
      </c>
      <c r="B563" t="s">
        <v>174</v>
      </c>
      <c r="C563" t="s">
        <v>1823</v>
      </c>
      <c r="D563" t="s">
        <v>190</v>
      </c>
      <c r="E563" t="s">
        <v>29</v>
      </c>
      <c r="F563" t="s">
        <v>48</v>
      </c>
      <c r="G563">
        <v>19</v>
      </c>
      <c r="H563" t="s">
        <v>177</v>
      </c>
      <c r="I563" t="s">
        <v>49</v>
      </c>
      <c r="J563" t="s">
        <v>1824</v>
      </c>
      <c r="K563" t="s">
        <v>270</v>
      </c>
      <c r="L563" t="s">
        <v>180</v>
      </c>
      <c r="M563" s="3">
        <f t="shared" si="8"/>
        <v>20</v>
      </c>
    </row>
    <row r="564" spans="1:13" x14ac:dyDescent="0.35">
      <c r="A564" t="s">
        <v>1825</v>
      </c>
      <c r="B564" t="s">
        <v>174</v>
      </c>
      <c r="C564" t="s">
        <v>1826</v>
      </c>
      <c r="D564" t="s">
        <v>190</v>
      </c>
      <c r="E564" t="s">
        <v>40</v>
      </c>
      <c r="F564" t="s">
        <v>45</v>
      </c>
      <c r="G564">
        <v>6</v>
      </c>
      <c r="H564" t="s">
        <v>177</v>
      </c>
      <c r="I564" t="s">
        <v>46</v>
      </c>
      <c r="J564" t="s">
        <v>1827</v>
      </c>
      <c r="K564" t="s">
        <v>270</v>
      </c>
      <c r="L564" t="s">
        <v>184</v>
      </c>
      <c r="M564" s="3">
        <f t="shared" si="8"/>
        <v>6</v>
      </c>
    </row>
    <row r="565" spans="1:13" x14ac:dyDescent="0.35">
      <c r="A565" t="s">
        <v>1828</v>
      </c>
      <c r="B565" t="s">
        <v>174</v>
      </c>
      <c r="C565" t="s">
        <v>1829</v>
      </c>
      <c r="D565" t="s">
        <v>190</v>
      </c>
      <c r="E565" t="s">
        <v>36</v>
      </c>
      <c r="F565" t="s">
        <v>45</v>
      </c>
      <c r="G565">
        <v>8</v>
      </c>
      <c r="H565" t="s">
        <v>177</v>
      </c>
      <c r="I565" t="s">
        <v>46</v>
      </c>
      <c r="J565" t="s">
        <v>1830</v>
      </c>
      <c r="K565" t="s">
        <v>257</v>
      </c>
      <c r="L565" t="s">
        <v>184</v>
      </c>
      <c r="M565" s="3">
        <f t="shared" si="8"/>
        <v>10</v>
      </c>
    </row>
    <row r="566" spans="1:13" x14ac:dyDescent="0.35">
      <c r="A566" t="s">
        <v>1831</v>
      </c>
      <c r="B566" t="s">
        <v>174</v>
      </c>
      <c r="C566" t="s">
        <v>1832</v>
      </c>
      <c r="D566" t="s">
        <v>176</v>
      </c>
      <c r="E566" t="s">
        <v>49</v>
      </c>
      <c r="F566" t="s">
        <v>56</v>
      </c>
      <c r="G566">
        <v>7</v>
      </c>
      <c r="H566" t="s">
        <v>195</v>
      </c>
      <c r="J566" t="s">
        <v>1833</v>
      </c>
      <c r="K566" t="s">
        <v>183</v>
      </c>
      <c r="L566" t="s">
        <v>184</v>
      </c>
      <c r="M566" s="3" t="str">
        <f t="shared" si="8"/>
        <v/>
      </c>
    </row>
    <row r="567" spans="1:13" x14ac:dyDescent="0.35">
      <c r="A567" t="s">
        <v>1834</v>
      </c>
      <c r="B567" t="s">
        <v>174</v>
      </c>
      <c r="C567" t="s">
        <v>1835</v>
      </c>
      <c r="D567" t="s">
        <v>236</v>
      </c>
      <c r="E567" t="s">
        <v>48</v>
      </c>
      <c r="F567" t="s">
        <v>52</v>
      </c>
      <c r="G567">
        <v>4</v>
      </c>
      <c r="H567" t="s">
        <v>177</v>
      </c>
      <c r="I567" t="s">
        <v>52</v>
      </c>
      <c r="J567" t="s">
        <v>1836</v>
      </c>
      <c r="K567" t="s">
        <v>192</v>
      </c>
      <c r="L567" t="s">
        <v>184</v>
      </c>
      <c r="M567" s="3">
        <f t="shared" si="8"/>
        <v>4</v>
      </c>
    </row>
    <row r="568" spans="1:13" x14ac:dyDescent="0.35">
      <c r="A568" t="s">
        <v>1837</v>
      </c>
      <c r="B568" t="s">
        <v>174</v>
      </c>
      <c r="C568" t="s">
        <v>1838</v>
      </c>
      <c r="D568" t="s">
        <v>190</v>
      </c>
      <c r="E568" t="s">
        <v>45</v>
      </c>
      <c r="F568" t="s">
        <v>48</v>
      </c>
      <c r="G568">
        <v>2</v>
      </c>
      <c r="H568" t="s">
        <v>195</v>
      </c>
      <c r="J568" t="s">
        <v>1839</v>
      </c>
      <c r="K568" t="s">
        <v>197</v>
      </c>
      <c r="L568" t="s">
        <v>180</v>
      </c>
      <c r="M568" s="3" t="str">
        <f t="shared" si="8"/>
        <v/>
      </c>
    </row>
    <row r="569" spans="1:13" x14ac:dyDescent="0.35">
      <c r="A569" t="s">
        <v>1840</v>
      </c>
      <c r="B569" t="s">
        <v>174</v>
      </c>
      <c r="C569" t="s">
        <v>1841</v>
      </c>
      <c r="D569" t="s">
        <v>190</v>
      </c>
      <c r="E569" t="s">
        <v>45</v>
      </c>
      <c r="F569" t="s">
        <v>53</v>
      </c>
      <c r="G569">
        <v>8</v>
      </c>
      <c r="H569" t="s">
        <v>177</v>
      </c>
      <c r="I569" t="s">
        <v>53</v>
      </c>
      <c r="J569" t="s">
        <v>1842</v>
      </c>
      <c r="K569" t="s">
        <v>257</v>
      </c>
      <c r="L569" t="s">
        <v>184</v>
      </c>
      <c r="M569" s="3">
        <f t="shared" si="8"/>
        <v>8</v>
      </c>
    </row>
    <row r="570" spans="1:13" x14ac:dyDescent="0.35">
      <c r="A570" t="s">
        <v>1843</v>
      </c>
      <c r="B570" t="s">
        <v>174</v>
      </c>
      <c r="C570" t="s">
        <v>1844</v>
      </c>
      <c r="D570" t="s">
        <v>190</v>
      </c>
      <c r="E570" t="s">
        <v>48</v>
      </c>
      <c r="F570" t="s">
        <v>54</v>
      </c>
      <c r="G570">
        <v>6</v>
      </c>
      <c r="H570" t="s">
        <v>177</v>
      </c>
      <c r="I570" t="s">
        <v>54</v>
      </c>
      <c r="J570" t="s">
        <v>1845</v>
      </c>
      <c r="K570" t="s">
        <v>197</v>
      </c>
      <c r="L570" t="s">
        <v>180</v>
      </c>
      <c r="M570" s="3">
        <f t="shared" si="8"/>
        <v>6</v>
      </c>
    </row>
    <row r="571" spans="1:13" x14ac:dyDescent="0.35">
      <c r="A571" t="s">
        <v>1846</v>
      </c>
      <c r="B571" t="s">
        <v>174</v>
      </c>
      <c r="C571" t="s">
        <v>1847</v>
      </c>
      <c r="D571" t="s">
        <v>190</v>
      </c>
      <c r="E571" t="s">
        <v>50</v>
      </c>
      <c r="F571" t="s">
        <v>56</v>
      </c>
      <c r="G571">
        <v>6</v>
      </c>
      <c r="H571" t="s">
        <v>177</v>
      </c>
      <c r="I571" t="s">
        <v>56</v>
      </c>
      <c r="J571" t="s">
        <v>1848</v>
      </c>
      <c r="K571" t="s">
        <v>197</v>
      </c>
      <c r="L571" t="s">
        <v>180</v>
      </c>
      <c r="M571" s="3">
        <f t="shared" si="8"/>
        <v>6</v>
      </c>
    </row>
    <row r="572" spans="1:13" x14ac:dyDescent="0.35">
      <c r="A572" t="s">
        <v>1849</v>
      </c>
      <c r="B572" t="s">
        <v>174</v>
      </c>
      <c r="C572" t="s">
        <v>1850</v>
      </c>
      <c r="D572" t="s">
        <v>190</v>
      </c>
      <c r="E572" t="s">
        <v>49</v>
      </c>
      <c r="F572" t="s">
        <v>51</v>
      </c>
      <c r="G572">
        <v>2</v>
      </c>
      <c r="H572" t="s">
        <v>177</v>
      </c>
      <c r="I572" t="s">
        <v>52</v>
      </c>
      <c r="J572" t="s">
        <v>1851</v>
      </c>
      <c r="K572" t="s">
        <v>219</v>
      </c>
      <c r="L572" t="s">
        <v>180</v>
      </c>
      <c r="M572" s="3">
        <f t="shared" si="8"/>
        <v>3</v>
      </c>
    </row>
    <row r="573" spans="1:13" x14ac:dyDescent="0.35">
      <c r="A573" t="s">
        <v>1852</v>
      </c>
      <c r="B573" t="s">
        <v>174</v>
      </c>
      <c r="C573" t="s">
        <v>1853</v>
      </c>
      <c r="D573" t="s">
        <v>190</v>
      </c>
      <c r="E573" t="s">
        <v>50</v>
      </c>
      <c r="F573" t="s">
        <v>55</v>
      </c>
      <c r="G573">
        <v>4</v>
      </c>
      <c r="H573" t="s">
        <v>195</v>
      </c>
      <c r="J573" t="s">
        <v>1854</v>
      </c>
      <c r="K573" t="s">
        <v>219</v>
      </c>
      <c r="L573" t="s">
        <v>180</v>
      </c>
      <c r="M573" s="3" t="str">
        <f t="shared" si="8"/>
        <v/>
      </c>
    </row>
    <row r="574" spans="1:13" x14ac:dyDescent="0.35">
      <c r="A574" t="s">
        <v>1855</v>
      </c>
      <c r="B574" t="s">
        <v>174</v>
      </c>
      <c r="C574" t="s">
        <v>1856</v>
      </c>
      <c r="D574" t="s">
        <v>190</v>
      </c>
      <c r="E574" t="s">
        <v>26</v>
      </c>
      <c r="F574" t="s">
        <v>56</v>
      </c>
      <c r="G574">
        <v>30</v>
      </c>
      <c r="H574" t="s">
        <v>177</v>
      </c>
      <c r="I574" t="s">
        <v>56</v>
      </c>
      <c r="J574" t="s">
        <v>1857</v>
      </c>
      <c r="K574" t="s">
        <v>183</v>
      </c>
      <c r="L574" t="s">
        <v>180</v>
      </c>
      <c r="M574" s="3">
        <f t="shared" si="8"/>
        <v>30</v>
      </c>
    </row>
    <row r="575" spans="1:13" x14ac:dyDescent="0.35">
      <c r="A575" t="s">
        <v>1858</v>
      </c>
      <c r="B575" t="s">
        <v>174</v>
      </c>
      <c r="C575" t="s">
        <v>1859</v>
      </c>
      <c r="D575" t="s">
        <v>236</v>
      </c>
      <c r="E575" t="s">
        <v>41</v>
      </c>
      <c r="F575" t="s">
        <v>48</v>
      </c>
      <c r="G575">
        <v>6</v>
      </c>
      <c r="H575" t="s">
        <v>177</v>
      </c>
      <c r="I575" t="s">
        <v>49</v>
      </c>
      <c r="J575" t="s">
        <v>1860</v>
      </c>
      <c r="K575" t="s">
        <v>183</v>
      </c>
      <c r="L575" t="s">
        <v>180</v>
      </c>
      <c r="M575" s="3">
        <f t="shared" si="8"/>
        <v>8</v>
      </c>
    </row>
    <row r="576" spans="1:13" x14ac:dyDescent="0.35">
      <c r="A576" t="s">
        <v>1861</v>
      </c>
      <c r="B576" t="s">
        <v>174</v>
      </c>
      <c r="C576" t="s">
        <v>1862</v>
      </c>
      <c r="D576" t="s">
        <v>190</v>
      </c>
      <c r="E576" t="s">
        <v>50</v>
      </c>
      <c r="F576" t="s">
        <v>54</v>
      </c>
      <c r="G576">
        <v>4</v>
      </c>
      <c r="H576" t="s">
        <v>177</v>
      </c>
      <c r="I576" t="s">
        <v>55</v>
      </c>
      <c r="J576" t="s">
        <v>1863</v>
      </c>
      <c r="K576" t="s">
        <v>219</v>
      </c>
      <c r="L576" t="s">
        <v>180</v>
      </c>
      <c r="M576" s="3">
        <f t="shared" si="8"/>
        <v>5</v>
      </c>
    </row>
    <row r="577" spans="1:13" x14ac:dyDescent="0.35">
      <c r="A577" t="s">
        <v>1864</v>
      </c>
      <c r="B577" t="s">
        <v>174</v>
      </c>
      <c r="C577" t="s">
        <v>1865</v>
      </c>
      <c r="D577" t="s">
        <v>190</v>
      </c>
      <c r="E577" t="s">
        <v>43</v>
      </c>
      <c r="F577" t="s">
        <v>51</v>
      </c>
      <c r="G577">
        <v>8</v>
      </c>
      <c r="H577" t="s">
        <v>252</v>
      </c>
      <c r="J577" t="s">
        <v>1866</v>
      </c>
      <c r="K577" t="s">
        <v>257</v>
      </c>
      <c r="L577" t="s">
        <v>180</v>
      </c>
      <c r="M577" s="3" t="str">
        <f t="shared" si="8"/>
        <v/>
      </c>
    </row>
    <row r="578" spans="1:13" x14ac:dyDescent="0.35">
      <c r="A578" t="s">
        <v>1867</v>
      </c>
      <c r="B578" t="s">
        <v>174</v>
      </c>
      <c r="C578" t="s">
        <v>1868</v>
      </c>
      <c r="D578" t="s">
        <v>190</v>
      </c>
      <c r="E578" t="s">
        <v>48</v>
      </c>
      <c r="F578" t="s">
        <v>51</v>
      </c>
      <c r="G578">
        <v>2</v>
      </c>
      <c r="H578" t="s">
        <v>177</v>
      </c>
      <c r="I578" t="s">
        <v>55</v>
      </c>
      <c r="J578" t="s">
        <v>1869</v>
      </c>
      <c r="K578" t="s">
        <v>197</v>
      </c>
      <c r="L578" t="s">
        <v>180</v>
      </c>
      <c r="M578" s="3">
        <f t="shared" si="8"/>
        <v>7</v>
      </c>
    </row>
    <row r="579" spans="1:13" x14ac:dyDescent="0.35">
      <c r="A579" t="s">
        <v>1870</v>
      </c>
      <c r="B579" t="s">
        <v>174</v>
      </c>
      <c r="C579" t="s">
        <v>1871</v>
      </c>
      <c r="D579" t="s">
        <v>176</v>
      </c>
      <c r="E579" t="s">
        <v>45</v>
      </c>
      <c r="F579" t="s">
        <v>51</v>
      </c>
      <c r="G579">
        <v>6</v>
      </c>
      <c r="H579" t="s">
        <v>177</v>
      </c>
      <c r="I579" t="s">
        <v>52</v>
      </c>
      <c r="J579" t="s">
        <v>1872</v>
      </c>
      <c r="K579" t="s">
        <v>183</v>
      </c>
      <c r="L579" t="s">
        <v>180</v>
      </c>
      <c r="M579" s="3">
        <f t="shared" ref="M579:M642" si="9">IF(H579="Efectivo",IFERROR((VALUE(RIGHT(I579,4))-VALUE(RIGHT(E579,4)))*12+(VALUE(LEFT(I579,2))-VALUE(LEFT(E579,2))),""),"")</f>
        <v>7</v>
      </c>
    </row>
    <row r="580" spans="1:13" x14ac:dyDescent="0.35">
      <c r="A580" t="s">
        <v>1873</v>
      </c>
      <c r="B580" t="s">
        <v>174</v>
      </c>
      <c r="C580" t="s">
        <v>1874</v>
      </c>
      <c r="D580" t="s">
        <v>190</v>
      </c>
      <c r="E580" t="s">
        <v>37</v>
      </c>
      <c r="F580" t="s">
        <v>56</v>
      </c>
      <c r="G580">
        <v>19</v>
      </c>
      <c r="H580" t="s">
        <v>195</v>
      </c>
      <c r="J580" t="s">
        <v>1875</v>
      </c>
      <c r="K580" t="s">
        <v>192</v>
      </c>
      <c r="L580" t="s">
        <v>180</v>
      </c>
      <c r="M580" s="3" t="str">
        <f t="shared" si="9"/>
        <v/>
      </c>
    </row>
    <row r="581" spans="1:13" x14ac:dyDescent="0.35">
      <c r="A581" t="s">
        <v>1876</v>
      </c>
      <c r="B581" t="s">
        <v>174</v>
      </c>
      <c r="C581" t="s">
        <v>1877</v>
      </c>
      <c r="D581" t="s">
        <v>190</v>
      </c>
      <c r="E581" t="s">
        <v>41</v>
      </c>
      <c r="F581" t="s">
        <v>45</v>
      </c>
      <c r="G581">
        <v>4</v>
      </c>
      <c r="H581" t="s">
        <v>177</v>
      </c>
      <c r="I581" t="s">
        <v>46</v>
      </c>
      <c r="J581" t="s">
        <v>1441</v>
      </c>
      <c r="K581" t="s">
        <v>197</v>
      </c>
      <c r="L581" t="s">
        <v>184</v>
      </c>
      <c r="M581" s="3">
        <f t="shared" si="9"/>
        <v>5</v>
      </c>
    </row>
    <row r="582" spans="1:13" x14ac:dyDescent="0.35">
      <c r="A582" t="s">
        <v>1878</v>
      </c>
      <c r="B582" t="s">
        <v>174</v>
      </c>
      <c r="C582" t="s">
        <v>1879</v>
      </c>
      <c r="D582" t="s">
        <v>190</v>
      </c>
      <c r="E582" t="s">
        <v>40</v>
      </c>
      <c r="F582" t="s">
        <v>48</v>
      </c>
      <c r="G582">
        <v>8</v>
      </c>
      <c r="H582" t="s">
        <v>177</v>
      </c>
      <c r="I582" t="s">
        <v>49</v>
      </c>
      <c r="J582" t="s">
        <v>1880</v>
      </c>
      <c r="K582" t="s">
        <v>197</v>
      </c>
      <c r="L582" t="s">
        <v>184</v>
      </c>
      <c r="M582" s="3">
        <f t="shared" si="9"/>
        <v>9</v>
      </c>
    </row>
    <row r="583" spans="1:13" x14ac:dyDescent="0.35">
      <c r="A583" t="s">
        <v>1881</v>
      </c>
      <c r="B583" t="s">
        <v>174</v>
      </c>
      <c r="C583" t="s">
        <v>1882</v>
      </c>
      <c r="D583" t="s">
        <v>190</v>
      </c>
      <c r="E583" t="s">
        <v>35</v>
      </c>
      <c r="F583" t="s">
        <v>43</v>
      </c>
      <c r="G583">
        <v>8</v>
      </c>
      <c r="H583" t="s">
        <v>177</v>
      </c>
      <c r="I583" t="s">
        <v>43</v>
      </c>
      <c r="J583" t="s">
        <v>1883</v>
      </c>
      <c r="K583" t="s">
        <v>377</v>
      </c>
      <c r="L583" t="s">
        <v>180</v>
      </c>
      <c r="M583" s="3">
        <f t="shared" si="9"/>
        <v>8</v>
      </c>
    </row>
    <row r="584" spans="1:13" x14ac:dyDescent="0.35">
      <c r="A584" t="s">
        <v>1884</v>
      </c>
      <c r="B584" t="s">
        <v>174</v>
      </c>
      <c r="C584" t="s">
        <v>1885</v>
      </c>
      <c r="D584" t="s">
        <v>176</v>
      </c>
      <c r="E584" t="s">
        <v>50</v>
      </c>
      <c r="F584" t="s">
        <v>56</v>
      </c>
      <c r="G584">
        <v>5</v>
      </c>
      <c r="H584" t="s">
        <v>195</v>
      </c>
      <c r="J584" t="s">
        <v>1886</v>
      </c>
      <c r="K584" t="s">
        <v>183</v>
      </c>
      <c r="L584" t="s">
        <v>180</v>
      </c>
      <c r="M584" s="3" t="str">
        <f t="shared" si="9"/>
        <v/>
      </c>
    </row>
    <row r="585" spans="1:13" x14ac:dyDescent="0.35">
      <c r="A585" t="s">
        <v>1887</v>
      </c>
      <c r="B585" t="s">
        <v>174</v>
      </c>
      <c r="C585" t="s">
        <v>1888</v>
      </c>
      <c r="D585" t="s">
        <v>236</v>
      </c>
      <c r="E585" t="s">
        <v>30</v>
      </c>
      <c r="F585" t="s">
        <v>51</v>
      </c>
      <c r="G585">
        <v>21</v>
      </c>
      <c r="H585" t="s">
        <v>177</v>
      </c>
      <c r="I585" t="s">
        <v>52</v>
      </c>
      <c r="J585" t="s">
        <v>1889</v>
      </c>
      <c r="K585" t="s">
        <v>183</v>
      </c>
      <c r="L585" t="s">
        <v>180</v>
      </c>
      <c r="M585" s="3">
        <f t="shared" si="9"/>
        <v>22</v>
      </c>
    </row>
    <row r="586" spans="1:13" x14ac:dyDescent="0.35">
      <c r="A586" t="s">
        <v>1890</v>
      </c>
      <c r="B586" t="s">
        <v>174</v>
      </c>
      <c r="C586" t="s">
        <v>1891</v>
      </c>
      <c r="D586" t="s">
        <v>190</v>
      </c>
      <c r="E586" t="s">
        <v>52</v>
      </c>
      <c r="F586" t="s">
        <v>56</v>
      </c>
      <c r="G586">
        <v>4</v>
      </c>
      <c r="H586" t="s">
        <v>177</v>
      </c>
      <c r="I586" t="s">
        <v>56</v>
      </c>
      <c r="J586" t="s">
        <v>1892</v>
      </c>
      <c r="K586" t="s">
        <v>183</v>
      </c>
      <c r="L586" t="s">
        <v>180</v>
      </c>
      <c r="M586" s="3">
        <f t="shared" si="9"/>
        <v>4</v>
      </c>
    </row>
    <row r="587" spans="1:13" x14ac:dyDescent="0.35">
      <c r="A587" t="s">
        <v>1893</v>
      </c>
      <c r="B587" t="s">
        <v>174</v>
      </c>
      <c r="C587" t="s">
        <v>1894</v>
      </c>
      <c r="D587" t="s">
        <v>190</v>
      </c>
      <c r="E587" t="s">
        <v>47</v>
      </c>
      <c r="F587" t="s">
        <v>55</v>
      </c>
      <c r="G587">
        <v>7</v>
      </c>
      <c r="H587" t="s">
        <v>177</v>
      </c>
      <c r="I587" t="s">
        <v>55</v>
      </c>
      <c r="J587" t="s">
        <v>1895</v>
      </c>
      <c r="K587" t="s">
        <v>197</v>
      </c>
      <c r="L587" t="s">
        <v>180</v>
      </c>
      <c r="M587" s="3">
        <f t="shared" si="9"/>
        <v>8</v>
      </c>
    </row>
    <row r="588" spans="1:13" x14ac:dyDescent="0.35">
      <c r="A588" t="s">
        <v>1896</v>
      </c>
      <c r="B588" t="s">
        <v>174</v>
      </c>
      <c r="C588" t="s">
        <v>1897</v>
      </c>
      <c r="D588" t="s">
        <v>190</v>
      </c>
      <c r="E588" t="s">
        <v>30</v>
      </c>
      <c r="F588" t="s">
        <v>43</v>
      </c>
      <c r="G588">
        <v>12</v>
      </c>
      <c r="H588" t="s">
        <v>177</v>
      </c>
      <c r="I588" t="s">
        <v>43</v>
      </c>
      <c r="J588" t="s">
        <v>1387</v>
      </c>
      <c r="K588" t="s">
        <v>270</v>
      </c>
      <c r="L588" t="s">
        <v>180</v>
      </c>
      <c r="M588" s="3">
        <f t="shared" si="9"/>
        <v>13</v>
      </c>
    </row>
    <row r="589" spans="1:13" x14ac:dyDescent="0.35">
      <c r="A589" t="s">
        <v>1898</v>
      </c>
      <c r="B589" t="s">
        <v>174</v>
      </c>
      <c r="C589" t="s">
        <v>1899</v>
      </c>
      <c r="D589" t="s">
        <v>190</v>
      </c>
      <c r="E589" t="s">
        <v>48</v>
      </c>
      <c r="F589" t="s">
        <v>52</v>
      </c>
      <c r="G589">
        <v>4</v>
      </c>
      <c r="H589" t="s">
        <v>177</v>
      </c>
      <c r="I589" t="s">
        <v>53</v>
      </c>
      <c r="J589" t="s">
        <v>1900</v>
      </c>
      <c r="K589" t="s">
        <v>197</v>
      </c>
      <c r="L589" t="s">
        <v>180</v>
      </c>
      <c r="M589" s="3">
        <f t="shared" si="9"/>
        <v>5</v>
      </c>
    </row>
    <row r="590" spans="1:13" x14ac:dyDescent="0.35">
      <c r="A590" t="s">
        <v>1901</v>
      </c>
      <c r="B590" t="s">
        <v>174</v>
      </c>
      <c r="C590" t="s">
        <v>1902</v>
      </c>
      <c r="D590" t="s">
        <v>190</v>
      </c>
      <c r="E590" t="s">
        <v>43</v>
      </c>
      <c r="F590" t="s">
        <v>47</v>
      </c>
      <c r="G590">
        <v>4</v>
      </c>
      <c r="H590" t="s">
        <v>177</v>
      </c>
      <c r="I590" t="s">
        <v>48</v>
      </c>
      <c r="J590" t="s">
        <v>1903</v>
      </c>
      <c r="K590" t="s">
        <v>257</v>
      </c>
      <c r="L590" t="s">
        <v>180</v>
      </c>
      <c r="M590" s="3">
        <f t="shared" si="9"/>
        <v>5</v>
      </c>
    </row>
    <row r="591" spans="1:13" x14ac:dyDescent="0.35">
      <c r="A591" t="s">
        <v>1904</v>
      </c>
      <c r="B591" t="s">
        <v>174</v>
      </c>
      <c r="C591" t="s">
        <v>1905</v>
      </c>
      <c r="D591" t="s">
        <v>190</v>
      </c>
      <c r="E591" t="s">
        <v>38</v>
      </c>
      <c r="F591" t="s">
        <v>43</v>
      </c>
      <c r="G591">
        <v>5</v>
      </c>
      <c r="H591" t="s">
        <v>177</v>
      </c>
      <c r="I591" t="s">
        <v>43</v>
      </c>
      <c r="J591" t="s">
        <v>1780</v>
      </c>
      <c r="K591" t="s">
        <v>270</v>
      </c>
      <c r="L591" t="s">
        <v>184</v>
      </c>
      <c r="M591" s="3">
        <f t="shared" si="9"/>
        <v>5</v>
      </c>
    </row>
    <row r="592" spans="1:13" x14ac:dyDescent="0.35">
      <c r="A592" t="s">
        <v>1906</v>
      </c>
      <c r="B592" t="s">
        <v>174</v>
      </c>
      <c r="C592" t="s">
        <v>1907</v>
      </c>
      <c r="D592" t="s">
        <v>190</v>
      </c>
      <c r="E592" t="s">
        <v>36</v>
      </c>
      <c r="F592" t="s">
        <v>47</v>
      </c>
      <c r="G592">
        <v>11</v>
      </c>
      <c r="H592" t="s">
        <v>177</v>
      </c>
      <c r="I592" t="s">
        <v>48</v>
      </c>
      <c r="J592" t="s">
        <v>1908</v>
      </c>
      <c r="K592" t="s">
        <v>270</v>
      </c>
      <c r="L592" t="s">
        <v>180</v>
      </c>
      <c r="M592" s="3">
        <f t="shared" si="9"/>
        <v>12</v>
      </c>
    </row>
    <row r="593" spans="1:13" x14ac:dyDescent="0.35">
      <c r="A593" t="s">
        <v>1909</v>
      </c>
      <c r="B593" t="s">
        <v>174</v>
      </c>
      <c r="C593" t="s">
        <v>1910</v>
      </c>
      <c r="D593" t="s">
        <v>190</v>
      </c>
      <c r="E593" t="s">
        <v>37</v>
      </c>
      <c r="F593" t="s">
        <v>40</v>
      </c>
      <c r="G593">
        <v>3</v>
      </c>
      <c r="H593" t="s">
        <v>177</v>
      </c>
      <c r="I593" t="s">
        <v>41</v>
      </c>
      <c r="J593" t="s">
        <v>1911</v>
      </c>
      <c r="K593" t="s">
        <v>270</v>
      </c>
      <c r="L593" t="s">
        <v>180</v>
      </c>
      <c r="M593" s="3">
        <f t="shared" si="9"/>
        <v>4</v>
      </c>
    </row>
    <row r="594" spans="1:13" x14ac:dyDescent="0.35">
      <c r="A594" t="s">
        <v>1912</v>
      </c>
      <c r="B594" t="s">
        <v>174</v>
      </c>
      <c r="C594" t="s">
        <v>1913</v>
      </c>
      <c r="D594" t="s">
        <v>190</v>
      </c>
      <c r="E594" t="s">
        <v>48</v>
      </c>
      <c r="F594" t="s">
        <v>52</v>
      </c>
      <c r="G594">
        <v>4</v>
      </c>
      <c r="H594" t="s">
        <v>177</v>
      </c>
      <c r="I594" t="s">
        <v>52</v>
      </c>
      <c r="J594" t="s">
        <v>1914</v>
      </c>
      <c r="K594" t="s">
        <v>257</v>
      </c>
      <c r="L594" t="s">
        <v>184</v>
      </c>
      <c r="M594" s="3">
        <f t="shared" si="9"/>
        <v>4</v>
      </c>
    </row>
    <row r="595" spans="1:13" x14ac:dyDescent="0.35">
      <c r="A595" t="s">
        <v>1915</v>
      </c>
      <c r="B595" t="s">
        <v>174</v>
      </c>
      <c r="C595" t="s">
        <v>1916</v>
      </c>
      <c r="D595" t="s">
        <v>190</v>
      </c>
      <c r="E595" t="s">
        <v>38</v>
      </c>
      <c r="F595" t="s">
        <v>41</v>
      </c>
      <c r="G595">
        <v>3</v>
      </c>
      <c r="H595" t="s">
        <v>177</v>
      </c>
      <c r="I595" t="s">
        <v>42</v>
      </c>
      <c r="J595" t="s">
        <v>1267</v>
      </c>
      <c r="K595" t="s">
        <v>270</v>
      </c>
      <c r="L595" t="s">
        <v>180</v>
      </c>
      <c r="M595" s="3">
        <f t="shared" si="9"/>
        <v>4</v>
      </c>
    </row>
    <row r="596" spans="1:13" x14ac:dyDescent="0.35">
      <c r="A596" t="s">
        <v>1917</v>
      </c>
      <c r="B596" t="s">
        <v>174</v>
      </c>
      <c r="C596" t="s">
        <v>1918</v>
      </c>
      <c r="D596" t="s">
        <v>190</v>
      </c>
      <c r="E596" t="s">
        <v>43</v>
      </c>
      <c r="F596" t="s">
        <v>47</v>
      </c>
      <c r="G596">
        <v>4</v>
      </c>
      <c r="H596" t="s">
        <v>177</v>
      </c>
      <c r="I596" t="s">
        <v>47</v>
      </c>
      <c r="J596" t="s">
        <v>1919</v>
      </c>
      <c r="K596" t="s">
        <v>197</v>
      </c>
      <c r="L596" t="s">
        <v>180</v>
      </c>
      <c r="M596" s="3">
        <f t="shared" si="9"/>
        <v>4</v>
      </c>
    </row>
    <row r="597" spans="1:13" x14ac:dyDescent="0.35">
      <c r="A597" t="s">
        <v>1920</v>
      </c>
      <c r="B597" t="s">
        <v>174</v>
      </c>
      <c r="C597" t="s">
        <v>1921</v>
      </c>
      <c r="D597" t="s">
        <v>190</v>
      </c>
      <c r="E597" t="s">
        <v>39</v>
      </c>
      <c r="F597" t="s">
        <v>49</v>
      </c>
      <c r="G597">
        <v>10</v>
      </c>
      <c r="H597" t="s">
        <v>252</v>
      </c>
      <c r="J597" t="s">
        <v>1922</v>
      </c>
      <c r="K597" t="s">
        <v>179</v>
      </c>
      <c r="L597" t="s">
        <v>180</v>
      </c>
      <c r="M597" s="3" t="str">
        <f t="shared" si="9"/>
        <v/>
      </c>
    </row>
    <row r="598" spans="1:13" x14ac:dyDescent="0.35">
      <c r="A598" t="s">
        <v>1920</v>
      </c>
      <c r="B598" t="s">
        <v>174</v>
      </c>
      <c r="C598" t="s">
        <v>1921</v>
      </c>
      <c r="D598" t="s">
        <v>190</v>
      </c>
      <c r="E598" t="s">
        <v>39</v>
      </c>
      <c r="F598" t="s">
        <v>55</v>
      </c>
      <c r="G598">
        <v>16</v>
      </c>
      <c r="H598" t="s">
        <v>177</v>
      </c>
      <c r="I598" t="s">
        <v>56</v>
      </c>
      <c r="J598" t="s">
        <v>1922</v>
      </c>
      <c r="K598" t="s">
        <v>179</v>
      </c>
      <c r="L598" t="s">
        <v>180</v>
      </c>
      <c r="M598" s="3">
        <f t="shared" si="9"/>
        <v>17</v>
      </c>
    </row>
    <row r="599" spans="1:13" x14ac:dyDescent="0.35">
      <c r="A599" t="s">
        <v>1923</v>
      </c>
      <c r="B599" t="s">
        <v>174</v>
      </c>
      <c r="C599" t="s">
        <v>1924</v>
      </c>
      <c r="D599" t="s">
        <v>225</v>
      </c>
      <c r="E599" t="s">
        <v>29</v>
      </c>
      <c r="F599" t="s">
        <v>42</v>
      </c>
      <c r="G599">
        <v>13</v>
      </c>
      <c r="H599" t="s">
        <v>177</v>
      </c>
      <c r="I599" t="s">
        <v>42</v>
      </c>
      <c r="J599" t="s">
        <v>1925</v>
      </c>
      <c r="K599" t="s">
        <v>183</v>
      </c>
      <c r="L599" t="s">
        <v>180</v>
      </c>
      <c r="M599" s="3">
        <f t="shared" si="9"/>
        <v>13</v>
      </c>
    </row>
    <row r="600" spans="1:13" x14ac:dyDescent="0.35">
      <c r="A600" t="s">
        <v>1926</v>
      </c>
      <c r="B600" t="s">
        <v>174</v>
      </c>
      <c r="C600" t="s">
        <v>1927</v>
      </c>
      <c r="D600" t="s">
        <v>176</v>
      </c>
      <c r="E600" t="s">
        <v>48</v>
      </c>
      <c r="F600" t="s">
        <v>52</v>
      </c>
      <c r="G600">
        <v>4</v>
      </c>
      <c r="H600" t="s">
        <v>252</v>
      </c>
      <c r="J600" t="s">
        <v>1928</v>
      </c>
      <c r="K600" t="s">
        <v>183</v>
      </c>
      <c r="L600" t="s">
        <v>184</v>
      </c>
      <c r="M600" s="3" t="str">
        <f t="shared" si="9"/>
        <v/>
      </c>
    </row>
    <row r="601" spans="1:13" x14ac:dyDescent="0.35">
      <c r="A601" t="s">
        <v>1929</v>
      </c>
      <c r="B601" t="s">
        <v>174</v>
      </c>
      <c r="C601" t="s">
        <v>1930</v>
      </c>
      <c r="D601" t="s">
        <v>190</v>
      </c>
      <c r="E601" t="s">
        <v>41</v>
      </c>
      <c r="F601" t="s">
        <v>48</v>
      </c>
      <c r="G601">
        <v>8</v>
      </c>
      <c r="H601" t="s">
        <v>177</v>
      </c>
      <c r="I601" t="s">
        <v>48</v>
      </c>
      <c r="J601" t="s">
        <v>1848</v>
      </c>
      <c r="K601" t="s">
        <v>197</v>
      </c>
      <c r="L601" t="s">
        <v>184</v>
      </c>
      <c r="M601" s="3">
        <f t="shared" si="9"/>
        <v>7</v>
      </c>
    </row>
    <row r="602" spans="1:13" x14ac:dyDescent="0.35">
      <c r="A602" t="s">
        <v>1931</v>
      </c>
      <c r="B602" t="s">
        <v>174</v>
      </c>
      <c r="C602" t="s">
        <v>1932</v>
      </c>
      <c r="D602" t="s">
        <v>190</v>
      </c>
      <c r="E602" t="s">
        <v>40</v>
      </c>
      <c r="F602" t="s">
        <v>45</v>
      </c>
      <c r="G602">
        <v>5</v>
      </c>
      <c r="H602" t="s">
        <v>177</v>
      </c>
      <c r="I602" t="s">
        <v>46</v>
      </c>
      <c r="J602" t="s">
        <v>1933</v>
      </c>
      <c r="K602" t="s">
        <v>270</v>
      </c>
      <c r="L602" t="s">
        <v>180</v>
      </c>
      <c r="M602" s="3">
        <f t="shared" si="9"/>
        <v>6</v>
      </c>
    </row>
    <row r="603" spans="1:13" x14ac:dyDescent="0.35">
      <c r="A603" t="s">
        <v>1931</v>
      </c>
      <c r="B603" t="s">
        <v>174</v>
      </c>
      <c r="C603" t="s">
        <v>1934</v>
      </c>
      <c r="D603" t="s">
        <v>190</v>
      </c>
      <c r="E603" t="s">
        <v>52</v>
      </c>
      <c r="F603" t="s">
        <v>56</v>
      </c>
      <c r="G603">
        <v>3</v>
      </c>
      <c r="H603" t="s">
        <v>195</v>
      </c>
      <c r="J603" t="s">
        <v>200</v>
      </c>
      <c r="K603" t="s">
        <v>197</v>
      </c>
      <c r="L603" t="s">
        <v>180</v>
      </c>
      <c r="M603" s="3" t="str">
        <f t="shared" si="9"/>
        <v/>
      </c>
    </row>
    <row r="604" spans="1:13" x14ac:dyDescent="0.35">
      <c r="A604" t="s">
        <v>1935</v>
      </c>
      <c r="B604" t="s">
        <v>174</v>
      </c>
      <c r="C604" t="s">
        <v>1936</v>
      </c>
      <c r="D604" t="s">
        <v>236</v>
      </c>
      <c r="E604" t="s">
        <v>52</v>
      </c>
      <c r="F604" t="s">
        <v>53</v>
      </c>
      <c r="G604">
        <v>1</v>
      </c>
      <c r="H604" t="s">
        <v>177</v>
      </c>
      <c r="I604" t="s">
        <v>53</v>
      </c>
      <c r="J604" t="s">
        <v>1937</v>
      </c>
      <c r="K604" t="s">
        <v>183</v>
      </c>
      <c r="L604" t="s">
        <v>180</v>
      </c>
      <c r="M604" s="3">
        <f t="shared" si="9"/>
        <v>1</v>
      </c>
    </row>
    <row r="605" spans="1:13" x14ac:dyDescent="0.35">
      <c r="A605" t="s">
        <v>1938</v>
      </c>
      <c r="B605" t="s">
        <v>174</v>
      </c>
      <c r="C605" t="s">
        <v>1939</v>
      </c>
      <c r="D605" t="s">
        <v>190</v>
      </c>
      <c r="E605" t="s">
        <v>37</v>
      </c>
      <c r="F605" t="s">
        <v>52</v>
      </c>
      <c r="G605">
        <v>16</v>
      </c>
      <c r="H605" t="s">
        <v>177</v>
      </c>
      <c r="I605" t="s">
        <v>53</v>
      </c>
      <c r="J605" t="s">
        <v>1940</v>
      </c>
      <c r="K605" t="s">
        <v>192</v>
      </c>
      <c r="L605" t="s">
        <v>180</v>
      </c>
      <c r="M605" s="3">
        <f t="shared" si="9"/>
        <v>16</v>
      </c>
    </row>
    <row r="606" spans="1:13" x14ac:dyDescent="0.35">
      <c r="A606" t="s">
        <v>1941</v>
      </c>
      <c r="B606" t="s">
        <v>174</v>
      </c>
      <c r="C606" t="s">
        <v>1942</v>
      </c>
      <c r="D606" t="s">
        <v>190</v>
      </c>
      <c r="E606" t="s">
        <v>43</v>
      </c>
      <c r="F606" t="s">
        <v>55</v>
      </c>
      <c r="G606">
        <v>12</v>
      </c>
      <c r="H606" t="s">
        <v>177</v>
      </c>
      <c r="I606" t="s">
        <v>56</v>
      </c>
      <c r="J606" t="s">
        <v>1943</v>
      </c>
      <c r="K606" t="s">
        <v>257</v>
      </c>
      <c r="L606" t="s">
        <v>184</v>
      </c>
      <c r="M606" s="3">
        <f t="shared" si="9"/>
        <v>13</v>
      </c>
    </row>
    <row r="607" spans="1:13" x14ac:dyDescent="0.35">
      <c r="A607" t="s">
        <v>1944</v>
      </c>
      <c r="B607" t="s">
        <v>174</v>
      </c>
      <c r="C607" t="s">
        <v>1945</v>
      </c>
      <c r="D607" t="s">
        <v>190</v>
      </c>
      <c r="E607" t="s">
        <v>48</v>
      </c>
      <c r="F607" t="s">
        <v>52</v>
      </c>
      <c r="G607">
        <v>4</v>
      </c>
      <c r="H607" t="s">
        <v>177</v>
      </c>
      <c r="I607" t="s">
        <v>53</v>
      </c>
      <c r="J607" t="s">
        <v>1946</v>
      </c>
      <c r="K607" t="s">
        <v>197</v>
      </c>
      <c r="L607" t="s">
        <v>180</v>
      </c>
      <c r="M607" s="3">
        <f t="shared" si="9"/>
        <v>5</v>
      </c>
    </row>
    <row r="608" spans="1:13" x14ac:dyDescent="0.35">
      <c r="A608" t="s">
        <v>1947</v>
      </c>
      <c r="B608" t="s">
        <v>174</v>
      </c>
      <c r="C608" t="s">
        <v>1948</v>
      </c>
      <c r="D608" t="s">
        <v>190</v>
      </c>
      <c r="E608" t="s">
        <v>39</v>
      </c>
      <c r="F608" t="s">
        <v>55</v>
      </c>
      <c r="G608">
        <v>17</v>
      </c>
      <c r="H608" t="s">
        <v>177</v>
      </c>
      <c r="I608" t="s">
        <v>55</v>
      </c>
      <c r="J608" t="s">
        <v>1949</v>
      </c>
      <c r="K608" t="s">
        <v>270</v>
      </c>
      <c r="L608" t="s">
        <v>180</v>
      </c>
      <c r="M608" s="3">
        <f t="shared" si="9"/>
        <v>16</v>
      </c>
    </row>
    <row r="609" spans="1:13" x14ac:dyDescent="0.35">
      <c r="A609" t="s">
        <v>1950</v>
      </c>
      <c r="B609" t="s">
        <v>174</v>
      </c>
      <c r="C609" t="s">
        <v>1951</v>
      </c>
      <c r="D609" t="s">
        <v>190</v>
      </c>
      <c r="E609" t="s">
        <v>50</v>
      </c>
      <c r="F609" t="s">
        <v>54</v>
      </c>
      <c r="G609">
        <v>4</v>
      </c>
      <c r="H609" t="s">
        <v>177</v>
      </c>
      <c r="I609" t="s">
        <v>54</v>
      </c>
      <c r="J609" t="s">
        <v>1952</v>
      </c>
      <c r="K609" t="s">
        <v>257</v>
      </c>
      <c r="L609" t="s">
        <v>180</v>
      </c>
      <c r="M609" s="3">
        <f t="shared" si="9"/>
        <v>4</v>
      </c>
    </row>
    <row r="610" spans="1:13" x14ac:dyDescent="0.35">
      <c r="A610" t="s">
        <v>1953</v>
      </c>
      <c r="B610" t="s">
        <v>174</v>
      </c>
      <c r="C610" t="s">
        <v>1954</v>
      </c>
      <c r="D610" t="s">
        <v>176</v>
      </c>
      <c r="E610" t="s">
        <v>40</v>
      </c>
      <c r="F610" t="s">
        <v>43</v>
      </c>
      <c r="G610">
        <v>3</v>
      </c>
      <c r="H610" t="s">
        <v>177</v>
      </c>
      <c r="I610" t="s">
        <v>45</v>
      </c>
      <c r="J610" t="s">
        <v>1955</v>
      </c>
      <c r="K610" t="s">
        <v>183</v>
      </c>
      <c r="L610" t="s">
        <v>180</v>
      </c>
      <c r="M610" s="3">
        <f t="shared" si="9"/>
        <v>5</v>
      </c>
    </row>
    <row r="611" spans="1:13" x14ac:dyDescent="0.35">
      <c r="A611" t="s">
        <v>1956</v>
      </c>
      <c r="B611" t="s">
        <v>174</v>
      </c>
      <c r="C611" t="s">
        <v>1957</v>
      </c>
      <c r="D611" t="s">
        <v>190</v>
      </c>
      <c r="E611" t="s">
        <v>45</v>
      </c>
      <c r="F611" t="s">
        <v>53</v>
      </c>
      <c r="G611">
        <v>8</v>
      </c>
      <c r="H611" t="s">
        <v>177</v>
      </c>
      <c r="I611" t="s">
        <v>54</v>
      </c>
      <c r="J611" t="s">
        <v>1958</v>
      </c>
      <c r="K611" t="s">
        <v>197</v>
      </c>
      <c r="L611" t="s">
        <v>180</v>
      </c>
      <c r="M611" s="3">
        <f t="shared" si="9"/>
        <v>9</v>
      </c>
    </row>
    <row r="612" spans="1:13" x14ac:dyDescent="0.35">
      <c r="A612" t="s">
        <v>1959</v>
      </c>
      <c r="B612" t="s">
        <v>174</v>
      </c>
      <c r="C612" t="s">
        <v>1960</v>
      </c>
      <c r="D612" t="s">
        <v>190</v>
      </c>
      <c r="E612" t="s">
        <v>34</v>
      </c>
      <c r="F612" t="s">
        <v>46</v>
      </c>
      <c r="G612">
        <v>12</v>
      </c>
      <c r="H612" t="s">
        <v>177</v>
      </c>
      <c r="I612" t="s">
        <v>46</v>
      </c>
      <c r="J612" t="s">
        <v>1961</v>
      </c>
      <c r="K612" t="s">
        <v>270</v>
      </c>
      <c r="L612" t="s">
        <v>180</v>
      </c>
      <c r="M612" s="3">
        <f t="shared" si="9"/>
        <v>12</v>
      </c>
    </row>
    <row r="613" spans="1:13" x14ac:dyDescent="0.35">
      <c r="A613" t="s">
        <v>1962</v>
      </c>
      <c r="B613" t="s">
        <v>174</v>
      </c>
      <c r="C613" t="s">
        <v>1963</v>
      </c>
      <c r="D613" t="s">
        <v>176</v>
      </c>
      <c r="E613" t="s">
        <v>45</v>
      </c>
      <c r="F613" t="s">
        <v>54</v>
      </c>
      <c r="G613">
        <v>9</v>
      </c>
      <c r="H613" t="s">
        <v>195</v>
      </c>
      <c r="J613" t="s">
        <v>1964</v>
      </c>
      <c r="K613" t="s">
        <v>183</v>
      </c>
      <c r="L613" t="s">
        <v>180</v>
      </c>
      <c r="M613" s="3" t="str">
        <f t="shared" si="9"/>
        <v/>
      </c>
    </row>
    <row r="614" spans="1:13" x14ac:dyDescent="0.35">
      <c r="A614" t="s">
        <v>1965</v>
      </c>
      <c r="B614" t="s">
        <v>174</v>
      </c>
      <c r="C614" t="s">
        <v>1966</v>
      </c>
      <c r="D614" t="s">
        <v>190</v>
      </c>
      <c r="E614" t="s">
        <v>40</v>
      </c>
      <c r="F614" t="s">
        <v>45</v>
      </c>
      <c r="G614">
        <v>5</v>
      </c>
      <c r="H614" t="s">
        <v>177</v>
      </c>
      <c r="I614" t="s">
        <v>45</v>
      </c>
      <c r="J614" t="s">
        <v>1967</v>
      </c>
      <c r="K614" t="s">
        <v>257</v>
      </c>
      <c r="L614" t="s">
        <v>180</v>
      </c>
      <c r="M614" s="3">
        <f t="shared" si="9"/>
        <v>5</v>
      </c>
    </row>
    <row r="615" spans="1:13" x14ac:dyDescent="0.35">
      <c r="A615" t="s">
        <v>1968</v>
      </c>
      <c r="B615" t="s">
        <v>174</v>
      </c>
      <c r="C615" t="s">
        <v>1969</v>
      </c>
      <c r="D615" t="s">
        <v>190</v>
      </c>
      <c r="E615" t="s">
        <v>46</v>
      </c>
      <c r="F615" t="s">
        <v>54</v>
      </c>
      <c r="G615">
        <v>7</v>
      </c>
      <c r="H615" t="s">
        <v>195</v>
      </c>
      <c r="J615" t="s">
        <v>1970</v>
      </c>
      <c r="K615" t="s">
        <v>257</v>
      </c>
      <c r="L615" t="s">
        <v>184</v>
      </c>
      <c r="M615" s="3" t="str">
        <f t="shared" si="9"/>
        <v/>
      </c>
    </row>
    <row r="616" spans="1:13" x14ac:dyDescent="0.35">
      <c r="A616" t="s">
        <v>1971</v>
      </c>
      <c r="B616" t="s">
        <v>174</v>
      </c>
      <c r="C616" t="s">
        <v>1972</v>
      </c>
      <c r="D616" t="s">
        <v>190</v>
      </c>
      <c r="E616" t="s">
        <v>423</v>
      </c>
      <c r="F616" t="s">
        <v>42</v>
      </c>
      <c r="G616">
        <v>32</v>
      </c>
      <c r="H616" t="s">
        <v>177</v>
      </c>
      <c r="I616" t="s">
        <v>42</v>
      </c>
      <c r="J616" t="s">
        <v>1973</v>
      </c>
      <c r="K616" t="s">
        <v>425</v>
      </c>
      <c r="L616" t="s">
        <v>180</v>
      </c>
      <c r="M616" s="3">
        <f t="shared" si="9"/>
        <v>31</v>
      </c>
    </row>
    <row r="617" spans="1:13" x14ac:dyDescent="0.35">
      <c r="A617" t="s">
        <v>1974</v>
      </c>
      <c r="B617" t="s">
        <v>174</v>
      </c>
      <c r="C617" t="s">
        <v>1975</v>
      </c>
      <c r="D617" t="s">
        <v>190</v>
      </c>
      <c r="E617" t="s">
        <v>37</v>
      </c>
      <c r="F617" t="s">
        <v>43</v>
      </c>
      <c r="G617">
        <v>7</v>
      </c>
      <c r="H617" t="s">
        <v>177</v>
      </c>
      <c r="I617" t="s">
        <v>44</v>
      </c>
      <c r="J617" t="s">
        <v>1976</v>
      </c>
      <c r="K617" t="s">
        <v>270</v>
      </c>
      <c r="L617" t="s">
        <v>184</v>
      </c>
      <c r="M617" s="3">
        <f t="shared" si="9"/>
        <v>7</v>
      </c>
    </row>
    <row r="618" spans="1:13" x14ac:dyDescent="0.35">
      <c r="A618" t="s">
        <v>1977</v>
      </c>
      <c r="B618" t="s">
        <v>174</v>
      </c>
      <c r="C618" t="s">
        <v>1978</v>
      </c>
      <c r="D618" t="s">
        <v>190</v>
      </c>
      <c r="E618" t="s">
        <v>45</v>
      </c>
      <c r="F618" t="s">
        <v>54</v>
      </c>
      <c r="G618">
        <v>9</v>
      </c>
      <c r="H618" t="s">
        <v>177</v>
      </c>
      <c r="I618" t="s">
        <v>55</v>
      </c>
      <c r="J618" t="s">
        <v>1979</v>
      </c>
      <c r="K618" t="s">
        <v>197</v>
      </c>
      <c r="L618" t="s">
        <v>180</v>
      </c>
      <c r="M618" s="3">
        <f t="shared" si="9"/>
        <v>10</v>
      </c>
    </row>
    <row r="619" spans="1:13" x14ac:dyDescent="0.35">
      <c r="A619" t="s">
        <v>1980</v>
      </c>
      <c r="B619" t="s">
        <v>174</v>
      </c>
      <c r="C619" t="s">
        <v>1981</v>
      </c>
      <c r="D619" t="s">
        <v>190</v>
      </c>
      <c r="E619" t="s">
        <v>52</v>
      </c>
      <c r="F619" t="s">
        <v>54</v>
      </c>
      <c r="G619">
        <v>2</v>
      </c>
      <c r="H619" t="s">
        <v>177</v>
      </c>
      <c r="I619" t="s">
        <v>55</v>
      </c>
      <c r="J619" t="s">
        <v>1982</v>
      </c>
      <c r="K619" t="s">
        <v>219</v>
      </c>
      <c r="L619" t="s">
        <v>180</v>
      </c>
      <c r="M619" s="3">
        <f t="shared" si="9"/>
        <v>3</v>
      </c>
    </row>
    <row r="620" spans="1:13" x14ac:dyDescent="0.35">
      <c r="A620" t="s">
        <v>1983</v>
      </c>
      <c r="B620" t="s">
        <v>174</v>
      </c>
      <c r="C620" t="s">
        <v>1984</v>
      </c>
      <c r="D620" t="s">
        <v>176</v>
      </c>
      <c r="E620" t="s">
        <v>43</v>
      </c>
      <c r="F620" t="s">
        <v>50</v>
      </c>
      <c r="G620">
        <v>8</v>
      </c>
      <c r="H620" t="s">
        <v>177</v>
      </c>
      <c r="I620" t="s">
        <v>51</v>
      </c>
      <c r="J620" t="s">
        <v>1985</v>
      </c>
      <c r="K620" t="s">
        <v>183</v>
      </c>
      <c r="L620" t="s">
        <v>180</v>
      </c>
      <c r="M620" s="3">
        <f t="shared" si="9"/>
        <v>8</v>
      </c>
    </row>
    <row r="621" spans="1:13" x14ac:dyDescent="0.35">
      <c r="A621" t="s">
        <v>1986</v>
      </c>
      <c r="B621" t="s">
        <v>174</v>
      </c>
      <c r="C621" t="s">
        <v>1987</v>
      </c>
      <c r="D621" t="s">
        <v>190</v>
      </c>
      <c r="E621" t="s">
        <v>42</v>
      </c>
      <c r="F621" t="s">
        <v>48</v>
      </c>
      <c r="G621">
        <v>6</v>
      </c>
      <c r="H621" t="s">
        <v>177</v>
      </c>
      <c r="I621" t="s">
        <v>49</v>
      </c>
      <c r="J621" t="s">
        <v>1988</v>
      </c>
      <c r="K621" t="s">
        <v>257</v>
      </c>
      <c r="L621" t="s">
        <v>180</v>
      </c>
      <c r="M621" s="3">
        <f t="shared" si="9"/>
        <v>7</v>
      </c>
    </row>
    <row r="622" spans="1:13" x14ac:dyDescent="0.35">
      <c r="A622" t="s">
        <v>1989</v>
      </c>
      <c r="B622" t="s">
        <v>174</v>
      </c>
      <c r="C622" t="s">
        <v>1990</v>
      </c>
      <c r="D622" t="s">
        <v>190</v>
      </c>
      <c r="E622" t="s">
        <v>46</v>
      </c>
      <c r="F622" t="s">
        <v>48</v>
      </c>
      <c r="G622">
        <v>2</v>
      </c>
      <c r="H622" t="s">
        <v>177</v>
      </c>
      <c r="I622" t="s">
        <v>47</v>
      </c>
      <c r="J622" t="s">
        <v>1991</v>
      </c>
      <c r="K622" t="s">
        <v>270</v>
      </c>
      <c r="L622" t="s">
        <v>184</v>
      </c>
      <c r="M622" s="3">
        <f t="shared" si="9"/>
        <v>1</v>
      </c>
    </row>
    <row r="623" spans="1:13" x14ac:dyDescent="0.35">
      <c r="A623" t="s">
        <v>1992</v>
      </c>
      <c r="B623" t="s">
        <v>174</v>
      </c>
      <c r="C623" t="s">
        <v>1993</v>
      </c>
      <c r="D623" t="s">
        <v>190</v>
      </c>
      <c r="E623" t="s">
        <v>45</v>
      </c>
      <c r="F623" t="s">
        <v>52</v>
      </c>
      <c r="G623">
        <v>8</v>
      </c>
      <c r="H623" t="s">
        <v>177</v>
      </c>
      <c r="I623" t="s">
        <v>52</v>
      </c>
      <c r="J623" t="s">
        <v>288</v>
      </c>
      <c r="K623" t="s">
        <v>270</v>
      </c>
      <c r="L623" t="s">
        <v>180</v>
      </c>
      <c r="M623" s="3">
        <f t="shared" si="9"/>
        <v>7</v>
      </c>
    </row>
    <row r="624" spans="1:13" x14ac:dyDescent="0.35">
      <c r="A624" t="s">
        <v>1994</v>
      </c>
      <c r="B624" t="s">
        <v>174</v>
      </c>
      <c r="C624" t="s">
        <v>1995</v>
      </c>
      <c r="D624" t="s">
        <v>225</v>
      </c>
      <c r="E624" t="s">
        <v>40</v>
      </c>
      <c r="F624" t="s">
        <v>44</v>
      </c>
      <c r="G624">
        <v>4</v>
      </c>
      <c r="H624" t="s">
        <v>177</v>
      </c>
      <c r="I624" t="s">
        <v>44</v>
      </c>
      <c r="J624" t="s">
        <v>1996</v>
      </c>
      <c r="K624" t="s">
        <v>183</v>
      </c>
      <c r="L624" t="s">
        <v>180</v>
      </c>
      <c r="M624" s="3">
        <f t="shared" si="9"/>
        <v>4</v>
      </c>
    </row>
    <row r="625" spans="1:13" x14ac:dyDescent="0.35">
      <c r="A625" t="s">
        <v>1997</v>
      </c>
      <c r="B625" t="s">
        <v>174</v>
      </c>
      <c r="C625" t="s">
        <v>1998</v>
      </c>
      <c r="D625" t="s">
        <v>176</v>
      </c>
      <c r="E625" t="s">
        <v>34</v>
      </c>
      <c r="F625" t="s">
        <v>53</v>
      </c>
      <c r="G625">
        <v>19</v>
      </c>
      <c r="H625" t="s">
        <v>177</v>
      </c>
      <c r="I625" t="s">
        <v>54</v>
      </c>
      <c r="J625" t="s">
        <v>1999</v>
      </c>
      <c r="K625" t="s">
        <v>192</v>
      </c>
      <c r="L625" t="s">
        <v>180</v>
      </c>
      <c r="M625" s="3">
        <f t="shared" si="9"/>
        <v>20</v>
      </c>
    </row>
    <row r="626" spans="1:13" x14ac:dyDescent="0.35">
      <c r="A626" t="s">
        <v>2000</v>
      </c>
      <c r="B626" t="s">
        <v>174</v>
      </c>
      <c r="C626" t="s">
        <v>2001</v>
      </c>
      <c r="D626" t="s">
        <v>236</v>
      </c>
      <c r="E626" t="s">
        <v>41</v>
      </c>
      <c r="F626" t="s">
        <v>53</v>
      </c>
      <c r="G626">
        <v>12</v>
      </c>
      <c r="H626" t="s">
        <v>177</v>
      </c>
      <c r="I626" t="s">
        <v>54</v>
      </c>
      <c r="J626" t="s">
        <v>2002</v>
      </c>
      <c r="K626" t="s">
        <v>183</v>
      </c>
      <c r="L626" t="s">
        <v>184</v>
      </c>
      <c r="M626" s="3">
        <f t="shared" si="9"/>
        <v>13</v>
      </c>
    </row>
    <row r="627" spans="1:13" x14ac:dyDescent="0.35">
      <c r="A627" t="s">
        <v>2003</v>
      </c>
      <c r="B627" t="s">
        <v>174</v>
      </c>
      <c r="C627" t="s">
        <v>2004</v>
      </c>
      <c r="D627" t="s">
        <v>225</v>
      </c>
      <c r="E627" t="s">
        <v>44</v>
      </c>
      <c r="F627" t="s">
        <v>53</v>
      </c>
      <c r="G627">
        <v>8</v>
      </c>
      <c r="H627" t="s">
        <v>177</v>
      </c>
      <c r="I627" t="s">
        <v>54</v>
      </c>
      <c r="J627" t="s">
        <v>2005</v>
      </c>
      <c r="K627" t="s">
        <v>192</v>
      </c>
      <c r="L627" t="s">
        <v>184</v>
      </c>
      <c r="M627" s="3">
        <f t="shared" si="9"/>
        <v>10</v>
      </c>
    </row>
    <row r="628" spans="1:13" x14ac:dyDescent="0.35">
      <c r="A628" t="s">
        <v>2006</v>
      </c>
      <c r="B628" t="s">
        <v>174</v>
      </c>
      <c r="C628" t="s">
        <v>2007</v>
      </c>
      <c r="D628" t="s">
        <v>190</v>
      </c>
      <c r="E628" t="s">
        <v>35</v>
      </c>
      <c r="F628" t="s">
        <v>43</v>
      </c>
      <c r="G628">
        <v>7</v>
      </c>
      <c r="H628" t="s">
        <v>177</v>
      </c>
      <c r="I628" t="s">
        <v>43</v>
      </c>
      <c r="J628" t="s">
        <v>1625</v>
      </c>
      <c r="K628" t="s">
        <v>270</v>
      </c>
      <c r="L628" t="s">
        <v>184</v>
      </c>
      <c r="M628" s="3">
        <f t="shared" si="9"/>
        <v>8</v>
      </c>
    </row>
    <row r="629" spans="1:13" x14ac:dyDescent="0.35">
      <c r="A629" t="s">
        <v>2008</v>
      </c>
      <c r="B629" t="s">
        <v>174</v>
      </c>
      <c r="C629" t="s">
        <v>2009</v>
      </c>
      <c r="D629" t="s">
        <v>190</v>
      </c>
      <c r="E629" t="s">
        <v>42</v>
      </c>
      <c r="F629" t="s">
        <v>48</v>
      </c>
      <c r="G629">
        <v>6</v>
      </c>
      <c r="H629" t="s">
        <v>177</v>
      </c>
      <c r="I629" t="s">
        <v>48</v>
      </c>
      <c r="J629" t="s">
        <v>2010</v>
      </c>
      <c r="K629" t="s">
        <v>270</v>
      </c>
      <c r="L629" t="s">
        <v>180</v>
      </c>
      <c r="M629" s="3">
        <f t="shared" si="9"/>
        <v>6</v>
      </c>
    </row>
    <row r="630" spans="1:13" x14ac:dyDescent="0.35">
      <c r="A630" t="s">
        <v>2011</v>
      </c>
      <c r="B630" t="s">
        <v>174</v>
      </c>
      <c r="C630" t="s">
        <v>2012</v>
      </c>
      <c r="D630" t="s">
        <v>190</v>
      </c>
      <c r="E630" t="s">
        <v>40</v>
      </c>
      <c r="F630" t="s">
        <v>44</v>
      </c>
      <c r="G630">
        <v>4</v>
      </c>
      <c r="H630" t="s">
        <v>177</v>
      </c>
      <c r="I630" t="s">
        <v>44</v>
      </c>
      <c r="J630" t="s">
        <v>2013</v>
      </c>
      <c r="K630" t="s">
        <v>197</v>
      </c>
      <c r="L630" t="s">
        <v>184</v>
      </c>
      <c r="M630" s="3">
        <f t="shared" si="9"/>
        <v>4</v>
      </c>
    </row>
    <row r="631" spans="1:13" x14ac:dyDescent="0.35">
      <c r="A631" t="s">
        <v>2014</v>
      </c>
      <c r="B631" t="s">
        <v>174</v>
      </c>
      <c r="C631" t="s">
        <v>2015</v>
      </c>
      <c r="D631" t="s">
        <v>176</v>
      </c>
      <c r="E631" t="s">
        <v>37</v>
      </c>
      <c r="F631" t="s">
        <v>40</v>
      </c>
      <c r="G631">
        <v>3</v>
      </c>
      <c r="H631" t="s">
        <v>177</v>
      </c>
      <c r="I631" t="s">
        <v>40</v>
      </c>
      <c r="J631" t="s">
        <v>2016</v>
      </c>
      <c r="K631" t="s">
        <v>183</v>
      </c>
      <c r="L631" t="s">
        <v>180</v>
      </c>
      <c r="M631" s="3">
        <f t="shared" si="9"/>
        <v>3</v>
      </c>
    </row>
    <row r="632" spans="1:13" x14ac:dyDescent="0.35">
      <c r="A632" t="s">
        <v>2017</v>
      </c>
      <c r="B632" t="s">
        <v>174</v>
      </c>
      <c r="C632" t="s">
        <v>2018</v>
      </c>
      <c r="D632" t="s">
        <v>190</v>
      </c>
      <c r="E632" t="s">
        <v>31</v>
      </c>
      <c r="F632" t="s">
        <v>46</v>
      </c>
      <c r="G632">
        <v>15</v>
      </c>
      <c r="H632" t="s">
        <v>177</v>
      </c>
      <c r="I632" t="s">
        <v>46</v>
      </c>
      <c r="J632" t="s">
        <v>2019</v>
      </c>
      <c r="K632" t="s">
        <v>183</v>
      </c>
      <c r="L632" t="s">
        <v>180</v>
      </c>
      <c r="M632" s="3">
        <f t="shared" si="9"/>
        <v>15</v>
      </c>
    </row>
    <row r="633" spans="1:13" x14ac:dyDescent="0.35">
      <c r="A633" t="s">
        <v>2020</v>
      </c>
      <c r="B633" t="s">
        <v>174</v>
      </c>
      <c r="C633" t="s">
        <v>2021</v>
      </c>
      <c r="D633" t="s">
        <v>190</v>
      </c>
      <c r="E633" t="s">
        <v>34</v>
      </c>
      <c r="F633" t="s">
        <v>53</v>
      </c>
      <c r="G633">
        <v>19</v>
      </c>
      <c r="H633" t="s">
        <v>195</v>
      </c>
      <c r="J633" t="s">
        <v>2022</v>
      </c>
      <c r="K633" t="s">
        <v>270</v>
      </c>
      <c r="L633" t="s">
        <v>180</v>
      </c>
      <c r="M633" s="3" t="str">
        <f t="shared" si="9"/>
        <v/>
      </c>
    </row>
    <row r="634" spans="1:13" x14ac:dyDescent="0.35">
      <c r="A634" t="s">
        <v>2023</v>
      </c>
      <c r="B634" t="s">
        <v>174</v>
      </c>
      <c r="C634" t="s">
        <v>2024</v>
      </c>
      <c r="D634" t="s">
        <v>236</v>
      </c>
      <c r="E634" t="s">
        <v>46</v>
      </c>
      <c r="F634" t="s">
        <v>52</v>
      </c>
      <c r="G634">
        <v>6</v>
      </c>
      <c r="H634" t="s">
        <v>177</v>
      </c>
      <c r="I634" t="s">
        <v>52</v>
      </c>
      <c r="J634" t="s">
        <v>2025</v>
      </c>
      <c r="K634" t="s">
        <v>183</v>
      </c>
      <c r="L634" t="s">
        <v>184</v>
      </c>
      <c r="M634" s="3">
        <f t="shared" si="9"/>
        <v>6</v>
      </c>
    </row>
    <row r="635" spans="1:13" x14ac:dyDescent="0.35">
      <c r="A635" t="s">
        <v>2026</v>
      </c>
      <c r="B635" t="s">
        <v>174</v>
      </c>
      <c r="C635" t="s">
        <v>2027</v>
      </c>
      <c r="D635" t="s">
        <v>176</v>
      </c>
      <c r="E635" t="s">
        <v>45</v>
      </c>
      <c r="F635" t="s">
        <v>47</v>
      </c>
      <c r="G635">
        <v>1</v>
      </c>
      <c r="H635" t="s">
        <v>177</v>
      </c>
      <c r="I635" t="s">
        <v>47</v>
      </c>
      <c r="J635" t="s">
        <v>1189</v>
      </c>
      <c r="K635" t="s">
        <v>183</v>
      </c>
      <c r="L635" t="s">
        <v>184</v>
      </c>
      <c r="M635" s="3">
        <f t="shared" si="9"/>
        <v>2</v>
      </c>
    </row>
    <row r="636" spans="1:13" x14ac:dyDescent="0.35">
      <c r="A636" t="s">
        <v>2028</v>
      </c>
      <c r="B636" t="s">
        <v>174</v>
      </c>
      <c r="C636" t="s">
        <v>2029</v>
      </c>
      <c r="D636" t="s">
        <v>176</v>
      </c>
      <c r="E636" t="s">
        <v>44</v>
      </c>
      <c r="F636" t="s">
        <v>54</v>
      </c>
      <c r="G636">
        <v>11</v>
      </c>
      <c r="H636" t="s">
        <v>177</v>
      </c>
      <c r="I636" t="s">
        <v>54</v>
      </c>
      <c r="J636" t="s">
        <v>2030</v>
      </c>
      <c r="K636" t="s">
        <v>183</v>
      </c>
      <c r="L636" t="s">
        <v>180</v>
      </c>
      <c r="M636" s="3">
        <f t="shared" si="9"/>
        <v>10</v>
      </c>
    </row>
    <row r="637" spans="1:13" x14ac:dyDescent="0.35">
      <c r="A637" t="s">
        <v>2031</v>
      </c>
      <c r="B637" t="s">
        <v>174</v>
      </c>
      <c r="C637" t="s">
        <v>2032</v>
      </c>
      <c r="D637" t="s">
        <v>190</v>
      </c>
      <c r="E637" t="s">
        <v>43</v>
      </c>
      <c r="F637" t="s">
        <v>54</v>
      </c>
      <c r="G637">
        <v>11</v>
      </c>
      <c r="H637" t="s">
        <v>177</v>
      </c>
      <c r="I637" t="s">
        <v>55</v>
      </c>
      <c r="J637" t="s">
        <v>2033</v>
      </c>
      <c r="K637" t="s">
        <v>197</v>
      </c>
      <c r="L637" t="s">
        <v>184</v>
      </c>
      <c r="M637" s="3">
        <f t="shared" si="9"/>
        <v>12</v>
      </c>
    </row>
    <row r="638" spans="1:13" x14ac:dyDescent="0.35">
      <c r="A638" t="s">
        <v>2034</v>
      </c>
      <c r="B638" t="s">
        <v>174</v>
      </c>
      <c r="C638" t="s">
        <v>2035</v>
      </c>
      <c r="D638" t="s">
        <v>190</v>
      </c>
      <c r="E638" t="s">
        <v>43</v>
      </c>
      <c r="F638" t="s">
        <v>53</v>
      </c>
      <c r="G638">
        <v>9</v>
      </c>
      <c r="H638" t="s">
        <v>252</v>
      </c>
      <c r="J638" t="s">
        <v>2036</v>
      </c>
      <c r="K638" t="s">
        <v>197</v>
      </c>
      <c r="L638" t="s">
        <v>180</v>
      </c>
      <c r="M638" s="3" t="str">
        <f t="shared" si="9"/>
        <v/>
      </c>
    </row>
    <row r="639" spans="1:13" x14ac:dyDescent="0.35">
      <c r="A639" t="s">
        <v>2037</v>
      </c>
      <c r="B639" t="s">
        <v>174</v>
      </c>
      <c r="C639" t="s">
        <v>2038</v>
      </c>
      <c r="D639" t="s">
        <v>190</v>
      </c>
      <c r="E639" t="s">
        <v>38</v>
      </c>
      <c r="F639" t="s">
        <v>43</v>
      </c>
      <c r="G639">
        <v>5</v>
      </c>
      <c r="H639" t="s">
        <v>177</v>
      </c>
      <c r="I639" t="s">
        <v>43</v>
      </c>
      <c r="J639" t="s">
        <v>2039</v>
      </c>
      <c r="K639" t="s">
        <v>270</v>
      </c>
      <c r="L639" t="s">
        <v>180</v>
      </c>
      <c r="M639" s="3">
        <f t="shared" si="9"/>
        <v>5</v>
      </c>
    </row>
    <row r="640" spans="1:13" x14ac:dyDescent="0.35">
      <c r="A640" t="s">
        <v>2040</v>
      </c>
      <c r="B640" t="s">
        <v>174</v>
      </c>
      <c r="C640" t="s">
        <v>2041</v>
      </c>
      <c r="D640" t="s">
        <v>176</v>
      </c>
      <c r="E640" t="s">
        <v>34</v>
      </c>
      <c r="F640" t="s">
        <v>46</v>
      </c>
      <c r="G640">
        <v>12</v>
      </c>
      <c r="H640" t="s">
        <v>177</v>
      </c>
      <c r="I640" t="s">
        <v>46</v>
      </c>
      <c r="J640" t="s">
        <v>2042</v>
      </c>
      <c r="K640" t="s">
        <v>183</v>
      </c>
      <c r="L640" t="s">
        <v>180</v>
      </c>
      <c r="M640" s="3">
        <f t="shared" si="9"/>
        <v>12</v>
      </c>
    </row>
    <row r="641" spans="1:13" x14ac:dyDescent="0.35">
      <c r="A641" t="s">
        <v>2043</v>
      </c>
      <c r="B641" t="s">
        <v>174</v>
      </c>
      <c r="C641" t="s">
        <v>2044</v>
      </c>
      <c r="D641" t="s">
        <v>190</v>
      </c>
      <c r="E641" t="s">
        <v>30</v>
      </c>
      <c r="F641" t="s">
        <v>48</v>
      </c>
      <c r="G641">
        <v>18</v>
      </c>
      <c r="H641" t="s">
        <v>252</v>
      </c>
      <c r="J641" t="s">
        <v>2045</v>
      </c>
      <c r="K641" t="s">
        <v>270</v>
      </c>
      <c r="L641" t="s">
        <v>180</v>
      </c>
      <c r="M641" s="3" t="str">
        <f t="shared" si="9"/>
        <v/>
      </c>
    </row>
    <row r="642" spans="1:13" x14ac:dyDescent="0.35">
      <c r="A642" t="s">
        <v>2043</v>
      </c>
      <c r="B642" t="s">
        <v>174</v>
      </c>
      <c r="C642" t="s">
        <v>2044</v>
      </c>
      <c r="D642" t="s">
        <v>190</v>
      </c>
      <c r="E642" t="s">
        <v>30</v>
      </c>
      <c r="F642" t="s">
        <v>52</v>
      </c>
      <c r="G642">
        <v>22</v>
      </c>
      <c r="H642" t="s">
        <v>177</v>
      </c>
      <c r="I642" t="s">
        <v>52</v>
      </c>
      <c r="J642" t="s">
        <v>2045</v>
      </c>
      <c r="K642" t="s">
        <v>270</v>
      </c>
      <c r="L642" t="s">
        <v>180</v>
      </c>
      <c r="M642" s="3">
        <f t="shared" si="9"/>
        <v>22</v>
      </c>
    </row>
    <row r="643" spans="1:13" x14ac:dyDescent="0.35">
      <c r="A643" t="s">
        <v>2046</v>
      </c>
      <c r="B643" t="s">
        <v>174</v>
      </c>
      <c r="C643" t="s">
        <v>2047</v>
      </c>
      <c r="D643" t="s">
        <v>190</v>
      </c>
      <c r="E643" t="s">
        <v>34</v>
      </c>
      <c r="F643" t="s">
        <v>45</v>
      </c>
      <c r="G643">
        <v>12</v>
      </c>
      <c r="H643" t="s">
        <v>177</v>
      </c>
      <c r="I643" t="s">
        <v>45</v>
      </c>
      <c r="J643" t="s">
        <v>2048</v>
      </c>
      <c r="K643" t="s">
        <v>270</v>
      </c>
      <c r="L643" t="s">
        <v>180</v>
      </c>
      <c r="M643" s="3">
        <f t="shared" ref="M643:M706" si="10">IF(H643="Efectivo",IFERROR((VALUE(RIGHT(I643,4))-VALUE(RIGHT(E643,4)))*12+(VALUE(LEFT(I643,2))-VALUE(LEFT(E643,2))),""),"")</f>
        <v>11</v>
      </c>
    </row>
    <row r="644" spans="1:13" x14ac:dyDescent="0.35">
      <c r="A644" t="s">
        <v>2049</v>
      </c>
      <c r="B644" t="s">
        <v>174</v>
      </c>
      <c r="C644" t="s">
        <v>2050</v>
      </c>
      <c r="D644" t="s">
        <v>190</v>
      </c>
      <c r="E644" t="s">
        <v>49</v>
      </c>
      <c r="F644" t="s">
        <v>54</v>
      </c>
      <c r="G644">
        <v>4</v>
      </c>
      <c r="H644" t="s">
        <v>177</v>
      </c>
      <c r="I644" t="s">
        <v>54</v>
      </c>
      <c r="J644" t="s">
        <v>2051</v>
      </c>
      <c r="K644" t="s">
        <v>257</v>
      </c>
      <c r="L644" t="s">
        <v>180</v>
      </c>
      <c r="M644" s="3">
        <f t="shared" si="10"/>
        <v>5</v>
      </c>
    </row>
    <row r="645" spans="1:13" x14ac:dyDescent="0.35">
      <c r="A645" t="s">
        <v>2052</v>
      </c>
      <c r="B645" t="s">
        <v>174</v>
      </c>
      <c r="C645" t="s">
        <v>2053</v>
      </c>
      <c r="D645" t="s">
        <v>190</v>
      </c>
      <c r="E645" t="s">
        <v>40</v>
      </c>
      <c r="F645" t="s">
        <v>43</v>
      </c>
      <c r="G645">
        <v>2</v>
      </c>
      <c r="H645" t="s">
        <v>177</v>
      </c>
      <c r="I645" t="s">
        <v>43</v>
      </c>
      <c r="J645" t="s">
        <v>2054</v>
      </c>
      <c r="K645" t="s">
        <v>197</v>
      </c>
      <c r="L645" t="s">
        <v>184</v>
      </c>
      <c r="M645" s="3">
        <f t="shared" si="10"/>
        <v>3</v>
      </c>
    </row>
    <row r="646" spans="1:13" x14ac:dyDescent="0.35">
      <c r="A646" t="s">
        <v>2055</v>
      </c>
      <c r="B646" t="s">
        <v>174</v>
      </c>
      <c r="C646" t="s">
        <v>2056</v>
      </c>
      <c r="D646" t="s">
        <v>190</v>
      </c>
      <c r="E646" t="s">
        <v>52</v>
      </c>
      <c r="F646" t="s">
        <v>53</v>
      </c>
      <c r="G646">
        <v>1</v>
      </c>
      <c r="H646" t="s">
        <v>177</v>
      </c>
      <c r="I646" t="s">
        <v>53</v>
      </c>
      <c r="J646" t="s">
        <v>2057</v>
      </c>
      <c r="K646" t="s">
        <v>183</v>
      </c>
      <c r="L646" t="s">
        <v>180</v>
      </c>
      <c r="M646" s="3">
        <f t="shared" si="10"/>
        <v>1</v>
      </c>
    </row>
    <row r="647" spans="1:13" x14ac:dyDescent="0.35">
      <c r="A647" t="s">
        <v>2058</v>
      </c>
      <c r="B647" t="s">
        <v>174</v>
      </c>
      <c r="C647" t="s">
        <v>2059</v>
      </c>
      <c r="D647" t="s">
        <v>190</v>
      </c>
      <c r="E647" t="s">
        <v>36</v>
      </c>
      <c r="F647" t="s">
        <v>52</v>
      </c>
      <c r="G647">
        <v>16</v>
      </c>
      <c r="H647" t="s">
        <v>177</v>
      </c>
      <c r="I647" t="s">
        <v>52</v>
      </c>
      <c r="J647" t="s">
        <v>2060</v>
      </c>
      <c r="K647" t="s">
        <v>257</v>
      </c>
      <c r="L647" t="s">
        <v>180</v>
      </c>
      <c r="M647" s="3">
        <f t="shared" si="10"/>
        <v>16</v>
      </c>
    </row>
    <row r="648" spans="1:13" x14ac:dyDescent="0.35">
      <c r="A648" t="s">
        <v>2061</v>
      </c>
      <c r="B648" t="s">
        <v>174</v>
      </c>
      <c r="C648" t="s">
        <v>2062</v>
      </c>
      <c r="D648" t="s">
        <v>190</v>
      </c>
      <c r="E648" t="s">
        <v>40</v>
      </c>
      <c r="F648" t="s">
        <v>43</v>
      </c>
      <c r="G648">
        <v>3</v>
      </c>
      <c r="H648" t="s">
        <v>177</v>
      </c>
      <c r="I648" t="s">
        <v>43</v>
      </c>
      <c r="J648" t="s">
        <v>2063</v>
      </c>
      <c r="K648" t="s">
        <v>197</v>
      </c>
      <c r="L648" t="s">
        <v>180</v>
      </c>
      <c r="M648" s="3">
        <f t="shared" si="10"/>
        <v>3</v>
      </c>
    </row>
    <row r="649" spans="1:13" x14ac:dyDescent="0.35">
      <c r="A649" t="s">
        <v>2064</v>
      </c>
      <c r="B649" t="s">
        <v>174</v>
      </c>
      <c r="C649" t="s">
        <v>2065</v>
      </c>
      <c r="D649" t="s">
        <v>236</v>
      </c>
      <c r="E649" t="s">
        <v>46</v>
      </c>
      <c r="F649" t="s">
        <v>50</v>
      </c>
      <c r="G649">
        <v>5</v>
      </c>
      <c r="H649" t="s">
        <v>177</v>
      </c>
      <c r="I649" t="s">
        <v>51</v>
      </c>
      <c r="J649" t="s">
        <v>2066</v>
      </c>
      <c r="K649" t="s">
        <v>192</v>
      </c>
      <c r="L649" t="s">
        <v>180</v>
      </c>
      <c r="M649" s="3">
        <f t="shared" si="10"/>
        <v>5</v>
      </c>
    </row>
    <row r="650" spans="1:13" x14ac:dyDescent="0.35">
      <c r="A650" t="s">
        <v>2067</v>
      </c>
      <c r="B650" t="s">
        <v>174</v>
      </c>
      <c r="C650" t="s">
        <v>2068</v>
      </c>
      <c r="D650" t="s">
        <v>190</v>
      </c>
      <c r="E650" t="s">
        <v>41</v>
      </c>
      <c r="F650" t="s">
        <v>45</v>
      </c>
      <c r="G650">
        <v>4</v>
      </c>
      <c r="H650" t="s">
        <v>177</v>
      </c>
      <c r="I650" t="s">
        <v>47</v>
      </c>
      <c r="J650" t="s">
        <v>2069</v>
      </c>
      <c r="K650" t="s">
        <v>197</v>
      </c>
      <c r="L650" t="s">
        <v>184</v>
      </c>
      <c r="M650" s="3">
        <f t="shared" si="10"/>
        <v>6</v>
      </c>
    </row>
    <row r="651" spans="1:13" x14ac:dyDescent="0.35">
      <c r="A651" t="s">
        <v>2070</v>
      </c>
      <c r="B651" t="s">
        <v>174</v>
      </c>
      <c r="C651" t="s">
        <v>2071</v>
      </c>
      <c r="D651" t="s">
        <v>190</v>
      </c>
      <c r="E651" t="s">
        <v>41</v>
      </c>
      <c r="F651" t="s">
        <v>45</v>
      </c>
      <c r="G651">
        <v>4</v>
      </c>
      <c r="H651" t="s">
        <v>177</v>
      </c>
      <c r="I651" t="s">
        <v>45</v>
      </c>
      <c r="J651" t="s">
        <v>2072</v>
      </c>
      <c r="K651" t="s">
        <v>197</v>
      </c>
      <c r="L651" t="s">
        <v>184</v>
      </c>
      <c r="M651" s="3">
        <f t="shared" si="10"/>
        <v>4</v>
      </c>
    </row>
    <row r="652" spans="1:13" x14ac:dyDescent="0.35">
      <c r="A652" t="s">
        <v>2073</v>
      </c>
      <c r="B652" t="s">
        <v>174</v>
      </c>
      <c r="C652" t="s">
        <v>2074</v>
      </c>
      <c r="D652" t="s">
        <v>190</v>
      </c>
      <c r="E652" t="s">
        <v>41</v>
      </c>
      <c r="F652" t="s">
        <v>45</v>
      </c>
      <c r="G652">
        <v>3</v>
      </c>
      <c r="H652" t="s">
        <v>177</v>
      </c>
      <c r="I652" t="s">
        <v>45</v>
      </c>
      <c r="J652" t="s">
        <v>2075</v>
      </c>
      <c r="K652" t="s">
        <v>270</v>
      </c>
      <c r="L652" t="s">
        <v>180</v>
      </c>
      <c r="M652" s="3">
        <f t="shared" si="10"/>
        <v>4</v>
      </c>
    </row>
    <row r="653" spans="1:13" x14ac:dyDescent="0.35">
      <c r="A653" t="s">
        <v>2076</v>
      </c>
      <c r="B653" t="s">
        <v>174</v>
      </c>
      <c r="C653" t="s">
        <v>2077</v>
      </c>
      <c r="D653" t="s">
        <v>190</v>
      </c>
      <c r="E653" t="s">
        <v>48</v>
      </c>
      <c r="F653" t="s">
        <v>53</v>
      </c>
      <c r="G653">
        <v>5</v>
      </c>
      <c r="H653" t="s">
        <v>177</v>
      </c>
      <c r="I653" t="s">
        <v>56</v>
      </c>
      <c r="J653" t="s">
        <v>2078</v>
      </c>
      <c r="K653" t="s">
        <v>197</v>
      </c>
      <c r="L653" t="s">
        <v>180</v>
      </c>
      <c r="M653" s="3">
        <f t="shared" si="10"/>
        <v>8</v>
      </c>
    </row>
    <row r="654" spans="1:13" x14ac:dyDescent="0.35">
      <c r="A654" t="s">
        <v>2079</v>
      </c>
      <c r="B654" t="s">
        <v>174</v>
      </c>
      <c r="C654" t="s">
        <v>2080</v>
      </c>
      <c r="D654" t="s">
        <v>176</v>
      </c>
      <c r="E654" t="s">
        <v>50</v>
      </c>
      <c r="F654" t="s">
        <v>53</v>
      </c>
      <c r="G654">
        <v>2</v>
      </c>
      <c r="H654" t="s">
        <v>177</v>
      </c>
      <c r="I654" t="s">
        <v>54</v>
      </c>
      <c r="J654" t="s">
        <v>2081</v>
      </c>
      <c r="K654" t="s">
        <v>183</v>
      </c>
      <c r="L654" t="s">
        <v>184</v>
      </c>
      <c r="M654" s="3">
        <f t="shared" si="10"/>
        <v>4</v>
      </c>
    </row>
    <row r="655" spans="1:13" x14ac:dyDescent="0.35">
      <c r="A655" t="s">
        <v>2082</v>
      </c>
      <c r="B655" t="s">
        <v>174</v>
      </c>
      <c r="C655" t="s">
        <v>2083</v>
      </c>
      <c r="D655" t="s">
        <v>190</v>
      </c>
      <c r="E655" t="s">
        <v>47</v>
      </c>
      <c r="F655" t="s">
        <v>54</v>
      </c>
      <c r="G655">
        <v>6</v>
      </c>
      <c r="H655" t="s">
        <v>177</v>
      </c>
      <c r="I655" t="s">
        <v>54</v>
      </c>
      <c r="J655" t="s">
        <v>2084</v>
      </c>
      <c r="K655" t="s">
        <v>257</v>
      </c>
      <c r="L655" t="s">
        <v>180</v>
      </c>
      <c r="M655" s="3">
        <f t="shared" si="10"/>
        <v>7</v>
      </c>
    </row>
    <row r="656" spans="1:13" x14ac:dyDescent="0.35">
      <c r="A656" t="s">
        <v>2085</v>
      </c>
      <c r="B656" t="s">
        <v>174</v>
      </c>
      <c r="C656" t="s">
        <v>2086</v>
      </c>
      <c r="D656" t="s">
        <v>190</v>
      </c>
      <c r="E656" t="s">
        <v>49</v>
      </c>
      <c r="F656" t="s">
        <v>51</v>
      </c>
      <c r="G656">
        <v>2</v>
      </c>
      <c r="H656" t="s">
        <v>177</v>
      </c>
      <c r="I656" t="s">
        <v>52</v>
      </c>
      <c r="J656" t="s">
        <v>2087</v>
      </c>
      <c r="K656" t="s">
        <v>219</v>
      </c>
      <c r="L656" t="s">
        <v>180</v>
      </c>
      <c r="M656" s="3">
        <f t="shared" si="10"/>
        <v>3</v>
      </c>
    </row>
    <row r="657" spans="1:13" x14ac:dyDescent="0.35">
      <c r="A657" t="s">
        <v>2088</v>
      </c>
      <c r="B657" t="s">
        <v>174</v>
      </c>
      <c r="C657" t="s">
        <v>2089</v>
      </c>
      <c r="D657" t="s">
        <v>190</v>
      </c>
      <c r="E657" t="s">
        <v>47</v>
      </c>
      <c r="F657" t="s">
        <v>53</v>
      </c>
      <c r="G657">
        <v>5</v>
      </c>
      <c r="H657" t="s">
        <v>177</v>
      </c>
      <c r="I657" t="s">
        <v>53</v>
      </c>
      <c r="J657" t="s">
        <v>2090</v>
      </c>
      <c r="K657" t="s">
        <v>183</v>
      </c>
      <c r="L657" t="s">
        <v>180</v>
      </c>
      <c r="M657" s="3">
        <f t="shared" si="10"/>
        <v>6</v>
      </c>
    </row>
    <row r="658" spans="1:13" x14ac:dyDescent="0.35">
      <c r="A658" t="s">
        <v>2091</v>
      </c>
      <c r="B658" t="s">
        <v>174</v>
      </c>
      <c r="C658" t="s">
        <v>2092</v>
      </c>
      <c r="D658" t="s">
        <v>190</v>
      </c>
      <c r="E658" t="s">
        <v>38</v>
      </c>
      <c r="F658" t="s">
        <v>46</v>
      </c>
      <c r="G658">
        <v>8</v>
      </c>
      <c r="H658" t="s">
        <v>177</v>
      </c>
      <c r="I658" t="s">
        <v>47</v>
      </c>
      <c r="J658" t="s">
        <v>2093</v>
      </c>
      <c r="K658" t="s">
        <v>270</v>
      </c>
      <c r="L658" t="s">
        <v>184</v>
      </c>
      <c r="M658" s="3">
        <f t="shared" si="10"/>
        <v>9</v>
      </c>
    </row>
    <row r="659" spans="1:13" x14ac:dyDescent="0.35">
      <c r="A659" t="s">
        <v>2094</v>
      </c>
      <c r="B659" t="s">
        <v>174</v>
      </c>
      <c r="C659" t="s">
        <v>2095</v>
      </c>
      <c r="D659" t="s">
        <v>190</v>
      </c>
      <c r="E659" t="s">
        <v>39</v>
      </c>
      <c r="F659" t="s">
        <v>46</v>
      </c>
      <c r="G659">
        <v>7</v>
      </c>
      <c r="H659" t="s">
        <v>177</v>
      </c>
      <c r="I659" t="s">
        <v>47</v>
      </c>
      <c r="J659" t="s">
        <v>2096</v>
      </c>
      <c r="K659" t="s">
        <v>270</v>
      </c>
      <c r="L659" t="s">
        <v>180</v>
      </c>
      <c r="M659" s="3">
        <f t="shared" si="10"/>
        <v>8</v>
      </c>
    </row>
    <row r="660" spans="1:13" x14ac:dyDescent="0.35">
      <c r="A660" t="s">
        <v>2097</v>
      </c>
      <c r="B660" t="s">
        <v>174</v>
      </c>
      <c r="C660" t="s">
        <v>2098</v>
      </c>
      <c r="D660" t="s">
        <v>176</v>
      </c>
      <c r="E660" t="s">
        <v>46</v>
      </c>
      <c r="F660" t="s">
        <v>50</v>
      </c>
      <c r="G660">
        <v>4</v>
      </c>
      <c r="H660" t="s">
        <v>195</v>
      </c>
      <c r="J660" t="s">
        <v>501</v>
      </c>
      <c r="K660" t="s">
        <v>183</v>
      </c>
      <c r="L660" t="s">
        <v>184</v>
      </c>
      <c r="M660" s="3" t="str">
        <f t="shared" si="10"/>
        <v/>
      </c>
    </row>
    <row r="661" spans="1:13" x14ac:dyDescent="0.35">
      <c r="A661" t="s">
        <v>2099</v>
      </c>
      <c r="B661" t="s">
        <v>174</v>
      </c>
      <c r="C661" t="s">
        <v>2100</v>
      </c>
      <c r="D661" t="s">
        <v>190</v>
      </c>
      <c r="E661" t="s">
        <v>46</v>
      </c>
      <c r="F661" t="s">
        <v>51</v>
      </c>
      <c r="G661">
        <v>5</v>
      </c>
      <c r="H661" t="s">
        <v>177</v>
      </c>
      <c r="I661" t="s">
        <v>52</v>
      </c>
      <c r="J661" t="s">
        <v>2101</v>
      </c>
      <c r="K661" t="s">
        <v>197</v>
      </c>
      <c r="L661" t="s">
        <v>180</v>
      </c>
      <c r="M661" s="3">
        <f t="shared" si="10"/>
        <v>6</v>
      </c>
    </row>
    <row r="662" spans="1:13" x14ac:dyDescent="0.35">
      <c r="A662" t="s">
        <v>2102</v>
      </c>
      <c r="B662" t="s">
        <v>174</v>
      </c>
      <c r="C662" t="s">
        <v>2103</v>
      </c>
      <c r="D662" t="s">
        <v>190</v>
      </c>
      <c r="E662" t="s">
        <v>40</v>
      </c>
      <c r="F662" t="s">
        <v>43</v>
      </c>
      <c r="G662">
        <v>3</v>
      </c>
      <c r="H662" t="s">
        <v>177</v>
      </c>
      <c r="I662" t="s">
        <v>43</v>
      </c>
      <c r="J662" t="s">
        <v>2104</v>
      </c>
      <c r="K662" t="s">
        <v>270</v>
      </c>
      <c r="L662" t="s">
        <v>180</v>
      </c>
      <c r="M662" s="3">
        <f t="shared" si="10"/>
        <v>3</v>
      </c>
    </row>
    <row r="663" spans="1:13" x14ac:dyDescent="0.35">
      <c r="A663" t="s">
        <v>2105</v>
      </c>
      <c r="B663" t="s">
        <v>174</v>
      </c>
      <c r="C663" t="s">
        <v>2106</v>
      </c>
      <c r="D663" t="s">
        <v>176</v>
      </c>
      <c r="E663" t="s">
        <v>32</v>
      </c>
      <c r="F663" t="s">
        <v>47</v>
      </c>
      <c r="G663">
        <v>15</v>
      </c>
      <c r="H663" t="s">
        <v>177</v>
      </c>
      <c r="I663" t="s">
        <v>47</v>
      </c>
      <c r="J663" t="s">
        <v>2107</v>
      </c>
      <c r="K663" t="s">
        <v>183</v>
      </c>
      <c r="L663" t="s">
        <v>180</v>
      </c>
      <c r="M663" s="3">
        <f t="shared" si="10"/>
        <v>15</v>
      </c>
    </row>
    <row r="664" spans="1:13" x14ac:dyDescent="0.35">
      <c r="A664" t="s">
        <v>2108</v>
      </c>
      <c r="B664" t="s">
        <v>174</v>
      </c>
      <c r="C664" t="s">
        <v>2109</v>
      </c>
      <c r="D664" t="s">
        <v>190</v>
      </c>
      <c r="E664" t="s">
        <v>41</v>
      </c>
      <c r="F664" t="s">
        <v>45</v>
      </c>
      <c r="G664">
        <v>4</v>
      </c>
      <c r="H664" t="s">
        <v>177</v>
      </c>
      <c r="I664" t="s">
        <v>45</v>
      </c>
      <c r="J664" t="s">
        <v>2110</v>
      </c>
      <c r="K664" t="s">
        <v>270</v>
      </c>
      <c r="L664" t="s">
        <v>184</v>
      </c>
      <c r="M664" s="3">
        <f t="shared" si="10"/>
        <v>4</v>
      </c>
    </row>
    <row r="665" spans="1:13" x14ac:dyDescent="0.35">
      <c r="A665" t="s">
        <v>2111</v>
      </c>
      <c r="B665" t="s">
        <v>174</v>
      </c>
      <c r="C665" t="s">
        <v>2112</v>
      </c>
      <c r="D665" t="s">
        <v>190</v>
      </c>
      <c r="E665" t="s">
        <v>41</v>
      </c>
      <c r="F665" t="s">
        <v>50</v>
      </c>
      <c r="G665">
        <v>9</v>
      </c>
      <c r="H665" t="s">
        <v>195</v>
      </c>
      <c r="J665" t="s">
        <v>2113</v>
      </c>
      <c r="K665" t="s">
        <v>183</v>
      </c>
      <c r="L665" t="s">
        <v>180</v>
      </c>
      <c r="M665" s="3" t="str">
        <f t="shared" si="10"/>
        <v/>
      </c>
    </row>
    <row r="666" spans="1:13" x14ac:dyDescent="0.35">
      <c r="A666" t="s">
        <v>2114</v>
      </c>
      <c r="B666" t="s">
        <v>174</v>
      </c>
      <c r="C666" t="s">
        <v>2115</v>
      </c>
      <c r="D666" t="s">
        <v>190</v>
      </c>
      <c r="E666" t="s">
        <v>43</v>
      </c>
      <c r="F666" t="s">
        <v>47</v>
      </c>
      <c r="G666">
        <v>3</v>
      </c>
      <c r="H666" t="s">
        <v>177</v>
      </c>
      <c r="I666" t="s">
        <v>47</v>
      </c>
      <c r="J666" t="s">
        <v>2116</v>
      </c>
      <c r="K666" t="s">
        <v>179</v>
      </c>
      <c r="L666" t="s">
        <v>180</v>
      </c>
      <c r="M666" s="3">
        <f t="shared" si="10"/>
        <v>4</v>
      </c>
    </row>
    <row r="667" spans="1:13" x14ac:dyDescent="0.35">
      <c r="A667" t="s">
        <v>2117</v>
      </c>
      <c r="B667" t="s">
        <v>174</v>
      </c>
      <c r="C667" t="s">
        <v>2118</v>
      </c>
      <c r="D667" t="s">
        <v>176</v>
      </c>
      <c r="E667" t="s">
        <v>36</v>
      </c>
      <c r="F667" t="s">
        <v>51</v>
      </c>
      <c r="G667">
        <v>15</v>
      </c>
      <c r="H667" t="s">
        <v>177</v>
      </c>
      <c r="I667" t="s">
        <v>51</v>
      </c>
      <c r="J667" t="s">
        <v>2119</v>
      </c>
      <c r="K667" t="s">
        <v>183</v>
      </c>
      <c r="L667" t="s">
        <v>180</v>
      </c>
      <c r="M667" s="3">
        <f t="shared" si="10"/>
        <v>15</v>
      </c>
    </row>
    <row r="668" spans="1:13" x14ac:dyDescent="0.35">
      <c r="A668" t="s">
        <v>2120</v>
      </c>
      <c r="B668" t="s">
        <v>174</v>
      </c>
      <c r="C668" t="s">
        <v>2121</v>
      </c>
      <c r="D668" t="s">
        <v>236</v>
      </c>
      <c r="E668" t="s">
        <v>37</v>
      </c>
      <c r="F668" t="s">
        <v>47</v>
      </c>
      <c r="G668">
        <v>11</v>
      </c>
      <c r="H668" t="s">
        <v>177</v>
      </c>
      <c r="I668" t="s">
        <v>48</v>
      </c>
      <c r="J668" t="s">
        <v>2122</v>
      </c>
      <c r="K668" t="s">
        <v>331</v>
      </c>
      <c r="L668" t="s">
        <v>180</v>
      </c>
      <c r="M668" s="3">
        <f t="shared" si="10"/>
        <v>11</v>
      </c>
    </row>
    <row r="669" spans="1:13" x14ac:dyDescent="0.35">
      <c r="A669" t="s">
        <v>2123</v>
      </c>
      <c r="B669" t="s">
        <v>174</v>
      </c>
      <c r="C669" t="s">
        <v>2124</v>
      </c>
      <c r="D669" t="s">
        <v>190</v>
      </c>
      <c r="E669" t="s">
        <v>37</v>
      </c>
      <c r="F669" t="s">
        <v>43</v>
      </c>
      <c r="G669">
        <v>6</v>
      </c>
      <c r="H669" t="s">
        <v>177</v>
      </c>
      <c r="I669" t="s">
        <v>43</v>
      </c>
      <c r="J669" t="s">
        <v>2125</v>
      </c>
      <c r="K669" t="s">
        <v>270</v>
      </c>
      <c r="L669" t="s">
        <v>180</v>
      </c>
      <c r="M669" s="3">
        <f t="shared" si="10"/>
        <v>6</v>
      </c>
    </row>
    <row r="670" spans="1:13" x14ac:dyDescent="0.35">
      <c r="A670" t="s">
        <v>2126</v>
      </c>
      <c r="B670" t="s">
        <v>174</v>
      </c>
      <c r="C670" t="s">
        <v>2127</v>
      </c>
      <c r="D670" t="s">
        <v>190</v>
      </c>
      <c r="E670" t="s">
        <v>46</v>
      </c>
      <c r="F670" t="s">
        <v>54</v>
      </c>
      <c r="G670">
        <v>7</v>
      </c>
      <c r="H670" t="s">
        <v>252</v>
      </c>
      <c r="J670" t="s">
        <v>2128</v>
      </c>
      <c r="K670" t="s">
        <v>257</v>
      </c>
      <c r="L670" t="s">
        <v>180</v>
      </c>
      <c r="M670" s="3" t="str">
        <f t="shared" si="10"/>
        <v/>
      </c>
    </row>
    <row r="671" spans="1:13" x14ac:dyDescent="0.35">
      <c r="A671" t="s">
        <v>2129</v>
      </c>
      <c r="B671" t="s">
        <v>174</v>
      </c>
      <c r="C671" t="s">
        <v>2130</v>
      </c>
      <c r="D671" t="s">
        <v>190</v>
      </c>
      <c r="E671" t="s">
        <v>44</v>
      </c>
      <c r="F671" t="s">
        <v>55</v>
      </c>
      <c r="G671">
        <v>11</v>
      </c>
      <c r="H671" t="s">
        <v>177</v>
      </c>
      <c r="I671" t="s">
        <v>55</v>
      </c>
      <c r="J671" t="s">
        <v>1261</v>
      </c>
      <c r="K671" t="s">
        <v>270</v>
      </c>
      <c r="L671" t="s">
        <v>180</v>
      </c>
      <c r="M671" s="3">
        <f t="shared" si="10"/>
        <v>11</v>
      </c>
    </row>
    <row r="672" spans="1:13" x14ac:dyDescent="0.35">
      <c r="A672" t="s">
        <v>2131</v>
      </c>
      <c r="B672" t="s">
        <v>174</v>
      </c>
      <c r="C672" t="s">
        <v>2132</v>
      </c>
      <c r="D672" t="s">
        <v>190</v>
      </c>
      <c r="E672" t="s">
        <v>45</v>
      </c>
      <c r="F672" t="s">
        <v>54</v>
      </c>
      <c r="G672">
        <v>9</v>
      </c>
      <c r="H672" t="s">
        <v>177</v>
      </c>
      <c r="I672" t="s">
        <v>55</v>
      </c>
      <c r="J672" t="s">
        <v>2133</v>
      </c>
      <c r="K672" t="s">
        <v>257</v>
      </c>
      <c r="L672" t="s">
        <v>180</v>
      </c>
      <c r="M672" s="3">
        <f t="shared" si="10"/>
        <v>10</v>
      </c>
    </row>
    <row r="673" spans="1:13" x14ac:dyDescent="0.35">
      <c r="A673" t="s">
        <v>2134</v>
      </c>
      <c r="B673" t="s">
        <v>174</v>
      </c>
      <c r="C673" t="s">
        <v>2135</v>
      </c>
      <c r="D673" t="s">
        <v>190</v>
      </c>
      <c r="E673" t="s">
        <v>41</v>
      </c>
      <c r="F673" t="s">
        <v>54</v>
      </c>
      <c r="G673">
        <v>13</v>
      </c>
      <c r="H673" t="s">
        <v>177</v>
      </c>
      <c r="I673" t="s">
        <v>54</v>
      </c>
      <c r="J673" t="s">
        <v>2136</v>
      </c>
      <c r="K673" t="s">
        <v>197</v>
      </c>
      <c r="L673" t="s">
        <v>184</v>
      </c>
      <c r="M673" s="3">
        <f t="shared" si="10"/>
        <v>13</v>
      </c>
    </row>
    <row r="674" spans="1:13" x14ac:dyDescent="0.35">
      <c r="A674" t="s">
        <v>2137</v>
      </c>
      <c r="B674" t="s">
        <v>174</v>
      </c>
      <c r="C674" t="s">
        <v>2138</v>
      </c>
      <c r="D674" t="s">
        <v>190</v>
      </c>
      <c r="E674" t="s">
        <v>45</v>
      </c>
      <c r="F674" t="s">
        <v>48</v>
      </c>
      <c r="G674">
        <v>2</v>
      </c>
      <c r="H674" t="s">
        <v>252</v>
      </c>
      <c r="J674" t="s">
        <v>2139</v>
      </c>
      <c r="K674" t="s">
        <v>257</v>
      </c>
      <c r="L674" t="s">
        <v>180</v>
      </c>
      <c r="M674" s="3" t="str">
        <f t="shared" si="10"/>
        <v/>
      </c>
    </row>
    <row r="675" spans="1:13" x14ac:dyDescent="0.35">
      <c r="A675" t="s">
        <v>2140</v>
      </c>
      <c r="B675" t="s">
        <v>174</v>
      </c>
      <c r="C675" t="s">
        <v>2141</v>
      </c>
      <c r="D675" t="s">
        <v>225</v>
      </c>
      <c r="E675" t="s">
        <v>46</v>
      </c>
      <c r="F675" t="s">
        <v>47</v>
      </c>
      <c r="G675">
        <v>1</v>
      </c>
      <c r="H675" t="s">
        <v>252</v>
      </c>
      <c r="J675" t="s">
        <v>2142</v>
      </c>
      <c r="K675" t="s">
        <v>192</v>
      </c>
      <c r="L675" t="s">
        <v>180</v>
      </c>
      <c r="M675" s="3" t="str">
        <f t="shared" si="10"/>
        <v/>
      </c>
    </row>
    <row r="676" spans="1:13" x14ac:dyDescent="0.35">
      <c r="A676" t="s">
        <v>2143</v>
      </c>
      <c r="B676" t="s">
        <v>174</v>
      </c>
      <c r="C676" t="s">
        <v>2144</v>
      </c>
      <c r="D676" t="s">
        <v>190</v>
      </c>
      <c r="E676" t="s">
        <v>45</v>
      </c>
      <c r="F676" t="s">
        <v>49</v>
      </c>
      <c r="G676">
        <v>3</v>
      </c>
      <c r="H676" t="s">
        <v>252</v>
      </c>
      <c r="J676" t="s">
        <v>2145</v>
      </c>
      <c r="K676" t="s">
        <v>257</v>
      </c>
      <c r="L676" t="s">
        <v>180</v>
      </c>
      <c r="M676" s="3" t="str">
        <f t="shared" si="10"/>
        <v/>
      </c>
    </row>
    <row r="677" spans="1:13" x14ac:dyDescent="0.35">
      <c r="A677" t="s">
        <v>2146</v>
      </c>
      <c r="B677" t="s">
        <v>174</v>
      </c>
      <c r="C677" t="s">
        <v>2147</v>
      </c>
      <c r="D677" t="s">
        <v>190</v>
      </c>
      <c r="E677" t="s">
        <v>50</v>
      </c>
      <c r="F677" t="s">
        <v>54</v>
      </c>
      <c r="G677">
        <v>4</v>
      </c>
      <c r="H677" t="s">
        <v>177</v>
      </c>
      <c r="I677" t="s">
        <v>54</v>
      </c>
      <c r="J677" t="s">
        <v>2148</v>
      </c>
      <c r="K677" t="s">
        <v>257</v>
      </c>
      <c r="L677" t="s">
        <v>180</v>
      </c>
      <c r="M677" s="3">
        <f t="shared" si="10"/>
        <v>4</v>
      </c>
    </row>
    <row r="678" spans="1:13" x14ac:dyDescent="0.35">
      <c r="A678" t="s">
        <v>2149</v>
      </c>
      <c r="B678" t="s">
        <v>174</v>
      </c>
      <c r="C678" t="s">
        <v>2150</v>
      </c>
      <c r="D678" t="s">
        <v>190</v>
      </c>
      <c r="E678" t="s">
        <v>47</v>
      </c>
      <c r="F678" t="s">
        <v>54</v>
      </c>
      <c r="G678">
        <v>7</v>
      </c>
      <c r="H678" t="s">
        <v>177</v>
      </c>
      <c r="I678" t="s">
        <v>54</v>
      </c>
      <c r="J678" t="s">
        <v>2151</v>
      </c>
      <c r="K678" t="s">
        <v>257</v>
      </c>
      <c r="L678" t="s">
        <v>184</v>
      </c>
      <c r="M678" s="3">
        <f t="shared" si="10"/>
        <v>7</v>
      </c>
    </row>
    <row r="679" spans="1:13" x14ac:dyDescent="0.35">
      <c r="A679" t="s">
        <v>2152</v>
      </c>
      <c r="B679" t="s">
        <v>174</v>
      </c>
      <c r="C679" t="s">
        <v>2153</v>
      </c>
      <c r="D679" t="s">
        <v>190</v>
      </c>
      <c r="E679" t="s">
        <v>40</v>
      </c>
      <c r="F679" t="s">
        <v>43</v>
      </c>
      <c r="G679">
        <v>3</v>
      </c>
      <c r="H679" t="s">
        <v>195</v>
      </c>
      <c r="J679" t="s">
        <v>2154</v>
      </c>
      <c r="K679" t="s">
        <v>197</v>
      </c>
      <c r="L679" t="s">
        <v>180</v>
      </c>
      <c r="M679" s="3" t="str">
        <f t="shared" si="10"/>
        <v/>
      </c>
    </row>
    <row r="680" spans="1:13" x14ac:dyDescent="0.35">
      <c r="A680" t="s">
        <v>2155</v>
      </c>
      <c r="B680" t="s">
        <v>174</v>
      </c>
      <c r="C680" t="s">
        <v>2156</v>
      </c>
      <c r="D680" t="s">
        <v>190</v>
      </c>
      <c r="E680" t="s">
        <v>45</v>
      </c>
      <c r="F680" t="s">
        <v>46</v>
      </c>
      <c r="G680">
        <v>2</v>
      </c>
      <c r="H680" t="s">
        <v>177</v>
      </c>
      <c r="I680" t="s">
        <v>46</v>
      </c>
      <c r="J680" t="s">
        <v>1411</v>
      </c>
      <c r="K680" t="s">
        <v>270</v>
      </c>
      <c r="L680" t="s">
        <v>184</v>
      </c>
      <c r="M680" s="3">
        <f t="shared" si="10"/>
        <v>1</v>
      </c>
    </row>
    <row r="681" spans="1:13" x14ac:dyDescent="0.35">
      <c r="A681" t="s">
        <v>2157</v>
      </c>
      <c r="B681" t="s">
        <v>174</v>
      </c>
      <c r="C681" t="s">
        <v>2158</v>
      </c>
      <c r="D681" t="s">
        <v>190</v>
      </c>
      <c r="E681" t="s">
        <v>43</v>
      </c>
      <c r="F681" t="s">
        <v>51</v>
      </c>
      <c r="G681">
        <v>8</v>
      </c>
      <c r="H681" t="s">
        <v>177</v>
      </c>
      <c r="I681" t="s">
        <v>51</v>
      </c>
      <c r="J681" t="s">
        <v>2159</v>
      </c>
      <c r="K681" t="s">
        <v>197</v>
      </c>
      <c r="L681" t="s">
        <v>180</v>
      </c>
      <c r="M681" s="3">
        <f t="shared" si="10"/>
        <v>8</v>
      </c>
    </row>
    <row r="682" spans="1:13" x14ac:dyDescent="0.35">
      <c r="A682" t="s">
        <v>2160</v>
      </c>
      <c r="B682" t="s">
        <v>174</v>
      </c>
      <c r="C682" t="s">
        <v>2161</v>
      </c>
      <c r="D682" t="s">
        <v>190</v>
      </c>
      <c r="E682" t="s">
        <v>29</v>
      </c>
      <c r="F682" t="s">
        <v>43</v>
      </c>
      <c r="G682">
        <v>15</v>
      </c>
      <c r="H682" t="s">
        <v>252</v>
      </c>
      <c r="J682" t="s">
        <v>2162</v>
      </c>
      <c r="K682" t="s">
        <v>183</v>
      </c>
      <c r="L682" t="s">
        <v>180</v>
      </c>
      <c r="M682" s="3" t="str">
        <f t="shared" si="10"/>
        <v/>
      </c>
    </row>
    <row r="683" spans="1:13" x14ac:dyDescent="0.35">
      <c r="A683" t="s">
        <v>2160</v>
      </c>
      <c r="B683" t="s">
        <v>174</v>
      </c>
      <c r="C683" t="s">
        <v>2161</v>
      </c>
      <c r="D683" t="s">
        <v>190</v>
      </c>
      <c r="E683" t="s">
        <v>29</v>
      </c>
      <c r="F683" t="s">
        <v>53</v>
      </c>
      <c r="G683">
        <v>24</v>
      </c>
      <c r="H683" t="s">
        <v>177</v>
      </c>
      <c r="I683" t="s">
        <v>53</v>
      </c>
      <c r="J683" t="s">
        <v>2162</v>
      </c>
      <c r="K683" t="s">
        <v>183</v>
      </c>
      <c r="L683" t="s">
        <v>180</v>
      </c>
      <c r="M683" s="3">
        <f t="shared" si="10"/>
        <v>24</v>
      </c>
    </row>
    <row r="684" spans="1:13" x14ac:dyDescent="0.35">
      <c r="A684" t="s">
        <v>2163</v>
      </c>
      <c r="B684" t="s">
        <v>174</v>
      </c>
      <c r="C684" t="s">
        <v>2164</v>
      </c>
      <c r="D684" t="s">
        <v>190</v>
      </c>
      <c r="E684" t="s">
        <v>47</v>
      </c>
      <c r="F684" t="s">
        <v>49</v>
      </c>
      <c r="G684">
        <v>2</v>
      </c>
      <c r="H684" t="s">
        <v>177</v>
      </c>
      <c r="I684" t="s">
        <v>49</v>
      </c>
      <c r="J684" t="s">
        <v>1702</v>
      </c>
      <c r="K684" t="s">
        <v>197</v>
      </c>
      <c r="L684" t="s">
        <v>180</v>
      </c>
      <c r="M684" s="3">
        <f t="shared" si="10"/>
        <v>2</v>
      </c>
    </row>
    <row r="685" spans="1:13" x14ac:dyDescent="0.35">
      <c r="A685" t="s">
        <v>2165</v>
      </c>
      <c r="B685" t="s">
        <v>174</v>
      </c>
      <c r="C685" t="s">
        <v>2166</v>
      </c>
      <c r="D685" t="s">
        <v>190</v>
      </c>
      <c r="E685" t="s">
        <v>45</v>
      </c>
      <c r="F685" t="s">
        <v>51</v>
      </c>
      <c r="G685">
        <v>6</v>
      </c>
      <c r="H685" t="s">
        <v>177</v>
      </c>
      <c r="I685" t="s">
        <v>54</v>
      </c>
      <c r="J685" t="s">
        <v>2167</v>
      </c>
      <c r="K685" t="s">
        <v>197</v>
      </c>
      <c r="L685" t="s">
        <v>180</v>
      </c>
      <c r="M685" s="3">
        <f t="shared" si="10"/>
        <v>9</v>
      </c>
    </row>
    <row r="686" spans="1:13" x14ac:dyDescent="0.35">
      <c r="A686" t="s">
        <v>2168</v>
      </c>
      <c r="B686" t="s">
        <v>174</v>
      </c>
      <c r="C686" t="s">
        <v>2169</v>
      </c>
      <c r="D686" t="s">
        <v>190</v>
      </c>
      <c r="E686" t="s">
        <v>45</v>
      </c>
      <c r="F686" t="s">
        <v>53</v>
      </c>
      <c r="G686">
        <v>8</v>
      </c>
      <c r="H686" t="s">
        <v>177</v>
      </c>
      <c r="I686" t="s">
        <v>56</v>
      </c>
      <c r="J686" t="s">
        <v>2170</v>
      </c>
      <c r="K686" t="s">
        <v>257</v>
      </c>
      <c r="L686" t="s">
        <v>180</v>
      </c>
      <c r="M686" s="3">
        <f t="shared" si="10"/>
        <v>11</v>
      </c>
    </row>
    <row r="687" spans="1:13" x14ac:dyDescent="0.35">
      <c r="A687" t="s">
        <v>2171</v>
      </c>
      <c r="B687" t="s">
        <v>174</v>
      </c>
      <c r="C687" t="s">
        <v>2172</v>
      </c>
      <c r="D687" t="s">
        <v>190</v>
      </c>
      <c r="E687" t="s">
        <v>44</v>
      </c>
      <c r="F687" t="s">
        <v>53</v>
      </c>
      <c r="G687">
        <v>9</v>
      </c>
      <c r="H687" t="s">
        <v>177</v>
      </c>
      <c r="I687" t="s">
        <v>55</v>
      </c>
      <c r="J687" t="s">
        <v>2173</v>
      </c>
      <c r="K687" t="s">
        <v>257</v>
      </c>
      <c r="L687" t="s">
        <v>180</v>
      </c>
      <c r="M687" s="3">
        <f t="shared" si="10"/>
        <v>11</v>
      </c>
    </row>
    <row r="688" spans="1:13" x14ac:dyDescent="0.35">
      <c r="A688" t="s">
        <v>2174</v>
      </c>
      <c r="B688" t="s">
        <v>174</v>
      </c>
      <c r="C688" t="s">
        <v>2175</v>
      </c>
      <c r="D688" t="s">
        <v>190</v>
      </c>
      <c r="E688" t="s">
        <v>30</v>
      </c>
      <c r="F688" t="s">
        <v>55</v>
      </c>
      <c r="G688">
        <v>25</v>
      </c>
      <c r="H688" t="s">
        <v>177</v>
      </c>
      <c r="I688" t="s">
        <v>55</v>
      </c>
      <c r="J688" t="s">
        <v>2176</v>
      </c>
      <c r="K688" t="s">
        <v>377</v>
      </c>
      <c r="L688" t="s">
        <v>180</v>
      </c>
      <c r="M688" s="3">
        <f t="shared" si="10"/>
        <v>25</v>
      </c>
    </row>
    <row r="689" spans="1:13" x14ac:dyDescent="0.35">
      <c r="A689" t="s">
        <v>2177</v>
      </c>
      <c r="B689" t="s">
        <v>174</v>
      </c>
      <c r="C689" t="s">
        <v>2178</v>
      </c>
      <c r="D689" t="s">
        <v>236</v>
      </c>
      <c r="E689" t="s">
        <v>48</v>
      </c>
      <c r="F689" t="s">
        <v>56</v>
      </c>
      <c r="G689">
        <v>8</v>
      </c>
      <c r="H689" t="s">
        <v>195</v>
      </c>
      <c r="J689" t="s">
        <v>2179</v>
      </c>
      <c r="K689" t="s">
        <v>183</v>
      </c>
      <c r="L689" t="s">
        <v>184</v>
      </c>
      <c r="M689" s="3" t="str">
        <f t="shared" si="10"/>
        <v/>
      </c>
    </row>
    <row r="690" spans="1:13" x14ac:dyDescent="0.35">
      <c r="A690" t="s">
        <v>2180</v>
      </c>
      <c r="B690" t="s">
        <v>174</v>
      </c>
      <c r="C690" t="s">
        <v>2181</v>
      </c>
      <c r="D690" t="s">
        <v>190</v>
      </c>
      <c r="E690" t="s">
        <v>45</v>
      </c>
      <c r="F690" t="s">
        <v>50</v>
      </c>
      <c r="G690">
        <v>4</v>
      </c>
      <c r="H690" t="s">
        <v>177</v>
      </c>
      <c r="I690" t="s">
        <v>50</v>
      </c>
      <c r="J690" t="s">
        <v>1232</v>
      </c>
      <c r="K690" t="s">
        <v>197</v>
      </c>
      <c r="L690" t="s">
        <v>184</v>
      </c>
      <c r="M690" s="3">
        <f t="shared" si="10"/>
        <v>5</v>
      </c>
    </row>
    <row r="691" spans="1:13" x14ac:dyDescent="0.35">
      <c r="A691" t="s">
        <v>2182</v>
      </c>
      <c r="B691" t="s">
        <v>174</v>
      </c>
      <c r="C691" t="s">
        <v>2183</v>
      </c>
      <c r="D691" t="s">
        <v>190</v>
      </c>
      <c r="E691" t="s">
        <v>2184</v>
      </c>
      <c r="F691" t="s">
        <v>47</v>
      </c>
      <c r="G691">
        <v>32</v>
      </c>
      <c r="H691" t="s">
        <v>177</v>
      </c>
      <c r="I691" t="s">
        <v>47</v>
      </c>
      <c r="J691" t="s">
        <v>2185</v>
      </c>
      <c r="K691" t="s">
        <v>183</v>
      </c>
      <c r="L691" t="s">
        <v>180</v>
      </c>
      <c r="M691" s="3">
        <f t="shared" si="10"/>
        <v>32</v>
      </c>
    </row>
    <row r="692" spans="1:13" x14ac:dyDescent="0.35">
      <c r="A692" t="s">
        <v>2186</v>
      </c>
      <c r="B692" t="s">
        <v>174</v>
      </c>
      <c r="C692" t="s">
        <v>2187</v>
      </c>
      <c r="D692" t="s">
        <v>190</v>
      </c>
      <c r="E692" t="s">
        <v>43</v>
      </c>
      <c r="F692" t="s">
        <v>48</v>
      </c>
      <c r="G692">
        <v>5</v>
      </c>
      <c r="H692" t="s">
        <v>177</v>
      </c>
      <c r="I692" t="s">
        <v>48</v>
      </c>
      <c r="J692" t="s">
        <v>2188</v>
      </c>
      <c r="K692" t="s">
        <v>257</v>
      </c>
      <c r="L692" t="s">
        <v>184</v>
      </c>
      <c r="M692" s="3">
        <f t="shared" si="10"/>
        <v>5</v>
      </c>
    </row>
    <row r="693" spans="1:13" x14ac:dyDescent="0.35">
      <c r="A693" t="s">
        <v>2189</v>
      </c>
      <c r="B693" t="s">
        <v>174</v>
      </c>
      <c r="C693" t="s">
        <v>2190</v>
      </c>
      <c r="D693" t="s">
        <v>190</v>
      </c>
      <c r="E693" t="s">
        <v>40</v>
      </c>
      <c r="F693" t="s">
        <v>43</v>
      </c>
      <c r="G693">
        <v>3</v>
      </c>
      <c r="H693" t="s">
        <v>177</v>
      </c>
      <c r="I693" t="s">
        <v>43</v>
      </c>
      <c r="J693" t="s">
        <v>2191</v>
      </c>
      <c r="K693" t="s">
        <v>197</v>
      </c>
      <c r="L693" t="s">
        <v>180</v>
      </c>
      <c r="M693" s="3">
        <f t="shared" si="10"/>
        <v>3</v>
      </c>
    </row>
    <row r="694" spans="1:13" x14ac:dyDescent="0.35">
      <c r="A694" t="s">
        <v>2192</v>
      </c>
      <c r="B694" t="s">
        <v>174</v>
      </c>
      <c r="C694" t="s">
        <v>2193</v>
      </c>
      <c r="D694" t="s">
        <v>225</v>
      </c>
      <c r="E694" t="s">
        <v>34</v>
      </c>
      <c r="F694" t="s">
        <v>50</v>
      </c>
      <c r="G694">
        <v>16</v>
      </c>
      <c r="H694" t="s">
        <v>195</v>
      </c>
      <c r="J694" t="s">
        <v>2194</v>
      </c>
      <c r="K694" t="s">
        <v>183</v>
      </c>
      <c r="L694" t="s">
        <v>180</v>
      </c>
      <c r="M694" s="3" t="str">
        <f t="shared" si="10"/>
        <v/>
      </c>
    </row>
    <row r="695" spans="1:13" x14ac:dyDescent="0.35">
      <c r="A695" t="s">
        <v>2195</v>
      </c>
      <c r="B695" t="s">
        <v>174</v>
      </c>
      <c r="C695" t="s">
        <v>2196</v>
      </c>
      <c r="D695" t="s">
        <v>190</v>
      </c>
      <c r="E695" t="s">
        <v>46</v>
      </c>
      <c r="F695" t="s">
        <v>46</v>
      </c>
      <c r="G695">
        <v>0</v>
      </c>
      <c r="H695" t="s">
        <v>177</v>
      </c>
      <c r="I695" t="s">
        <v>46</v>
      </c>
      <c r="J695" t="s">
        <v>2197</v>
      </c>
      <c r="K695" t="s">
        <v>257</v>
      </c>
      <c r="L695" t="s">
        <v>184</v>
      </c>
      <c r="M695" s="3">
        <f t="shared" si="10"/>
        <v>0</v>
      </c>
    </row>
    <row r="696" spans="1:13" x14ac:dyDescent="0.35">
      <c r="A696" t="s">
        <v>2198</v>
      </c>
      <c r="B696" t="s">
        <v>174</v>
      </c>
      <c r="C696" t="s">
        <v>2199</v>
      </c>
      <c r="D696" t="s">
        <v>190</v>
      </c>
      <c r="E696" t="s">
        <v>48</v>
      </c>
      <c r="F696" t="s">
        <v>51</v>
      </c>
      <c r="G696">
        <v>3</v>
      </c>
      <c r="H696" t="s">
        <v>177</v>
      </c>
      <c r="I696" t="s">
        <v>54</v>
      </c>
      <c r="J696" t="s">
        <v>2200</v>
      </c>
      <c r="K696" t="s">
        <v>257</v>
      </c>
      <c r="L696" t="s">
        <v>180</v>
      </c>
      <c r="M696" s="3">
        <f t="shared" si="10"/>
        <v>6</v>
      </c>
    </row>
    <row r="697" spans="1:13" x14ac:dyDescent="0.35">
      <c r="A697" t="s">
        <v>2201</v>
      </c>
      <c r="B697" t="s">
        <v>174</v>
      </c>
      <c r="C697" t="s">
        <v>2202</v>
      </c>
      <c r="D697" t="s">
        <v>176</v>
      </c>
      <c r="E697" t="s">
        <v>46</v>
      </c>
      <c r="F697" t="s">
        <v>51</v>
      </c>
      <c r="G697">
        <v>5</v>
      </c>
      <c r="H697" t="s">
        <v>177</v>
      </c>
      <c r="I697" t="s">
        <v>52</v>
      </c>
      <c r="J697" t="s">
        <v>2203</v>
      </c>
      <c r="K697" t="s">
        <v>183</v>
      </c>
      <c r="L697" t="s">
        <v>180</v>
      </c>
      <c r="M697" s="3">
        <f t="shared" si="10"/>
        <v>6</v>
      </c>
    </row>
    <row r="698" spans="1:13" x14ac:dyDescent="0.35">
      <c r="A698" t="s">
        <v>2204</v>
      </c>
      <c r="B698" t="s">
        <v>174</v>
      </c>
      <c r="C698" t="s">
        <v>2205</v>
      </c>
      <c r="D698" t="s">
        <v>190</v>
      </c>
      <c r="E698" t="s">
        <v>41</v>
      </c>
      <c r="F698" t="s">
        <v>45</v>
      </c>
      <c r="G698">
        <v>4</v>
      </c>
      <c r="H698" t="s">
        <v>177</v>
      </c>
      <c r="I698" t="s">
        <v>45</v>
      </c>
      <c r="J698" t="s">
        <v>2206</v>
      </c>
      <c r="K698" t="s">
        <v>197</v>
      </c>
      <c r="L698" t="s">
        <v>184</v>
      </c>
      <c r="M698" s="3">
        <f t="shared" si="10"/>
        <v>4</v>
      </c>
    </row>
    <row r="699" spans="1:13" x14ac:dyDescent="0.35">
      <c r="A699" t="s">
        <v>2207</v>
      </c>
      <c r="B699" t="s">
        <v>174</v>
      </c>
      <c r="C699" t="s">
        <v>2208</v>
      </c>
      <c r="D699" t="s">
        <v>190</v>
      </c>
      <c r="E699" t="s">
        <v>52</v>
      </c>
      <c r="F699" t="s">
        <v>55</v>
      </c>
      <c r="G699">
        <v>4</v>
      </c>
      <c r="H699" t="s">
        <v>177</v>
      </c>
      <c r="I699" t="s">
        <v>56</v>
      </c>
      <c r="J699" t="s">
        <v>2209</v>
      </c>
      <c r="K699" t="s">
        <v>219</v>
      </c>
      <c r="L699" t="s">
        <v>180</v>
      </c>
      <c r="M699" s="3">
        <f t="shared" si="10"/>
        <v>4</v>
      </c>
    </row>
    <row r="700" spans="1:13" x14ac:dyDescent="0.35">
      <c r="A700" t="s">
        <v>2210</v>
      </c>
      <c r="B700" t="s">
        <v>174</v>
      </c>
      <c r="C700" t="s">
        <v>2211</v>
      </c>
      <c r="D700" t="s">
        <v>190</v>
      </c>
      <c r="E700" t="s">
        <v>31</v>
      </c>
      <c r="F700" t="s">
        <v>47</v>
      </c>
      <c r="G700">
        <v>16</v>
      </c>
      <c r="H700" t="s">
        <v>177</v>
      </c>
      <c r="I700" t="s">
        <v>50</v>
      </c>
      <c r="J700" t="s">
        <v>1824</v>
      </c>
      <c r="K700" t="s">
        <v>270</v>
      </c>
      <c r="L700" t="s">
        <v>180</v>
      </c>
      <c r="M700" s="3">
        <f t="shared" si="10"/>
        <v>19</v>
      </c>
    </row>
    <row r="701" spans="1:13" x14ac:dyDescent="0.35">
      <c r="A701" t="s">
        <v>2212</v>
      </c>
      <c r="B701" t="s">
        <v>174</v>
      </c>
      <c r="C701" t="s">
        <v>2213</v>
      </c>
      <c r="D701" t="s">
        <v>190</v>
      </c>
      <c r="E701" t="s">
        <v>38</v>
      </c>
      <c r="F701" t="s">
        <v>45</v>
      </c>
      <c r="G701">
        <v>6</v>
      </c>
      <c r="H701" t="s">
        <v>177</v>
      </c>
      <c r="I701" t="s">
        <v>45</v>
      </c>
      <c r="J701" t="s">
        <v>2214</v>
      </c>
      <c r="K701" t="s">
        <v>270</v>
      </c>
      <c r="L701" t="s">
        <v>180</v>
      </c>
      <c r="M701" s="3">
        <f t="shared" si="10"/>
        <v>7</v>
      </c>
    </row>
    <row r="702" spans="1:13" x14ac:dyDescent="0.35">
      <c r="A702" t="s">
        <v>2215</v>
      </c>
      <c r="B702" t="s">
        <v>174</v>
      </c>
      <c r="C702" t="s">
        <v>2216</v>
      </c>
      <c r="D702" t="s">
        <v>236</v>
      </c>
      <c r="E702" t="s">
        <v>46</v>
      </c>
      <c r="F702" t="s">
        <v>53</v>
      </c>
      <c r="G702">
        <v>7</v>
      </c>
      <c r="H702" t="s">
        <v>177</v>
      </c>
      <c r="I702" t="s">
        <v>54</v>
      </c>
      <c r="J702" t="s">
        <v>2217</v>
      </c>
      <c r="K702" t="s">
        <v>192</v>
      </c>
      <c r="L702" t="s">
        <v>180</v>
      </c>
      <c r="M702" s="3">
        <f t="shared" si="10"/>
        <v>8</v>
      </c>
    </row>
    <row r="703" spans="1:13" x14ac:dyDescent="0.35">
      <c r="A703" t="s">
        <v>2218</v>
      </c>
      <c r="B703" t="s">
        <v>174</v>
      </c>
      <c r="C703" t="s">
        <v>2219</v>
      </c>
      <c r="D703" t="s">
        <v>190</v>
      </c>
      <c r="E703" t="s">
        <v>46</v>
      </c>
      <c r="F703" t="s">
        <v>53</v>
      </c>
      <c r="G703">
        <v>7</v>
      </c>
      <c r="H703" t="s">
        <v>195</v>
      </c>
      <c r="J703" t="s">
        <v>682</v>
      </c>
      <c r="K703" t="s">
        <v>257</v>
      </c>
      <c r="L703" t="s">
        <v>180</v>
      </c>
      <c r="M703" s="3" t="str">
        <f t="shared" si="10"/>
        <v/>
      </c>
    </row>
    <row r="704" spans="1:13" x14ac:dyDescent="0.35">
      <c r="A704" t="s">
        <v>2220</v>
      </c>
      <c r="B704" t="s">
        <v>174</v>
      </c>
      <c r="C704" t="s">
        <v>2221</v>
      </c>
      <c r="D704" t="s">
        <v>190</v>
      </c>
      <c r="E704" t="s">
        <v>41</v>
      </c>
      <c r="F704" t="s">
        <v>45</v>
      </c>
      <c r="G704">
        <v>4</v>
      </c>
      <c r="H704" t="s">
        <v>177</v>
      </c>
      <c r="I704" t="s">
        <v>46</v>
      </c>
      <c r="J704" t="s">
        <v>2222</v>
      </c>
      <c r="K704" t="s">
        <v>183</v>
      </c>
      <c r="L704" t="s">
        <v>180</v>
      </c>
      <c r="M704" s="3">
        <f t="shared" si="10"/>
        <v>5</v>
      </c>
    </row>
    <row r="705" spans="1:13" x14ac:dyDescent="0.35">
      <c r="A705" t="s">
        <v>2223</v>
      </c>
      <c r="B705" t="s">
        <v>174</v>
      </c>
      <c r="C705" t="s">
        <v>2224</v>
      </c>
      <c r="D705" t="s">
        <v>190</v>
      </c>
      <c r="E705" t="s">
        <v>16</v>
      </c>
      <c r="F705" t="s">
        <v>43</v>
      </c>
      <c r="G705">
        <v>28</v>
      </c>
      <c r="H705" t="s">
        <v>177</v>
      </c>
      <c r="I705" t="s">
        <v>44</v>
      </c>
      <c r="J705" t="s">
        <v>2225</v>
      </c>
      <c r="K705" t="s">
        <v>183</v>
      </c>
      <c r="L705" t="s">
        <v>180</v>
      </c>
      <c r="M705" s="3">
        <f t="shared" si="10"/>
        <v>28</v>
      </c>
    </row>
    <row r="706" spans="1:13" x14ac:dyDescent="0.35">
      <c r="A706" t="s">
        <v>2226</v>
      </c>
      <c r="B706" t="s">
        <v>174</v>
      </c>
      <c r="C706" t="s">
        <v>2227</v>
      </c>
      <c r="D706" t="s">
        <v>190</v>
      </c>
      <c r="E706" t="s">
        <v>46</v>
      </c>
      <c r="F706" t="s">
        <v>53</v>
      </c>
      <c r="G706">
        <v>7</v>
      </c>
      <c r="H706" t="s">
        <v>177</v>
      </c>
      <c r="I706" t="s">
        <v>55</v>
      </c>
      <c r="J706" t="s">
        <v>2228</v>
      </c>
      <c r="K706" t="s">
        <v>257</v>
      </c>
      <c r="L706" t="s">
        <v>180</v>
      </c>
      <c r="M706" s="3">
        <f t="shared" si="10"/>
        <v>9</v>
      </c>
    </row>
    <row r="707" spans="1:13" x14ac:dyDescent="0.35">
      <c r="A707" t="s">
        <v>2229</v>
      </c>
      <c r="B707" t="s">
        <v>174</v>
      </c>
      <c r="C707" t="s">
        <v>2230</v>
      </c>
      <c r="D707" t="s">
        <v>190</v>
      </c>
      <c r="E707" t="s">
        <v>36</v>
      </c>
      <c r="F707" t="s">
        <v>45</v>
      </c>
      <c r="G707">
        <v>9</v>
      </c>
      <c r="H707" t="s">
        <v>177</v>
      </c>
      <c r="I707" t="s">
        <v>46</v>
      </c>
      <c r="J707" t="s">
        <v>2231</v>
      </c>
      <c r="K707" t="s">
        <v>270</v>
      </c>
      <c r="L707" t="s">
        <v>180</v>
      </c>
      <c r="M707" s="3">
        <f t="shared" ref="M707:M770" si="11">IF(H707="Efectivo",IFERROR((VALUE(RIGHT(I707,4))-VALUE(RIGHT(E707,4)))*12+(VALUE(LEFT(I707,2))-VALUE(LEFT(E707,2))),""),"")</f>
        <v>10</v>
      </c>
    </row>
    <row r="708" spans="1:13" x14ac:dyDescent="0.35">
      <c r="A708" t="s">
        <v>2232</v>
      </c>
      <c r="B708" t="s">
        <v>174</v>
      </c>
      <c r="C708" t="s">
        <v>2233</v>
      </c>
      <c r="D708" t="s">
        <v>190</v>
      </c>
      <c r="E708" t="s">
        <v>37</v>
      </c>
      <c r="F708" t="s">
        <v>45</v>
      </c>
      <c r="G708">
        <v>8</v>
      </c>
      <c r="H708" t="s">
        <v>177</v>
      </c>
      <c r="I708" t="s">
        <v>46</v>
      </c>
      <c r="J708" t="s">
        <v>2234</v>
      </c>
      <c r="K708" t="s">
        <v>270</v>
      </c>
      <c r="L708" t="s">
        <v>180</v>
      </c>
      <c r="M708" s="3">
        <f t="shared" si="11"/>
        <v>9</v>
      </c>
    </row>
    <row r="709" spans="1:13" x14ac:dyDescent="0.35">
      <c r="A709" t="s">
        <v>2235</v>
      </c>
      <c r="B709" t="s">
        <v>174</v>
      </c>
      <c r="C709" t="s">
        <v>2236</v>
      </c>
      <c r="D709" t="s">
        <v>190</v>
      </c>
      <c r="E709" t="s">
        <v>47</v>
      </c>
      <c r="F709" t="s">
        <v>53</v>
      </c>
      <c r="G709">
        <v>5</v>
      </c>
      <c r="H709" t="s">
        <v>177</v>
      </c>
      <c r="I709" t="s">
        <v>53</v>
      </c>
      <c r="J709" t="s">
        <v>2237</v>
      </c>
      <c r="K709" t="s">
        <v>183</v>
      </c>
      <c r="L709" t="s">
        <v>180</v>
      </c>
      <c r="M709" s="3">
        <f t="shared" si="11"/>
        <v>6</v>
      </c>
    </row>
    <row r="710" spans="1:13" x14ac:dyDescent="0.35">
      <c r="A710" t="s">
        <v>2238</v>
      </c>
      <c r="B710" t="s">
        <v>174</v>
      </c>
      <c r="C710" t="s">
        <v>2239</v>
      </c>
      <c r="D710" t="s">
        <v>190</v>
      </c>
      <c r="E710" t="s">
        <v>48</v>
      </c>
      <c r="F710" t="s">
        <v>53</v>
      </c>
      <c r="G710">
        <v>4</v>
      </c>
      <c r="H710" t="s">
        <v>177</v>
      </c>
      <c r="I710" t="s">
        <v>54</v>
      </c>
      <c r="J710" t="s">
        <v>2240</v>
      </c>
      <c r="K710" t="s">
        <v>257</v>
      </c>
      <c r="L710" t="s">
        <v>180</v>
      </c>
      <c r="M710" s="3">
        <f t="shared" si="11"/>
        <v>6</v>
      </c>
    </row>
    <row r="711" spans="1:13" x14ac:dyDescent="0.35">
      <c r="A711" t="s">
        <v>2241</v>
      </c>
      <c r="B711" t="s">
        <v>174</v>
      </c>
      <c r="C711" t="s">
        <v>2242</v>
      </c>
      <c r="D711" t="s">
        <v>190</v>
      </c>
      <c r="E711" t="s">
        <v>39</v>
      </c>
      <c r="F711" t="s">
        <v>42</v>
      </c>
      <c r="G711">
        <v>2</v>
      </c>
      <c r="H711" t="s">
        <v>177</v>
      </c>
      <c r="I711" t="s">
        <v>42</v>
      </c>
      <c r="J711" t="s">
        <v>2243</v>
      </c>
      <c r="K711" t="s">
        <v>270</v>
      </c>
      <c r="L711" t="s">
        <v>180</v>
      </c>
      <c r="M711" s="3">
        <f t="shared" si="11"/>
        <v>3</v>
      </c>
    </row>
    <row r="712" spans="1:13" x14ac:dyDescent="0.35">
      <c r="A712" t="s">
        <v>2244</v>
      </c>
      <c r="B712" t="s">
        <v>174</v>
      </c>
      <c r="C712" t="s">
        <v>2245</v>
      </c>
      <c r="D712" t="s">
        <v>190</v>
      </c>
      <c r="E712" t="s">
        <v>43</v>
      </c>
      <c r="F712" t="s">
        <v>47</v>
      </c>
      <c r="G712">
        <v>4</v>
      </c>
      <c r="H712" t="s">
        <v>252</v>
      </c>
      <c r="J712" t="s">
        <v>2246</v>
      </c>
      <c r="K712" t="s">
        <v>270</v>
      </c>
      <c r="L712" t="s">
        <v>180</v>
      </c>
      <c r="M712" s="3" t="str">
        <f t="shared" si="11"/>
        <v/>
      </c>
    </row>
    <row r="713" spans="1:13" x14ac:dyDescent="0.35">
      <c r="A713" t="s">
        <v>2247</v>
      </c>
      <c r="B713" t="s">
        <v>174</v>
      </c>
      <c r="C713" t="s">
        <v>2248</v>
      </c>
      <c r="D713" t="s">
        <v>176</v>
      </c>
      <c r="E713" t="s">
        <v>45</v>
      </c>
      <c r="F713" t="s">
        <v>56</v>
      </c>
      <c r="G713">
        <v>10</v>
      </c>
      <c r="H713" t="s">
        <v>195</v>
      </c>
      <c r="J713" t="s">
        <v>2249</v>
      </c>
      <c r="K713" t="s">
        <v>183</v>
      </c>
      <c r="L713" t="s">
        <v>180</v>
      </c>
      <c r="M713" s="3" t="str">
        <f t="shared" si="11"/>
        <v/>
      </c>
    </row>
    <row r="714" spans="1:13" x14ac:dyDescent="0.35">
      <c r="A714" t="s">
        <v>2250</v>
      </c>
      <c r="B714" t="s">
        <v>174</v>
      </c>
      <c r="C714" t="s">
        <v>2251</v>
      </c>
      <c r="D714" t="s">
        <v>190</v>
      </c>
      <c r="E714" t="s">
        <v>40</v>
      </c>
      <c r="F714" t="s">
        <v>49</v>
      </c>
      <c r="G714">
        <v>9</v>
      </c>
      <c r="H714" t="s">
        <v>177</v>
      </c>
      <c r="I714" t="s">
        <v>49</v>
      </c>
      <c r="J714" t="s">
        <v>2252</v>
      </c>
      <c r="K714" t="s">
        <v>270</v>
      </c>
      <c r="L714" t="s">
        <v>180</v>
      </c>
      <c r="M714" s="3">
        <f t="shared" si="11"/>
        <v>9</v>
      </c>
    </row>
    <row r="715" spans="1:13" x14ac:dyDescent="0.35">
      <c r="A715" t="s">
        <v>2253</v>
      </c>
      <c r="B715" t="s">
        <v>231</v>
      </c>
      <c r="C715" t="s">
        <v>2254</v>
      </c>
      <c r="D715" t="s">
        <v>190</v>
      </c>
      <c r="E715" t="s">
        <v>51</v>
      </c>
      <c r="F715" t="s">
        <v>54</v>
      </c>
      <c r="G715">
        <v>3</v>
      </c>
      <c r="H715" t="s">
        <v>177</v>
      </c>
      <c r="I715" t="s">
        <v>56</v>
      </c>
      <c r="J715" t="s">
        <v>2255</v>
      </c>
      <c r="K715" t="s">
        <v>270</v>
      </c>
      <c r="L715" t="s">
        <v>180</v>
      </c>
      <c r="M715" s="3">
        <f t="shared" si="11"/>
        <v>5</v>
      </c>
    </row>
    <row r="716" spans="1:13" x14ac:dyDescent="0.35">
      <c r="A716" t="s">
        <v>2256</v>
      </c>
      <c r="B716" t="s">
        <v>174</v>
      </c>
      <c r="C716" t="s">
        <v>2257</v>
      </c>
      <c r="D716" t="s">
        <v>190</v>
      </c>
      <c r="E716" t="s">
        <v>43</v>
      </c>
      <c r="F716" t="s">
        <v>50</v>
      </c>
      <c r="G716">
        <v>7</v>
      </c>
      <c r="H716" t="s">
        <v>195</v>
      </c>
      <c r="J716" t="s">
        <v>2258</v>
      </c>
      <c r="K716" t="s">
        <v>257</v>
      </c>
      <c r="L716" t="s">
        <v>184</v>
      </c>
      <c r="M716" s="3" t="str">
        <f t="shared" si="11"/>
        <v/>
      </c>
    </row>
    <row r="717" spans="1:13" x14ac:dyDescent="0.35">
      <c r="A717" t="s">
        <v>2259</v>
      </c>
      <c r="B717" t="s">
        <v>174</v>
      </c>
      <c r="C717" t="s">
        <v>2260</v>
      </c>
      <c r="D717" t="s">
        <v>190</v>
      </c>
      <c r="E717" t="s">
        <v>44</v>
      </c>
      <c r="F717" t="s">
        <v>46</v>
      </c>
      <c r="G717">
        <v>2</v>
      </c>
      <c r="H717" t="s">
        <v>177</v>
      </c>
      <c r="I717" t="s">
        <v>53</v>
      </c>
      <c r="J717" t="s">
        <v>2261</v>
      </c>
      <c r="K717" t="s">
        <v>197</v>
      </c>
      <c r="L717" t="s">
        <v>184</v>
      </c>
      <c r="M717" s="3">
        <f t="shared" si="11"/>
        <v>9</v>
      </c>
    </row>
    <row r="718" spans="1:13" x14ac:dyDescent="0.35">
      <c r="A718" t="s">
        <v>2262</v>
      </c>
      <c r="B718" t="s">
        <v>174</v>
      </c>
      <c r="C718" t="s">
        <v>2263</v>
      </c>
      <c r="D718" t="s">
        <v>190</v>
      </c>
      <c r="E718" t="s">
        <v>43</v>
      </c>
      <c r="F718" t="s">
        <v>47</v>
      </c>
      <c r="G718">
        <v>3</v>
      </c>
      <c r="H718" t="s">
        <v>195</v>
      </c>
      <c r="J718" t="s">
        <v>2264</v>
      </c>
      <c r="K718" t="s">
        <v>197</v>
      </c>
      <c r="L718" t="s">
        <v>180</v>
      </c>
      <c r="M718" s="3" t="str">
        <f t="shared" si="11"/>
        <v/>
      </c>
    </row>
    <row r="719" spans="1:13" x14ac:dyDescent="0.35">
      <c r="A719" t="s">
        <v>2265</v>
      </c>
      <c r="B719" t="s">
        <v>174</v>
      </c>
      <c r="C719" t="s">
        <v>2266</v>
      </c>
      <c r="D719" t="s">
        <v>176</v>
      </c>
      <c r="E719" t="s">
        <v>47</v>
      </c>
      <c r="F719" t="s">
        <v>52</v>
      </c>
      <c r="G719">
        <v>5</v>
      </c>
      <c r="H719" t="s">
        <v>177</v>
      </c>
      <c r="I719" t="s">
        <v>52</v>
      </c>
      <c r="J719" t="s">
        <v>2267</v>
      </c>
      <c r="K719" t="s">
        <v>183</v>
      </c>
      <c r="L719" t="s">
        <v>180</v>
      </c>
      <c r="M719" s="3">
        <f t="shared" si="11"/>
        <v>5</v>
      </c>
    </row>
    <row r="720" spans="1:13" x14ac:dyDescent="0.35">
      <c r="A720" t="s">
        <v>2268</v>
      </c>
      <c r="B720" t="s">
        <v>174</v>
      </c>
      <c r="C720" t="s">
        <v>2269</v>
      </c>
      <c r="D720" t="s">
        <v>236</v>
      </c>
      <c r="E720" t="s">
        <v>46</v>
      </c>
      <c r="F720" t="s">
        <v>49</v>
      </c>
      <c r="G720">
        <v>2</v>
      </c>
      <c r="H720" t="s">
        <v>252</v>
      </c>
      <c r="J720" t="s">
        <v>2270</v>
      </c>
      <c r="K720" t="s">
        <v>192</v>
      </c>
      <c r="L720" t="s">
        <v>180</v>
      </c>
      <c r="M720" s="3" t="str">
        <f t="shared" si="11"/>
        <v/>
      </c>
    </row>
    <row r="721" spans="1:13" x14ac:dyDescent="0.35">
      <c r="A721" t="s">
        <v>2268</v>
      </c>
      <c r="B721" t="s">
        <v>174</v>
      </c>
      <c r="C721" t="s">
        <v>2269</v>
      </c>
      <c r="D721" t="s">
        <v>236</v>
      </c>
      <c r="E721" t="s">
        <v>29</v>
      </c>
      <c r="F721" t="s">
        <v>56</v>
      </c>
      <c r="G721">
        <v>27</v>
      </c>
      <c r="H721" t="s">
        <v>195</v>
      </c>
      <c r="J721" t="s">
        <v>2270</v>
      </c>
      <c r="K721" t="s">
        <v>192</v>
      </c>
      <c r="L721" t="s">
        <v>180</v>
      </c>
      <c r="M721" s="3" t="str">
        <f t="shared" si="11"/>
        <v/>
      </c>
    </row>
    <row r="722" spans="1:13" x14ac:dyDescent="0.35">
      <c r="A722" t="s">
        <v>2271</v>
      </c>
      <c r="B722" t="s">
        <v>174</v>
      </c>
      <c r="C722" t="s">
        <v>2272</v>
      </c>
      <c r="D722" t="s">
        <v>190</v>
      </c>
      <c r="E722" t="s">
        <v>51</v>
      </c>
      <c r="F722" t="s">
        <v>52</v>
      </c>
      <c r="G722">
        <v>1</v>
      </c>
      <c r="H722" t="s">
        <v>195</v>
      </c>
      <c r="J722" t="s">
        <v>2273</v>
      </c>
      <c r="K722" t="s">
        <v>183</v>
      </c>
      <c r="L722" t="s">
        <v>180</v>
      </c>
      <c r="M722" s="3" t="str">
        <f t="shared" si="11"/>
        <v/>
      </c>
    </row>
    <row r="723" spans="1:13" x14ac:dyDescent="0.35">
      <c r="A723" t="s">
        <v>2274</v>
      </c>
      <c r="B723" t="s">
        <v>174</v>
      </c>
      <c r="C723" t="s">
        <v>2275</v>
      </c>
      <c r="D723" t="s">
        <v>190</v>
      </c>
      <c r="E723" t="s">
        <v>40</v>
      </c>
      <c r="F723" t="s">
        <v>46</v>
      </c>
      <c r="G723">
        <v>6</v>
      </c>
      <c r="H723" t="s">
        <v>177</v>
      </c>
      <c r="I723" t="s">
        <v>47</v>
      </c>
      <c r="J723" t="s">
        <v>2276</v>
      </c>
      <c r="K723" t="s">
        <v>270</v>
      </c>
      <c r="L723" t="s">
        <v>180</v>
      </c>
      <c r="M723" s="3">
        <f t="shared" si="11"/>
        <v>7</v>
      </c>
    </row>
    <row r="724" spans="1:13" x14ac:dyDescent="0.35">
      <c r="A724" t="s">
        <v>2277</v>
      </c>
      <c r="B724" t="s">
        <v>174</v>
      </c>
      <c r="C724" t="s">
        <v>2278</v>
      </c>
      <c r="D724" t="s">
        <v>190</v>
      </c>
      <c r="E724" t="s">
        <v>36</v>
      </c>
      <c r="F724" t="s">
        <v>52</v>
      </c>
      <c r="G724">
        <v>16</v>
      </c>
      <c r="H724" t="s">
        <v>177</v>
      </c>
      <c r="I724" t="s">
        <v>53</v>
      </c>
      <c r="J724" t="s">
        <v>2279</v>
      </c>
      <c r="K724" t="s">
        <v>257</v>
      </c>
      <c r="L724" t="s">
        <v>180</v>
      </c>
      <c r="M724" s="3">
        <f t="shared" si="11"/>
        <v>17</v>
      </c>
    </row>
    <row r="725" spans="1:13" x14ac:dyDescent="0.35">
      <c r="A725" t="s">
        <v>2280</v>
      </c>
      <c r="B725" t="s">
        <v>174</v>
      </c>
      <c r="C725" t="s">
        <v>2281</v>
      </c>
      <c r="D725" t="s">
        <v>190</v>
      </c>
      <c r="E725" t="s">
        <v>33</v>
      </c>
      <c r="F725" t="s">
        <v>44</v>
      </c>
      <c r="G725">
        <v>11</v>
      </c>
      <c r="H725" t="s">
        <v>252</v>
      </c>
      <c r="J725" t="s">
        <v>2282</v>
      </c>
      <c r="K725" t="s">
        <v>270</v>
      </c>
      <c r="L725" t="s">
        <v>180</v>
      </c>
      <c r="M725" s="3" t="str">
        <f t="shared" si="11"/>
        <v/>
      </c>
    </row>
    <row r="726" spans="1:13" x14ac:dyDescent="0.35">
      <c r="A726" t="s">
        <v>2283</v>
      </c>
      <c r="B726" t="s">
        <v>174</v>
      </c>
      <c r="C726" t="s">
        <v>2284</v>
      </c>
      <c r="D726" t="s">
        <v>190</v>
      </c>
      <c r="E726" t="s">
        <v>42</v>
      </c>
      <c r="F726" t="s">
        <v>52</v>
      </c>
      <c r="G726">
        <v>10</v>
      </c>
      <c r="H726" t="s">
        <v>252</v>
      </c>
      <c r="J726" t="s">
        <v>2285</v>
      </c>
      <c r="K726" t="s">
        <v>197</v>
      </c>
      <c r="L726" t="s">
        <v>180</v>
      </c>
      <c r="M726" s="3" t="str">
        <f t="shared" si="11"/>
        <v/>
      </c>
    </row>
    <row r="727" spans="1:13" x14ac:dyDescent="0.35">
      <c r="A727" t="s">
        <v>2286</v>
      </c>
      <c r="B727" t="s">
        <v>174</v>
      </c>
      <c r="C727" t="s">
        <v>2287</v>
      </c>
      <c r="D727" t="s">
        <v>190</v>
      </c>
      <c r="E727" t="s">
        <v>48</v>
      </c>
      <c r="F727" t="s">
        <v>50</v>
      </c>
      <c r="G727">
        <v>2</v>
      </c>
      <c r="H727" t="s">
        <v>195</v>
      </c>
      <c r="J727" t="s">
        <v>2288</v>
      </c>
      <c r="K727" t="s">
        <v>197</v>
      </c>
      <c r="L727" t="s">
        <v>184</v>
      </c>
      <c r="M727" s="3" t="str">
        <f t="shared" si="11"/>
        <v/>
      </c>
    </row>
    <row r="728" spans="1:13" x14ac:dyDescent="0.35">
      <c r="A728" t="s">
        <v>2289</v>
      </c>
      <c r="B728" t="s">
        <v>174</v>
      </c>
      <c r="C728" t="s">
        <v>2290</v>
      </c>
      <c r="D728" t="s">
        <v>190</v>
      </c>
      <c r="E728" t="s">
        <v>25</v>
      </c>
      <c r="F728" t="s">
        <v>40</v>
      </c>
      <c r="G728">
        <v>16</v>
      </c>
      <c r="H728" t="s">
        <v>177</v>
      </c>
      <c r="I728" t="s">
        <v>40</v>
      </c>
      <c r="J728" t="s">
        <v>2291</v>
      </c>
      <c r="K728" t="s">
        <v>183</v>
      </c>
      <c r="L728" t="s">
        <v>180</v>
      </c>
      <c r="M728" s="3">
        <f t="shared" si="11"/>
        <v>15</v>
      </c>
    </row>
    <row r="729" spans="1:13" x14ac:dyDescent="0.35">
      <c r="A729" t="s">
        <v>2292</v>
      </c>
      <c r="B729" t="s">
        <v>174</v>
      </c>
      <c r="C729" t="s">
        <v>2293</v>
      </c>
      <c r="D729" t="s">
        <v>190</v>
      </c>
      <c r="E729" t="s">
        <v>45</v>
      </c>
      <c r="F729" t="s">
        <v>47</v>
      </c>
      <c r="G729">
        <v>2</v>
      </c>
      <c r="H729" t="s">
        <v>177</v>
      </c>
      <c r="I729" t="s">
        <v>47</v>
      </c>
      <c r="J729" t="s">
        <v>1914</v>
      </c>
      <c r="K729" t="s">
        <v>257</v>
      </c>
      <c r="L729" t="s">
        <v>184</v>
      </c>
      <c r="M729" s="3">
        <f t="shared" si="11"/>
        <v>2</v>
      </c>
    </row>
    <row r="730" spans="1:13" x14ac:dyDescent="0.35">
      <c r="A730" t="s">
        <v>2294</v>
      </c>
      <c r="B730" t="s">
        <v>174</v>
      </c>
      <c r="C730" t="s">
        <v>2295</v>
      </c>
      <c r="D730" t="s">
        <v>190</v>
      </c>
      <c r="E730" t="s">
        <v>44</v>
      </c>
      <c r="F730" t="s">
        <v>51</v>
      </c>
      <c r="G730">
        <v>7</v>
      </c>
      <c r="H730" t="s">
        <v>177</v>
      </c>
      <c r="I730" t="s">
        <v>52</v>
      </c>
      <c r="J730" t="s">
        <v>2296</v>
      </c>
      <c r="K730" t="s">
        <v>183</v>
      </c>
      <c r="L730" t="s">
        <v>180</v>
      </c>
      <c r="M730" s="3">
        <f t="shared" si="11"/>
        <v>8</v>
      </c>
    </row>
    <row r="731" spans="1:13" x14ac:dyDescent="0.35">
      <c r="A731" t="s">
        <v>2297</v>
      </c>
      <c r="B731" t="s">
        <v>174</v>
      </c>
      <c r="C731" t="s">
        <v>2298</v>
      </c>
      <c r="D731" t="s">
        <v>190</v>
      </c>
      <c r="E731" t="s">
        <v>33</v>
      </c>
      <c r="F731" t="s">
        <v>54</v>
      </c>
      <c r="G731">
        <v>21</v>
      </c>
      <c r="H731" t="s">
        <v>177</v>
      </c>
      <c r="I731" t="s">
        <v>54</v>
      </c>
      <c r="J731" t="s">
        <v>2299</v>
      </c>
      <c r="K731" t="s">
        <v>183</v>
      </c>
      <c r="L731" t="s">
        <v>180</v>
      </c>
      <c r="M731" s="3">
        <f t="shared" si="11"/>
        <v>21</v>
      </c>
    </row>
    <row r="732" spans="1:13" x14ac:dyDescent="0.35">
      <c r="A732" t="s">
        <v>2300</v>
      </c>
      <c r="B732" t="s">
        <v>174</v>
      </c>
      <c r="C732" t="s">
        <v>2301</v>
      </c>
      <c r="D732" t="s">
        <v>190</v>
      </c>
      <c r="E732" t="s">
        <v>38</v>
      </c>
      <c r="F732" t="s">
        <v>47</v>
      </c>
      <c r="G732">
        <v>9</v>
      </c>
      <c r="H732" t="s">
        <v>195</v>
      </c>
      <c r="J732" t="s">
        <v>2302</v>
      </c>
      <c r="K732" t="s">
        <v>270</v>
      </c>
      <c r="L732" t="s">
        <v>180</v>
      </c>
      <c r="M732" s="3" t="str">
        <f t="shared" si="11"/>
        <v/>
      </c>
    </row>
    <row r="733" spans="1:13" x14ac:dyDescent="0.35">
      <c r="A733" t="s">
        <v>2303</v>
      </c>
      <c r="B733" t="s">
        <v>174</v>
      </c>
      <c r="C733" t="s">
        <v>2304</v>
      </c>
      <c r="D733" t="s">
        <v>190</v>
      </c>
      <c r="E733" t="s">
        <v>47</v>
      </c>
      <c r="F733" t="s">
        <v>54</v>
      </c>
      <c r="G733">
        <v>6</v>
      </c>
      <c r="H733" t="s">
        <v>177</v>
      </c>
      <c r="I733" t="s">
        <v>54</v>
      </c>
      <c r="J733" t="s">
        <v>2305</v>
      </c>
      <c r="K733" t="s">
        <v>197</v>
      </c>
      <c r="L733" t="s">
        <v>180</v>
      </c>
      <c r="M733" s="3">
        <f t="shared" si="11"/>
        <v>7</v>
      </c>
    </row>
    <row r="734" spans="1:13" x14ac:dyDescent="0.35">
      <c r="A734" t="s">
        <v>2306</v>
      </c>
      <c r="B734" t="s">
        <v>174</v>
      </c>
      <c r="C734" t="s">
        <v>2307</v>
      </c>
      <c r="D734" t="s">
        <v>225</v>
      </c>
      <c r="E734" t="s">
        <v>45</v>
      </c>
      <c r="F734" t="s">
        <v>55</v>
      </c>
      <c r="G734">
        <v>11</v>
      </c>
      <c r="H734" t="s">
        <v>195</v>
      </c>
      <c r="J734" t="s">
        <v>2308</v>
      </c>
      <c r="K734" t="s">
        <v>192</v>
      </c>
      <c r="L734" t="s">
        <v>184</v>
      </c>
      <c r="M734" s="3" t="str">
        <f t="shared" si="11"/>
        <v/>
      </c>
    </row>
    <row r="735" spans="1:13" x14ac:dyDescent="0.35">
      <c r="A735" t="s">
        <v>2309</v>
      </c>
      <c r="B735" t="s">
        <v>174</v>
      </c>
      <c r="C735" t="s">
        <v>2310</v>
      </c>
      <c r="D735" t="s">
        <v>190</v>
      </c>
      <c r="E735" t="s">
        <v>46</v>
      </c>
      <c r="F735" t="s">
        <v>49</v>
      </c>
      <c r="G735">
        <v>3</v>
      </c>
      <c r="H735" t="s">
        <v>195</v>
      </c>
      <c r="J735" t="s">
        <v>2311</v>
      </c>
      <c r="K735" t="s">
        <v>257</v>
      </c>
      <c r="L735" t="s">
        <v>184</v>
      </c>
      <c r="M735" s="3" t="str">
        <f t="shared" si="11"/>
        <v/>
      </c>
    </row>
    <row r="736" spans="1:13" x14ac:dyDescent="0.35">
      <c r="A736" t="s">
        <v>2312</v>
      </c>
      <c r="B736" t="s">
        <v>174</v>
      </c>
      <c r="C736" t="s">
        <v>2313</v>
      </c>
      <c r="D736" t="s">
        <v>190</v>
      </c>
      <c r="E736" t="s">
        <v>38</v>
      </c>
      <c r="F736" t="s">
        <v>43</v>
      </c>
      <c r="G736">
        <v>5</v>
      </c>
      <c r="H736" t="s">
        <v>177</v>
      </c>
      <c r="I736" t="s">
        <v>43</v>
      </c>
      <c r="J736" t="s">
        <v>2314</v>
      </c>
      <c r="K736" t="s">
        <v>270</v>
      </c>
      <c r="L736" t="s">
        <v>184</v>
      </c>
      <c r="M736" s="3">
        <f t="shared" si="11"/>
        <v>5</v>
      </c>
    </row>
    <row r="737" spans="1:13" x14ac:dyDescent="0.35">
      <c r="A737" t="s">
        <v>2315</v>
      </c>
      <c r="B737" t="s">
        <v>174</v>
      </c>
      <c r="C737" t="s">
        <v>2316</v>
      </c>
      <c r="D737" t="s">
        <v>190</v>
      </c>
      <c r="E737" t="s">
        <v>34</v>
      </c>
      <c r="F737" t="s">
        <v>40</v>
      </c>
      <c r="G737">
        <v>6</v>
      </c>
      <c r="H737" t="s">
        <v>177</v>
      </c>
      <c r="I737" t="s">
        <v>40</v>
      </c>
      <c r="J737" t="s">
        <v>2317</v>
      </c>
      <c r="K737" t="s">
        <v>270</v>
      </c>
      <c r="L737" t="s">
        <v>180</v>
      </c>
      <c r="M737" s="3">
        <f t="shared" si="11"/>
        <v>6</v>
      </c>
    </row>
    <row r="738" spans="1:13" x14ac:dyDescent="0.35">
      <c r="A738" t="s">
        <v>2318</v>
      </c>
      <c r="B738" t="s">
        <v>174</v>
      </c>
      <c r="C738" t="s">
        <v>2319</v>
      </c>
      <c r="D738" t="s">
        <v>190</v>
      </c>
      <c r="E738" t="s">
        <v>51</v>
      </c>
      <c r="F738" t="s">
        <v>56</v>
      </c>
      <c r="G738">
        <v>5</v>
      </c>
      <c r="H738" t="s">
        <v>195</v>
      </c>
      <c r="J738" t="s">
        <v>2320</v>
      </c>
      <c r="K738" t="s">
        <v>197</v>
      </c>
      <c r="L738" t="s">
        <v>180</v>
      </c>
      <c r="M738" s="3" t="str">
        <f t="shared" si="11"/>
        <v/>
      </c>
    </row>
    <row r="739" spans="1:13" x14ac:dyDescent="0.35">
      <c r="A739" t="s">
        <v>2321</v>
      </c>
      <c r="B739" t="s">
        <v>174</v>
      </c>
      <c r="C739" t="s">
        <v>2322</v>
      </c>
      <c r="D739" t="s">
        <v>190</v>
      </c>
      <c r="E739" t="s">
        <v>43</v>
      </c>
      <c r="F739" t="s">
        <v>49</v>
      </c>
      <c r="G739">
        <v>6</v>
      </c>
      <c r="H739" t="s">
        <v>177</v>
      </c>
      <c r="I739" t="s">
        <v>49</v>
      </c>
      <c r="J739" t="s">
        <v>2323</v>
      </c>
      <c r="K739" t="s">
        <v>183</v>
      </c>
      <c r="L739" t="s">
        <v>180</v>
      </c>
      <c r="M739" s="3">
        <f t="shared" si="11"/>
        <v>6</v>
      </c>
    </row>
    <row r="740" spans="1:13" x14ac:dyDescent="0.35">
      <c r="A740" t="s">
        <v>2324</v>
      </c>
      <c r="B740" t="s">
        <v>174</v>
      </c>
      <c r="C740" t="s">
        <v>2325</v>
      </c>
      <c r="D740" t="s">
        <v>190</v>
      </c>
      <c r="E740" t="s">
        <v>40</v>
      </c>
      <c r="F740" t="s">
        <v>45</v>
      </c>
      <c r="G740">
        <v>5</v>
      </c>
      <c r="H740" t="s">
        <v>177</v>
      </c>
      <c r="I740" t="s">
        <v>46</v>
      </c>
      <c r="J740" t="s">
        <v>2326</v>
      </c>
      <c r="K740" t="s">
        <v>270</v>
      </c>
      <c r="L740" t="s">
        <v>184</v>
      </c>
      <c r="M740" s="3">
        <f t="shared" si="11"/>
        <v>6</v>
      </c>
    </row>
    <row r="741" spans="1:13" x14ac:dyDescent="0.35">
      <c r="A741" t="s">
        <v>2327</v>
      </c>
      <c r="B741" t="s">
        <v>174</v>
      </c>
      <c r="C741" t="s">
        <v>2328</v>
      </c>
      <c r="D741" t="s">
        <v>225</v>
      </c>
      <c r="E741" t="s">
        <v>41</v>
      </c>
      <c r="F741" t="s">
        <v>48</v>
      </c>
      <c r="G741">
        <v>7</v>
      </c>
      <c r="H741" t="s">
        <v>177</v>
      </c>
      <c r="I741" t="s">
        <v>48</v>
      </c>
      <c r="J741" t="s">
        <v>2329</v>
      </c>
      <c r="K741" t="s">
        <v>183</v>
      </c>
      <c r="L741" t="s">
        <v>180</v>
      </c>
      <c r="M741" s="3">
        <f t="shared" si="11"/>
        <v>7</v>
      </c>
    </row>
    <row r="742" spans="1:13" x14ac:dyDescent="0.35">
      <c r="A742" t="s">
        <v>2330</v>
      </c>
      <c r="B742" t="s">
        <v>174</v>
      </c>
      <c r="C742" t="s">
        <v>2331</v>
      </c>
      <c r="D742" t="s">
        <v>190</v>
      </c>
      <c r="E742" t="s">
        <v>43</v>
      </c>
      <c r="F742" t="s">
        <v>49</v>
      </c>
      <c r="G742">
        <v>6</v>
      </c>
      <c r="H742" t="s">
        <v>195</v>
      </c>
      <c r="J742" t="s">
        <v>2332</v>
      </c>
      <c r="K742" t="s">
        <v>197</v>
      </c>
      <c r="L742" t="s">
        <v>180</v>
      </c>
      <c r="M742" s="3" t="str">
        <f t="shared" si="11"/>
        <v/>
      </c>
    </row>
    <row r="743" spans="1:13" x14ac:dyDescent="0.35">
      <c r="A743" t="s">
        <v>2333</v>
      </c>
      <c r="B743" t="s">
        <v>174</v>
      </c>
      <c r="C743" t="s">
        <v>2334</v>
      </c>
      <c r="D743" t="s">
        <v>190</v>
      </c>
      <c r="E743" t="s">
        <v>48</v>
      </c>
      <c r="F743" t="s">
        <v>52</v>
      </c>
      <c r="G743">
        <v>3</v>
      </c>
      <c r="H743" t="s">
        <v>177</v>
      </c>
      <c r="I743" t="s">
        <v>52</v>
      </c>
      <c r="J743" t="s">
        <v>2335</v>
      </c>
      <c r="K743" t="s">
        <v>197</v>
      </c>
      <c r="L743" t="s">
        <v>180</v>
      </c>
      <c r="M743" s="3">
        <f t="shared" si="11"/>
        <v>4</v>
      </c>
    </row>
    <row r="744" spans="1:13" x14ac:dyDescent="0.35">
      <c r="A744" t="s">
        <v>2336</v>
      </c>
      <c r="B744" t="s">
        <v>174</v>
      </c>
      <c r="C744" t="s">
        <v>2337</v>
      </c>
      <c r="D744" t="s">
        <v>190</v>
      </c>
      <c r="E744" t="s">
        <v>40</v>
      </c>
      <c r="F744" t="s">
        <v>53</v>
      </c>
      <c r="G744">
        <v>12</v>
      </c>
      <c r="H744" t="s">
        <v>177</v>
      </c>
      <c r="I744" t="s">
        <v>54</v>
      </c>
      <c r="J744" t="s">
        <v>2338</v>
      </c>
      <c r="K744" t="s">
        <v>257</v>
      </c>
      <c r="L744" t="s">
        <v>180</v>
      </c>
      <c r="M744" s="3">
        <f t="shared" si="11"/>
        <v>14</v>
      </c>
    </row>
    <row r="745" spans="1:13" x14ac:dyDescent="0.35">
      <c r="A745" t="s">
        <v>2339</v>
      </c>
      <c r="B745" t="s">
        <v>174</v>
      </c>
      <c r="C745" t="s">
        <v>2340</v>
      </c>
      <c r="D745" t="s">
        <v>176</v>
      </c>
      <c r="E745" t="s">
        <v>47</v>
      </c>
      <c r="F745" t="s">
        <v>56</v>
      </c>
      <c r="G745">
        <v>9</v>
      </c>
      <c r="H745" t="s">
        <v>195</v>
      </c>
      <c r="J745" t="s">
        <v>2341</v>
      </c>
      <c r="K745" t="s">
        <v>183</v>
      </c>
      <c r="L745" t="s">
        <v>184</v>
      </c>
      <c r="M745" s="3" t="str">
        <f t="shared" si="11"/>
        <v/>
      </c>
    </row>
    <row r="746" spans="1:13" x14ac:dyDescent="0.35">
      <c r="A746" t="s">
        <v>2342</v>
      </c>
      <c r="B746" t="s">
        <v>174</v>
      </c>
      <c r="C746" t="s">
        <v>2343</v>
      </c>
      <c r="D746" t="s">
        <v>494</v>
      </c>
      <c r="E746" t="s">
        <v>23</v>
      </c>
      <c r="F746" t="s">
        <v>45</v>
      </c>
      <c r="G746">
        <v>22</v>
      </c>
      <c r="H746" t="s">
        <v>177</v>
      </c>
      <c r="I746" t="s">
        <v>46</v>
      </c>
      <c r="J746" t="s">
        <v>2344</v>
      </c>
      <c r="K746" t="s">
        <v>183</v>
      </c>
      <c r="L746" t="s">
        <v>180</v>
      </c>
      <c r="M746" s="3">
        <f t="shared" si="11"/>
        <v>23</v>
      </c>
    </row>
    <row r="747" spans="1:13" x14ac:dyDescent="0.35">
      <c r="A747" t="s">
        <v>2345</v>
      </c>
      <c r="B747" t="s">
        <v>174</v>
      </c>
      <c r="C747" t="s">
        <v>2346</v>
      </c>
      <c r="D747" t="s">
        <v>190</v>
      </c>
      <c r="E747" t="s">
        <v>51</v>
      </c>
      <c r="F747" t="s">
        <v>53</v>
      </c>
      <c r="G747">
        <v>2</v>
      </c>
      <c r="H747" t="s">
        <v>177</v>
      </c>
      <c r="I747" t="s">
        <v>53</v>
      </c>
      <c r="J747" t="s">
        <v>2347</v>
      </c>
      <c r="K747" t="s">
        <v>219</v>
      </c>
      <c r="L747" t="s">
        <v>180</v>
      </c>
      <c r="M747" s="3">
        <f t="shared" si="11"/>
        <v>2</v>
      </c>
    </row>
    <row r="748" spans="1:13" x14ac:dyDescent="0.35">
      <c r="A748" t="s">
        <v>2348</v>
      </c>
      <c r="B748" t="s">
        <v>174</v>
      </c>
      <c r="C748" t="s">
        <v>2349</v>
      </c>
      <c r="D748" t="s">
        <v>236</v>
      </c>
      <c r="E748" t="s">
        <v>46</v>
      </c>
      <c r="F748" t="s">
        <v>48</v>
      </c>
      <c r="G748">
        <v>2</v>
      </c>
      <c r="H748" t="s">
        <v>195</v>
      </c>
      <c r="J748" t="s">
        <v>2350</v>
      </c>
      <c r="K748" t="s">
        <v>183</v>
      </c>
      <c r="L748" t="s">
        <v>184</v>
      </c>
      <c r="M748" s="3" t="str">
        <f t="shared" si="11"/>
        <v/>
      </c>
    </row>
    <row r="749" spans="1:13" x14ac:dyDescent="0.35">
      <c r="A749" t="s">
        <v>2351</v>
      </c>
      <c r="B749" t="s">
        <v>174</v>
      </c>
      <c r="C749" t="s">
        <v>2352</v>
      </c>
      <c r="D749" t="s">
        <v>190</v>
      </c>
      <c r="E749" t="s">
        <v>52</v>
      </c>
      <c r="F749" t="s">
        <v>55</v>
      </c>
      <c r="G749">
        <v>3</v>
      </c>
      <c r="H749" t="s">
        <v>177</v>
      </c>
      <c r="I749" t="s">
        <v>55</v>
      </c>
      <c r="J749" t="s">
        <v>2353</v>
      </c>
      <c r="K749" t="s">
        <v>197</v>
      </c>
      <c r="L749" t="s">
        <v>180</v>
      </c>
      <c r="M749" s="3">
        <f t="shared" si="11"/>
        <v>3</v>
      </c>
    </row>
    <row r="750" spans="1:13" x14ac:dyDescent="0.35">
      <c r="A750" t="s">
        <v>2354</v>
      </c>
      <c r="B750" t="s">
        <v>174</v>
      </c>
      <c r="C750" t="s">
        <v>2355</v>
      </c>
      <c r="D750" t="s">
        <v>190</v>
      </c>
      <c r="E750" t="s">
        <v>44</v>
      </c>
      <c r="F750" t="s">
        <v>46</v>
      </c>
      <c r="G750">
        <v>2</v>
      </c>
      <c r="H750" t="s">
        <v>177</v>
      </c>
      <c r="I750" t="s">
        <v>46</v>
      </c>
      <c r="J750" t="s">
        <v>1267</v>
      </c>
      <c r="K750" t="s">
        <v>270</v>
      </c>
      <c r="L750" t="s">
        <v>184</v>
      </c>
      <c r="M750" s="3">
        <f t="shared" si="11"/>
        <v>2</v>
      </c>
    </row>
    <row r="751" spans="1:13" x14ac:dyDescent="0.35">
      <c r="A751" t="s">
        <v>2356</v>
      </c>
      <c r="B751" t="s">
        <v>174</v>
      </c>
      <c r="C751" t="s">
        <v>2357</v>
      </c>
      <c r="D751" t="s">
        <v>190</v>
      </c>
      <c r="E751" t="s">
        <v>33</v>
      </c>
      <c r="F751" t="s">
        <v>44</v>
      </c>
      <c r="G751">
        <v>11</v>
      </c>
      <c r="H751" t="s">
        <v>177</v>
      </c>
      <c r="I751" t="s">
        <v>44</v>
      </c>
      <c r="J751" t="s">
        <v>2358</v>
      </c>
      <c r="K751" t="s">
        <v>183</v>
      </c>
      <c r="L751" t="s">
        <v>180</v>
      </c>
      <c r="M751" s="3">
        <f t="shared" si="11"/>
        <v>11</v>
      </c>
    </row>
    <row r="752" spans="1:13" x14ac:dyDescent="0.35">
      <c r="A752" t="s">
        <v>2359</v>
      </c>
      <c r="B752" t="s">
        <v>174</v>
      </c>
      <c r="C752" t="s">
        <v>2360</v>
      </c>
      <c r="D752" t="s">
        <v>494</v>
      </c>
      <c r="E752" t="s">
        <v>19</v>
      </c>
      <c r="F752" t="s">
        <v>46</v>
      </c>
      <c r="G752">
        <v>27</v>
      </c>
      <c r="H752" t="s">
        <v>177</v>
      </c>
      <c r="I752" t="s">
        <v>46</v>
      </c>
      <c r="J752" t="s">
        <v>2361</v>
      </c>
      <c r="K752" t="s">
        <v>179</v>
      </c>
      <c r="L752" t="s">
        <v>180</v>
      </c>
      <c r="M752" s="3">
        <f t="shared" si="11"/>
        <v>27</v>
      </c>
    </row>
    <row r="753" spans="1:13" x14ac:dyDescent="0.35">
      <c r="A753" t="s">
        <v>2362</v>
      </c>
      <c r="B753" t="s">
        <v>174</v>
      </c>
      <c r="C753" t="s">
        <v>2363</v>
      </c>
      <c r="D753" t="s">
        <v>190</v>
      </c>
      <c r="E753" t="s">
        <v>43</v>
      </c>
      <c r="F753" t="s">
        <v>56</v>
      </c>
      <c r="G753">
        <v>12</v>
      </c>
      <c r="H753" t="s">
        <v>177</v>
      </c>
      <c r="I753" t="s">
        <v>56</v>
      </c>
      <c r="J753" t="s">
        <v>2364</v>
      </c>
      <c r="K753" t="s">
        <v>197</v>
      </c>
      <c r="L753" t="s">
        <v>180</v>
      </c>
      <c r="M753" s="3">
        <f t="shared" si="11"/>
        <v>13</v>
      </c>
    </row>
    <row r="754" spans="1:13" x14ac:dyDescent="0.35">
      <c r="A754" t="s">
        <v>2365</v>
      </c>
      <c r="B754" t="s">
        <v>174</v>
      </c>
      <c r="C754" t="s">
        <v>2366</v>
      </c>
      <c r="D754" t="s">
        <v>190</v>
      </c>
      <c r="E754" t="s">
        <v>41</v>
      </c>
      <c r="F754" t="s">
        <v>43</v>
      </c>
      <c r="G754">
        <v>3</v>
      </c>
      <c r="H754" t="s">
        <v>177</v>
      </c>
      <c r="I754" t="s">
        <v>44</v>
      </c>
      <c r="J754" t="s">
        <v>2367</v>
      </c>
      <c r="K754" t="s">
        <v>183</v>
      </c>
      <c r="L754" t="s">
        <v>180</v>
      </c>
      <c r="M754" s="3">
        <f t="shared" si="11"/>
        <v>3</v>
      </c>
    </row>
    <row r="755" spans="1:13" x14ac:dyDescent="0.35">
      <c r="A755" t="s">
        <v>2368</v>
      </c>
      <c r="B755" t="s">
        <v>174</v>
      </c>
      <c r="C755" t="s">
        <v>2369</v>
      </c>
      <c r="D755" t="s">
        <v>190</v>
      </c>
      <c r="E755" t="s">
        <v>43</v>
      </c>
      <c r="F755" t="s">
        <v>47</v>
      </c>
      <c r="G755">
        <v>4</v>
      </c>
      <c r="H755" t="s">
        <v>177</v>
      </c>
      <c r="I755" t="s">
        <v>47</v>
      </c>
      <c r="J755" t="s">
        <v>1444</v>
      </c>
      <c r="K755" t="s">
        <v>257</v>
      </c>
      <c r="L755" t="s">
        <v>180</v>
      </c>
      <c r="M755" s="3">
        <f t="shared" si="11"/>
        <v>4</v>
      </c>
    </row>
    <row r="756" spans="1:13" x14ac:dyDescent="0.35">
      <c r="A756" t="s">
        <v>2370</v>
      </c>
      <c r="B756" t="s">
        <v>174</v>
      </c>
      <c r="C756" t="s">
        <v>2371</v>
      </c>
      <c r="D756" t="s">
        <v>176</v>
      </c>
      <c r="E756" t="s">
        <v>43</v>
      </c>
      <c r="F756" t="s">
        <v>47</v>
      </c>
      <c r="G756">
        <v>5</v>
      </c>
      <c r="H756" t="s">
        <v>195</v>
      </c>
      <c r="J756" t="s">
        <v>2372</v>
      </c>
      <c r="K756" t="s">
        <v>183</v>
      </c>
      <c r="L756" t="s">
        <v>180</v>
      </c>
      <c r="M756" s="3" t="str">
        <f t="shared" si="11"/>
        <v/>
      </c>
    </row>
    <row r="757" spans="1:13" x14ac:dyDescent="0.35">
      <c r="A757" t="s">
        <v>2373</v>
      </c>
      <c r="B757" t="s">
        <v>174</v>
      </c>
      <c r="C757" t="s">
        <v>2374</v>
      </c>
      <c r="D757" t="s">
        <v>236</v>
      </c>
      <c r="E757" t="s">
        <v>52</v>
      </c>
      <c r="F757" t="s">
        <v>54</v>
      </c>
      <c r="G757">
        <v>2</v>
      </c>
      <c r="H757" t="s">
        <v>177</v>
      </c>
      <c r="I757" t="s">
        <v>55</v>
      </c>
      <c r="J757" t="s">
        <v>2375</v>
      </c>
      <c r="K757" t="s">
        <v>183</v>
      </c>
      <c r="L757" t="s">
        <v>184</v>
      </c>
      <c r="M757" s="3">
        <f t="shared" si="11"/>
        <v>3</v>
      </c>
    </row>
    <row r="758" spans="1:13" x14ac:dyDescent="0.35">
      <c r="A758" t="s">
        <v>2376</v>
      </c>
      <c r="B758" t="s">
        <v>174</v>
      </c>
      <c r="C758" t="s">
        <v>2377</v>
      </c>
      <c r="D758" t="s">
        <v>190</v>
      </c>
      <c r="E758" t="s">
        <v>36</v>
      </c>
      <c r="F758" t="s">
        <v>43</v>
      </c>
      <c r="G758">
        <v>7</v>
      </c>
      <c r="H758" t="s">
        <v>177</v>
      </c>
      <c r="I758" t="s">
        <v>44</v>
      </c>
      <c r="J758" t="s">
        <v>2378</v>
      </c>
      <c r="K758" t="s">
        <v>270</v>
      </c>
      <c r="L758" t="s">
        <v>180</v>
      </c>
      <c r="M758" s="3">
        <f t="shared" si="11"/>
        <v>8</v>
      </c>
    </row>
    <row r="759" spans="1:13" x14ac:dyDescent="0.35">
      <c r="A759" t="s">
        <v>2379</v>
      </c>
      <c r="B759" t="s">
        <v>174</v>
      </c>
      <c r="C759" t="s">
        <v>2380</v>
      </c>
      <c r="D759" t="s">
        <v>190</v>
      </c>
      <c r="E759" t="s">
        <v>47</v>
      </c>
      <c r="F759" t="s">
        <v>50</v>
      </c>
      <c r="G759">
        <v>2</v>
      </c>
      <c r="H759" t="s">
        <v>195</v>
      </c>
      <c r="J759" t="s">
        <v>2381</v>
      </c>
      <c r="K759" t="s">
        <v>197</v>
      </c>
      <c r="L759" t="s">
        <v>180</v>
      </c>
      <c r="M759" s="3" t="str">
        <f t="shared" si="11"/>
        <v/>
      </c>
    </row>
    <row r="760" spans="1:13" x14ac:dyDescent="0.35">
      <c r="A760" t="s">
        <v>2382</v>
      </c>
      <c r="B760" t="s">
        <v>174</v>
      </c>
      <c r="C760" t="s">
        <v>2383</v>
      </c>
      <c r="D760" t="s">
        <v>190</v>
      </c>
      <c r="E760" t="s">
        <v>27</v>
      </c>
      <c r="F760" t="s">
        <v>40</v>
      </c>
      <c r="G760">
        <v>13</v>
      </c>
      <c r="H760" t="s">
        <v>177</v>
      </c>
      <c r="I760" t="s">
        <v>40</v>
      </c>
      <c r="J760" t="s">
        <v>2384</v>
      </c>
      <c r="K760" t="s">
        <v>183</v>
      </c>
      <c r="L760" t="s">
        <v>180</v>
      </c>
      <c r="M760" s="3">
        <f t="shared" si="11"/>
        <v>13</v>
      </c>
    </row>
    <row r="761" spans="1:13" x14ac:dyDescent="0.35">
      <c r="A761" t="s">
        <v>2385</v>
      </c>
      <c r="B761" t="s">
        <v>174</v>
      </c>
      <c r="C761" t="s">
        <v>2386</v>
      </c>
      <c r="D761" t="s">
        <v>190</v>
      </c>
      <c r="E761" t="s">
        <v>43</v>
      </c>
      <c r="F761" t="s">
        <v>46</v>
      </c>
      <c r="G761">
        <v>3</v>
      </c>
      <c r="H761" t="s">
        <v>177</v>
      </c>
      <c r="I761" t="s">
        <v>47</v>
      </c>
      <c r="J761" t="s">
        <v>2387</v>
      </c>
      <c r="K761" t="s">
        <v>197</v>
      </c>
      <c r="L761" t="s">
        <v>180</v>
      </c>
      <c r="M761" s="3">
        <f t="shared" si="11"/>
        <v>4</v>
      </c>
    </row>
    <row r="762" spans="1:13" x14ac:dyDescent="0.35">
      <c r="A762" t="s">
        <v>2388</v>
      </c>
      <c r="B762" t="s">
        <v>174</v>
      </c>
      <c r="C762" t="s">
        <v>2389</v>
      </c>
      <c r="D762" t="s">
        <v>190</v>
      </c>
      <c r="E762" t="s">
        <v>43</v>
      </c>
      <c r="F762" t="s">
        <v>54</v>
      </c>
      <c r="G762">
        <v>11</v>
      </c>
      <c r="H762" t="s">
        <v>177</v>
      </c>
      <c r="I762" t="s">
        <v>54</v>
      </c>
      <c r="J762" t="s">
        <v>2390</v>
      </c>
      <c r="K762" t="s">
        <v>197</v>
      </c>
      <c r="L762" t="s">
        <v>180</v>
      </c>
      <c r="M762" s="3">
        <f t="shared" si="11"/>
        <v>11</v>
      </c>
    </row>
    <row r="763" spans="1:13" x14ac:dyDescent="0.35">
      <c r="A763" t="s">
        <v>2391</v>
      </c>
      <c r="B763" t="s">
        <v>174</v>
      </c>
      <c r="C763" t="s">
        <v>2392</v>
      </c>
      <c r="D763" t="s">
        <v>190</v>
      </c>
      <c r="E763" t="s">
        <v>36</v>
      </c>
      <c r="F763" t="s">
        <v>44</v>
      </c>
      <c r="G763">
        <v>8</v>
      </c>
      <c r="H763" t="s">
        <v>177</v>
      </c>
      <c r="I763" t="s">
        <v>44</v>
      </c>
      <c r="J763" t="s">
        <v>2393</v>
      </c>
      <c r="K763" t="s">
        <v>183</v>
      </c>
      <c r="L763" t="s">
        <v>180</v>
      </c>
      <c r="M763" s="3">
        <f t="shared" si="11"/>
        <v>8</v>
      </c>
    </row>
    <row r="764" spans="1:13" x14ac:dyDescent="0.35">
      <c r="A764" t="s">
        <v>2394</v>
      </c>
      <c r="B764" t="s">
        <v>174</v>
      </c>
      <c r="C764" t="s">
        <v>2395</v>
      </c>
      <c r="D764" t="s">
        <v>190</v>
      </c>
      <c r="E764" t="s">
        <v>45</v>
      </c>
      <c r="F764" t="s">
        <v>46</v>
      </c>
      <c r="G764">
        <v>1</v>
      </c>
      <c r="H764" t="s">
        <v>252</v>
      </c>
      <c r="J764" t="s">
        <v>2396</v>
      </c>
      <c r="K764" t="s">
        <v>257</v>
      </c>
      <c r="L764" t="s">
        <v>184</v>
      </c>
      <c r="M764" s="3" t="str">
        <f t="shared" si="11"/>
        <v/>
      </c>
    </row>
    <row r="765" spans="1:13" x14ac:dyDescent="0.35">
      <c r="A765" t="s">
        <v>2394</v>
      </c>
      <c r="B765" t="s">
        <v>174</v>
      </c>
      <c r="C765" t="s">
        <v>2395</v>
      </c>
      <c r="D765" t="s">
        <v>190</v>
      </c>
      <c r="E765" t="s">
        <v>45</v>
      </c>
      <c r="F765" t="s">
        <v>53</v>
      </c>
      <c r="G765">
        <v>8</v>
      </c>
      <c r="H765" t="s">
        <v>195</v>
      </c>
      <c r="J765" t="s">
        <v>2396</v>
      </c>
      <c r="K765" t="s">
        <v>257</v>
      </c>
      <c r="L765" t="s">
        <v>184</v>
      </c>
      <c r="M765" s="3" t="str">
        <f t="shared" si="11"/>
        <v/>
      </c>
    </row>
    <row r="766" spans="1:13" x14ac:dyDescent="0.35">
      <c r="A766" t="s">
        <v>2397</v>
      </c>
      <c r="B766" t="s">
        <v>174</v>
      </c>
      <c r="C766" t="s">
        <v>2398</v>
      </c>
      <c r="D766" t="s">
        <v>190</v>
      </c>
      <c r="E766" t="s">
        <v>29</v>
      </c>
      <c r="F766" t="s">
        <v>52</v>
      </c>
      <c r="G766">
        <v>23</v>
      </c>
      <c r="H766" t="s">
        <v>177</v>
      </c>
      <c r="I766" t="s">
        <v>52</v>
      </c>
      <c r="J766" t="s">
        <v>2399</v>
      </c>
      <c r="K766" t="s">
        <v>377</v>
      </c>
      <c r="L766" t="s">
        <v>180</v>
      </c>
      <c r="M766" s="3">
        <f t="shared" si="11"/>
        <v>23</v>
      </c>
    </row>
    <row r="767" spans="1:13" x14ac:dyDescent="0.35">
      <c r="A767" t="s">
        <v>2400</v>
      </c>
      <c r="B767" t="s">
        <v>174</v>
      </c>
      <c r="C767" t="s">
        <v>2401</v>
      </c>
      <c r="D767" t="s">
        <v>190</v>
      </c>
      <c r="E767" t="s">
        <v>45</v>
      </c>
      <c r="F767" t="s">
        <v>50</v>
      </c>
      <c r="G767">
        <v>6</v>
      </c>
      <c r="H767" t="s">
        <v>177</v>
      </c>
      <c r="I767" t="s">
        <v>51</v>
      </c>
      <c r="J767" t="s">
        <v>2402</v>
      </c>
      <c r="K767" t="s">
        <v>257</v>
      </c>
      <c r="L767" t="s">
        <v>180</v>
      </c>
      <c r="M767" s="3">
        <f t="shared" si="11"/>
        <v>6</v>
      </c>
    </row>
    <row r="768" spans="1:13" x14ac:dyDescent="0.35">
      <c r="A768" t="s">
        <v>2403</v>
      </c>
      <c r="B768" t="s">
        <v>174</v>
      </c>
      <c r="C768" t="s">
        <v>2404</v>
      </c>
      <c r="D768" t="s">
        <v>190</v>
      </c>
      <c r="E768" t="s">
        <v>46</v>
      </c>
      <c r="F768" t="s">
        <v>51</v>
      </c>
      <c r="G768">
        <v>5</v>
      </c>
      <c r="H768" t="s">
        <v>177</v>
      </c>
      <c r="I768" t="s">
        <v>52</v>
      </c>
      <c r="J768" t="s">
        <v>2405</v>
      </c>
      <c r="K768" t="s">
        <v>257</v>
      </c>
      <c r="L768" t="s">
        <v>180</v>
      </c>
      <c r="M768" s="3">
        <f t="shared" si="11"/>
        <v>6</v>
      </c>
    </row>
    <row r="769" spans="1:13" x14ac:dyDescent="0.35">
      <c r="A769" t="s">
        <v>2406</v>
      </c>
      <c r="B769" t="s">
        <v>174</v>
      </c>
      <c r="C769" t="s">
        <v>2407</v>
      </c>
      <c r="D769" t="s">
        <v>236</v>
      </c>
      <c r="E769" t="s">
        <v>44</v>
      </c>
      <c r="F769" t="s">
        <v>47</v>
      </c>
      <c r="G769">
        <v>3</v>
      </c>
      <c r="H769" t="s">
        <v>177</v>
      </c>
      <c r="I769" t="s">
        <v>51</v>
      </c>
      <c r="J769" t="s">
        <v>2408</v>
      </c>
      <c r="K769" t="s">
        <v>192</v>
      </c>
      <c r="L769" t="s">
        <v>180</v>
      </c>
      <c r="M769" s="3">
        <f t="shared" si="11"/>
        <v>7</v>
      </c>
    </row>
    <row r="770" spans="1:13" x14ac:dyDescent="0.35">
      <c r="A770" t="s">
        <v>2409</v>
      </c>
      <c r="B770" t="s">
        <v>174</v>
      </c>
      <c r="C770" t="s">
        <v>2410</v>
      </c>
      <c r="D770" t="s">
        <v>190</v>
      </c>
      <c r="E770" t="s">
        <v>33</v>
      </c>
      <c r="F770" t="s">
        <v>45</v>
      </c>
      <c r="G770">
        <v>13</v>
      </c>
      <c r="H770" t="s">
        <v>177</v>
      </c>
      <c r="I770" t="s">
        <v>46</v>
      </c>
      <c r="J770" t="s">
        <v>2411</v>
      </c>
      <c r="K770" t="s">
        <v>183</v>
      </c>
      <c r="L770" t="s">
        <v>180</v>
      </c>
      <c r="M770" s="3">
        <f t="shared" si="11"/>
        <v>13</v>
      </c>
    </row>
    <row r="771" spans="1:13" x14ac:dyDescent="0.35">
      <c r="A771" t="s">
        <v>2412</v>
      </c>
      <c r="B771" t="s">
        <v>174</v>
      </c>
      <c r="C771" t="s">
        <v>2413</v>
      </c>
      <c r="D771" t="s">
        <v>190</v>
      </c>
      <c r="E771" t="s">
        <v>41</v>
      </c>
      <c r="F771" t="s">
        <v>46</v>
      </c>
      <c r="G771">
        <v>5</v>
      </c>
      <c r="H771" t="s">
        <v>177</v>
      </c>
      <c r="I771" t="s">
        <v>47</v>
      </c>
      <c r="J771" t="s">
        <v>2414</v>
      </c>
      <c r="K771" t="s">
        <v>197</v>
      </c>
      <c r="L771" t="s">
        <v>180</v>
      </c>
      <c r="M771" s="3">
        <f t="shared" ref="M771:M834" si="12">IF(H771="Efectivo",IFERROR((VALUE(RIGHT(I771,4))-VALUE(RIGHT(E771,4)))*12+(VALUE(LEFT(I771,2))-VALUE(LEFT(E771,2))),""),"")</f>
        <v>6</v>
      </c>
    </row>
    <row r="772" spans="1:13" x14ac:dyDescent="0.35">
      <c r="A772" t="s">
        <v>2415</v>
      </c>
      <c r="B772" t="s">
        <v>174</v>
      </c>
      <c r="C772" t="s">
        <v>2416</v>
      </c>
      <c r="D772" t="s">
        <v>225</v>
      </c>
      <c r="E772" t="s">
        <v>25</v>
      </c>
      <c r="F772" t="s">
        <v>45</v>
      </c>
      <c r="G772">
        <v>20</v>
      </c>
      <c r="H772" t="s">
        <v>177</v>
      </c>
      <c r="I772" t="s">
        <v>46</v>
      </c>
      <c r="J772" t="s">
        <v>2417</v>
      </c>
      <c r="K772" t="s">
        <v>183</v>
      </c>
      <c r="L772" t="s">
        <v>180</v>
      </c>
      <c r="M772" s="3">
        <f t="shared" si="12"/>
        <v>21</v>
      </c>
    </row>
    <row r="773" spans="1:13" x14ac:dyDescent="0.35">
      <c r="A773" t="s">
        <v>2418</v>
      </c>
      <c r="B773" t="s">
        <v>174</v>
      </c>
      <c r="C773" t="s">
        <v>2419</v>
      </c>
      <c r="D773" t="s">
        <v>190</v>
      </c>
      <c r="E773" t="s">
        <v>52</v>
      </c>
      <c r="F773" t="s">
        <v>56</v>
      </c>
      <c r="G773">
        <v>3</v>
      </c>
      <c r="H773" t="s">
        <v>195</v>
      </c>
      <c r="J773" t="s">
        <v>2420</v>
      </c>
      <c r="K773" t="s">
        <v>197</v>
      </c>
      <c r="L773" t="s">
        <v>184</v>
      </c>
      <c r="M773" s="3" t="str">
        <f t="shared" si="12"/>
        <v/>
      </c>
    </row>
    <row r="774" spans="1:13" x14ac:dyDescent="0.35">
      <c r="A774" t="s">
        <v>2421</v>
      </c>
      <c r="B774" t="s">
        <v>174</v>
      </c>
      <c r="C774" t="s">
        <v>2422</v>
      </c>
      <c r="D774" t="s">
        <v>225</v>
      </c>
      <c r="E774" t="s">
        <v>31</v>
      </c>
      <c r="F774" t="s">
        <v>43</v>
      </c>
      <c r="G774">
        <v>12</v>
      </c>
      <c r="H774" t="s">
        <v>177</v>
      </c>
      <c r="I774" t="s">
        <v>44</v>
      </c>
      <c r="J774" t="s">
        <v>2423</v>
      </c>
      <c r="K774" t="s">
        <v>183</v>
      </c>
      <c r="L774" t="s">
        <v>180</v>
      </c>
      <c r="M774" s="3">
        <f t="shared" si="12"/>
        <v>13</v>
      </c>
    </row>
    <row r="775" spans="1:13" x14ac:dyDescent="0.35">
      <c r="A775" t="s">
        <v>2424</v>
      </c>
      <c r="B775" t="s">
        <v>174</v>
      </c>
      <c r="C775" t="s">
        <v>2425</v>
      </c>
      <c r="D775" t="s">
        <v>190</v>
      </c>
      <c r="E775" t="s">
        <v>52</v>
      </c>
      <c r="F775" t="s">
        <v>54</v>
      </c>
      <c r="G775">
        <v>1</v>
      </c>
      <c r="H775" t="s">
        <v>177</v>
      </c>
      <c r="I775" t="s">
        <v>54</v>
      </c>
      <c r="J775" t="s">
        <v>2426</v>
      </c>
      <c r="K775" t="s">
        <v>270</v>
      </c>
      <c r="L775" t="s">
        <v>180</v>
      </c>
      <c r="M775" s="3">
        <f t="shared" si="12"/>
        <v>2</v>
      </c>
    </row>
    <row r="776" spans="1:13" x14ac:dyDescent="0.35">
      <c r="A776" t="s">
        <v>2427</v>
      </c>
      <c r="B776" t="s">
        <v>174</v>
      </c>
      <c r="C776" t="s">
        <v>2428</v>
      </c>
      <c r="D776" t="s">
        <v>190</v>
      </c>
      <c r="E776" t="s">
        <v>39</v>
      </c>
      <c r="F776" t="s">
        <v>47</v>
      </c>
      <c r="G776">
        <v>8</v>
      </c>
      <c r="H776" t="s">
        <v>177</v>
      </c>
      <c r="I776" t="s">
        <v>48</v>
      </c>
      <c r="J776" t="s">
        <v>2429</v>
      </c>
      <c r="K776" t="s">
        <v>270</v>
      </c>
      <c r="L776" t="s">
        <v>180</v>
      </c>
      <c r="M776" s="3">
        <f t="shared" si="12"/>
        <v>9</v>
      </c>
    </row>
    <row r="777" spans="1:13" x14ac:dyDescent="0.35">
      <c r="A777" t="s">
        <v>2430</v>
      </c>
      <c r="B777" t="s">
        <v>174</v>
      </c>
      <c r="C777" t="s">
        <v>2431</v>
      </c>
      <c r="D777" t="s">
        <v>190</v>
      </c>
      <c r="E777" t="s">
        <v>44</v>
      </c>
      <c r="F777" t="s">
        <v>47</v>
      </c>
      <c r="G777">
        <v>3</v>
      </c>
      <c r="H777" t="s">
        <v>177</v>
      </c>
      <c r="I777" t="s">
        <v>47</v>
      </c>
      <c r="J777" t="s">
        <v>2432</v>
      </c>
      <c r="K777" t="s">
        <v>270</v>
      </c>
      <c r="L777" t="s">
        <v>184</v>
      </c>
      <c r="M777" s="3">
        <f t="shared" si="12"/>
        <v>3</v>
      </c>
    </row>
    <row r="778" spans="1:13" x14ac:dyDescent="0.35">
      <c r="A778" t="s">
        <v>2433</v>
      </c>
      <c r="B778" t="s">
        <v>174</v>
      </c>
      <c r="C778" t="s">
        <v>2434</v>
      </c>
      <c r="D778" t="s">
        <v>190</v>
      </c>
      <c r="E778" t="s">
        <v>31</v>
      </c>
      <c r="F778" t="s">
        <v>48</v>
      </c>
      <c r="G778">
        <v>17</v>
      </c>
      <c r="H778" t="s">
        <v>177</v>
      </c>
      <c r="I778" t="s">
        <v>54</v>
      </c>
      <c r="J778" t="s">
        <v>2435</v>
      </c>
      <c r="K778" t="s">
        <v>183</v>
      </c>
      <c r="L778" t="s">
        <v>180</v>
      </c>
      <c r="M778" s="3">
        <f t="shared" si="12"/>
        <v>23</v>
      </c>
    </row>
    <row r="779" spans="1:13" x14ac:dyDescent="0.35">
      <c r="A779" t="s">
        <v>2436</v>
      </c>
      <c r="B779" t="s">
        <v>174</v>
      </c>
      <c r="C779" t="s">
        <v>2437</v>
      </c>
      <c r="D779" t="s">
        <v>176</v>
      </c>
      <c r="E779" t="s">
        <v>35</v>
      </c>
      <c r="F779" t="s">
        <v>48</v>
      </c>
      <c r="G779">
        <v>13</v>
      </c>
      <c r="H779" t="s">
        <v>177</v>
      </c>
      <c r="I779" t="s">
        <v>49</v>
      </c>
      <c r="J779" t="s">
        <v>2438</v>
      </c>
      <c r="K779" t="s">
        <v>183</v>
      </c>
      <c r="L779" t="s">
        <v>180</v>
      </c>
      <c r="M779" s="3">
        <f t="shared" si="12"/>
        <v>14</v>
      </c>
    </row>
    <row r="780" spans="1:13" x14ac:dyDescent="0.35">
      <c r="A780" t="s">
        <v>2439</v>
      </c>
      <c r="B780" t="s">
        <v>174</v>
      </c>
      <c r="C780" t="s">
        <v>2440</v>
      </c>
      <c r="D780" t="s">
        <v>190</v>
      </c>
      <c r="E780" t="s">
        <v>39</v>
      </c>
      <c r="F780" t="s">
        <v>51</v>
      </c>
      <c r="G780">
        <v>12</v>
      </c>
      <c r="H780" t="s">
        <v>177</v>
      </c>
      <c r="I780" t="s">
        <v>52</v>
      </c>
      <c r="J780" t="s">
        <v>2441</v>
      </c>
      <c r="K780" t="s">
        <v>270</v>
      </c>
      <c r="L780" t="s">
        <v>180</v>
      </c>
      <c r="M780" s="3">
        <f t="shared" si="12"/>
        <v>13</v>
      </c>
    </row>
    <row r="781" spans="1:13" x14ac:dyDescent="0.35">
      <c r="A781" t="s">
        <v>2442</v>
      </c>
      <c r="B781" t="s">
        <v>174</v>
      </c>
      <c r="C781" t="s">
        <v>2443</v>
      </c>
      <c r="D781" t="s">
        <v>190</v>
      </c>
      <c r="E781" t="s">
        <v>28</v>
      </c>
      <c r="F781" t="s">
        <v>40</v>
      </c>
      <c r="G781">
        <v>12</v>
      </c>
      <c r="H781" t="s">
        <v>252</v>
      </c>
      <c r="J781" t="s">
        <v>2444</v>
      </c>
      <c r="K781" t="s">
        <v>270</v>
      </c>
      <c r="L781" t="s">
        <v>180</v>
      </c>
      <c r="M781" s="3" t="str">
        <f t="shared" si="12"/>
        <v/>
      </c>
    </row>
    <row r="782" spans="1:13" x14ac:dyDescent="0.35">
      <c r="A782" t="s">
        <v>2445</v>
      </c>
      <c r="B782" t="s">
        <v>174</v>
      </c>
      <c r="C782" t="s">
        <v>2446</v>
      </c>
      <c r="D782" t="s">
        <v>190</v>
      </c>
      <c r="E782" t="s">
        <v>38</v>
      </c>
      <c r="F782" t="s">
        <v>45</v>
      </c>
      <c r="G782">
        <v>7</v>
      </c>
      <c r="H782" t="s">
        <v>177</v>
      </c>
      <c r="I782" t="s">
        <v>45</v>
      </c>
      <c r="J782" t="s">
        <v>2447</v>
      </c>
      <c r="K782" t="s">
        <v>183</v>
      </c>
      <c r="L782" t="s">
        <v>180</v>
      </c>
      <c r="M782" s="3">
        <f t="shared" si="12"/>
        <v>7</v>
      </c>
    </row>
    <row r="783" spans="1:13" x14ac:dyDescent="0.35">
      <c r="A783" t="s">
        <v>2448</v>
      </c>
      <c r="B783" t="s">
        <v>174</v>
      </c>
      <c r="C783" t="s">
        <v>2449</v>
      </c>
      <c r="D783" t="s">
        <v>190</v>
      </c>
      <c r="E783" t="s">
        <v>47</v>
      </c>
      <c r="F783" t="s">
        <v>55</v>
      </c>
      <c r="G783">
        <v>7</v>
      </c>
      <c r="H783" t="s">
        <v>177</v>
      </c>
      <c r="I783" t="s">
        <v>55</v>
      </c>
      <c r="J783" t="s">
        <v>2222</v>
      </c>
      <c r="K783" t="s">
        <v>183</v>
      </c>
      <c r="L783" t="s">
        <v>184</v>
      </c>
      <c r="M783" s="3">
        <f t="shared" si="12"/>
        <v>8</v>
      </c>
    </row>
    <row r="784" spans="1:13" x14ac:dyDescent="0.35">
      <c r="A784" t="s">
        <v>2450</v>
      </c>
      <c r="B784" t="s">
        <v>174</v>
      </c>
      <c r="C784" t="s">
        <v>2451</v>
      </c>
      <c r="D784" t="s">
        <v>190</v>
      </c>
      <c r="E784" t="s">
        <v>45</v>
      </c>
      <c r="F784" t="s">
        <v>54</v>
      </c>
      <c r="G784">
        <v>9</v>
      </c>
      <c r="H784" t="s">
        <v>195</v>
      </c>
      <c r="J784" t="s">
        <v>2452</v>
      </c>
      <c r="K784" t="s">
        <v>197</v>
      </c>
      <c r="L784" t="s">
        <v>180</v>
      </c>
      <c r="M784" s="3" t="str">
        <f t="shared" si="12"/>
        <v/>
      </c>
    </row>
    <row r="785" spans="1:13" x14ac:dyDescent="0.35">
      <c r="A785" t="s">
        <v>2453</v>
      </c>
      <c r="B785" t="s">
        <v>174</v>
      </c>
      <c r="C785" t="s">
        <v>2454</v>
      </c>
      <c r="D785" t="s">
        <v>190</v>
      </c>
      <c r="E785" t="s">
        <v>43</v>
      </c>
      <c r="F785" t="s">
        <v>47</v>
      </c>
      <c r="G785">
        <v>4</v>
      </c>
      <c r="H785" t="s">
        <v>177</v>
      </c>
      <c r="I785" t="s">
        <v>47</v>
      </c>
      <c r="J785" t="s">
        <v>2455</v>
      </c>
      <c r="K785" t="s">
        <v>197</v>
      </c>
      <c r="L785" t="s">
        <v>180</v>
      </c>
      <c r="M785" s="3">
        <f t="shared" si="12"/>
        <v>4</v>
      </c>
    </row>
    <row r="786" spans="1:13" x14ac:dyDescent="0.35">
      <c r="A786" t="s">
        <v>2456</v>
      </c>
      <c r="B786" t="s">
        <v>174</v>
      </c>
      <c r="C786" t="s">
        <v>2457</v>
      </c>
      <c r="D786" t="s">
        <v>176</v>
      </c>
      <c r="E786" t="s">
        <v>49</v>
      </c>
      <c r="F786" t="s">
        <v>52</v>
      </c>
      <c r="G786">
        <v>4</v>
      </c>
      <c r="H786" t="s">
        <v>177</v>
      </c>
      <c r="I786" t="s">
        <v>52</v>
      </c>
      <c r="J786" t="s">
        <v>2458</v>
      </c>
      <c r="K786" t="s">
        <v>183</v>
      </c>
      <c r="L786" t="s">
        <v>184</v>
      </c>
      <c r="M786" s="3">
        <f t="shared" si="12"/>
        <v>3</v>
      </c>
    </row>
    <row r="787" spans="1:13" x14ac:dyDescent="0.35">
      <c r="A787" t="s">
        <v>2459</v>
      </c>
      <c r="B787" t="s">
        <v>174</v>
      </c>
      <c r="C787" t="s">
        <v>2460</v>
      </c>
      <c r="D787" t="s">
        <v>176</v>
      </c>
      <c r="E787" t="s">
        <v>30</v>
      </c>
      <c r="F787" t="s">
        <v>48</v>
      </c>
      <c r="G787">
        <v>18</v>
      </c>
      <c r="H787" t="s">
        <v>177</v>
      </c>
      <c r="I787" t="s">
        <v>54</v>
      </c>
      <c r="J787" t="s">
        <v>2461</v>
      </c>
      <c r="K787" t="s">
        <v>183</v>
      </c>
      <c r="L787" t="s">
        <v>180</v>
      </c>
      <c r="M787" s="3">
        <f t="shared" si="12"/>
        <v>24</v>
      </c>
    </row>
    <row r="788" spans="1:13" x14ac:dyDescent="0.35">
      <c r="A788" t="s">
        <v>2462</v>
      </c>
      <c r="B788" t="s">
        <v>174</v>
      </c>
      <c r="C788" t="s">
        <v>2463</v>
      </c>
      <c r="D788" t="s">
        <v>190</v>
      </c>
      <c r="E788" t="s">
        <v>45</v>
      </c>
      <c r="F788" t="s">
        <v>52</v>
      </c>
      <c r="G788">
        <v>7</v>
      </c>
      <c r="H788" t="s">
        <v>177</v>
      </c>
      <c r="I788" t="s">
        <v>52</v>
      </c>
      <c r="J788" t="s">
        <v>2464</v>
      </c>
      <c r="K788" t="s">
        <v>257</v>
      </c>
      <c r="L788" t="s">
        <v>180</v>
      </c>
      <c r="M788" s="3">
        <f t="shared" si="12"/>
        <v>7</v>
      </c>
    </row>
    <row r="789" spans="1:13" x14ac:dyDescent="0.35">
      <c r="A789" t="s">
        <v>2465</v>
      </c>
      <c r="B789" t="s">
        <v>174</v>
      </c>
      <c r="C789" t="s">
        <v>2466</v>
      </c>
      <c r="D789" t="s">
        <v>176</v>
      </c>
      <c r="E789" t="s">
        <v>42</v>
      </c>
      <c r="F789" t="s">
        <v>46</v>
      </c>
      <c r="G789">
        <v>4</v>
      </c>
      <c r="H789" t="s">
        <v>177</v>
      </c>
      <c r="I789" t="s">
        <v>46</v>
      </c>
      <c r="J789" t="s">
        <v>2467</v>
      </c>
      <c r="K789" t="s">
        <v>183</v>
      </c>
      <c r="L789" t="s">
        <v>180</v>
      </c>
      <c r="M789" s="3">
        <f t="shared" si="12"/>
        <v>4</v>
      </c>
    </row>
    <row r="790" spans="1:13" x14ac:dyDescent="0.35">
      <c r="A790" t="s">
        <v>2468</v>
      </c>
      <c r="B790" t="s">
        <v>174</v>
      </c>
      <c r="C790" t="s">
        <v>2469</v>
      </c>
      <c r="D790" t="s">
        <v>190</v>
      </c>
      <c r="E790" t="s">
        <v>38</v>
      </c>
      <c r="F790" t="s">
        <v>50</v>
      </c>
      <c r="G790">
        <v>11</v>
      </c>
      <c r="H790" t="s">
        <v>252</v>
      </c>
      <c r="J790" t="s">
        <v>2470</v>
      </c>
      <c r="K790" t="s">
        <v>270</v>
      </c>
      <c r="L790" t="s">
        <v>184</v>
      </c>
      <c r="M790" s="3" t="str">
        <f t="shared" si="12"/>
        <v/>
      </c>
    </row>
    <row r="791" spans="1:13" x14ac:dyDescent="0.35">
      <c r="A791" t="s">
        <v>2468</v>
      </c>
      <c r="B791" t="s">
        <v>174</v>
      </c>
      <c r="C791" t="s">
        <v>2469</v>
      </c>
      <c r="D791" t="s">
        <v>190</v>
      </c>
      <c r="E791" t="s">
        <v>38</v>
      </c>
      <c r="F791" t="s">
        <v>55</v>
      </c>
      <c r="G791">
        <v>17</v>
      </c>
      <c r="H791" t="s">
        <v>177</v>
      </c>
      <c r="I791" t="s">
        <v>55</v>
      </c>
      <c r="J791" t="s">
        <v>2470</v>
      </c>
      <c r="K791" t="s">
        <v>270</v>
      </c>
      <c r="L791" t="s">
        <v>184</v>
      </c>
      <c r="M791" s="3">
        <f t="shared" si="12"/>
        <v>17</v>
      </c>
    </row>
    <row r="792" spans="1:13" x14ac:dyDescent="0.35">
      <c r="A792" t="s">
        <v>2471</v>
      </c>
      <c r="B792" t="s">
        <v>174</v>
      </c>
      <c r="C792" t="s">
        <v>2472</v>
      </c>
      <c r="D792" t="s">
        <v>176</v>
      </c>
      <c r="E792" t="s">
        <v>49</v>
      </c>
      <c r="F792" t="s">
        <v>54</v>
      </c>
      <c r="G792">
        <v>5</v>
      </c>
      <c r="H792" t="s">
        <v>177</v>
      </c>
      <c r="I792" t="s">
        <v>54</v>
      </c>
      <c r="J792" t="s">
        <v>2473</v>
      </c>
      <c r="K792" t="s">
        <v>183</v>
      </c>
      <c r="L792" t="s">
        <v>180</v>
      </c>
      <c r="M792" s="3">
        <f t="shared" si="12"/>
        <v>5</v>
      </c>
    </row>
    <row r="793" spans="1:13" x14ac:dyDescent="0.35">
      <c r="A793" t="s">
        <v>2474</v>
      </c>
      <c r="B793" t="s">
        <v>174</v>
      </c>
      <c r="C793" t="s">
        <v>2475</v>
      </c>
      <c r="D793" t="s">
        <v>236</v>
      </c>
      <c r="E793" t="s">
        <v>44</v>
      </c>
      <c r="F793" t="s">
        <v>48</v>
      </c>
      <c r="G793">
        <v>4</v>
      </c>
      <c r="H793" t="s">
        <v>177</v>
      </c>
      <c r="I793" t="s">
        <v>49</v>
      </c>
      <c r="J793" t="s">
        <v>2476</v>
      </c>
      <c r="K793" t="s">
        <v>183</v>
      </c>
      <c r="L793" t="s">
        <v>184</v>
      </c>
      <c r="M793" s="3">
        <f t="shared" si="12"/>
        <v>5</v>
      </c>
    </row>
    <row r="794" spans="1:13" x14ac:dyDescent="0.35">
      <c r="A794" t="s">
        <v>2477</v>
      </c>
      <c r="B794" t="s">
        <v>174</v>
      </c>
      <c r="C794" t="s">
        <v>2478</v>
      </c>
      <c r="D794" t="s">
        <v>176</v>
      </c>
      <c r="E794" t="s">
        <v>26</v>
      </c>
      <c r="F794" t="s">
        <v>41</v>
      </c>
      <c r="G794">
        <v>15</v>
      </c>
      <c r="H794" t="s">
        <v>252</v>
      </c>
      <c r="J794" t="s">
        <v>2479</v>
      </c>
      <c r="K794" t="s">
        <v>183</v>
      </c>
      <c r="L794" t="s">
        <v>180</v>
      </c>
      <c r="M794" s="3" t="str">
        <f t="shared" si="12"/>
        <v/>
      </c>
    </row>
    <row r="795" spans="1:13" x14ac:dyDescent="0.35">
      <c r="A795" t="s">
        <v>2477</v>
      </c>
      <c r="B795" t="s">
        <v>174</v>
      </c>
      <c r="C795" t="s">
        <v>2478</v>
      </c>
      <c r="D795" t="s">
        <v>176</v>
      </c>
      <c r="E795" t="s">
        <v>26</v>
      </c>
      <c r="F795" t="s">
        <v>55</v>
      </c>
      <c r="G795">
        <v>29</v>
      </c>
      <c r="H795" t="s">
        <v>195</v>
      </c>
      <c r="J795" t="s">
        <v>2479</v>
      </c>
      <c r="K795" t="s">
        <v>183</v>
      </c>
      <c r="L795" t="s">
        <v>180</v>
      </c>
      <c r="M795" s="3" t="str">
        <f t="shared" si="12"/>
        <v/>
      </c>
    </row>
    <row r="796" spans="1:13" x14ac:dyDescent="0.35">
      <c r="A796" t="s">
        <v>2480</v>
      </c>
      <c r="B796" t="s">
        <v>174</v>
      </c>
      <c r="C796" t="s">
        <v>2481</v>
      </c>
      <c r="D796" t="s">
        <v>176</v>
      </c>
      <c r="E796" t="s">
        <v>45</v>
      </c>
      <c r="F796" t="s">
        <v>54</v>
      </c>
      <c r="G796">
        <v>9</v>
      </c>
      <c r="H796" t="s">
        <v>177</v>
      </c>
      <c r="I796" t="s">
        <v>54</v>
      </c>
      <c r="J796" t="s">
        <v>2482</v>
      </c>
      <c r="K796" t="s">
        <v>183</v>
      </c>
      <c r="L796" t="s">
        <v>180</v>
      </c>
      <c r="M796" s="3">
        <f t="shared" si="12"/>
        <v>9</v>
      </c>
    </row>
    <row r="797" spans="1:13" x14ac:dyDescent="0.35">
      <c r="A797" t="s">
        <v>2483</v>
      </c>
      <c r="B797" t="s">
        <v>174</v>
      </c>
      <c r="C797" t="s">
        <v>2484</v>
      </c>
      <c r="D797" t="s">
        <v>176</v>
      </c>
      <c r="E797" t="s">
        <v>47</v>
      </c>
      <c r="F797" t="s">
        <v>52</v>
      </c>
      <c r="G797">
        <v>5</v>
      </c>
      <c r="H797" t="s">
        <v>195</v>
      </c>
      <c r="J797" t="s">
        <v>2485</v>
      </c>
      <c r="K797" t="s">
        <v>183</v>
      </c>
      <c r="L797" t="s">
        <v>184</v>
      </c>
      <c r="M797" s="3" t="str">
        <f t="shared" si="12"/>
        <v/>
      </c>
    </row>
    <row r="798" spans="1:13" x14ac:dyDescent="0.35">
      <c r="A798" t="s">
        <v>2486</v>
      </c>
      <c r="B798" t="s">
        <v>231</v>
      </c>
      <c r="C798" t="s">
        <v>2487</v>
      </c>
      <c r="D798" t="s">
        <v>236</v>
      </c>
      <c r="E798" t="s">
        <v>51</v>
      </c>
      <c r="F798" t="s">
        <v>54</v>
      </c>
      <c r="G798">
        <v>4</v>
      </c>
      <c r="H798" t="s">
        <v>177</v>
      </c>
      <c r="I798" t="s">
        <v>55</v>
      </c>
      <c r="J798" t="s">
        <v>2488</v>
      </c>
      <c r="K798" t="s">
        <v>257</v>
      </c>
      <c r="L798" t="s">
        <v>180</v>
      </c>
      <c r="M798" s="3">
        <f t="shared" si="12"/>
        <v>4</v>
      </c>
    </row>
    <row r="799" spans="1:13" x14ac:dyDescent="0.35">
      <c r="A799" t="s">
        <v>2489</v>
      </c>
      <c r="B799" t="s">
        <v>174</v>
      </c>
      <c r="C799" t="s">
        <v>2490</v>
      </c>
      <c r="D799" t="s">
        <v>190</v>
      </c>
      <c r="E799" t="s">
        <v>31</v>
      </c>
      <c r="F799" t="s">
        <v>45</v>
      </c>
      <c r="G799">
        <v>14</v>
      </c>
      <c r="H799" t="s">
        <v>177</v>
      </c>
      <c r="I799" t="s">
        <v>46</v>
      </c>
      <c r="J799" t="s">
        <v>2491</v>
      </c>
      <c r="K799" t="s">
        <v>377</v>
      </c>
      <c r="L799" t="s">
        <v>180</v>
      </c>
      <c r="M799" s="3">
        <f t="shared" si="12"/>
        <v>15</v>
      </c>
    </row>
    <row r="800" spans="1:13" x14ac:dyDescent="0.35">
      <c r="A800" t="s">
        <v>2492</v>
      </c>
      <c r="B800" t="s">
        <v>174</v>
      </c>
      <c r="C800" t="s">
        <v>2493</v>
      </c>
      <c r="D800" t="s">
        <v>190</v>
      </c>
      <c r="E800" t="s">
        <v>29</v>
      </c>
      <c r="F800" t="s">
        <v>52</v>
      </c>
      <c r="G800">
        <v>23</v>
      </c>
      <c r="H800" t="s">
        <v>177</v>
      </c>
      <c r="I800" t="s">
        <v>53</v>
      </c>
      <c r="J800" t="s">
        <v>2494</v>
      </c>
      <c r="K800" t="s">
        <v>377</v>
      </c>
      <c r="L800" t="s">
        <v>180</v>
      </c>
      <c r="M800" s="3">
        <f t="shared" si="12"/>
        <v>24</v>
      </c>
    </row>
    <row r="801" spans="1:13" x14ac:dyDescent="0.35">
      <c r="A801" t="s">
        <v>2495</v>
      </c>
      <c r="B801" t="s">
        <v>174</v>
      </c>
      <c r="C801" t="s">
        <v>2496</v>
      </c>
      <c r="D801" t="s">
        <v>190</v>
      </c>
      <c r="E801" t="s">
        <v>49</v>
      </c>
      <c r="F801" t="s">
        <v>54</v>
      </c>
      <c r="G801">
        <v>5</v>
      </c>
      <c r="H801" t="s">
        <v>177</v>
      </c>
      <c r="I801" t="s">
        <v>55</v>
      </c>
      <c r="J801" t="s">
        <v>2497</v>
      </c>
      <c r="K801" t="s">
        <v>257</v>
      </c>
      <c r="L801" t="s">
        <v>180</v>
      </c>
      <c r="M801" s="3">
        <f t="shared" si="12"/>
        <v>6</v>
      </c>
    </row>
    <row r="802" spans="1:13" x14ac:dyDescent="0.35">
      <c r="A802" t="s">
        <v>2498</v>
      </c>
      <c r="B802" t="s">
        <v>174</v>
      </c>
      <c r="C802" t="s">
        <v>2499</v>
      </c>
      <c r="D802" t="s">
        <v>190</v>
      </c>
      <c r="E802" t="s">
        <v>44</v>
      </c>
      <c r="F802" t="s">
        <v>50</v>
      </c>
      <c r="G802">
        <v>6</v>
      </c>
      <c r="H802" t="s">
        <v>177</v>
      </c>
      <c r="I802" t="s">
        <v>51</v>
      </c>
      <c r="J802" t="s">
        <v>2500</v>
      </c>
      <c r="K802" t="s">
        <v>197</v>
      </c>
      <c r="L802" t="s">
        <v>184</v>
      </c>
      <c r="M802" s="3">
        <f t="shared" si="12"/>
        <v>7</v>
      </c>
    </row>
    <row r="803" spans="1:13" x14ac:dyDescent="0.35">
      <c r="A803" t="s">
        <v>2501</v>
      </c>
      <c r="B803" t="s">
        <v>174</v>
      </c>
      <c r="C803" t="s">
        <v>2502</v>
      </c>
      <c r="D803" t="s">
        <v>176</v>
      </c>
      <c r="E803" t="s">
        <v>50</v>
      </c>
      <c r="F803" t="s">
        <v>56</v>
      </c>
      <c r="G803">
        <v>6</v>
      </c>
      <c r="H803" t="s">
        <v>195</v>
      </c>
      <c r="J803" t="s">
        <v>2503</v>
      </c>
      <c r="K803" t="s">
        <v>183</v>
      </c>
      <c r="L803" t="s">
        <v>180</v>
      </c>
      <c r="M803" s="3" t="str">
        <f t="shared" si="12"/>
        <v/>
      </c>
    </row>
    <row r="804" spans="1:13" x14ac:dyDescent="0.35">
      <c r="A804" t="s">
        <v>2504</v>
      </c>
      <c r="B804" t="s">
        <v>174</v>
      </c>
      <c r="C804" t="s">
        <v>2505</v>
      </c>
      <c r="D804" t="s">
        <v>190</v>
      </c>
      <c r="E804" t="s">
        <v>33</v>
      </c>
      <c r="F804" t="s">
        <v>46</v>
      </c>
      <c r="G804">
        <v>13</v>
      </c>
      <c r="H804" t="s">
        <v>177</v>
      </c>
      <c r="I804" t="s">
        <v>47</v>
      </c>
      <c r="J804" t="s">
        <v>2506</v>
      </c>
      <c r="K804" t="s">
        <v>183</v>
      </c>
      <c r="L804" t="s">
        <v>180</v>
      </c>
      <c r="M804" s="3">
        <f t="shared" si="12"/>
        <v>14</v>
      </c>
    </row>
    <row r="805" spans="1:13" x14ac:dyDescent="0.35">
      <c r="A805" t="s">
        <v>2507</v>
      </c>
      <c r="B805" t="s">
        <v>174</v>
      </c>
      <c r="C805" t="s">
        <v>2508</v>
      </c>
      <c r="D805" t="s">
        <v>190</v>
      </c>
      <c r="E805" t="s">
        <v>43</v>
      </c>
      <c r="F805" t="s">
        <v>53</v>
      </c>
      <c r="G805">
        <v>9</v>
      </c>
      <c r="H805" t="s">
        <v>177</v>
      </c>
      <c r="I805" t="s">
        <v>55</v>
      </c>
      <c r="J805" t="s">
        <v>2509</v>
      </c>
      <c r="K805" t="s">
        <v>257</v>
      </c>
      <c r="L805" t="s">
        <v>184</v>
      </c>
      <c r="M805" s="3">
        <f t="shared" si="12"/>
        <v>12</v>
      </c>
    </row>
    <row r="806" spans="1:13" x14ac:dyDescent="0.35">
      <c r="A806" t="s">
        <v>2510</v>
      </c>
      <c r="B806" t="s">
        <v>174</v>
      </c>
      <c r="C806" t="s">
        <v>2511</v>
      </c>
      <c r="D806" t="s">
        <v>190</v>
      </c>
      <c r="E806" t="s">
        <v>26</v>
      </c>
      <c r="F806" t="s">
        <v>43</v>
      </c>
      <c r="G806">
        <v>17</v>
      </c>
      <c r="H806" t="s">
        <v>195</v>
      </c>
      <c r="J806" t="s">
        <v>2512</v>
      </c>
      <c r="K806" t="s">
        <v>1372</v>
      </c>
      <c r="L806" t="s">
        <v>180</v>
      </c>
      <c r="M806" s="3" t="str">
        <f t="shared" si="12"/>
        <v/>
      </c>
    </row>
    <row r="807" spans="1:13" x14ac:dyDescent="0.35">
      <c r="A807" t="s">
        <v>2513</v>
      </c>
      <c r="B807" t="s">
        <v>174</v>
      </c>
      <c r="C807" t="s">
        <v>2514</v>
      </c>
      <c r="D807" t="s">
        <v>190</v>
      </c>
      <c r="E807" t="s">
        <v>33</v>
      </c>
      <c r="F807" t="s">
        <v>55</v>
      </c>
      <c r="G807">
        <v>22</v>
      </c>
      <c r="H807" t="s">
        <v>177</v>
      </c>
      <c r="I807" t="s">
        <v>55</v>
      </c>
      <c r="J807" t="s">
        <v>2515</v>
      </c>
      <c r="K807" t="s">
        <v>183</v>
      </c>
      <c r="L807" t="s">
        <v>180</v>
      </c>
      <c r="M807" s="3">
        <f t="shared" si="12"/>
        <v>22</v>
      </c>
    </row>
    <row r="808" spans="1:13" x14ac:dyDescent="0.35">
      <c r="A808" t="s">
        <v>2513</v>
      </c>
      <c r="B808" t="s">
        <v>174</v>
      </c>
      <c r="C808" t="s">
        <v>2516</v>
      </c>
      <c r="D808" t="s">
        <v>190</v>
      </c>
      <c r="E808" t="s">
        <v>52</v>
      </c>
      <c r="F808" t="s">
        <v>55</v>
      </c>
      <c r="G808">
        <v>3</v>
      </c>
      <c r="H808" t="s">
        <v>177</v>
      </c>
      <c r="I808" t="s">
        <v>55</v>
      </c>
      <c r="J808" t="s">
        <v>873</v>
      </c>
      <c r="K808" t="s">
        <v>183</v>
      </c>
      <c r="L808" t="s">
        <v>184</v>
      </c>
      <c r="M808" s="3">
        <f t="shared" si="12"/>
        <v>3</v>
      </c>
    </row>
    <row r="809" spans="1:13" x14ac:dyDescent="0.35">
      <c r="A809" t="s">
        <v>2517</v>
      </c>
      <c r="B809" t="s">
        <v>174</v>
      </c>
      <c r="C809" t="s">
        <v>2518</v>
      </c>
      <c r="D809" t="s">
        <v>190</v>
      </c>
      <c r="E809" t="s">
        <v>40</v>
      </c>
      <c r="F809" t="s">
        <v>45</v>
      </c>
      <c r="G809">
        <v>4</v>
      </c>
      <c r="H809" t="s">
        <v>177</v>
      </c>
      <c r="I809" t="s">
        <v>45</v>
      </c>
      <c r="J809" t="s">
        <v>2519</v>
      </c>
      <c r="K809" t="s">
        <v>197</v>
      </c>
      <c r="L809" t="s">
        <v>180</v>
      </c>
      <c r="M809" s="3">
        <f t="shared" si="12"/>
        <v>5</v>
      </c>
    </row>
    <row r="810" spans="1:13" x14ac:dyDescent="0.35">
      <c r="A810" t="s">
        <v>2520</v>
      </c>
      <c r="B810" t="s">
        <v>174</v>
      </c>
      <c r="C810" t="s">
        <v>2521</v>
      </c>
      <c r="D810" t="s">
        <v>190</v>
      </c>
      <c r="E810" t="s">
        <v>1723</v>
      </c>
      <c r="F810" t="s">
        <v>43</v>
      </c>
      <c r="G810">
        <v>29</v>
      </c>
      <c r="H810" t="s">
        <v>177</v>
      </c>
      <c r="I810" t="s">
        <v>44</v>
      </c>
      <c r="J810" t="s">
        <v>2522</v>
      </c>
      <c r="K810" t="s">
        <v>425</v>
      </c>
      <c r="L810" t="s">
        <v>180</v>
      </c>
      <c r="M810" s="3">
        <f t="shared" si="12"/>
        <v>30</v>
      </c>
    </row>
    <row r="811" spans="1:13" x14ac:dyDescent="0.35">
      <c r="A811" t="s">
        <v>2523</v>
      </c>
      <c r="B811" t="s">
        <v>174</v>
      </c>
      <c r="C811" t="s">
        <v>2524</v>
      </c>
      <c r="D811" t="s">
        <v>190</v>
      </c>
      <c r="E811" t="s">
        <v>32</v>
      </c>
      <c r="F811" t="s">
        <v>43</v>
      </c>
      <c r="G811">
        <v>10</v>
      </c>
      <c r="H811" t="s">
        <v>177</v>
      </c>
      <c r="I811" t="s">
        <v>43</v>
      </c>
      <c r="J811" t="s">
        <v>306</v>
      </c>
      <c r="K811" t="s">
        <v>183</v>
      </c>
      <c r="L811" t="s">
        <v>180</v>
      </c>
      <c r="M811" s="3">
        <f t="shared" si="12"/>
        <v>11</v>
      </c>
    </row>
    <row r="812" spans="1:13" x14ac:dyDescent="0.35">
      <c r="A812" t="s">
        <v>2525</v>
      </c>
      <c r="B812" t="s">
        <v>174</v>
      </c>
      <c r="C812" t="s">
        <v>2526</v>
      </c>
      <c r="D812" t="s">
        <v>190</v>
      </c>
      <c r="E812" t="s">
        <v>41</v>
      </c>
      <c r="F812" t="s">
        <v>48</v>
      </c>
      <c r="G812">
        <v>7</v>
      </c>
      <c r="H812" t="s">
        <v>252</v>
      </c>
      <c r="J812" t="s">
        <v>2527</v>
      </c>
      <c r="K812" t="s">
        <v>183</v>
      </c>
      <c r="L812" t="s">
        <v>180</v>
      </c>
      <c r="M812" s="3" t="str">
        <f t="shared" si="12"/>
        <v/>
      </c>
    </row>
    <row r="813" spans="1:13" x14ac:dyDescent="0.35">
      <c r="A813" t="s">
        <v>2525</v>
      </c>
      <c r="B813" t="s">
        <v>174</v>
      </c>
      <c r="C813" t="s">
        <v>2526</v>
      </c>
      <c r="D813" t="s">
        <v>190</v>
      </c>
      <c r="E813" t="s">
        <v>41</v>
      </c>
      <c r="F813" t="s">
        <v>51</v>
      </c>
      <c r="G813">
        <v>10</v>
      </c>
      <c r="H813" t="s">
        <v>177</v>
      </c>
      <c r="I813" t="s">
        <v>52</v>
      </c>
      <c r="J813" t="s">
        <v>2527</v>
      </c>
      <c r="K813" t="s">
        <v>183</v>
      </c>
      <c r="L813" t="s">
        <v>180</v>
      </c>
      <c r="M813" s="3">
        <f t="shared" si="12"/>
        <v>11</v>
      </c>
    </row>
    <row r="814" spans="1:13" x14ac:dyDescent="0.35">
      <c r="A814" t="s">
        <v>2528</v>
      </c>
      <c r="B814" t="s">
        <v>174</v>
      </c>
      <c r="C814" t="s">
        <v>2529</v>
      </c>
      <c r="D814" t="s">
        <v>236</v>
      </c>
      <c r="E814" t="s">
        <v>52</v>
      </c>
      <c r="F814" t="s">
        <v>56</v>
      </c>
      <c r="G814">
        <v>4</v>
      </c>
      <c r="H814" t="s">
        <v>195</v>
      </c>
      <c r="J814" t="s">
        <v>2530</v>
      </c>
      <c r="K814" t="s">
        <v>257</v>
      </c>
      <c r="L814" t="s">
        <v>180</v>
      </c>
      <c r="M814" s="3" t="str">
        <f t="shared" si="12"/>
        <v/>
      </c>
    </row>
    <row r="815" spans="1:13" x14ac:dyDescent="0.35">
      <c r="A815" t="s">
        <v>2531</v>
      </c>
      <c r="B815" t="s">
        <v>174</v>
      </c>
      <c r="C815" t="s">
        <v>2532</v>
      </c>
      <c r="D815" t="s">
        <v>190</v>
      </c>
      <c r="E815" t="s">
        <v>31</v>
      </c>
      <c r="F815" t="s">
        <v>48</v>
      </c>
      <c r="G815">
        <v>17</v>
      </c>
      <c r="H815" t="s">
        <v>195</v>
      </c>
      <c r="J815" t="s">
        <v>2533</v>
      </c>
      <c r="K815" t="s">
        <v>270</v>
      </c>
      <c r="L815" t="s">
        <v>180</v>
      </c>
      <c r="M815" s="3" t="str">
        <f t="shared" si="12"/>
        <v/>
      </c>
    </row>
    <row r="816" spans="1:13" x14ac:dyDescent="0.35">
      <c r="A816" t="s">
        <v>2534</v>
      </c>
      <c r="B816" t="s">
        <v>174</v>
      </c>
      <c r="C816" t="s">
        <v>2535</v>
      </c>
      <c r="D816" t="s">
        <v>190</v>
      </c>
      <c r="E816" t="s">
        <v>35</v>
      </c>
      <c r="F816" t="s">
        <v>43</v>
      </c>
      <c r="G816">
        <v>8</v>
      </c>
      <c r="H816" t="s">
        <v>252</v>
      </c>
      <c r="J816" t="s">
        <v>2536</v>
      </c>
      <c r="K816" t="s">
        <v>183</v>
      </c>
      <c r="L816" t="s">
        <v>180</v>
      </c>
      <c r="M816" s="3" t="str">
        <f t="shared" si="12"/>
        <v/>
      </c>
    </row>
    <row r="817" spans="1:13" x14ac:dyDescent="0.35">
      <c r="A817" t="s">
        <v>2534</v>
      </c>
      <c r="B817" t="s">
        <v>174</v>
      </c>
      <c r="C817" t="s">
        <v>2535</v>
      </c>
      <c r="D817" t="s">
        <v>190</v>
      </c>
      <c r="E817" t="s">
        <v>35</v>
      </c>
      <c r="F817" t="s">
        <v>50</v>
      </c>
      <c r="G817">
        <v>16</v>
      </c>
      <c r="H817" t="s">
        <v>177</v>
      </c>
      <c r="I817" t="s">
        <v>51</v>
      </c>
      <c r="J817" t="s">
        <v>2536</v>
      </c>
      <c r="K817" t="s">
        <v>183</v>
      </c>
      <c r="L817" t="s">
        <v>180</v>
      </c>
      <c r="M817" s="3">
        <f t="shared" si="12"/>
        <v>16</v>
      </c>
    </row>
    <row r="818" spans="1:13" x14ac:dyDescent="0.35">
      <c r="A818" t="s">
        <v>2537</v>
      </c>
      <c r="B818" t="s">
        <v>174</v>
      </c>
      <c r="C818" t="s">
        <v>2538</v>
      </c>
      <c r="D818" t="s">
        <v>190</v>
      </c>
      <c r="E818" t="s">
        <v>45</v>
      </c>
      <c r="F818" t="s">
        <v>55</v>
      </c>
      <c r="G818">
        <v>10</v>
      </c>
      <c r="H818" t="s">
        <v>177</v>
      </c>
      <c r="I818" t="s">
        <v>55</v>
      </c>
      <c r="J818" t="s">
        <v>2539</v>
      </c>
      <c r="K818" t="s">
        <v>257</v>
      </c>
      <c r="L818" t="s">
        <v>180</v>
      </c>
      <c r="M818" s="3">
        <f t="shared" si="12"/>
        <v>10</v>
      </c>
    </row>
    <row r="819" spans="1:13" x14ac:dyDescent="0.35">
      <c r="A819" t="s">
        <v>2540</v>
      </c>
      <c r="B819" t="s">
        <v>174</v>
      </c>
      <c r="C819" t="s">
        <v>2541</v>
      </c>
      <c r="D819" t="s">
        <v>236</v>
      </c>
      <c r="E819" t="s">
        <v>29</v>
      </c>
      <c r="F819" t="s">
        <v>56</v>
      </c>
      <c r="G819">
        <v>27</v>
      </c>
      <c r="H819" t="s">
        <v>195</v>
      </c>
      <c r="J819" t="s">
        <v>2542</v>
      </c>
      <c r="K819" t="s">
        <v>183</v>
      </c>
      <c r="L819" t="s">
        <v>180</v>
      </c>
      <c r="M819" s="3" t="str">
        <f t="shared" si="12"/>
        <v/>
      </c>
    </row>
    <row r="820" spans="1:13" x14ac:dyDescent="0.35">
      <c r="A820" t="s">
        <v>2543</v>
      </c>
      <c r="B820" t="s">
        <v>174</v>
      </c>
      <c r="C820" t="s">
        <v>2544</v>
      </c>
      <c r="D820" t="s">
        <v>190</v>
      </c>
      <c r="E820" t="s">
        <v>40</v>
      </c>
      <c r="F820" t="s">
        <v>48</v>
      </c>
      <c r="G820">
        <v>8</v>
      </c>
      <c r="H820" t="s">
        <v>177</v>
      </c>
      <c r="I820" t="s">
        <v>48</v>
      </c>
      <c r="J820" t="s">
        <v>2545</v>
      </c>
      <c r="K820" t="s">
        <v>183</v>
      </c>
      <c r="L820" t="s">
        <v>180</v>
      </c>
      <c r="M820" s="3">
        <f t="shared" si="12"/>
        <v>8</v>
      </c>
    </row>
    <row r="821" spans="1:13" x14ac:dyDescent="0.35">
      <c r="A821" t="s">
        <v>2546</v>
      </c>
      <c r="B821" t="s">
        <v>174</v>
      </c>
      <c r="C821" t="s">
        <v>2547</v>
      </c>
      <c r="D821" t="s">
        <v>176</v>
      </c>
      <c r="E821" t="s">
        <v>19</v>
      </c>
      <c r="F821" t="s">
        <v>45</v>
      </c>
      <c r="G821">
        <v>26</v>
      </c>
      <c r="H821" t="s">
        <v>195</v>
      </c>
      <c r="J821" t="s">
        <v>2548</v>
      </c>
      <c r="K821" t="s">
        <v>183</v>
      </c>
      <c r="L821" t="s">
        <v>180</v>
      </c>
      <c r="M821" s="3" t="str">
        <f t="shared" si="12"/>
        <v/>
      </c>
    </row>
    <row r="822" spans="1:13" x14ac:dyDescent="0.35">
      <c r="A822" t="s">
        <v>2549</v>
      </c>
      <c r="B822" t="s">
        <v>174</v>
      </c>
      <c r="C822" t="s">
        <v>2550</v>
      </c>
      <c r="D822" t="s">
        <v>190</v>
      </c>
      <c r="E822" t="s">
        <v>41</v>
      </c>
      <c r="F822" t="s">
        <v>48</v>
      </c>
      <c r="G822">
        <v>7</v>
      </c>
      <c r="H822" t="s">
        <v>252</v>
      </c>
      <c r="J822" t="s">
        <v>2551</v>
      </c>
      <c r="K822" t="s">
        <v>257</v>
      </c>
      <c r="L822" t="s">
        <v>180</v>
      </c>
      <c r="M822" s="3" t="str">
        <f t="shared" si="12"/>
        <v/>
      </c>
    </row>
    <row r="823" spans="1:13" x14ac:dyDescent="0.35">
      <c r="A823" t="s">
        <v>2552</v>
      </c>
      <c r="B823" t="s">
        <v>174</v>
      </c>
      <c r="C823" t="s">
        <v>2553</v>
      </c>
      <c r="D823" t="s">
        <v>190</v>
      </c>
      <c r="E823" t="s">
        <v>22</v>
      </c>
      <c r="F823" t="s">
        <v>46</v>
      </c>
      <c r="G823">
        <v>24</v>
      </c>
      <c r="H823" t="s">
        <v>195</v>
      </c>
      <c r="J823" t="s">
        <v>2554</v>
      </c>
      <c r="K823" t="s">
        <v>179</v>
      </c>
      <c r="L823" t="s">
        <v>180</v>
      </c>
      <c r="M823" s="3" t="str">
        <f t="shared" si="12"/>
        <v/>
      </c>
    </row>
    <row r="824" spans="1:13" x14ac:dyDescent="0.35">
      <c r="A824" t="s">
        <v>2555</v>
      </c>
      <c r="B824" t="s">
        <v>174</v>
      </c>
      <c r="C824" t="s">
        <v>2556</v>
      </c>
      <c r="D824" t="s">
        <v>225</v>
      </c>
      <c r="E824" t="s">
        <v>37</v>
      </c>
      <c r="F824" t="s">
        <v>45</v>
      </c>
      <c r="G824">
        <v>8</v>
      </c>
      <c r="H824" t="s">
        <v>252</v>
      </c>
      <c r="J824" t="s">
        <v>2557</v>
      </c>
      <c r="K824" t="s">
        <v>192</v>
      </c>
      <c r="L824" t="s">
        <v>180</v>
      </c>
      <c r="M824" s="3" t="str">
        <f t="shared" si="12"/>
        <v/>
      </c>
    </row>
    <row r="825" spans="1:13" x14ac:dyDescent="0.35">
      <c r="A825" t="s">
        <v>2558</v>
      </c>
      <c r="B825" t="s">
        <v>174</v>
      </c>
      <c r="C825" t="s">
        <v>2559</v>
      </c>
      <c r="D825" t="s">
        <v>190</v>
      </c>
      <c r="E825" t="s">
        <v>45</v>
      </c>
      <c r="F825" t="s">
        <v>50</v>
      </c>
      <c r="G825">
        <v>4</v>
      </c>
      <c r="H825" t="s">
        <v>195</v>
      </c>
      <c r="J825" t="s">
        <v>2560</v>
      </c>
      <c r="K825" t="s">
        <v>257</v>
      </c>
      <c r="L825" t="s">
        <v>180</v>
      </c>
      <c r="M825" s="3" t="str">
        <f t="shared" si="12"/>
        <v/>
      </c>
    </row>
    <row r="826" spans="1:13" x14ac:dyDescent="0.35">
      <c r="A826" t="s">
        <v>2561</v>
      </c>
      <c r="B826" t="s">
        <v>174</v>
      </c>
      <c r="C826" t="s">
        <v>2562</v>
      </c>
      <c r="D826" t="s">
        <v>190</v>
      </c>
      <c r="E826" t="s">
        <v>39</v>
      </c>
      <c r="F826" t="s">
        <v>47</v>
      </c>
      <c r="G826">
        <v>8</v>
      </c>
      <c r="H826" t="s">
        <v>177</v>
      </c>
      <c r="I826" t="s">
        <v>47</v>
      </c>
      <c r="J826" t="s">
        <v>2563</v>
      </c>
      <c r="K826" t="s">
        <v>270</v>
      </c>
      <c r="L826" t="s">
        <v>180</v>
      </c>
      <c r="M826" s="3">
        <f t="shared" si="12"/>
        <v>8</v>
      </c>
    </row>
    <row r="827" spans="1:13" x14ac:dyDescent="0.35">
      <c r="A827" t="s">
        <v>2564</v>
      </c>
      <c r="B827" t="s">
        <v>174</v>
      </c>
      <c r="C827" t="s">
        <v>2565</v>
      </c>
      <c r="D827" t="s">
        <v>190</v>
      </c>
      <c r="E827" t="s">
        <v>44</v>
      </c>
      <c r="F827" t="s">
        <v>49</v>
      </c>
      <c r="G827">
        <v>5</v>
      </c>
      <c r="H827" t="s">
        <v>177</v>
      </c>
      <c r="I827" t="s">
        <v>56</v>
      </c>
      <c r="J827" t="s">
        <v>2566</v>
      </c>
      <c r="K827" t="s">
        <v>257</v>
      </c>
      <c r="L827" t="s">
        <v>180</v>
      </c>
      <c r="M827" s="3">
        <f t="shared" si="12"/>
        <v>12</v>
      </c>
    </row>
    <row r="828" spans="1:13" x14ac:dyDescent="0.35">
      <c r="A828" t="s">
        <v>2567</v>
      </c>
      <c r="B828" t="s">
        <v>174</v>
      </c>
      <c r="C828" t="s">
        <v>2568</v>
      </c>
      <c r="D828" t="s">
        <v>236</v>
      </c>
      <c r="E828" t="s">
        <v>41</v>
      </c>
      <c r="F828" t="s">
        <v>43</v>
      </c>
      <c r="G828">
        <v>2</v>
      </c>
      <c r="H828" t="s">
        <v>195</v>
      </c>
      <c r="J828" t="s">
        <v>2569</v>
      </c>
      <c r="K828" t="s">
        <v>331</v>
      </c>
      <c r="L828" t="s">
        <v>180</v>
      </c>
      <c r="M828" s="3" t="str">
        <f t="shared" si="12"/>
        <v/>
      </c>
    </row>
    <row r="829" spans="1:13" x14ac:dyDescent="0.35">
      <c r="A829" t="s">
        <v>2570</v>
      </c>
      <c r="B829" t="s">
        <v>174</v>
      </c>
      <c r="C829" t="s">
        <v>2571</v>
      </c>
      <c r="D829" t="s">
        <v>190</v>
      </c>
      <c r="E829" t="s">
        <v>2184</v>
      </c>
      <c r="F829" t="s">
        <v>46</v>
      </c>
      <c r="G829">
        <v>32</v>
      </c>
      <c r="H829" t="s">
        <v>177</v>
      </c>
      <c r="I829" t="s">
        <v>47</v>
      </c>
      <c r="J829" t="s">
        <v>2572</v>
      </c>
      <c r="K829" t="s">
        <v>425</v>
      </c>
      <c r="L829" t="s">
        <v>180</v>
      </c>
      <c r="M829" s="3">
        <f t="shared" si="12"/>
        <v>32</v>
      </c>
    </row>
    <row r="830" spans="1:13" x14ac:dyDescent="0.35">
      <c r="A830" t="s">
        <v>2573</v>
      </c>
      <c r="B830" t="s">
        <v>174</v>
      </c>
      <c r="C830" t="s">
        <v>2574</v>
      </c>
      <c r="D830" t="s">
        <v>190</v>
      </c>
      <c r="E830" t="s">
        <v>49</v>
      </c>
      <c r="F830" t="s">
        <v>55</v>
      </c>
      <c r="G830">
        <v>6</v>
      </c>
      <c r="H830" t="s">
        <v>177</v>
      </c>
      <c r="I830" t="s">
        <v>56</v>
      </c>
      <c r="J830" t="s">
        <v>2575</v>
      </c>
      <c r="K830" t="s">
        <v>197</v>
      </c>
      <c r="L830" t="s">
        <v>180</v>
      </c>
      <c r="M830" s="3">
        <f t="shared" si="12"/>
        <v>7</v>
      </c>
    </row>
    <row r="831" spans="1:13" x14ac:dyDescent="0.35">
      <c r="A831" t="s">
        <v>2576</v>
      </c>
      <c r="B831" t="s">
        <v>174</v>
      </c>
      <c r="C831" t="s">
        <v>2577</v>
      </c>
      <c r="D831" t="s">
        <v>190</v>
      </c>
      <c r="E831" t="s">
        <v>46</v>
      </c>
      <c r="F831" t="s">
        <v>52</v>
      </c>
      <c r="G831">
        <v>6</v>
      </c>
      <c r="H831" t="s">
        <v>177</v>
      </c>
      <c r="I831" t="s">
        <v>52</v>
      </c>
      <c r="J831" t="s">
        <v>2578</v>
      </c>
      <c r="K831" t="s">
        <v>197</v>
      </c>
      <c r="L831" t="s">
        <v>180</v>
      </c>
      <c r="M831" s="3">
        <f t="shared" si="12"/>
        <v>6</v>
      </c>
    </row>
    <row r="832" spans="1:13" x14ac:dyDescent="0.35">
      <c r="A832" t="s">
        <v>2579</v>
      </c>
      <c r="B832" t="s">
        <v>174</v>
      </c>
      <c r="C832" t="s">
        <v>2580</v>
      </c>
      <c r="D832" t="s">
        <v>190</v>
      </c>
      <c r="E832" t="s">
        <v>47</v>
      </c>
      <c r="F832" t="s">
        <v>55</v>
      </c>
      <c r="G832">
        <v>8</v>
      </c>
      <c r="H832" t="s">
        <v>177</v>
      </c>
      <c r="I832" t="s">
        <v>55</v>
      </c>
      <c r="J832" t="s">
        <v>2581</v>
      </c>
      <c r="K832" t="s">
        <v>257</v>
      </c>
      <c r="L832" t="s">
        <v>180</v>
      </c>
      <c r="M832" s="3">
        <f t="shared" si="12"/>
        <v>8</v>
      </c>
    </row>
    <row r="833" spans="1:13" x14ac:dyDescent="0.35">
      <c r="A833" t="s">
        <v>2582</v>
      </c>
      <c r="B833" t="s">
        <v>174</v>
      </c>
      <c r="C833" t="s">
        <v>2583</v>
      </c>
      <c r="D833" t="s">
        <v>190</v>
      </c>
      <c r="E833" t="s">
        <v>42</v>
      </c>
      <c r="F833" t="s">
        <v>45</v>
      </c>
      <c r="G833">
        <v>3</v>
      </c>
      <c r="H833" t="s">
        <v>195</v>
      </c>
      <c r="J833" t="s">
        <v>2584</v>
      </c>
      <c r="K833" t="s">
        <v>197</v>
      </c>
      <c r="L833" t="s">
        <v>180</v>
      </c>
      <c r="M833" s="3" t="str">
        <f t="shared" si="12"/>
        <v/>
      </c>
    </row>
    <row r="834" spans="1:13" x14ac:dyDescent="0.35">
      <c r="A834" t="s">
        <v>2585</v>
      </c>
      <c r="B834" t="s">
        <v>174</v>
      </c>
      <c r="C834" t="s">
        <v>2586</v>
      </c>
      <c r="D834" t="s">
        <v>225</v>
      </c>
      <c r="E834" t="s">
        <v>46</v>
      </c>
      <c r="F834" t="s">
        <v>56</v>
      </c>
      <c r="G834">
        <v>10</v>
      </c>
      <c r="H834" t="s">
        <v>195</v>
      </c>
      <c r="J834" t="s">
        <v>2587</v>
      </c>
      <c r="K834" t="s">
        <v>183</v>
      </c>
      <c r="L834" t="s">
        <v>180</v>
      </c>
      <c r="M834" s="3" t="str">
        <f t="shared" si="12"/>
        <v/>
      </c>
    </row>
    <row r="835" spans="1:13" x14ac:dyDescent="0.35">
      <c r="A835" t="s">
        <v>2588</v>
      </c>
      <c r="B835" t="s">
        <v>174</v>
      </c>
      <c r="C835" t="s">
        <v>2589</v>
      </c>
      <c r="D835" t="s">
        <v>190</v>
      </c>
      <c r="E835" t="s">
        <v>47</v>
      </c>
      <c r="F835" t="s">
        <v>53</v>
      </c>
      <c r="G835">
        <v>6</v>
      </c>
      <c r="H835" t="s">
        <v>177</v>
      </c>
      <c r="I835" t="s">
        <v>55</v>
      </c>
      <c r="J835" t="s">
        <v>2590</v>
      </c>
      <c r="K835" t="s">
        <v>197</v>
      </c>
      <c r="L835" t="s">
        <v>180</v>
      </c>
      <c r="M835" s="3">
        <f t="shared" ref="M835:M898" si="13">IF(H835="Efectivo",IFERROR((VALUE(RIGHT(I835,4))-VALUE(RIGHT(E835,4)))*12+(VALUE(LEFT(I835,2))-VALUE(LEFT(E835,2))),""),"")</f>
        <v>8</v>
      </c>
    </row>
    <row r="836" spans="1:13" x14ac:dyDescent="0.35">
      <c r="A836" t="s">
        <v>2591</v>
      </c>
      <c r="B836" t="s">
        <v>174</v>
      </c>
      <c r="C836" t="s">
        <v>2592</v>
      </c>
      <c r="D836" t="s">
        <v>176</v>
      </c>
      <c r="E836" t="s">
        <v>47</v>
      </c>
      <c r="F836" t="s">
        <v>51</v>
      </c>
      <c r="G836">
        <v>4</v>
      </c>
      <c r="H836" t="s">
        <v>177</v>
      </c>
      <c r="I836" t="s">
        <v>53</v>
      </c>
      <c r="J836" t="s">
        <v>2593</v>
      </c>
      <c r="K836" t="s">
        <v>183</v>
      </c>
      <c r="L836" t="s">
        <v>180</v>
      </c>
      <c r="M836" s="3">
        <f t="shared" si="13"/>
        <v>6</v>
      </c>
    </row>
    <row r="837" spans="1:13" x14ac:dyDescent="0.35">
      <c r="A837" t="s">
        <v>2594</v>
      </c>
      <c r="B837" t="s">
        <v>174</v>
      </c>
      <c r="C837" t="s">
        <v>2595</v>
      </c>
      <c r="D837" t="s">
        <v>236</v>
      </c>
      <c r="E837" t="s">
        <v>51</v>
      </c>
      <c r="F837" t="s">
        <v>55</v>
      </c>
      <c r="G837">
        <v>3</v>
      </c>
      <c r="H837" t="s">
        <v>195</v>
      </c>
      <c r="J837" t="s">
        <v>2596</v>
      </c>
      <c r="K837" t="s">
        <v>183</v>
      </c>
      <c r="L837" t="s">
        <v>180</v>
      </c>
      <c r="M837" s="3" t="str">
        <f t="shared" si="13"/>
        <v/>
      </c>
    </row>
    <row r="838" spans="1:13" x14ac:dyDescent="0.35">
      <c r="A838" t="s">
        <v>2597</v>
      </c>
      <c r="B838" t="s">
        <v>174</v>
      </c>
      <c r="C838" t="s">
        <v>2598</v>
      </c>
      <c r="D838" t="s">
        <v>176</v>
      </c>
      <c r="E838" t="s">
        <v>25</v>
      </c>
      <c r="F838" t="s">
        <v>47</v>
      </c>
      <c r="G838">
        <v>22</v>
      </c>
      <c r="H838" t="s">
        <v>177</v>
      </c>
      <c r="I838" t="s">
        <v>47</v>
      </c>
      <c r="J838" t="s">
        <v>2599</v>
      </c>
      <c r="K838" t="s">
        <v>183</v>
      </c>
      <c r="L838" t="s">
        <v>180</v>
      </c>
      <c r="M838" s="3">
        <f t="shared" si="13"/>
        <v>22</v>
      </c>
    </row>
    <row r="839" spans="1:13" x14ac:dyDescent="0.35">
      <c r="A839" t="s">
        <v>2600</v>
      </c>
      <c r="B839" t="s">
        <v>174</v>
      </c>
      <c r="C839" t="s">
        <v>2601</v>
      </c>
      <c r="D839" t="s">
        <v>190</v>
      </c>
      <c r="E839" t="s">
        <v>34</v>
      </c>
      <c r="F839" t="s">
        <v>42</v>
      </c>
      <c r="G839">
        <v>7</v>
      </c>
      <c r="H839" t="s">
        <v>252</v>
      </c>
      <c r="J839" t="s">
        <v>2602</v>
      </c>
      <c r="K839" t="s">
        <v>192</v>
      </c>
      <c r="L839" t="s">
        <v>180</v>
      </c>
      <c r="M839" s="3" t="str">
        <f t="shared" si="13"/>
        <v/>
      </c>
    </row>
    <row r="840" spans="1:13" x14ac:dyDescent="0.35">
      <c r="A840" t="s">
        <v>2603</v>
      </c>
      <c r="B840" t="s">
        <v>174</v>
      </c>
      <c r="C840" t="s">
        <v>2604</v>
      </c>
      <c r="D840" t="s">
        <v>190</v>
      </c>
      <c r="E840" t="s">
        <v>39</v>
      </c>
      <c r="F840" t="s">
        <v>46</v>
      </c>
      <c r="G840">
        <v>7</v>
      </c>
      <c r="H840" t="s">
        <v>177</v>
      </c>
      <c r="I840" t="s">
        <v>46</v>
      </c>
      <c r="J840" t="s">
        <v>2605</v>
      </c>
      <c r="K840" t="s">
        <v>270</v>
      </c>
      <c r="L840" t="s">
        <v>180</v>
      </c>
      <c r="M840" s="3">
        <f t="shared" si="13"/>
        <v>7</v>
      </c>
    </row>
    <row r="841" spans="1:13" x14ac:dyDescent="0.35">
      <c r="A841" t="s">
        <v>2606</v>
      </c>
      <c r="B841" t="s">
        <v>174</v>
      </c>
      <c r="C841" t="s">
        <v>2607</v>
      </c>
      <c r="D841" t="s">
        <v>176</v>
      </c>
      <c r="E841" t="s">
        <v>35</v>
      </c>
      <c r="F841" t="s">
        <v>50</v>
      </c>
      <c r="G841">
        <v>15</v>
      </c>
      <c r="H841" t="s">
        <v>195</v>
      </c>
      <c r="J841" t="s">
        <v>2608</v>
      </c>
      <c r="K841" t="s">
        <v>183</v>
      </c>
      <c r="L841" t="s">
        <v>180</v>
      </c>
      <c r="M841" s="3" t="str">
        <f t="shared" si="13"/>
        <v/>
      </c>
    </row>
    <row r="842" spans="1:13" x14ac:dyDescent="0.35">
      <c r="A842" t="s">
        <v>2609</v>
      </c>
      <c r="B842" t="s">
        <v>174</v>
      </c>
      <c r="C842" t="s">
        <v>2610</v>
      </c>
      <c r="D842" t="s">
        <v>176</v>
      </c>
      <c r="E842" t="s">
        <v>24</v>
      </c>
      <c r="F842" t="s">
        <v>50</v>
      </c>
      <c r="G842">
        <v>27</v>
      </c>
      <c r="H842" t="s">
        <v>177</v>
      </c>
      <c r="I842" t="s">
        <v>51</v>
      </c>
      <c r="J842" t="s">
        <v>2611</v>
      </c>
      <c r="K842" t="s">
        <v>183</v>
      </c>
      <c r="L842" t="s">
        <v>180</v>
      </c>
      <c r="M842" s="3">
        <f t="shared" si="13"/>
        <v>27</v>
      </c>
    </row>
    <row r="843" spans="1:13" x14ac:dyDescent="0.35">
      <c r="A843" t="s">
        <v>2612</v>
      </c>
      <c r="B843" t="s">
        <v>174</v>
      </c>
      <c r="C843" t="s">
        <v>2613</v>
      </c>
      <c r="D843" t="s">
        <v>236</v>
      </c>
      <c r="E843" t="s">
        <v>50</v>
      </c>
      <c r="F843" t="s">
        <v>55</v>
      </c>
      <c r="G843">
        <v>4</v>
      </c>
      <c r="H843" t="s">
        <v>177</v>
      </c>
      <c r="I843" t="s">
        <v>55</v>
      </c>
      <c r="J843" t="s">
        <v>2614</v>
      </c>
      <c r="K843" t="s">
        <v>257</v>
      </c>
      <c r="L843" t="s">
        <v>184</v>
      </c>
      <c r="M843" s="3">
        <f t="shared" si="13"/>
        <v>5</v>
      </c>
    </row>
    <row r="844" spans="1:13" x14ac:dyDescent="0.35">
      <c r="A844" t="s">
        <v>2615</v>
      </c>
      <c r="B844" t="s">
        <v>174</v>
      </c>
      <c r="C844" t="s">
        <v>2616</v>
      </c>
      <c r="D844" t="s">
        <v>190</v>
      </c>
      <c r="E844" t="s">
        <v>43</v>
      </c>
      <c r="F844" t="s">
        <v>46</v>
      </c>
      <c r="G844">
        <v>3</v>
      </c>
      <c r="H844" t="s">
        <v>177</v>
      </c>
      <c r="I844" t="s">
        <v>46</v>
      </c>
      <c r="J844" t="s">
        <v>2200</v>
      </c>
      <c r="K844" t="s">
        <v>257</v>
      </c>
      <c r="L844" t="s">
        <v>180</v>
      </c>
      <c r="M844" s="3">
        <f t="shared" si="13"/>
        <v>3</v>
      </c>
    </row>
    <row r="845" spans="1:13" x14ac:dyDescent="0.35">
      <c r="A845" t="s">
        <v>2617</v>
      </c>
      <c r="B845" t="s">
        <v>174</v>
      </c>
      <c r="C845" t="s">
        <v>2618</v>
      </c>
      <c r="D845" t="s">
        <v>190</v>
      </c>
      <c r="E845" t="s">
        <v>39</v>
      </c>
      <c r="F845" t="s">
        <v>45</v>
      </c>
      <c r="G845">
        <v>6</v>
      </c>
      <c r="H845" t="s">
        <v>177</v>
      </c>
      <c r="I845" t="s">
        <v>45</v>
      </c>
      <c r="J845" t="s">
        <v>2619</v>
      </c>
      <c r="K845" t="s">
        <v>270</v>
      </c>
      <c r="L845" t="s">
        <v>180</v>
      </c>
      <c r="M845" s="3">
        <f t="shared" si="13"/>
        <v>6</v>
      </c>
    </row>
    <row r="846" spans="1:13" x14ac:dyDescent="0.35">
      <c r="A846" t="s">
        <v>2620</v>
      </c>
      <c r="B846" t="s">
        <v>174</v>
      </c>
      <c r="C846" t="s">
        <v>2621</v>
      </c>
      <c r="D846" t="s">
        <v>190</v>
      </c>
      <c r="E846" t="s">
        <v>42</v>
      </c>
      <c r="F846" t="s">
        <v>48</v>
      </c>
      <c r="G846">
        <v>6</v>
      </c>
      <c r="H846" t="s">
        <v>177</v>
      </c>
      <c r="I846" t="s">
        <v>48</v>
      </c>
      <c r="J846" t="s">
        <v>2622</v>
      </c>
      <c r="K846" t="s">
        <v>270</v>
      </c>
      <c r="L846" t="s">
        <v>184</v>
      </c>
      <c r="M846" s="3">
        <f t="shared" si="13"/>
        <v>6</v>
      </c>
    </row>
    <row r="847" spans="1:13" x14ac:dyDescent="0.35">
      <c r="A847" t="s">
        <v>2623</v>
      </c>
      <c r="B847" t="s">
        <v>174</v>
      </c>
      <c r="C847" t="s">
        <v>2624</v>
      </c>
      <c r="D847" t="s">
        <v>190</v>
      </c>
      <c r="E847" t="s">
        <v>45</v>
      </c>
      <c r="F847" t="s">
        <v>51</v>
      </c>
      <c r="G847">
        <v>6</v>
      </c>
      <c r="H847" t="s">
        <v>177</v>
      </c>
      <c r="I847" t="s">
        <v>51</v>
      </c>
      <c r="J847" t="s">
        <v>2625</v>
      </c>
      <c r="K847" t="s">
        <v>257</v>
      </c>
      <c r="L847" t="s">
        <v>180</v>
      </c>
      <c r="M847" s="3">
        <f t="shared" si="13"/>
        <v>6</v>
      </c>
    </row>
    <row r="848" spans="1:13" x14ac:dyDescent="0.35">
      <c r="A848" t="s">
        <v>2626</v>
      </c>
      <c r="B848" t="s">
        <v>174</v>
      </c>
      <c r="C848" t="s">
        <v>2627</v>
      </c>
      <c r="D848" t="s">
        <v>190</v>
      </c>
      <c r="E848" t="s">
        <v>51</v>
      </c>
      <c r="F848" t="s">
        <v>53</v>
      </c>
      <c r="G848">
        <v>2</v>
      </c>
      <c r="H848" t="s">
        <v>177</v>
      </c>
      <c r="I848" t="s">
        <v>55</v>
      </c>
      <c r="J848" t="s">
        <v>2628</v>
      </c>
      <c r="K848" t="s">
        <v>197</v>
      </c>
      <c r="L848" t="s">
        <v>180</v>
      </c>
      <c r="M848" s="3">
        <f t="shared" si="13"/>
        <v>4</v>
      </c>
    </row>
    <row r="849" spans="1:13" x14ac:dyDescent="0.35">
      <c r="A849" t="s">
        <v>2629</v>
      </c>
      <c r="B849" t="s">
        <v>174</v>
      </c>
      <c r="C849" t="s">
        <v>2630</v>
      </c>
      <c r="D849" t="s">
        <v>190</v>
      </c>
      <c r="E849" t="s">
        <v>37</v>
      </c>
      <c r="F849" t="s">
        <v>54</v>
      </c>
      <c r="G849">
        <v>17</v>
      </c>
      <c r="H849" t="s">
        <v>177</v>
      </c>
      <c r="I849" t="s">
        <v>55</v>
      </c>
      <c r="J849" t="s">
        <v>2631</v>
      </c>
      <c r="K849" t="s">
        <v>257</v>
      </c>
      <c r="L849" t="s">
        <v>180</v>
      </c>
      <c r="M849" s="3">
        <f t="shared" si="13"/>
        <v>18</v>
      </c>
    </row>
    <row r="850" spans="1:13" x14ac:dyDescent="0.35">
      <c r="A850" t="s">
        <v>2632</v>
      </c>
      <c r="B850" t="s">
        <v>174</v>
      </c>
      <c r="C850" t="s">
        <v>2633</v>
      </c>
      <c r="D850" t="s">
        <v>190</v>
      </c>
      <c r="E850" t="s">
        <v>40</v>
      </c>
      <c r="F850" t="s">
        <v>43</v>
      </c>
      <c r="G850">
        <v>4</v>
      </c>
      <c r="H850" t="s">
        <v>177</v>
      </c>
      <c r="I850" t="s">
        <v>44</v>
      </c>
      <c r="J850" t="s">
        <v>2634</v>
      </c>
      <c r="K850" t="s">
        <v>270</v>
      </c>
      <c r="L850" t="s">
        <v>184</v>
      </c>
      <c r="M850" s="3">
        <f t="shared" si="13"/>
        <v>4</v>
      </c>
    </row>
    <row r="851" spans="1:13" x14ac:dyDescent="0.35">
      <c r="A851" t="s">
        <v>2635</v>
      </c>
      <c r="B851" t="s">
        <v>174</v>
      </c>
      <c r="C851" t="s">
        <v>2636</v>
      </c>
      <c r="D851" t="s">
        <v>190</v>
      </c>
      <c r="E851" t="s">
        <v>44</v>
      </c>
      <c r="F851" t="s">
        <v>50</v>
      </c>
      <c r="G851">
        <v>5</v>
      </c>
      <c r="H851" t="s">
        <v>195</v>
      </c>
      <c r="J851" t="s">
        <v>2637</v>
      </c>
      <c r="K851" t="s">
        <v>197</v>
      </c>
      <c r="L851" t="s">
        <v>180</v>
      </c>
      <c r="M851" s="3" t="str">
        <f t="shared" si="13"/>
        <v/>
      </c>
    </row>
    <row r="852" spans="1:13" x14ac:dyDescent="0.35">
      <c r="A852" t="s">
        <v>2638</v>
      </c>
      <c r="B852" t="s">
        <v>174</v>
      </c>
      <c r="C852" t="s">
        <v>2639</v>
      </c>
      <c r="D852" t="s">
        <v>190</v>
      </c>
      <c r="E852" t="s">
        <v>45</v>
      </c>
      <c r="F852" t="s">
        <v>52</v>
      </c>
      <c r="G852">
        <v>7</v>
      </c>
      <c r="H852" t="s">
        <v>252</v>
      </c>
      <c r="J852" t="s">
        <v>2640</v>
      </c>
      <c r="K852" t="s">
        <v>257</v>
      </c>
      <c r="L852" t="s">
        <v>180</v>
      </c>
      <c r="M852" s="3" t="str">
        <f t="shared" si="13"/>
        <v/>
      </c>
    </row>
    <row r="853" spans="1:13" x14ac:dyDescent="0.35">
      <c r="A853" t="s">
        <v>2641</v>
      </c>
      <c r="B853" t="s">
        <v>174</v>
      </c>
      <c r="C853" t="s">
        <v>2642</v>
      </c>
      <c r="D853" t="s">
        <v>190</v>
      </c>
      <c r="E853" t="s">
        <v>41</v>
      </c>
      <c r="F853" t="s">
        <v>49</v>
      </c>
      <c r="G853">
        <v>8</v>
      </c>
      <c r="H853" t="s">
        <v>195</v>
      </c>
      <c r="J853" t="s">
        <v>2643</v>
      </c>
      <c r="K853" t="s">
        <v>183</v>
      </c>
      <c r="L853" t="s">
        <v>180</v>
      </c>
      <c r="M853" s="3" t="str">
        <f t="shared" si="13"/>
        <v/>
      </c>
    </row>
    <row r="854" spans="1:13" x14ac:dyDescent="0.35">
      <c r="A854" t="s">
        <v>2644</v>
      </c>
      <c r="B854" t="s">
        <v>174</v>
      </c>
      <c r="C854" t="s">
        <v>2645</v>
      </c>
      <c r="D854" t="s">
        <v>190</v>
      </c>
      <c r="E854" t="s">
        <v>38</v>
      </c>
      <c r="F854" t="s">
        <v>52</v>
      </c>
      <c r="G854">
        <v>14</v>
      </c>
      <c r="H854" t="s">
        <v>177</v>
      </c>
      <c r="I854" t="s">
        <v>52</v>
      </c>
      <c r="J854" t="s">
        <v>2646</v>
      </c>
      <c r="K854" t="s">
        <v>183</v>
      </c>
      <c r="L854" t="s">
        <v>180</v>
      </c>
      <c r="M854" s="3">
        <f t="shared" si="13"/>
        <v>14</v>
      </c>
    </row>
    <row r="855" spans="1:13" x14ac:dyDescent="0.35">
      <c r="A855" t="s">
        <v>2647</v>
      </c>
      <c r="B855" t="s">
        <v>174</v>
      </c>
      <c r="C855" t="s">
        <v>2648</v>
      </c>
      <c r="D855" t="s">
        <v>190</v>
      </c>
      <c r="E855" t="s">
        <v>47</v>
      </c>
      <c r="F855" t="s">
        <v>51</v>
      </c>
      <c r="G855">
        <v>4</v>
      </c>
      <c r="H855" t="s">
        <v>177</v>
      </c>
      <c r="I855" t="s">
        <v>52</v>
      </c>
      <c r="J855" t="s">
        <v>2649</v>
      </c>
      <c r="K855" t="s">
        <v>197</v>
      </c>
      <c r="L855" t="s">
        <v>180</v>
      </c>
      <c r="M855" s="3">
        <f t="shared" si="13"/>
        <v>5</v>
      </c>
    </row>
    <row r="856" spans="1:13" x14ac:dyDescent="0.35">
      <c r="A856" t="s">
        <v>2650</v>
      </c>
      <c r="B856" t="s">
        <v>174</v>
      </c>
      <c r="C856" t="s">
        <v>2651</v>
      </c>
      <c r="D856" t="s">
        <v>225</v>
      </c>
      <c r="E856" t="s">
        <v>33</v>
      </c>
      <c r="F856" t="s">
        <v>46</v>
      </c>
      <c r="G856">
        <v>13</v>
      </c>
      <c r="H856" t="s">
        <v>177</v>
      </c>
      <c r="I856" t="s">
        <v>47</v>
      </c>
      <c r="J856" t="s">
        <v>2652</v>
      </c>
      <c r="K856" t="s">
        <v>183</v>
      </c>
      <c r="L856" t="s">
        <v>180</v>
      </c>
      <c r="M856" s="3">
        <f t="shared" si="13"/>
        <v>14</v>
      </c>
    </row>
    <row r="857" spans="1:13" x14ac:dyDescent="0.35">
      <c r="A857" t="s">
        <v>2653</v>
      </c>
      <c r="B857" t="s">
        <v>174</v>
      </c>
      <c r="C857" t="s">
        <v>2654</v>
      </c>
      <c r="D857" t="s">
        <v>236</v>
      </c>
      <c r="E857" t="s">
        <v>48</v>
      </c>
      <c r="F857" t="s">
        <v>54</v>
      </c>
      <c r="G857">
        <v>6</v>
      </c>
      <c r="H857" t="s">
        <v>177</v>
      </c>
      <c r="I857" t="s">
        <v>54</v>
      </c>
      <c r="J857" t="s">
        <v>2655</v>
      </c>
      <c r="K857" t="s">
        <v>183</v>
      </c>
      <c r="L857" t="s">
        <v>184</v>
      </c>
      <c r="M857" s="3">
        <f t="shared" si="13"/>
        <v>6</v>
      </c>
    </row>
    <row r="858" spans="1:13" x14ac:dyDescent="0.35">
      <c r="A858" t="s">
        <v>2656</v>
      </c>
      <c r="B858" t="s">
        <v>174</v>
      </c>
      <c r="C858" t="s">
        <v>2657</v>
      </c>
      <c r="D858" t="s">
        <v>236</v>
      </c>
      <c r="E858" t="s">
        <v>49</v>
      </c>
      <c r="F858" t="s">
        <v>55</v>
      </c>
      <c r="G858">
        <v>6</v>
      </c>
      <c r="H858" t="s">
        <v>195</v>
      </c>
      <c r="J858" t="s">
        <v>2658</v>
      </c>
      <c r="K858" t="s">
        <v>183</v>
      </c>
      <c r="L858" t="s">
        <v>180</v>
      </c>
      <c r="M858" s="3" t="str">
        <f t="shared" si="13"/>
        <v/>
      </c>
    </row>
    <row r="859" spans="1:13" x14ac:dyDescent="0.35">
      <c r="A859" t="s">
        <v>2659</v>
      </c>
      <c r="B859" t="s">
        <v>174</v>
      </c>
      <c r="C859" t="s">
        <v>2660</v>
      </c>
      <c r="D859" t="s">
        <v>190</v>
      </c>
      <c r="E859" t="s">
        <v>49</v>
      </c>
      <c r="F859" t="s">
        <v>54</v>
      </c>
      <c r="G859">
        <v>6</v>
      </c>
      <c r="H859" t="s">
        <v>177</v>
      </c>
      <c r="I859" t="s">
        <v>56</v>
      </c>
      <c r="J859" t="s">
        <v>437</v>
      </c>
      <c r="K859" t="s">
        <v>197</v>
      </c>
      <c r="L859" t="s">
        <v>180</v>
      </c>
      <c r="M859" s="3">
        <f t="shared" si="13"/>
        <v>7</v>
      </c>
    </row>
    <row r="860" spans="1:13" x14ac:dyDescent="0.35">
      <c r="A860" t="s">
        <v>2661</v>
      </c>
      <c r="B860" t="s">
        <v>174</v>
      </c>
      <c r="C860" t="s">
        <v>2662</v>
      </c>
      <c r="D860" t="s">
        <v>176</v>
      </c>
      <c r="E860" t="s">
        <v>16</v>
      </c>
      <c r="F860" t="s">
        <v>46</v>
      </c>
      <c r="G860">
        <v>31</v>
      </c>
      <c r="H860" t="s">
        <v>177</v>
      </c>
      <c r="I860" t="s">
        <v>47</v>
      </c>
      <c r="J860" t="s">
        <v>2663</v>
      </c>
      <c r="K860" t="s">
        <v>331</v>
      </c>
      <c r="L860" t="s">
        <v>180</v>
      </c>
      <c r="M860" s="3">
        <f t="shared" si="13"/>
        <v>31</v>
      </c>
    </row>
    <row r="861" spans="1:13" x14ac:dyDescent="0.35">
      <c r="A861" t="s">
        <v>2664</v>
      </c>
      <c r="B861" t="s">
        <v>174</v>
      </c>
      <c r="C861" t="s">
        <v>2665</v>
      </c>
      <c r="D861" t="s">
        <v>190</v>
      </c>
      <c r="E861" t="s">
        <v>33</v>
      </c>
      <c r="F861" t="s">
        <v>54</v>
      </c>
      <c r="G861">
        <v>21</v>
      </c>
      <c r="H861" t="s">
        <v>177</v>
      </c>
      <c r="I861" t="s">
        <v>56</v>
      </c>
      <c r="J861" t="s">
        <v>2666</v>
      </c>
      <c r="K861" t="s">
        <v>270</v>
      </c>
      <c r="L861" t="s">
        <v>180</v>
      </c>
      <c r="M861" s="3">
        <f t="shared" si="13"/>
        <v>23</v>
      </c>
    </row>
    <row r="862" spans="1:13" x14ac:dyDescent="0.35">
      <c r="A862" t="s">
        <v>2667</v>
      </c>
      <c r="B862" t="s">
        <v>174</v>
      </c>
      <c r="C862" t="s">
        <v>2668</v>
      </c>
      <c r="D862" t="s">
        <v>190</v>
      </c>
      <c r="E862" t="s">
        <v>46</v>
      </c>
      <c r="F862" t="s">
        <v>49</v>
      </c>
      <c r="G862">
        <v>3</v>
      </c>
      <c r="H862" t="s">
        <v>177</v>
      </c>
      <c r="I862" t="s">
        <v>49</v>
      </c>
      <c r="J862" t="s">
        <v>2669</v>
      </c>
      <c r="K862" t="s">
        <v>197</v>
      </c>
      <c r="L862" t="s">
        <v>180</v>
      </c>
      <c r="M862" s="3">
        <f t="shared" si="13"/>
        <v>3</v>
      </c>
    </row>
    <row r="863" spans="1:13" x14ac:dyDescent="0.35">
      <c r="A863" t="s">
        <v>2670</v>
      </c>
      <c r="B863" t="s">
        <v>174</v>
      </c>
      <c r="C863" t="s">
        <v>2671</v>
      </c>
      <c r="D863" t="s">
        <v>190</v>
      </c>
      <c r="E863" t="s">
        <v>35</v>
      </c>
      <c r="F863" t="s">
        <v>43</v>
      </c>
      <c r="G863">
        <v>8</v>
      </c>
      <c r="H863" t="s">
        <v>177</v>
      </c>
      <c r="I863" t="s">
        <v>43</v>
      </c>
      <c r="J863" t="s">
        <v>2672</v>
      </c>
      <c r="K863" t="s">
        <v>270</v>
      </c>
      <c r="L863" t="s">
        <v>184</v>
      </c>
      <c r="M863" s="3">
        <f t="shared" si="13"/>
        <v>8</v>
      </c>
    </row>
    <row r="864" spans="1:13" x14ac:dyDescent="0.35">
      <c r="A864" t="s">
        <v>2673</v>
      </c>
      <c r="B864" t="s">
        <v>174</v>
      </c>
      <c r="C864" t="s">
        <v>2674</v>
      </c>
      <c r="D864" t="s">
        <v>494</v>
      </c>
      <c r="E864" t="s">
        <v>18</v>
      </c>
      <c r="F864" t="s">
        <v>51</v>
      </c>
      <c r="G864">
        <v>33</v>
      </c>
      <c r="H864" t="s">
        <v>177</v>
      </c>
      <c r="I864" t="s">
        <v>53</v>
      </c>
      <c r="J864" t="s">
        <v>2675</v>
      </c>
      <c r="K864" t="s">
        <v>179</v>
      </c>
      <c r="L864" t="s">
        <v>180</v>
      </c>
      <c r="M864" s="3">
        <f t="shared" si="13"/>
        <v>35</v>
      </c>
    </row>
    <row r="865" spans="1:13" x14ac:dyDescent="0.35">
      <c r="A865" t="s">
        <v>2676</v>
      </c>
      <c r="B865" t="s">
        <v>174</v>
      </c>
      <c r="C865" t="s">
        <v>2677</v>
      </c>
      <c r="D865" t="s">
        <v>190</v>
      </c>
      <c r="E865" t="s">
        <v>47</v>
      </c>
      <c r="F865" t="s">
        <v>53</v>
      </c>
      <c r="G865">
        <v>6</v>
      </c>
      <c r="H865" t="s">
        <v>177</v>
      </c>
      <c r="I865" t="s">
        <v>54</v>
      </c>
      <c r="J865" t="s">
        <v>2678</v>
      </c>
      <c r="K865" t="s">
        <v>257</v>
      </c>
      <c r="L865" t="s">
        <v>180</v>
      </c>
      <c r="M865" s="3">
        <f t="shared" si="13"/>
        <v>7</v>
      </c>
    </row>
    <row r="866" spans="1:13" x14ac:dyDescent="0.35">
      <c r="A866" t="s">
        <v>2679</v>
      </c>
      <c r="B866" t="s">
        <v>174</v>
      </c>
      <c r="C866" t="s">
        <v>2680</v>
      </c>
      <c r="D866" t="s">
        <v>190</v>
      </c>
      <c r="E866" t="s">
        <v>47</v>
      </c>
      <c r="F866" t="s">
        <v>50</v>
      </c>
      <c r="G866">
        <v>3</v>
      </c>
      <c r="H866" t="s">
        <v>195</v>
      </c>
      <c r="J866" t="s">
        <v>2681</v>
      </c>
      <c r="K866" t="s">
        <v>197</v>
      </c>
      <c r="L866" t="s">
        <v>180</v>
      </c>
      <c r="M866" s="3" t="str">
        <f t="shared" si="13"/>
        <v/>
      </c>
    </row>
    <row r="867" spans="1:13" x14ac:dyDescent="0.35">
      <c r="A867" t="s">
        <v>2682</v>
      </c>
      <c r="B867" t="s">
        <v>174</v>
      </c>
      <c r="C867" t="s">
        <v>2683</v>
      </c>
      <c r="D867" t="s">
        <v>236</v>
      </c>
      <c r="E867" t="s">
        <v>43</v>
      </c>
      <c r="F867" t="s">
        <v>51</v>
      </c>
      <c r="G867">
        <v>7</v>
      </c>
      <c r="H867" t="s">
        <v>177</v>
      </c>
      <c r="I867" t="s">
        <v>52</v>
      </c>
      <c r="J867" t="s">
        <v>2684</v>
      </c>
      <c r="K867" t="s">
        <v>183</v>
      </c>
      <c r="L867" t="s">
        <v>180</v>
      </c>
      <c r="M867" s="3">
        <f t="shared" si="13"/>
        <v>9</v>
      </c>
    </row>
    <row r="868" spans="1:13" x14ac:dyDescent="0.35">
      <c r="A868" t="s">
        <v>2685</v>
      </c>
      <c r="B868" t="s">
        <v>174</v>
      </c>
      <c r="C868" t="s">
        <v>2686</v>
      </c>
      <c r="D868" t="s">
        <v>190</v>
      </c>
      <c r="E868" t="s">
        <v>46</v>
      </c>
      <c r="F868" t="s">
        <v>54</v>
      </c>
      <c r="G868">
        <v>8</v>
      </c>
      <c r="H868" t="s">
        <v>177</v>
      </c>
      <c r="I868" t="s">
        <v>54</v>
      </c>
      <c r="J868" t="s">
        <v>2687</v>
      </c>
      <c r="K868" t="s">
        <v>257</v>
      </c>
      <c r="L868" t="s">
        <v>180</v>
      </c>
      <c r="M868" s="3">
        <f t="shared" si="13"/>
        <v>8</v>
      </c>
    </row>
    <row r="869" spans="1:13" x14ac:dyDescent="0.35">
      <c r="A869" t="s">
        <v>2688</v>
      </c>
      <c r="B869" t="s">
        <v>174</v>
      </c>
      <c r="C869" t="s">
        <v>2689</v>
      </c>
      <c r="D869" t="s">
        <v>190</v>
      </c>
      <c r="E869" t="s">
        <v>34</v>
      </c>
      <c r="F869" t="s">
        <v>52</v>
      </c>
      <c r="G869">
        <v>18</v>
      </c>
      <c r="H869" t="s">
        <v>177</v>
      </c>
      <c r="I869" t="s">
        <v>53</v>
      </c>
      <c r="J869" t="s">
        <v>2690</v>
      </c>
      <c r="K869" t="s">
        <v>183</v>
      </c>
      <c r="L869" t="s">
        <v>180</v>
      </c>
      <c r="M869" s="3">
        <f t="shared" si="13"/>
        <v>19</v>
      </c>
    </row>
    <row r="870" spans="1:13" x14ac:dyDescent="0.35">
      <c r="A870" t="s">
        <v>2691</v>
      </c>
      <c r="B870" t="s">
        <v>174</v>
      </c>
      <c r="C870" t="s">
        <v>2692</v>
      </c>
      <c r="D870" t="s">
        <v>190</v>
      </c>
      <c r="E870" t="s">
        <v>40</v>
      </c>
      <c r="F870" t="s">
        <v>45</v>
      </c>
      <c r="G870">
        <v>4</v>
      </c>
      <c r="H870" t="s">
        <v>177</v>
      </c>
      <c r="I870" t="s">
        <v>45</v>
      </c>
      <c r="J870" t="s">
        <v>2693</v>
      </c>
      <c r="K870" t="s">
        <v>270</v>
      </c>
      <c r="L870" t="s">
        <v>180</v>
      </c>
      <c r="M870" s="3">
        <f t="shared" si="13"/>
        <v>5</v>
      </c>
    </row>
    <row r="871" spans="1:13" x14ac:dyDescent="0.35">
      <c r="A871" t="s">
        <v>2694</v>
      </c>
      <c r="B871" t="s">
        <v>174</v>
      </c>
      <c r="C871" t="s">
        <v>2695</v>
      </c>
      <c r="D871" t="s">
        <v>176</v>
      </c>
      <c r="E871" t="s">
        <v>46</v>
      </c>
      <c r="F871" t="s">
        <v>49</v>
      </c>
      <c r="G871">
        <v>3</v>
      </c>
      <c r="H871" t="s">
        <v>252</v>
      </c>
      <c r="J871" t="s">
        <v>2696</v>
      </c>
      <c r="K871" t="s">
        <v>183</v>
      </c>
      <c r="L871" t="s">
        <v>180</v>
      </c>
      <c r="M871" s="3" t="str">
        <f t="shared" si="13"/>
        <v/>
      </c>
    </row>
    <row r="872" spans="1:13" x14ac:dyDescent="0.35">
      <c r="A872" t="s">
        <v>2697</v>
      </c>
      <c r="B872" t="s">
        <v>174</v>
      </c>
      <c r="C872" t="s">
        <v>2698</v>
      </c>
      <c r="D872" t="s">
        <v>190</v>
      </c>
      <c r="E872" t="s">
        <v>37</v>
      </c>
      <c r="F872" t="s">
        <v>44</v>
      </c>
      <c r="G872">
        <v>7</v>
      </c>
      <c r="H872" t="s">
        <v>252</v>
      </c>
      <c r="J872" t="s">
        <v>2699</v>
      </c>
      <c r="K872" t="s">
        <v>270</v>
      </c>
      <c r="L872" t="s">
        <v>184</v>
      </c>
      <c r="M872" s="3" t="str">
        <f t="shared" si="13"/>
        <v/>
      </c>
    </row>
    <row r="873" spans="1:13" x14ac:dyDescent="0.35">
      <c r="A873" t="s">
        <v>2700</v>
      </c>
      <c r="B873" t="s">
        <v>174</v>
      </c>
      <c r="C873" t="s">
        <v>2701</v>
      </c>
      <c r="D873" t="s">
        <v>190</v>
      </c>
      <c r="E873" t="s">
        <v>21</v>
      </c>
      <c r="F873" t="s">
        <v>50</v>
      </c>
      <c r="G873">
        <v>30</v>
      </c>
      <c r="H873" t="s">
        <v>177</v>
      </c>
      <c r="I873" t="s">
        <v>51</v>
      </c>
      <c r="J873" t="s">
        <v>2702</v>
      </c>
      <c r="K873" t="s">
        <v>192</v>
      </c>
      <c r="L873" t="s">
        <v>180</v>
      </c>
      <c r="M873" s="3">
        <f t="shared" si="13"/>
        <v>30</v>
      </c>
    </row>
    <row r="874" spans="1:13" x14ac:dyDescent="0.35">
      <c r="A874" t="s">
        <v>2703</v>
      </c>
      <c r="B874" t="s">
        <v>174</v>
      </c>
      <c r="C874" t="s">
        <v>2704</v>
      </c>
      <c r="D874" t="s">
        <v>236</v>
      </c>
      <c r="E874" t="s">
        <v>43</v>
      </c>
      <c r="F874" t="s">
        <v>49</v>
      </c>
      <c r="G874">
        <v>6</v>
      </c>
      <c r="H874" t="s">
        <v>195</v>
      </c>
      <c r="J874" t="s">
        <v>2705</v>
      </c>
      <c r="K874" t="s">
        <v>183</v>
      </c>
      <c r="L874" t="s">
        <v>180</v>
      </c>
      <c r="M874" s="3" t="str">
        <f t="shared" si="13"/>
        <v/>
      </c>
    </row>
    <row r="875" spans="1:13" x14ac:dyDescent="0.35">
      <c r="A875" t="s">
        <v>2706</v>
      </c>
      <c r="B875" t="s">
        <v>174</v>
      </c>
      <c r="C875" t="s">
        <v>2707</v>
      </c>
      <c r="D875" t="s">
        <v>190</v>
      </c>
      <c r="E875" t="s">
        <v>40</v>
      </c>
      <c r="F875" t="s">
        <v>45</v>
      </c>
      <c r="G875">
        <v>5</v>
      </c>
      <c r="H875" t="s">
        <v>177</v>
      </c>
      <c r="I875" t="s">
        <v>46</v>
      </c>
      <c r="J875" t="s">
        <v>2708</v>
      </c>
      <c r="K875" t="s">
        <v>257</v>
      </c>
      <c r="L875" t="s">
        <v>184</v>
      </c>
      <c r="M875" s="3">
        <f t="shared" si="13"/>
        <v>6</v>
      </c>
    </row>
    <row r="876" spans="1:13" x14ac:dyDescent="0.35">
      <c r="A876" t="s">
        <v>2709</v>
      </c>
      <c r="B876" t="s">
        <v>174</v>
      </c>
      <c r="C876" t="s">
        <v>2710</v>
      </c>
      <c r="D876" t="s">
        <v>190</v>
      </c>
      <c r="E876" t="s">
        <v>44</v>
      </c>
      <c r="F876" t="s">
        <v>48</v>
      </c>
      <c r="G876">
        <v>4</v>
      </c>
      <c r="H876" t="s">
        <v>177</v>
      </c>
      <c r="I876" t="s">
        <v>49</v>
      </c>
      <c r="J876" t="s">
        <v>2711</v>
      </c>
      <c r="K876" t="s">
        <v>257</v>
      </c>
      <c r="L876" t="s">
        <v>184</v>
      </c>
      <c r="M876" s="3">
        <f t="shared" si="13"/>
        <v>5</v>
      </c>
    </row>
    <row r="877" spans="1:13" x14ac:dyDescent="0.35">
      <c r="A877" t="s">
        <v>2712</v>
      </c>
      <c r="B877" t="s">
        <v>174</v>
      </c>
      <c r="C877" t="s">
        <v>2713</v>
      </c>
      <c r="D877" t="s">
        <v>190</v>
      </c>
      <c r="E877" t="s">
        <v>50</v>
      </c>
      <c r="F877" t="s">
        <v>53</v>
      </c>
      <c r="G877">
        <v>2</v>
      </c>
      <c r="H877" t="s">
        <v>177</v>
      </c>
      <c r="I877" t="s">
        <v>55</v>
      </c>
      <c r="J877" t="s">
        <v>2714</v>
      </c>
      <c r="K877" t="s">
        <v>183</v>
      </c>
      <c r="L877" t="s">
        <v>180</v>
      </c>
      <c r="M877" s="3">
        <f t="shared" si="13"/>
        <v>5</v>
      </c>
    </row>
    <row r="878" spans="1:13" x14ac:dyDescent="0.35">
      <c r="A878" t="s">
        <v>2715</v>
      </c>
      <c r="B878" t="s">
        <v>174</v>
      </c>
      <c r="C878" t="s">
        <v>2716</v>
      </c>
      <c r="D878" t="s">
        <v>236</v>
      </c>
      <c r="E878" t="s">
        <v>29</v>
      </c>
      <c r="F878" t="s">
        <v>55</v>
      </c>
      <c r="G878">
        <v>26</v>
      </c>
      <c r="H878" t="s">
        <v>195</v>
      </c>
      <c r="J878" t="s">
        <v>2717</v>
      </c>
      <c r="K878" t="s">
        <v>183</v>
      </c>
      <c r="L878" t="s">
        <v>180</v>
      </c>
      <c r="M878" s="3" t="str">
        <f t="shared" si="13"/>
        <v/>
      </c>
    </row>
    <row r="879" spans="1:13" x14ac:dyDescent="0.35">
      <c r="A879" t="s">
        <v>2718</v>
      </c>
      <c r="B879" t="s">
        <v>174</v>
      </c>
      <c r="C879" t="s">
        <v>2719</v>
      </c>
      <c r="D879" t="s">
        <v>190</v>
      </c>
      <c r="E879" t="s">
        <v>45</v>
      </c>
      <c r="F879" t="s">
        <v>52</v>
      </c>
      <c r="G879">
        <v>7</v>
      </c>
      <c r="H879" t="s">
        <v>177</v>
      </c>
      <c r="I879" t="s">
        <v>53</v>
      </c>
      <c r="J879" t="s">
        <v>2720</v>
      </c>
      <c r="K879" t="s">
        <v>197</v>
      </c>
      <c r="L879" t="s">
        <v>180</v>
      </c>
      <c r="M879" s="3">
        <f t="shared" si="13"/>
        <v>8</v>
      </c>
    </row>
    <row r="880" spans="1:13" x14ac:dyDescent="0.35">
      <c r="A880" t="s">
        <v>2721</v>
      </c>
      <c r="B880" t="s">
        <v>174</v>
      </c>
      <c r="C880" t="s">
        <v>2722</v>
      </c>
      <c r="D880" t="s">
        <v>225</v>
      </c>
      <c r="E880" t="s">
        <v>48</v>
      </c>
      <c r="F880" t="s">
        <v>54</v>
      </c>
      <c r="G880">
        <v>6</v>
      </c>
      <c r="H880" t="s">
        <v>195</v>
      </c>
      <c r="J880" t="s">
        <v>2723</v>
      </c>
      <c r="K880" t="s">
        <v>192</v>
      </c>
      <c r="L880" t="s">
        <v>180</v>
      </c>
      <c r="M880" s="3" t="str">
        <f t="shared" si="13"/>
        <v/>
      </c>
    </row>
    <row r="881" spans="1:13" x14ac:dyDescent="0.35">
      <c r="A881" t="s">
        <v>2724</v>
      </c>
      <c r="B881" t="s">
        <v>174</v>
      </c>
      <c r="C881" t="s">
        <v>2725</v>
      </c>
      <c r="D881" t="s">
        <v>190</v>
      </c>
      <c r="E881" t="s">
        <v>39</v>
      </c>
      <c r="F881" t="s">
        <v>45</v>
      </c>
      <c r="G881">
        <v>6</v>
      </c>
      <c r="H881" t="s">
        <v>177</v>
      </c>
      <c r="I881" t="s">
        <v>44</v>
      </c>
      <c r="J881" t="s">
        <v>2726</v>
      </c>
      <c r="K881" t="s">
        <v>270</v>
      </c>
      <c r="L881" t="s">
        <v>184</v>
      </c>
      <c r="M881" s="3">
        <f t="shared" si="13"/>
        <v>5</v>
      </c>
    </row>
    <row r="882" spans="1:13" x14ac:dyDescent="0.35">
      <c r="A882" t="s">
        <v>2727</v>
      </c>
      <c r="B882" t="s">
        <v>174</v>
      </c>
      <c r="C882" t="s">
        <v>2728</v>
      </c>
      <c r="D882" t="s">
        <v>190</v>
      </c>
      <c r="E882" t="s">
        <v>39</v>
      </c>
      <c r="F882" t="s">
        <v>45</v>
      </c>
      <c r="G882">
        <v>5</v>
      </c>
      <c r="H882" t="s">
        <v>177</v>
      </c>
      <c r="I882" t="s">
        <v>45</v>
      </c>
      <c r="J882" t="s">
        <v>1270</v>
      </c>
      <c r="K882" t="s">
        <v>270</v>
      </c>
      <c r="L882" t="s">
        <v>180</v>
      </c>
      <c r="M882" s="3">
        <f t="shared" si="13"/>
        <v>6</v>
      </c>
    </row>
    <row r="883" spans="1:13" x14ac:dyDescent="0.35">
      <c r="A883" t="s">
        <v>2729</v>
      </c>
      <c r="B883" t="s">
        <v>174</v>
      </c>
      <c r="C883" t="s">
        <v>2730</v>
      </c>
      <c r="D883" t="s">
        <v>236</v>
      </c>
      <c r="E883" t="s">
        <v>38</v>
      </c>
      <c r="F883" t="s">
        <v>54</v>
      </c>
      <c r="G883">
        <v>16</v>
      </c>
      <c r="H883" t="s">
        <v>177</v>
      </c>
      <c r="I883" t="s">
        <v>54</v>
      </c>
      <c r="J883" t="s">
        <v>2731</v>
      </c>
      <c r="K883" t="s">
        <v>192</v>
      </c>
      <c r="L883" t="s">
        <v>180</v>
      </c>
      <c r="M883" s="3">
        <f t="shared" si="13"/>
        <v>16</v>
      </c>
    </row>
    <row r="884" spans="1:13" x14ac:dyDescent="0.35">
      <c r="A884" t="s">
        <v>2732</v>
      </c>
      <c r="B884" t="s">
        <v>174</v>
      </c>
      <c r="C884" t="s">
        <v>2733</v>
      </c>
      <c r="D884" t="s">
        <v>225</v>
      </c>
      <c r="E884" t="s">
        <v>46</v>
      </c>
      <c r="F884" t="s">
        <v>56</v>
      </c>
      <c r="G884">
        <v>9</v>
      </c>
      <c r="H884" t="s">
        <v>195</v>
      </c>
      <c r="J884" t="s">
        <v>2734</v>
      </c>
      <c r="K884" t="s">
        <v>183</v>
      </c>
      <c r="L884" t="s">
        <v>180</v>
      </c>
      <c r="M884" s="3" t="str">
        <f t="shared" si="13"/>
        <v/>
      </c>
    </row>
    <row r="885" spans="1:13" x14ac:dyDescent="0.35">
      <c r="A885" t="s">
        <v>2735</v>
      </c>
      <c r="B885" t="s">
        <v>174</v>
      </c>
      <c r="C885" t="s">
        <v>2736</v>
      </c>
      <c r="D885" t="s">
        <v>190</v>
      </c>
      <c r="E885" t="s">
        <v>48</v>
      </c>
      <c r="F885" t="s">
        <v>56</v>
      </c>
      <c r="G885">
        <v>7</v>
      </c>
      <c r="H885" t="s">
        <v>177</v>
      </c>
      <c r="I885" t="s">
        <v>56</v>
      </c>
      <c r="J885" t="s">
        <v>2737</v>
      </c>
      <c r="K885" t="s">
        <v>257</v>
      </c>
      <c r="L885" t="s">
        <v>180</v>
      </c>
      <c r="M885" s="3">
        <f t="shared" si="13"/>
        <v>8</v>
      </c>
    </row>
    <row r="886" spans="1:13" x14ac:dyDescent="0.35">
      <c r="A886" t="s">
        <v>2738</v>
      </c>
      <c r="B886" t="s">
        <v>174</v>
      </c>
      <c r="C886" t="s">
        <v>2739</v>
      </c>
      <c r="D886" t="s">
        <v>176</v>
      </c>
      <c r="E886" t="s">
        <v>49</v>
      </c>
      <c r="F886" t="s">
        <v>54</v>
      </c>
      <c r="G886">
        <v>5</v>
      </c>
      <c r="H886" t="s">
        <v>177</v>
      </c>
      <c r="I886" t="s">
        <v>54</v>
      </c>
      <c r="J886" t="s">
        <v>2740</v>
      </c>
      <c r="K886" t="s">
        <v>183</v>
      </c>
      <c r="L886" t="s">
        <v>184</v>
      </c>
      <c r="M886" s="3">
        <f t="shared" si="13"/>
        <v>5</v>
      </c>
    </row>
    <row r="887" spans="1:13" x14ac:dyDescent="0.35">
      <c r="A887" t="s">
        <v>2741</v>
      </c>
      <c r="B887" t="s">
        <v>174</v>
      </c>
      <c r="C887" t="s">
        <v>2742</v>
      </c>
      <c r="D887" t="s">
        <v>190</v>
      </c>
      <c r="E887" t="s">
        <v>29</v>
      </c>
      <c r="F887" t="s">
        <v>42</v>
      </c>
      <c r="G887">
        <v>13</v>
      </c>
      <c r="H887" t="s">
        <v>177</v>
      </c>
      <c r="I887" t="s">
        <v>42</v>
      </c>
      <c r="J887" t="s">
        <v>2743</v>
      </c>
      <c r="K887" t="s">
        <v>183</v>
      </c>
      <c r="L887" t="s">
        <v>180</v>
      </c>
      <c r="M887" s="3">
        <f t="shared" si="13"/>
        <v>13</v>
      </c>
    </row>
    <row r="888" spans="1:13" x14ac:dyDescent="0.35">
      <c r="A888" t="s">
        <v>2744</v>
      </c>
      <c r="B888" t="s">
        <v>174</v>
      </c>
      <c r="C888" t="s">
        <v>2745</v>
      </c>
      <c r="D888" t="s">
        <v>190</v>
      </c>
      <c r="E888" t="s">
        <v>52</v>
      </c>
      <c r="F888" t="s">
        <v>55</v>
      </c>
      <c r="G888">
        <v>4</v>
      </c>
      <c r="H888" t="s">
        <v>177</v>
      </c>
      <c r="I888" t="s">
        <v>55</v>
      </c>
      <c r="J888" t="s">
        <v>2746</v>
      </c>
      <c r="K888" t="s">
        <v>219</v>
      </c>
      <c r="L888" t="s">
        <v>180</v>
      </c>
      <c r="M888" s="3">
        <f t="shared" si="13"/>
        <v>3</v>
      </c>
    </row>
    <row r="889" spans="1:13" x14ac:dyDescent="0.35">
      <c r="A889" t="s">
        <v>2747</v>
      </c>
      <c r="B889" t="s">
        <v>174</v>
      </c>
      <c r="C889" t="s">
        <v>2748</v>
      </c>
      <c r="D889" t="s">
        <v>190</v>
      </c>
      <c r="E889" t="s">
        <v>39</v>
      </c>
      <c r="F889" t="s">
        <v>47</v>
      </c>
      <c r="G889">
        <v>8</v>
      </c>
      <c r="H889" t="s">
        <v>177</v>
      </c>
      <c r="I889" t="s">
        <v>48</v>
      </c>
      <c r="J889" t="s">
        <v>2749</v>
      </c>
      <c r="K889" t="s">
        <v>270</v>
      </c>
      <c r="L889" t="s">
        <v>184</v>
      </c>
      <c r="M889" s="3">
        <f t="shared" si="13"/>
        <v>9</v>
      </c>
    </row>
    <row r="890" spans="1:13" x14ac:dyDescent="0.35">
      <c r="A890" t="s">
        <v>2750</v>
      </c>
      <c r="B890" t="s">
        <v>231</v>
      </c>
      <c r="C890" t="s">
        <v>2751</v>
      </c>
      <c r="D890" t="s">
        <v>176</v>
      </c>
      <c r="E890" t="s">
        <v>43</v>
      </c>
      <c r="F890" t="s">
        <v>47</v>
      </c>
      <c r="G890">
        <v>5</v>
      </c>
      <c r="H890" t="s">
        <v>177</v>
      </c>
      <c r="I890" t="s">
        <v>49</v>
      </c>
      <c r="J890" t="s">
        <v>2752</v>
      </c>
      <c r="K890" t="s">
        <v>183</v>
      </c>
      <c r="L890" t="s">
        <v>180</v>
      </c>
      <c r="M890" s="3">
        <f t="shared" si="13"/>
        <v>6</v>
      </c>
    </row>
    <row r="891" spans="1:13" x14ac:dyDescent="0.35">
      <c r="A891" t="s">
        <v>2753</v>
      </c>
      <c r="B891" t="s">
        <v>174</v>
      </c>
      <c r="C891" t="s">
        <v>2754</v>
      </c>
      <c r="D891" t="s">
        <v>176</v>
      </c>
      <c r="E891" t="s">
        <v>49</v>
      </c>
      <c r="F891" t="s">
        <v>55</v>
      </c>
      <c r="G891">
        <v>5</v>
      </c>
      <c r="H891" t="s">
        <v>177</v>
      </c>
      <c r="I891" t="s">
        <v>55</v>
      </c>
      <c r="J891" t="s">
        <v>2755</v>
      </c>
      <c r="K891" t="s">
        <v>183</v>
      </c>
      <c r="L891" t="s">
        <v>180</v>
      </c>
      <c r="M891" s="3">
        <f t="shared" si="13"/>
        <v>6</v>
      </c>
    </row>
    <row r="892" spans="1:13" x14ac:dyDescent="0.35">
      <c r="A892" t="s">
        <v>2756</v>
      </c>
      <c r="B892" t="s">
        <v>174</v>
      </c>
      <c r="C892" t="s">
        <v>2757</v>
      </c>
      <c r="D892" t="s">
        <v>176</v>
      </c>
      <c r="E892" t="s">
        <v>40</v>
      </c>
      <c r="F892" t="s">
        <v>53</v>
      </c>
      <c r="G892">
        <v>13</v>
      </c>
      <c r="H892" t="s">
        <v>177</v>
      </c>
      <c r="I892" t="s">
        <v>53</v>
      </c>
      <c r="J892" t="s">
        <v>2758</v>
      </c>
      <c r="K892" t="s">
        <v>183</v>
      </c>
      <c r="L892" t="s">
        <v>180</v>
      </c>
      <c r="M892" s="3">
        <f t="shared" si="13"/>
        <v>13</v>
      </c>
    </row>
    <row r="893" spans="1:13" x14ac:dyDescent="0.35">
      <c r="A893" t="s">
        <v>2759</v>
      </c>
      <c r="B893" t="s">
        <v>174</v>
      </c>
      <c r="C893" t="s">
        <v>2760</v>
      </c>
      <c r="D893" t="s">
        <v>190</v>
      </c>
      <c r="E893" t="s">
        <v>50</v>
      </c>
      <c r="F893" t="s">
        <v>56</v>
      </c>
      <c r="G893">
        <v>5</v>
      </c>
      <c r="H893" t="s">
        <v>195</v>
      </c>
      <c r="J893" t="s">
        <v>2761</v>
      </c>
      <c r="K893" t="s">
        <v>270</v>
      </c>
      <c r="L893" t="s">
        <v>180</v>
      </c>
      <c r="M893" s="3" t="str">
        <f t="shared" si="13"/>
        <v/>
      </c>
    </row>
    <row r="894" spans="1:13" x14ac:dyDescent="0.35">
      <c r="A894" t="s">
        <v>2762</v>
      </c>
      <c r="B894" t="s">
        <v>174</v>
      </c>
      <c r="C894" t="s">
        <v>2763</v>
      </c>
      <c r="D894" t="s">
        <v>190</v>
      </c>
      <c r="E894" t="s">
        <v>43</v>
      </c>
      <c r="F894" t="s">
        <v>50</v>
      </c>
      <c r="G894">
        <v>7</v>
      </c>
      <c r="H894" t="s">
        <v>177</v>
      </c>
      <c r="I894" t="s">
        <v>51</v>
      </c>
      <c r="J894" t="s">
        <v>2764</v>
      </c>
      <c r="K894" t="s">
        <v>197</v>
      </c>
      <c r="L894" t="s">
        <v>180</v>
      </c>
      <c r="M894" s="3">
        <f t="shared" si="13"/>
        <v>8</v>
      </c>
    </row>
    <row r="895" spans="1:13" x14ac:dyDescent="0.35">
      <c r="A895" t="s">
        <v>2765</v>
      </c>
      <c r="B895" t="s">
        <v>174</v>
      </c>
      <c r="C895" t="s">
        <v>2766</v>
      </c>
      <c r="D895" t="s">
        <v>236</v>
      </c>
      <c r="E895" t="s">
        <v>44</v>
      </c>
      <c r="F895" t="s">
        <v>48</v>
      </c>
      <c r="G895">
        <v>3</v>
      </c>
      <c r="H895" t="s">
        <v>177</v>
      </c>
      <c r="I895" t="s">
        <v>49</v>
      </c>
      <c r="J895" t="s">
        <v>2767</v>
      </c>
      <c r="K895" t="s">
        <v>192</v>
      </c>
      <c r="L895" t="s">
        <v>184</v>
      </c>
      <c r="M895" s="3">
        <f t="shared" si="13"/>
        <v>5</v>
      </c>
    </row>
    <row r="896" spans="1:13" x14ac:dyDescent="0.35">
      <c r="A896" t="s">
        <v>2768</v>
      </c>
      <c r="B896" t="s">
        <v>174</v>
      </c>
      <c r="C896" t="s">
        <v>2769</v>
      </c>
      <c r="D896" t="s">
        <v>190</v>
      </c>
      <c r="E896" t="s">
        <v>50</v>
      </c>
      <c r="F896" t="s">
        <v>55</v>
      </c>
      <c r="G896">
        <v>4</v>
      </c>
      <c r="H896" t="s">
        <v>195</v>
      </c>
      <c r="J896" t="s">
        <v>2770</v>
      </c>
      <c r="K896" t="s">
        <v>197</v>
      </c>
      <c r="L896" t="s">
        <v>180</v>
      </c>
      <c r="M896" s="3" t="str">
        <f t="shared" si="13"/>
        <v/>
      </c>
    </row>
    <row r="897" spans="1:13" x14ac:dyDescent="0.35">
      <c r="A897" t="s">
        <v>2771</v>
      </c>
      <c r="B897" t="s">
        <v>174</v>
      </c>
      <c r="C897" t="s">
        <v>2772</v>
      </c>
      <c r="D897" t="s">
        <v>190</v>
      </c>
      <c r="E897" t="s">
        <v>45</v>
      </c>
      <c r="F897" t="s">
        <v>46</v>
      </c>
      <c r="G897">
        <v>1</v>
      </c>
      <c r="H897" t="s">
        <v>177</v>
      </c>
      <c r="I897" t="s">
        <v>46</v>
      </c>
      <c r="J897" t="s">
        <v>1783</v>
      </c>
      <c r="K897" t="s">
        <v>197</v>
      </c>
      <c r="L897" t="s">
        <v>180</v>
      </c>
      <c r="M897" s="3">
        <f t="shared" si="13"/>
        <v>1</v>
      </c>
    </row>
    <row r="898" spans="1:13" x14ac:dyDescent="0.35">
      <c r="A898" t="s">
        <v>2773</v>
      </c>
      <c r="B898" t="s">
        <v>174</v>
      </c>
      <c r="C898" t="s">
        <v>2774</v>
      </c>
      <c r="D898" t="s">
        <v>190</v>
      </c>
      <c r="E898" t="s">
        <v>35</v>
      </c>
      <c r="F898" t="s">
        <v>42</v>
      </c>
      <c r="G898">
        <v>6</v>
      </c>
      <c r="H898" t="s">
        <v>177</v>
      </c>
      <c r="I898" t="s">
        <v>42</v>
      </c>
      <c r="J898" t="s">
        <v>2775</v>
      </c>
      <c r="K898" t="s">
        <v>270</v>
      </c>
      <c r="L898" t="s">
        <v>184</v>
      </c>
      <c r="M898" s="3">
        <f t="shared" si="13"/>
        <v>7</v>
      </c>
    </row>
    <row r="899" spans="1:13" x14ac:dyDescent="0.35">
      <c r="A899" t="s">
        <v>2776</v>
      </c>
      <c r="B899" t="s">
        <v>174</v>
      </c>
      <c r="C899" t="s">
        <v>2777</v>
      </c>
      <c r="D899" t="s">
        <v>176</v>
      </c>
      <c r="E899" t="s">
        <v>45</v>
      </c>
      <c r="F899" t="s">
        <v>52</v>
      </c>
      <c r="G899">
        <v>7</v>
      </c>
      <c r="H899" t="s">
        <v>177</v>
      </c>
      <c r="I899" t="s">
        <v>52</v>
      </c>
      <c r="J899" t="s">
        <v>2778</v>
      </c>
      <c r="K899" t="s">
        <v>183</v>
      </c>
      <c r="L899" t="s">
        <v>184</v>
      </c>
      <c r="M899" s="3">
        <f t="shared" ref="M899:M962" si="14">IF(H899="Efectivo",IFERROR((VALUE(RIGHT(I899,4))-VALUE(RIGHT(E899,4)))*12+(VALUE(LEFT(I899,2))-VALUE(LEFT(E899,2))),""),"")</f>
        <v>7</v>
      </c>
    </row>
    <row r="900" spans="1:13" x14ac:dyDescent="0.35">
      <c r="A900" t="s">
        <v>2779</v>
      </c>
      <c r="B900" t="s">
        <v>174</v>
      </c>
      <c r="C900" t="s">
        <v>2780</v>
      </c>
      <c r="D900" t="s">
        <v>190</v>
      </c>
      <c r="E900" t="s">
        <v>45</v>
      </c>
      <c r="F900" t="s">
        <v>52</v>
      </c>
      <c r="G900">
        <v>7</v>
      </c>
      <c r="H900" t="s">
        <v>177</v>
      </c>
      <c r="I900" t="s">
        <v>54</v>
      </c>
      <c r="J900" t="s">
        <v>2781</v>
      </c>
      <c r="K900" t="s">
        <v>197</v>
      </c>
      <c r="L900" t="s">
        <v>180</v>
      </c>
      <c r="M900" s="3">
        <f t="shared" si="14"/>
        <v>9</v>
      </c>
    </row>
    <row r="901" spans="1:13" x14ac:dyDescent="0.35">
      <c r="A901" t="s">
        <v>2782</v>
      </c>
      <c r="B901" t="s">
        <v>174</v>
      </c>
      <c r="C901" t="s">
        <v>2783</v>
      </c>
      <c r="D901" t="s">
        <v>190</v>
      </c>
      <c r="E901" t="s">
        <v>31</v>
      </c>
      <c r="F901" t="s">
        <v>40</v>
      </c>
      <c r="G901">
        <v>9</v>
      </c>
      <c r="H901" t="s">
        <v>177</v>
      </c>
      <c r="I901" t="s">
        <v>40</v>
      </c>
      <c r="J901" t="s">
        <v>2784</v>
      </c>
      <c r="K901" t="s">
        <v>270</v>
      </c>
      <c r="L901" t="s">
        <v>180</v>
      </c>
      <c r="M901" s="3">
        <f t="shared" si="14"/>
        <v>9</v>
      </c>
    </row>
    <row r="902" spans="1:13" x14ac:dyDescent="0.35">
      <c r="A902" t="s">
        <v>2785</v>
      </c>
      <c r="B902" t="s">
        <v>174</v>
      </c>
      <c r="C902" t="s">
        <v>2786</v>
      </c>
      <c r="D902" t="s">
        <v>176</v>
      </c>
      <c r="E902" t="s">
        <v>40</v>
      </c>
      <c r="F902" t="s">
        <v>45</v>
      </c>
      <c r="G902">
        <v>4</v>
      </c>
      <c r="H902" t="s">
        <v>177</v>
      </c>
      <c r="I902" t="s">
        <v>45</v>
      </c>
      <c r="J902" t="s">
        <v>349</v>
      </c>
      <c r="K902" t="s">
        <v>183</v>
      </c>
      <c r="L902" t="s">
        <v>180</v>
      </c>
      <c r="M902" s="3">
        <f t="shared" si="14"/>
        <v>5</v>
      </c>
    </row>
    <row r="903" spans="1:13" x14ac:dyDescent="0.35">
      <c r="A903" t="s">
        <v>2787</v>
      </c>
      <c r="B903" t="s">
        <v>174</v>
      </c>
      <c r="C903" t="s">
        <v>2788</v>
      </c>
      <c r="D903" t="s">
        <v>190</v>
      </c>
      <c r="E903" t="s">
        <v>48</v>
      </c>
      <c r="F903" t="s">
        <v>55</v>
      </c>
      <c r="G903">
        <v>6</v>
      </c>
      <c r="H903" t="s">
        <v>177</v>
      </c>
      <c r="I903" t="s">
        <v>55</v>
      </c>
      <c r="J903" t="s">
        <v>2789</v>
      </c>
      <c r="K903" t="s">
        <v>257</v>
      </c>
      <c r="L903" t="s">
        <v>184</v>
      </c>
      <c r="M903" s="3">
        <f t="shared" si="14"/>
        <v>7</v>
      </c>
    </row>
    <row r="904" spans="1:13" x14ac:dyDescent="0.35">
      <c r="A904" t="s">
        <v>2790</v>
      </c>
      <c r="B904" t="s">
        <v>174</v>
      </c>
      <c r="C904" t="s">
        <v>2791</v>
      </c>
      <c r="D904" t="s">
        <v>190</v>
      </c>
      <c r="E904" t="s">
        <v>39</v>
      </c>
      <c r="F904" t="s">
        <v>47</v>
      </c>
      <c r="G904">
        <v>7</v>
      </c>
      <c r="H904" t="s">
        <v>177</v>
      </c>
      <c r="I904" t="s">
        <v>48</v>
      </c>
      <c r="J904" t="s">
        <v>2792</v>
      </c>
      <c r="K904" t="s">
        <v>270</v>
      </c>
      <c r="L904" t="s">
        <v>180</v>
      </c>
      <c r="M904" s="3">
        <f t="shared" si="14"/>
        <v>9</v>
      </c>
    </row>
    <row r="905" spans="1:13" x14ac:dyDescent="0.35">
      <c r="A905" t="s">
        <v>2793</v>
      </c>
      <c r="B905" t="s">
        <v>174</v>
      </c>
      <c r="C905" t="s">
        <v>2794</v>
      </c>
      <c r="D905" t="s">
        <v>190</v>
      </c>
      <c r="E905" t="s">
        <v>44</v>
      </c>
      <c r="F905" t="s">
        <v>48</v>
      </c>
      <c r="G905">
        <v>4</v>
      </c>
      <c r="H905" t="s">
        <v>177</v>
      </c>
      <c r="I905" t="s">
        <v>48</v>
      </c>
      <c r="J905" t="s">
        <v>595</v>
      </c>
      <c r="K905" t="s">
        <v>270</v>
      </c>
      <c r="L905" t="s">
        <v>180</v>
      </c>
      <c r="M905" s="3">
        <f t="shared" si="14"/>
        <v>4</v>
      </c>
    </row>
    <row r="906" spans="1:13" x14ac:dyDescent="0.35">
      <c r="A906" t="s">
        <v>2795</v>
      </c>
      <c r="B906" t="s">
        <v>174</v>
      </c>
      <c r="C906" t="s">
        <v>2796</v>
      </c>
      <c r="D906" t="s">
        <v>190</v>
      </c>
      <c r="E906" t="s">
        <v>27</v>
      </c>
      <c r="F906" t="s">
        <v>42</v>
      </c>
      <c r="G906">
        <v>15</v>
      </c>
      <c r="H906" t="s">
        <v>177</v>
      </c>
      <c r="I906" t="s">
        <v>42</v>
      </c>
      <c r="J906" t="s">
        <v>2797</v>
      </c>
      <c r="K906" t="s">
        <v>183</v>
      </c>
      <c r="L906" t="s">
        <v>180</v>
      </c>
      <c r="M906" s="3">
        <f t="shared" si="14"/>
        <v>15</v>
      </c>
    </row>
    <row r="907" spans="1:13" x14ac:dyDescent="0.35">
      <c r="A907" t="s">
        <v>2798</v>
      </c>
      <c r="B907" t="s">
        <v>174</v>
      </c>
      <c r="C907" t="s">
        <v>2799</v>
      </c>
      <c r="D907" t="s">
        <v>176</v>
      </c>
      <c r="E907" t="s">
        <v>28</v>
      </c>
      <c r="F907" t="s">
        <v>53</v>
      </c>
      <c r="G907">
        <v>25</v>
      </c>
      <c r="H907" t="s">
        <v>177</v>
      </c>
      <c r="I907" t="s">
        <v>54</v>
      </c>
      <c r="J907" t="s">
        <v>2800</v>
      </c>
      <c r="K907" t="s">
        <v>183</v>
      </c>
      <c r="L907" t="s">
        <v>180</v>
      </c>
      <c r="M907" s="3">
        <f t="shared" si="14"/>
        <v>26</v>
      </c>
    </row>
    <row r="908" spans="1:13" x14ac:dyDescent="0.35">
      <c r="A908" t="s">
        <v>2801</v>
      </c>
      <c r="B908" t="s">
        <v>174</v>
      </c>
      <c r="C908" t="s">
        <v>2802</v>
      </c>
      <c r="D908" t="s">
        <v>190</v>
      </c>
      <c r="E908" t="s">
        <v>46</v>
      </c>
      <c r="F908" t="s">
        <v>56</v>
      </c>
      <c r="G908">
        <v>10</v>
      </c>
      <c r="H908" t="s">
        <v>177</v>
      </c>
      <c r="I908" t="s">
        <v>56</v>
      </c>
      <c r="J908" t="s">
        <v>2803</v>
      </c>
      <c r="K908" t="s">
        <v>257</v>
      </c>
      <c r="L908" t="s">
        <v>180</v>
      </c>
      <c r="M908" s="3">
        <f t="shared" si="14"/>
        <v>10</v>
      </c>
    </row>
    <row r="909" spans="1:13" x14ac:dyDescent="0.35">
      <c r="A909" t="s">
        <v>2804</v>
      </c>
      <c r="B909" t="s">
        <v>174</v>
      </c>
      <c r="C909" t="s">
        <v>2805</v>
      </c>
      <c r="D909" t="s">
        <v>190</v>
      </c>
      <c r="E909" t="s">
        <v>24</v>
      </c>
      <c r="F909" t="s">
        <v>43</v>
      </c>
      <c r="G909">
        <v>18</v>
      </c>
      <c r="H909" t="s">
        <v>177</v>
      </c>
      <c r="I909" t="s">
        <v>43</v>
      </c>
      <c r="J909" t="s">
        <v>2806</v>
      </c>
      <c r="K909" t="s">
        <v>183</v>
      </c>
      <c r="L909" t="s">
        <v>180</v>
      </c>
      <c r="M909" s="3">
        <f t="shared" si="14"/>
        <v>19</v>
      </c>
    </row>
    <row r="910" spans="1:13" x14ac:dyDescent="0.35">
      <c r="A910" t="s">
        <v>2807</v>
      </c>
      <c r="B910" t="s">
        <v>174</v>
      </c>
      <c r="C910" t="s">
        <v>2808</v>
      </c>
      <c r="D910" t="s">
        <v>236</v>
      </c>
      <c r="E910" t="s">
        <v>49</v>
      </c>
      <c r="F910" t="s">
        <v>51</v>
      </c>
      <c r="G910">
        <v>2</v>
      </c>
      <c r="H910" t="s">
        <v>177</v>
      </c>
      <c r="I910" t="s">
        <v>54</v>
      </c>
      <c r="J910" t="s">
        <v>2809</v>
      </c>
      <c r="K910" t="s">
        <v>192</v>
      </c>
      <c r="L910" t="s">
        <v>180</v>
      </c>
      <c r="M910" s="3">
        <f t="shared" si="14"/>
        <v>5</v>
      </c>
    </row>
    <row r="911" spans="1:13" x14ac:dyDescent="0.35">
      <c r="A911" t="s">
        <v>2810</v>
      </c>
      <c r="B911" t="s">
        <v>174</v>
      </c>
      <c r="C911" t="s">
        <v>2811</v>
      </c>
      <c r="D911" t="s">
        <v>236</v>
      </c>
      <c r="E911" t="s">
        <v>49</v>
      </c>
      <c r="F911" t="s">
        <v>54</v>
      </c>
      <c r="G911">
        <v>5</v>
      </c>
      <c r="H911" t="s">
        <v>252</v>
      </c>
      <c r="J911" t="s">
        <v>2812</v>
      </c>
      <c r="K911" t="s">
        <v>183</v>
      </c>
      <c r="L911" t="s">
        <v>184</v>
      </c>
      <c r="M911" s="3" t="str">
        <f t="shared" si="14"/>
        <v/>
      </c>
    </row>
    <row r="912" spans="1:13" x14ac:dyDescent="0.35">
      <c r="A912" t="s">
        <v>2813</v>
      </c>
      <c r="B912" t="s">
        <v>174</v>
      </c>
      <c r="C912" t="s">
        <v>2814</v>
      </c>
      <c r="D912" t="s">
        <v>190</v>
      </c>
      <c r="E912" t="s">
        <v>50</v>
      </c>
      <c r="F912" t="s">
        <v>53</v>
      </c>
      <c r="G912">
        <v>3</v>
      </c>
      <c r="H912" t="s">
        <v>177</v>
      </c>
      <c r="I912" t="s">
        <v>55</v>
      </c>
      <c r="J912" t="s">
        <v>2815</v>
      </c>
      <c r="K912" t="s">
        <v>219</v>
      </c>
      <c r="L912" t="s">
        <v>180</v>
      </c>
      <c r="M912" s="3">
        <f t="shared" si="14"/>
        <v>5</v>
      </c>
    </row>
    <row r="913" spans="1:13" x14ac:dyDescent="0.35">
      <c r="A913" t="s">
        <v>2816</v>
      </c>
      <c r="B913" t="s">
        <v>174</v>
      </c>
      <c r="C913" t="s">
        <v>2817</v>
      </c>
      <c r="D913" t="s">
        <v>190</v>
      </c>
      <c r="E913" t="s">
        <v>42</v>
      </c>
      <c r="F913" t="s">
        <v>54</v>
      </c>
      <c r="G913">
        <v>12</v>
      </c>
      <c r="H913" t="s">
        <v>177</v>
      </c>
      <c r="I913" t="s">
        <v>54</v>
      </c>
      <c r="J913" t="s">
        <v>2818</v>
      </c>
      <c r="K913" t="s">
        <v>197</v>
      </c>
      <c r="L913" t="s">
        <v>180</v>
      </c>
      <c r="M913" s="3">
        <f t="shared" si="14"/>
        <v>12</v>
      </c>
    </row>
    <row r="914" spans="1:13" x14ac:dyDescent="0.35">
      <c r="A914" t="s">
        <v>2819</v>
      </c>
      <c r="B914" t="s">
        <v>174</v>
      </c>
      <c r="C914" t="s">
        <v>2820</v>
      </c>
      <c r="D914" t="s">
        <v>190</v>
      </c>
      <c r="E914" t="s">
        <v>37</v>
      </c>
      <c r="F914" t="s">
        <v>45</v>
      </c>
      <c r="G914">
        <v>7</v>
      </c>
      <c r="H914" t="s">
        <v>177</v>
      </c>
      <c r="I914" t="s">
        <v>45</v>
      </c>
      <c r="J914" t="s">
        <v>2821</v>
      </c>
      <c r="K914" t="s">
        <v>183</v>
      </c>
      <c r="L914" t="s">
        <v>180</v>
      </c>
      <c r="M914" s="3">
        <f t="shared" si="14"/>
        <v>8</v>
      </c>
    </row>
    <row r="915" spans="1:13" x14ac:dyDescent="0.35">
      <c r="A915" t="s">
        <v>2822</v>
      </c>
      <c r="B915" t="s">
        <v>174</v>
      </c>
      <c r="C915" t="s">
        <v>2823</v>
      </c>
      <c r="D915" t="s">
        <v>190</v>
      </c>
      <c r="E915" t="s">
        <v>21</v>
      </c>
      <c r="F915" t="s">
        <v>45</v>
      </c>
      <c r="G915">
        <v>24</v>
      </c>
      <c r="H915" t="s">
        <v>177</v>
      </c>
      <c r="I915" t="s">
        <v>45</v>
      </c>
      <c r="J915" t="s">
        <v>2824</v>
      </c>
      <c r="K915" t="s">
        <v>179</v>
      </c>
      <c r="L915" t="s">
        <v>180</v>
      </c>
      <c r="M915" s="3">
        <f t="shared" si="14"/>
        <v>24</v>
      </c>
    </row>
    <row r="916" spans="1:13" x14ac:dyDescent="0.35">
      <c r="A916" t="s">
        <v>2825</v>
      </c>
      <c r="B916" t="s">
        <v>174</v>
      </c>
      <c r="C916" t="s">
        <v>2826</v>
      </c>
      <c r="D916" t="s">
        <v>225</v>
      </c>
      <c r="E916" t="s">
        <v>38</v>
      </c>
      <c r="F916" t="s">
        <v>46</v>
      </c>
      <c r="G916">
        <v>8</v>
      </c>
      <c r="H916" t="s">
        <v>177</v>
      </c>
      <c r="I916" t="s">
        <v>47</v>
      </c>
      <c r="J916" t="s">
        <v>2827</v>
      </c>
      <c r="K916" t="s">
        <v>192</v>
      </c>
      <c r="L916" t="s">
        <v>180</v>
      </c>
      <c r="M916" s="3">
        <f t="shared" si="14"/>
        <v>9</v>
      </c>
    </row>
    <row r="917" spans="1:13" x14ac:dyDescent="0.35">
      <c r="A917" t="s">
        <v>2828</v>
      </c>
      <c r="B917" t="s">
        <v>174</v>
      </c>
      <c r="C917" t="s">
        <v>2829</v>
      </c>
      <c r="D917" t="s">
        <v>190</v>
      </c>
      <c r="E917" t="s">
        <v>46</v>
      </c>
      <c r="F917" t="s">
        <v>53</v>
      </c>
      <c r="G917">
        <v>6</v>
      </c>
      <c r="H917" t="s">
        <v>195</v>
      </c>
      <c r="J917" t="s">
        <v>2830</v>
      </c>
      <c r="K917" t="s">
        <v>257</v>
      </c>
      <c r="L917" t="s">
        <v>184</v>
      </c>
      <c r="M917" s="3" t="str">
        <f t="shared" si="14"/>
        <v/>
      </c>
    </row>
    <row r="918" spans="1:13" x14ac:dyDescent="0.35">
      <c r="A918" t="s">
        <v>2831</v>
      </c>
      <c r="B918" t="s">
        <v>174</v>
      </c>
      <c r="C918" t="s">
        <v>2832</v>
      </c>
      <c r="D918" t="s">
        <v>176</v>
      </c>
      <c r="E918" t="s">
        <v>46</v>
      </c>
      <c r="F918" t="s">
        <v>50</v>
      </c>
      <c r="G918">
        <v>3</v>
      </c>
      <c r="H918" t="s">
        <v>177</v>
      </c>
      <c r="I918" t="s">
        <v>49</v>
      </c>
      <c r="J918" t="s">
        <v>2833</v>
      </c>
      <c r="K918" t="s">
        <v>183</v>
      </c>
      <c r="L918" t="s">
        <v>180</v>
      </c>
      <c r="M918" s="3">
        <f t="shared" si="14"/>
        <v>3</v>
      </c>
    </row>
    <row r="919" spans="1:13" x14ac:dyDescent="0.35">
      <c r="A919" t="s">
        <v>2834</v>
      </c>
      <c r="B919" t="s">
        <v>174</v>
      </c>
      <c r="C919" t="s">
        <v>2835</v>
      </c>
      <c r="D919" t="s">
        <v>190</v>
      </c>
      <c r="E919" t="s">
        <v>43</v>
      </c>
      <c r="F919" t="s">
        <v>51</v>
      </c>
      <c r="G919">
        <v>8</v>
      </c>
      <c r="H919" t="s">
        <v>177</v>
      </c>
      <c r="I919" t="s">
        <v>52</v>
      </c>
      <c r="J919" t="s">
        <v>2836</v>
      </c>
      <c r="K919" t="s">
        <v>183</v>
      </c>
      <c r="L919" t="s">
        <v>180</v>
      </c>
      <c r="M919" s="3">
        <f t="shared" si="14"/>
        <v>9</v>
      </c>
    </row>
    <row r="920" spans="1:13" x14ac:dyDescent="0.35">
      <c r="A920" t="s">
        <v>2837</v>
      </c>
      <c r="B920" t="s">
        <v>174</v>
      </c>
      <c r="C920" t="s">
        <v>2838</v>
      </c>
      <c r="D920" t="s">
        <v>225</v>
      </c>
      <c r="E920" t="s">
        <v>48</v>
      </c>
      <c r="F920" t="s">
        <v>55</v>
      </c>
      <c r="G920">
        <v>7</v>
      </c>
      <c r="H920" t="s">
        <v>195</v>
      </c>
      <c r="J920" t="s">
        <v>2839</v>
      </c>
      <c r="K920" t="s">
        <v>192</v>
      </c>
      <c r="L920" t="s">
        <v>180</v>
      </c>
      <c r="M920" s="3" t="str">
        <f t="shared" si="14"/>
        <v/>
      </c>
    </row>
    <row r="921" spans="1:13" x14ac:dyDescent="0.35">
      <c r="A921" t="s">
        <v>2840</v>
      </c>
      <c r="B921" t="s">
        <v>174</v>
      </c>
      <c r="C921" t="s">
        <v>2841</v>
      </c>
      <c r="D921" t="s">
        <v>190</v>
      </c>
      <c r="E921" t="s">
        <v>46</v>
      </c>
      <c r="F921" t="s">
        <v>54</v>
      </c>
      <c r="G921">
        <v>8</v>
      </c>
      <c r="H921" t="s">
        <v>177</v>
      </c>
      <c r="I921" t="s">
        <v>54</v>
      </c>
      <c r="J921" t="s">
        <v>2842</v>
      </c>
      <c r="K921" t="s">
        <v>257</v>
      </c>
      <c r="L921" t="s">
        <v>180</v>
      </c>
      <c r="M921" s="3">
        <f t="shared" si="14"/>
        <v>8</v>
      </c>
    </row>
    <row r="922" spans="1:13" x14ac:dyDescent="0.35">
      <c r="A922" t="s">
        <v>2843</v>
      </c>
      <c r="B922" t="s">
        <v>174</v>
      </c>
      <c r="C922" t="s">
        <v>2844</v>
      </c>
      <c r="D922" t="s">
        <v>190</v>
      </c>
      <c r="E922" t="s">
        <v>35</v>
      </c>
      <c r="F922" t="s">
        <v>53</v>
      </c>
      <c r="G922">
        <v>18</v>
      </c>
      <c r="H922" t="s">
        <v>177</v>
      </c>
      <c r="I922" t="s">
        <v>53</v>
      </c>
      <c r="J922" t="s">
        <v>2845</v>
      </c>
      <c r="K922" t="s">
        <v>270</v>
      </c>
      <c r="L922" t="s">
        <v>180</v>
      </c>
      <c r="M922" s="3">
        <f t="shared" si="14"/>
        <v>18</v>
      </c>
    </row>
    <row r="923" spans="1:13" x14ac:dyDescent="0.35">
      <c r="A923" t="s">
        <v>2846</v>
      </c>
      <c r="B923" t="s">
        <v>174</v>
      </c>
      <c r="C923" t="s">
        <v>2847</v>
      </c>
      <c r="D923" t="s">
        <v>190</v>
      </c>
      <c r="E923" t="s">
        <v>37</v>
      </c>
      <c r="F923" t="s">
        <v>42</v>
      </c>
      <c r="G923">
        <v>4</v>
      </c>
      <c r="H923" t="s">
        <v>177</v>
      </c>
      <c r="I923" t="s">
        <v>42</v>
      </c>
      <c r="J923" t="s">
        <v>2848</v>
      </c>
      <c r="K923" t="s">
        <v>270</v>
      </c>
      <c r="L923" t="s">
        <v>180</v>
      </c>
      <c r="M923" s="3">
        <f t="shared" si="14"/>
        <v>5</v>
      </c>
    </row>
    <row r="924" spans="1:13" x14ac:dyDescent="0.35">
      <c r="A924" t="s">
        <v>2849</v>
      </c>
      <c r="B924" t="s">
        <v>174</v>
      </c>
      <c r="C924" t="s">
        <v>2850</v>
      </c>
      <c r="D924" t="s">
        <v>190</v>
      </c>
      <c r="E924" t="s">
        <v>35</v>
      </c>
      <c r="F924" t="s">
        <v>45</v>
      </c>
      <c r="G924">
        <v>9</v>
      </c>
      <c r="H924" t="s">
        <v>177</v>
      </c>
      <c r="I924" t="s">
        <v>45</v>
      </c>
      <c r="J924" t="s">
        <v>2851</v>
      </c>
      <c r="K924" t="s">
        <v>270</v>
      </c>
      <c r="L924" t="s">
        <v>184</v>
      </c>
      <c r="M924" s="3">
        <f t="shared" si="14"/>
        <v>10</v>
      </c>
    </row>
    <row r="925" spans="1:13" x14ac:dyDescent="0.35">
      <c r="A925" t="s">
        <v>2852</v>
      </c>
      <c r="B925" t="s">
        <v>174</v>
      </c>
      <c r="C925" t="s">
        <v>2853</v>
      </c>
      <c r="D925" t="s">
        <v>190</v>
      </c>
      <c r="E925" t="s">
        <v>34</v>
      </c>
      <c r="F925" t="s">
        <v>46</v>
      </c>
      <c r="G925">
        <v>12</v>
      </c>
      <c r="H925" t="s">
        <v>252</v>
      </c>
      <c r="J925" t="s">
        <v>2854</v>
      </c>
      <c r="K925" t="s">
        <v>270</v>
      </c>
      <c r="L925" t="s">
        <v>180</v>
      </c>
      <c r="M925" s="3" t="str">
        <f t="shared" si="14"/>
        <v/>
      </c>
    </row>
    <row r="926" spans="1:13" x14ac:dyDescent="0.35">
      <c r="A926" t="s">
        <v>2852</v>
      </c>
      <c r="B926" t="s">
        <v>174</v>
      </c>
      <c r="C926" t="s">
        <v>2853</v>
      </c>
      <c r="D926" t="s">
        <v>190</v>
      </c>
      <c r="E926" t="s">
        <v>34</v>
      </c>
      <c r="F926" t="s">
        <v>51</v>
      </c>
      <c r="G926">
        <v>17</v>
      </c>
      <c r="H926" t="s">
        <v>177</v>
      </c>
      <c r="I926" t="s">
        <v>52</v>
      </c>
      <c r="J926" t="s">
        <v>2854</v>
      </c>
      <c r="K926" t="s">
        <v>270</v>
      </c>
      <c r="L926" t="s">
        <v>180</v>
      </c>
      <c r="M926" s="3">
        <f t="shared" si="14"/>
        <v>18</v>
      </c>
    </row>
    <row r="927" spans="1:13" x14ac:dyDescent="0.35">
      <c r="A927" t="s">
        <v>2855</v>
      </c>
      <c r="B927" t="s">
        <v>174</v>
      </c>
      <c r="C927" t="s">
        <v>2856</v>
      </c>
      <c r="D927" t="s">
        <v>190</v>
      </c>
      <c r="E927" t="s">
        <v>40</v>
      </c>
      <c r="F927" t="s">
        <v>43</v>
      </c>
      <c r="G927">
        <v>3</v>
      </c>
      <c r="H927" t="s">
        <v>177</v>
      </c>
      <c r="I927" t="s">
        <v>44</v>
      </c>
      <c r="J927" t="s">
        <v>373</v>
      </c>
      <c r="K927" t="s">
        <v>197</v>
      </c>
      <c r="L927" t="s">
        <v>184</v>
      </c>
      <c r="M927" s="3">
        <f t="shared" si="14"/>
        <v>4</v>
      </c>
    </row>
    <row r="928" spans="1:13" x14ac:dyDescent="0.35">
      <c r="A928" t="s">
        <v>2857</v>
      </c>
      <c r="B928" t="s">
        <v>174</v>
      </c>
      <c r="C928" t="s">
        <v>2858</v>
      </c>
      <c r="D928" t="s">
        <v>190</v>
      </c>
      <c r="E928" t="s">
        <v>46</v>
      </c>
      <c r="F928" t="s">
        <v>54</v>
      </c>
      <c r="G928">
        <v>7</v>
      </c>
      <c r="H928" t="s">
        <v>177</v>
      </c>
      <c r="I928" t="s">
        <v>54</v>
      </c>
      <c r="J928" t="s">
        <v>2859</v>
      </c>
      <c r="K928" t="s">
        <v>197</v>
      </c>
      <c r="L928" t="s">
        <v>184</v>
      </c>
      <c r="M928" s="3">
        <f t="shared" si="14"/>
        <v>8</v>
      </c>
    </row>
    <row r="929" spans="1:13" x14ac:dyDescent="0.35">
      <c r="A929" t="s">
        <v>2860</v>
      </c>
      <c r="B929" t="s">
        <v>174</v>
      </c>
      <c r="C929" t="s">
        <v>2861</v>
      </c>
      <c r="D929" t="s">
        <v>190</v>
      </c>
      <c r="E929" t="s">
        <v>47</v>
      </c>
      <c r="F929" t="s">
        <v>54</v>
      </c>
      <c r="G929">
        <v>7</v>
      </c>
      <c r="H929" t="s">
        <v>177</v>
      </c>
      <c r="I929" t="s">
        <v>54</v>
      </c>
      <c r="J929" t="s">
        <v>2862</v>
      </c>
      <c r="K929" t="s">
        <v>257</v>
      </c>
      <c r="L929" t="s">
        <v>184</v>
      </c>
      <c r="M929" s="3">
        <f t="shared" si="14"/>
        <v>7</v>
      </c>
    </row>
    <row r="930" spans="1:13" x14ac:dyDescent="0.35">
      <c r="A930" t="s">
        <v>2863</v>
      </c>
      <c r="B930" t="s">
        <v>174</v>
      </c>
      <c r="C930" t="s">
        <v>2864</v>
      </c>
      <c r="D930" t="s">
        <v>190</v>
      </c>
      <c r="E930" t="s">
        <v>37</v>
      </c>
      <c r="F930" t="s">
        <v>43</v>
      </c>
      <c r="G930">
        <v>7</v>
      </c>
      <c r="H930" t="s">
        <v>177</v>
      </c>
      <c r="I930" t="s">
        <v>44</v>
      </c>
      <c r="J930" t="s">
        <v>2865</v>
      </c>
      <c r="K930" t="s">
        <v>270</v>
      </c>
      <c r="L930" t="s">
        <v>184</v>
      </c>
      <c r="M930" s="3">
        <f t="shared" si="14"/>
        <v>7</v>
      </c>
    </row>
    <row r="931" spans="1:13" x14ac:dyDescent="0.35">
      <c r="A931" t="s">
        <v>2866</v>
      </c>
      <c r="B931" t="s">
        <v>174</v>
      </c>
      <c r="C931" t="s">
        <v>2867</v>
      </c>
      <c r="D931" t="s">
        <v>190</v>
      </c>
      <c r="E931" t="s">
        <v>43</v>
      </c>
      <c r="F931" t="s">
        <v>54</v>
      </c>
      <c r="G931">
        <v>12</v>
      </c>
      <c r="H931" t="s">
        <v>177</v>
      </c>
      <c r="I931" t="s">
        <v>55</v>
      </c>
      <c r="J931" t="s">
        <v>2868</v>
      </c>
      <c r="K931" t="s">
        <v>257</v>
      </c>
      <c r="L931" t="s">
        <v>180</v>
      </c>
      <c r="M931" s="3">
        <f t="shared" si="14"/>
        <v>12</v>
      </c>
    </row>
    <row r="932" spans="1:13" x14ac:dyDescent="0.35">
      <c r="A932" t="s">
        <v>2869</v>
      </c>
      <c r="B932" t="s">
        <v>231</v>
      </c>
      <c r="C932" t="s">
        <v>2870</v>
      </c>
      <c r="D932" t="s">
        <v>190</v>
      </c>
      <c r="E932" t="s">
        <v>44</v>
      </c>
      <c r="F932" t="s">
        <v>49</v>
      </c>
      <c r="G932">
        <v>5</v>
      </c>
      <c r="H932" t="s">
        <v>177</v>
      </c>
      <c r="I932" t="s">
        <v>49</v>
      </c>
      <c r="J932" t="s">
        <v>1046</v>
      </c>
      <c r="K932" t="s">
        <v>270</v>
      </c>
      <c r="L932" t="s">
        <v>180</v>
      </c>
      <c r="M932" s="3">
        <f t="shared" si="14"/>
        <v>5</v>
      </c>
    </row>
    <row r="933" spans="1:13" x14ac:dyDescent="0.35">
      <c r="A933" t="s">
        <v>2871</v>
      </c>
      <c r="B933" t="s">
        <v>174</v>
      </c>
      <c r="C933" t="s">
        <v>2872</v>
      </c>
      <c r="D933" t="s">
        <v>190</v>
      </c>
      <c r="E933" t="s">
        <v>31</v>
      </c>
      <c r="F933" t="s">
        <v>50</v>
      </c>
      <c r="G933">
        <v>19</v>
      </c>
      <c r="H933" t="s">
        <v>195</v>
      </c>
      <c r="J933" t="s">
        <v>2873</v>
      </c>
      <c r="K933" t="s">
        <v>270</v>
      </c>
      <c r="L933" t="s">
        <v>180</v>
      </c>
      <c r="M933" s="3" t="str">
        <f t="shared" si="14"/>
        <v/>
      </c>
    </row>
    <row r="934" spans="1:13" x14ac:dyDescent="0.35">
      <c r="A934" t="s">
        <v>2874</v>
      </c>
      <c r="B934" t="s">
        <v>174</v>
      </c>
      <c r="C934" t="s">
        <v>2875</v>
      </c>
      <c r="D934" t="s">
        <v>190</v>
      </c>
      <c r="E934" t="s">
        <v>25</v>
      </c>
      <c r="F934" t="s">
        <v>43</v>
      </c>
      <c r="G934">
        <v>18</v>
      </c>
      <c r="H934" t="s">
        <v>177</v>
      </c>
      <c r="I934" t="s">
        <v>43</v>
      </c>
      <c r="J934" t="s">
        <v>2876</v>
      </c>
      <c r="K934" t="s">
        <v>377</v>
      </c>
      <c r="L934" t="s">
        <v>180</v>
      </c>
      <c r="M934" s="3">
        <f t="shared" si="14"/>
        <v>18</v>
      </c>
    </row>
    <row r="935" spans="1:13" x14ac:dyDescent="0.35">
      <c r="A935" t="s">
        <v>2877</v>
      </c>
      <c r="B935" t="s">
        <v>174</v>
      </c>
      <c r="C935" t="s">
        <v>2878</v>
      </c>
      <c r="D935" t="s">
        <v>225</v>
      </c>
      <c r="E935" t="s">
        <v>49</v>
      </c>
      <c r="F935" t="s">
        <v>53</v>
      </c>
      <c r="G935">
        <v>4</v>
      </c>
      <c r="H935" t="s">
        <v>177</v>
      </c>
      <c r="I935" t="s">
        <v>54</v>
      </c>
      <c r="J935" t="s">
        <v>2879</v>
      </c>
      <c r="K935" t="s">
        <v>183</v>
      </c>
      <c r="L935" t="s">
        <v>184</v>
      </c>
      <c r="M935" s="3">
        <f t="shared" si="14"/>
        <v>5</v>
      </c>
    </row>
    <row r="936" spans="1:13" x14ac:dyDescent="0.35">
      <c r="A936" t="s">
        <v>2880</v>
      </c>
      <c r="B936" t="s">
        <v>174</v>
      </c>
      <c r="C936" t="s">
        <v>2881</v>
      </c>
      <c r="D936" t="s">
        <v>190</v>
      </c>
      <c r="E936" t="s">
        <v>49</v>
      </c>
      <c r="F936" t="s">
        <v>56</v>
      </c>
      <c r="G936">
        <v>7</v>
      </c>
      <c r="H936" t="s">
        <v>195</v>
      </c>
      <c r="J936" t="s">
        <v>2882</v>
      </c>
      <c r="K936" t="s">
        <v>257</v>
      </c>
      <c r="L936" t="s">
        <v>180</v>
      </c>
      <c r="M936" s="3" t="str">
        <f t="shared" si="14"/>
        <v/>
      </c>
    </row>
    <row r="937" spans="1:13" x14ac:dyDescent="0.35">
      <c r="A937" t="s">
        <v>2883</v>
      </c>
      <c r="B937" t="s">
        <v>174</v>
      </c>
      <c r="C937" t="s">
        <v>2884</v>
      </c>
      <c r="D937" t="s">
        <v>190</v>
      </c>
      <c r="E937" t="s">
        <v>37</v>
      </c>
      <c r="F937" t="s">
        <v>50</v>
      </c>
      <c r="G937">
        <v>12</v>
      </c>
      <c r="H937" t="s">
        <v>195</v>
      </c>
      <c r="J937" t="s">
        <v>2885</v>
      </c>
      <c r="K937" t="s">
        <v>192</v>
      </c>
      <c r="L937" t="s">
        <v>180</v>
      </c>
      <c r="M937" s="3" t="str">
        <f t="shared" si="14"/>
        <v/>
      </c>
    </row>
    <row r="938" spans="1:13" x14ac:dyDescent="0.35">
      <c r="A938" t="s">
        <v>2886</v>
      </c>
      <c r="B938" t="s">
        <v>174</v>
      </c>
      <c r="C938" t="s">
        <v>2887</v>
      </c>
      <c r="D938" t="s">
        <v>190</v>
      </c>
      <c r="E938" t="s">
        <v>47</v>
      </c>
      <c r="F938" t="s">
        <v>49</v>
      </c>
      <c r="G938">
        <v>3</v>
      </c>
      <c r="H938" t="s">
        <v>177</v>
      </c>
      <c r="I938" t="s">
        <v>49</v>
      </c>
      <c r="J938" t="s">
        <v>2888</v>
      </c>
      <c r="K938" t="s">
        <v>197</v>
      </c>
      <c r="L938" t="s">
        <v>180</v>
      </c>
      <c r="M938" s="3">
        <f t="shared" si="14"/>
        <v>2</v>
      </c>
    </row>
    <row r="939" spans="1:13" x14ac:dyDescent="0.35">
      <c r="A939" t="s">
        <v>2889</v>
      </c>
      <c r="B939" t="s">
        <v>174</v>
      </c>
      <c r="C939" t="s">
        <v>2890</v>
      </c>
      <c r="D939" t="s">
        <v>190</v>
      </c>
      <c r="E939" t="s">
        <v>44</v>
      </c>
      <c r="F939" t="s">
        <v>46</v>
      </c>
      <c r="G939">
        <v>2</v>
      </c>
      <c r="H939" t="s">
        <v>177</v>
      </c>
      <c r="I939" t="s">
        <v>47</v>
      </c>
      <c r="J939" t="s">
        <v>2891</v>
      </c>
      <c r="K939" t="s">
        <v>270</v>
      </c>
      <c r="L939" t="s">
        <v>180</v>
      </c>
      <c r="M939" s="3">
        <f t="shared" si="14"/>
        <v>3</v>
      </c>
    </row>
    <row r="940" spans="1:13" x14ac:dyDescent="0.35">
      <c r="A940" t="s">
        <v>2892</v>
      </c>
      <c r="B940" t="s">
        <v>174</v>
      </c>
      <c r="C940" t="s">
        <v>2893</v>
      </c>
      <c r="D940" t="s">
        <v>190</v>
      </c>
      <c r="E940" t="s">
        <v>50</v>
      </c>
      <c r="F940" t="s">
        <v>55</v>
      </c>
      <c r="G940">
        <v>4</v>
      </c>
      <c r="H940" t="s">
        <v>177</v>
      </c>
      <c r="I940" t="s">
        <v>56</v>
      </c>
      <c r="J940" t="s">
        <v>2894</v>
      </c>
      <c r="K940" t="s">
        <v>219</v>
      </c>
      <c r="L940" t="s">
        <v>180</v>
      </c>
      <c r="M940" s="3">
        <f t="shared" si="14"/>
        <v>6</v>
      </c>
    </row>
    <row r="941" spans="1:13" x14ac:dyDescent="0.35">
      <c r="A941" t="s">
        <v>2895</v>
      </c>
      <c r="B941" t="s">
        <v>174</v>
      </c>
      <c r="C941" t="s">
        <v>2896</v>
      </c>
      <c r="D941" t="s">
        <v>190</v>
      </c>
      <c r="E941" t="s">
        <v>40</v>
      </c>
      <c r="F941" t="s">
        <v>44</v>
      </c>
      <c r="G941">
        <v>4</v>
      </c>
      <c r="H941" t="s">
        <v>177</v>
      </c>
      <c r="I941" t="s">
        <v>45</v>
      </c>
      <c r="J941" t="s">
        <v>2897</v>
      </c>
      <c r="K941" t="s">
        <v>270</v>
      </c>
      <c r="L941" t="s">
        <v>180</v>
      </c>
      <c r="M941" s="3">
        <f t="shared" si="14"/>
        <v>5</v>
      </c>
    </row>
    <row r="942" spans="1:13" x14ac:dyDescent="0.35">
      <c r="A942" t="s">
        <v>2898</v>
      </c>
      <c r="B942" t="s">
        <v>174</v>
      </c>
      <c r="C942" t="s">
        <v>2899</v>
      </c>
      <c r="D942" t="s">
        <v>190</v>
      </c>
      <c r="E942" t="s">
        <v>30</v>
      </c>
      <c r="F942" t="s">
        <v>40</v>
      </c>
      <c r="G942">
        <v>10</v>
      </c>
      <c r="H942" t="s">
        <v>177</v>
      </c>
      <c r="I942" t="s">
        <v>40</v>
      </c>
      <c r="J942" t="s">
        <v>2323</v>
      </c>
      <c r="K942" t="s">
        <v>183</v>
      </c>
      <c r="L942" t="s">
        <v>180</v>
      </c>
      <c r="M942" s="3">
        <f t="shared" si="14"/>
        <v>10</v>
      </c>
    </row>
    <row r="943" spans="1:13" x14ac:dyDescent="0.35">
      <c r="A943" t="s">
        <v>2900</v>
      </c>
      <c r="B943" t="s">
        <v>174</v>
      </c>
      <c r="C943" t="s">
        <v>2901</v>
      </c>
      <c r="D943" t="s">
        <v>190</v>
      </c>
      <c r="E943" t="s">
        <v>22</v>
      </c>
      <c r="F943" t="s">
        <v>53</v>
      </c>
      <c r="G943">
        <v>31</v>
      </c>
      <c r="H943" t="s">
        <v>177</v>
      </c>
      <c r="I943" t="s">
        <v>53</v>
      </c>
      <c r="J943" t="s">
        <v>2902</v>
      </c>
      <c r="K943" t="s">
        <v>179</v>
      </c>
      <c r="L943" t="s">
        <v>180</v>
      </c>
      <c r="M943" s="3">
        <f t="shared" si="14"/>
        <v>31</v>
      </c>
    </row>
    <row r="944" spans="1:13" x14ac:dyDescent="0.35">
      <c r="A944" t="s">
        <v>2903</v>
      </c>
      <c r="B944" t="s">
        <v>174</v>
      </c>
      <c r="C944" t="s">
        <v>2904</v>
      </c>
      <c r="D944" t="s">
        <v>236</v>
      </c>
      <c r="E944" t="s">
        <v>45</v>
      </c>
      <c r="F944" t="s">
        <v>53</v>
      </c>
      <c r="G944">
        <v>8</v>
      </c>
      <c r="H944" t="s">
        <v>177</v>
      </c>
      <c r="I944" t="s">
        <v>54</v>
      </c>
      <c r="J944" t="s">
        <v>2905</v>
      </c>
      <c r="K944" t="s">
        <v>183</v>
      </c>
      <c r="L944" t="s">
        <v>180</v>
      </c>
      <c r="M944" s="3">
        <f t="shared" si="14"/>
        <v>9</v>
      </c>
    </row>
    <row r="945" spans="1:13" x14ac:dyDescent="0.35">
      <c r="A945" t="s">
        <v>2906</v>
      </c>
      <c r="B945" t="s">
        <v>174</v>
      </c>
      <c r="C945" t="s">
        <v>2907</v>
      </c>
      <c r="D945" t="s">
        <v>190</v>
      </c>
      <c r="E945" t="s">
        <v>48</v>
      </c>
      <c r="F945" t="s">
        <v>51</v>
      </c>
      <c r="G945">
        <v>3</v>
      </c>
      <c r="H945" t="s">
        <v>177</v>
      </c>
      <c r="I945" t="s">
        <v>52</v>
      </c>
      <c r="J945" t="s">
        <v>2784</v>
      </c>
      <c r="K945" t="s">
        <v>270</v>
      </c>
      <c r="L945" t="s">
        <v>180</v>
      </c>
      <c r="M945" s="3">
        <f t="shared" si="14"/>
        <v>4</v>
      </c>
    </row>
    <row r="946" spans="1:13" x14ac:dyDescent="0.35">
      <c r="A946" t="s">
        <v>2908</v>
      </c>
      <c r="B946" t="s">
        <v>174</v>
      </c>
      <c r="C946" t="s">
        <v>2909</v>
      </c>
      <c r="D946" t="s">
        <v>190</v>
      </c>
      <c r="E946" t="s">
        <v>43</v>
      </c>
      <c r="F946" t="s">
        <v>49</v>
      </c>
      <c r="G946">
        <v>5</v>
      </c>
      <c r="H946" t="s">
        <v>195</v>
      </c>
      <c r="J946" t="s">
        <v>2910</v>
      </c>
      <c r="K946" t="s">
        <v>197</v>
      </c>
      <c r="L946" t="s">
        <v>180</v>
      </c>
      <c r="M946" s="3" t="str">
        <f t="shared" si="14"/>
        <v/>
      </c>
    </row>
    <row r="947" spans="1:13" x14ac:dyDescent="0.35">
      <c r="A947" t="s">
        <v>2911</v>
      </c>
      <c r="B947" t="s">
        <v>174</v>
      </c>
      <c r="C947" t="s">
        <v>2912</v>
      </c>
      <c r="D947" t="s">
        <v>236</v>
      </c>
      <c r="E947" t="s">
        <v>44</v>
      </c>
      <c r="F947" t="s">
        <v>55</v>
      </c>
      <c r="G947">
        <v>11</v>
      </c>
      <c r="H947" t="s">
        <v>195</v>
      </c>
      <c r="J947" t="s">
        <v>2913</v>
      </c>
      <c r="K947" t="s">
        <v>192</v>
      </c>
      <c r="L947" t="s">
        <v>184</v>
      </c>
      <c r="M947" s="3" t="str">
        <f t="shared" si="14"/>
        <v/>
      </c>
    </row>
    <row r="948" spans="1:13" x14ac:dyDescent="0.35">
      <c r="A948" t="s">
        <v>2914</v>
      </c>
      <c r="B948" t="s">
        <v>174</v>
      </c>
      <c r="C948" t="s">
        <v>2915</v>
      </c>
      <c r="D948" t="s">
        <v>190</v>
      </c>
      <c r="E948" t="s">
        <v>45</v>
      </c>
      <c r="F948" t="s">
        <v>56</v>
      </c>
      <c r="G948">
        <v>11</v>
      </c>
      <c r="H948" t="s">
        <v>177</v>
      </c>
      <c r="I948" t="s">
        <v>56</v>
      </c>
      <c r="J948" t="s">
        <v>2916</v>
      </c>
      <c r="K948" t="s">
        <v>257</v>
      </c>
      <c r="L948" t="s">
        <v>184</v>
      </c>
      <c r="M948" s="3">
        <f t="shared" si="14"/>
        <v>11</v>
      </c>
    </row>
    <row r="949" spans="1:13" x14ac:dyDescent="0.35">
      <c r="A949" t="s">
        <v>2917</v>
      </c>
      <c r="B949" t="s">
        <v>174</v>
      </c>
      <c r="C949" t="s">
        <v>2918</v>
      </c>
      <c r="D949" t="s">
        <v>190</v>
      </c>
      <c r="E949" t="s">
        <v>46</v>
      </c>
      <c r="F949" t="s">
        <v>56</v>
      </c>
      <c r="G949">
        <v>10</v>
      </c>
      <c r="H949" t="s">
        <v>177</v>
      </c>
      <c r="I949" t="s">
        <v>56</v>
      </c>
      <c r="J949" t="s">
        <v>2919</v>
      </c>
      <c r="K949" t="s">
        <v>257</v>
      </c>
      <c r="L949" t="s">
        <v>180</v>
      </c>
      <c r="M949" s="3">
        <f t="shared" si="14"/>
        <v>10</v>
      </c>
    </row>
    <row r="950" spans="1:13" x14ac:dyDescent="0.35">
      <c r="A950" t="s">
        <v>2920</v>
      </c>
      <c r="B950" t="s">
        <v>174</v>
      </c>
      <c r="C950" t="s">
        <v>2921</v>
      </c>
      <c r="D950" t="s">
        <v>190</v>
      </c>
      <c r="E950" t="s">
        <v>39</v>
      </c>
      <c r="F950" t="s">
        <v>54</v>
      </c>
      <c r="G950">
        <v>15</v>
      </c>
      <c r="H950" t="s">
        <v>177</v>
      </c>
      <c r="I950" t="s">
        <v>54</v>
      </c>
      <c r="J950" t="s">
        <v>2922</v>
      </c>
      <c r="K950" t="s">
        <v>270</v>
      </c>
      <c r="L950" t="s">
        <v>180</v>
      </c>
      <c r="M950" s="3">
        <f t="shared" si="14"/>
        <v>15</v>
      </c>
    </row>
    <row r="951" spans="1:13" x14ac:dyDescent="0.35">
      <c r="A951" t="s">
        <v>2923</v>
      </c>
      <c r="B951" t="s">
        <v>174</v>
      </c>
      <c r="C951" t="s">
        <v>2924</v>
      </c>
      <c r="D951" t="s">
        <v>190</v>
      </c>
      <c r="E951" t="s">
        <v>38</v>
      </c>
      <c r="F951" t="s">
        <v>55</v>
      </c>
      <c r="G951">
        <v>17</v>
      </c>
      <c r="H951" t="s">
        <v>177</v>
      </c>
      <c r="I951" t="s">
        <v>55</v>
      </c>
      <c r="J951" t="s">
        <v>2925</v>
      </c>
      <c r="K951" t="s">
        <v>192</v>
      </c>
      <c r="L951" t="s">
        <v>180</v>
      </c>
      <c r="M951" s="3">
        <f t="shared" si="14"/>
        <v>17</v>
      </c>
    </row>
    <row r="952" spans="1:13" x14ac:dyDescent="0.35">
      <c r="A952" t="s">
        <v>2926</v>
      </c>
      <c r="B952" t="s">
        <v>174</v>
      </c>
      <c r="C952" t="s">
        <v>2927</v>
      </c>
      <c r="D952" t="s">
        <v>190</v>
      </c>
      <c r="E952" t="s">
        <v>20</v>
      </c>
      <c r="F952" t="s">
        <v>45</v>
      </c>
      <c r="G952">
        <v>25</v>
      </c>
      <c r="H952" t="s">
        <v>177</v>
      </c>
      <c r="I952" t="s">
        <v>45</v>
      </c>
      <c r="J952" t="s">
        <v>2928</v>
      </c>
      <c r="K952" t="s">
        <v>270</v>
      </c>
      <c r="L952" t="s">
        <v>180</v>
      </c>
      <c r="M952" s="3">
        <f t="shared" si="14"/>
        <v>25</v>
      </c>
    </row>
    <row r="953" spans="1:13" x14ac:dyDescent="0.35">
      <c r="A953" t="s">
        <v>2929</v>
      </c>
      <c r="B953" t="s">
        <v>231</v>
      </c>
      <c r="C953" t="s">
        <v>2930</v>
      </c>
      <c r="D953" t="s">
        <v>190</v>
      </c>
      <c r="E953" t="s">
        <v>36</v>
      </c>
      <c r="F953" t="s">
        <v>44</v>
      </c>
      <c r="G953">
        <v>9</v>
      </c>
      <c r="H953" t="s">
        <v>177</v>
      </c>
      <c r="I953" t="s">
        <v>44</v>
      </c>
      <c r="J953" t="s">
        <v>2931</v>
      </c>
      <c r="K953" t="s">
        <v>377</v>
      </c>
      <c r="L953" t="s">
        <v>180</v>
      </c>
      <c r="M953" s="3">
        <f t="shared" si="14"/>
        <v>8</v>
      </c>
    </row>
    <row r="954" spans="1:13" x14ac:dyDescent="0.35">
      <c r="A954" t="s">
        <v>2932</v>
      </c>
      <c r="B954" t="s">
        <v>174</v>
      </c>
      <c r="C954" t="s">
        <v>2933</v>
      </c>
      <c r="D954" t="s">
        <v>176</v>
      </c>
      <c r="E954" t="s">
        <v>29</v>
      </c>
      <c r="F954" t="s">
        <v>48</v>
      </c>
      <c r="G954">
        <v>19</v>
      </c>
      <c r="H954" t="s">
        <v>177</v>
      </c>
      <c r="I954" t="s">
        <v>49</v>
      </c>
      <c r="J954" t="s">
        <v>2934</v>
      </c>
      <c r="K954" t="s">
        <v>183</v>
      </c>
      <c r="L954" t="s">
        <v>180</v>
      </c>
      <c r="M954" s="3">
        <f t="shared" si="14"/>
        <v>20</v>
      </c>
    </row>
    <row r="955" spans="1:13" x14ac:dyDescent="0.35">
      <c r="A955" t="s">
        <v>2935</v>
      </c>
      <c r="B955" t="s">
        <v>174</v>
      </c>
      <c r="C955" t="s">
        <v>2936</v>
      </c>
      <c r="D955" t="s">
        <v>190</v>
      </c>
      <c r="E955" t="s">
        <v>41</v>
      </c>
      <c r="F955" t="s">
        <v>45</v>
      </c>
      <c r="G955">
        <v>3</v>
      </c>
      <c r="H955" t="s">
        <v>177</v>
      </c>
      <c r="I955" t="s">
        <v>45</v>
      </c>
      <c r="J955" t="s">
        <v>2937</v>
      </c>
      <c r="K955" t="s">
        <v>197</v>
      </c>
      <c r="L955" t="s">
        <v>184</v>
      </c>
      <c r="M955" s="3">
        <f t="shared" si="14"/>
        <v>4</v>
      </c>
    </row>
    <row r="956" spans="1:13" x14ac:dyDescent="0.35">
      <c r="A956" t="s">
        <v>2938</v>
      </c>
      <c r="B956" t="s">
        <v>174</v>
      </c>
      <c r="C956" t="s">
        <v>2939</v>
      </c>
      <c r="D956" t="s">
        <v>190</v>
      </c>
      <c r="E956" t="s">
        <v>34</v>
      </c>
      <c r="F956" t="s">
        <v>50</v>
      </c>
      <c r="G956">
        <v>16</v>
      </c>
      <c r="H956" t="s">
        <v>195</v>
      </c>
      <c r="J956" t="s">
        <v>2940</v>
      </c>
      <c r="K956" t="s">
        <v>270</v>
      </c>
      <c r="L956" t="s">
        <v>180</v>
      </c>
      <c r="M956" s="3" t="str">
        <f t="shared" si="14"/>
        <v/>
      </c>
    </row>
    <row r="957" spans="1:13" x14ac:dyDescent="0.35">
      <c r="A957" t="s">
        <v>2941</v>
      </c>
      <c r="B957" t="s">
        <v>174</v>
      </c>
      <c r="C957" t="s">
        <v>2942</v>
      </c>
      <c r="D957" t="s">
        <v>225</v>
      </c>
      <c r="E957" t="s">
        <v>34</v>
      </c>
      <c r="F957" t="s">
        <v>43</v>
      </c>
      <c r="G957">
        <v>9</v>
      </c>
      <c r="H957" t="s">
        <v>252</v>
      </c>
      <c r="J957" t="s">
        <v>2943</v>
      </c>
      <c r="K957" t="s">
        <v>183</v>
      </c>
      <c r="L957" t="s">
        <v>180</v>
      </c>
      <c r="M957" s="3" t="str">
        <f t="shared" si="14"/>
        <v/>
      </c>
    </row>
    <row r="958" spans="1:13" x14ac:dyDescent="0.35">
      <c r="A958" t="s">
        <v>2944</v>
      </c>
      <c r="B958" t="s">
        <v>174</v>
      </c>
      <c r="C958" t="s">
        <v>2945</v>
      </c>
      <c r="D958" t="s">
        <v>190</v>
      </c>
      <c r="E958" t="s">
        <v>42</v>
      </c>
      <c r="F958" t="s">
        <v>54</v>
      </c>
      <c r="G958">
        <v>12</v>
      </c>
      <c r="H958" t="s">
        <v>177</v>
      </c>
      <c r="I958" t="s">
        <v>54</v>
      </c>
      <c r="J958" t="s">
        <v>2946</v>
      </c>
      <c r="K958" t="s">
        <v>183</v>
      </c>
      <c r="L958" t="s">
        <v>180</v>
      </c>
      <c r="M958" s="3">
        <f t="shared" si="14"/>
        <v>12</v>
      </c>
    </row>
    <row r="959" spans="1:13" x14ac:dyDescent="0.35">
      <c r="A959" t="s">
        <v>2947</v>
      </c>
      <c r="B959" t="s">
        <v>174</v>
      </c>
      <c r="C959" t="s">
        <v>2948</v>
      </c>
      <c r="D959" t="s">
        <v>190</v>
      </c>
      <c r="E959" t="s">
        <v>38</v>
      </c>
      <c r="F959" t="s">
        <v>51</v>
      </c>
      <c r="G959">
        <v>12</v>
      </c>
      <c r="H959" t="s">
        <v>177</v>
      </c>
      <c r="I959" t="s">
        <v>52</v>
      </c>
      <c r="J959" t="s">
        <v>2949</v>
      </c>
      <c r="K959" t="s">
        <v>270</v>
      </c>
      <c r="L959" t="s">
        <v>180</v>
      </c>
      <c r="M959" s="3">
        <f t="shared" si="14"/>
        <v>14</v>
      </c>
    </row>
    <row r="960" spans="1:13" x14ac:dyDescent="0.35">
      <c r="A960" t="s">
        <v>2950</v>
      </c>
      <c r="B960" t="s">
        <v>174</v>
      </c>
      <c r="C960" t="s">
        <v>2951</v>
      </c>
      <c r="D960" t="s">
        <v>190</v>
      </c>
      <c r="E960" t="s">
        <v>38</v>
      </c>
      <c r="F960" t="s">
        <v>42</v>
      </c>
      <c r="G960">
        <v>3</v>
      </c>
      <c r="H960" t="s">
        <v>177</v>
      </c>
      <c r="I960" t="s">
        <v>42</v>
      </c>
      <c r="J960" t="s">
        <v>2891</v>
      </c>
      <c r="K960" t="s">
        <v>270</v>
      </c>
      <c r="L960" t="s">
        <v>180</v>
      </c>
      <c r="M960" s="3">
        <f t="shared" si="14"/>
        <v>4</v>
      </c>
    </row>
    <row r="961" spans="1:13" x14ac:dyDescent="0.35">
      <c r="A961" t="s">
        <v>2952</v>
      </c>
      <c r="B961" t="s">
        <v>231</v>
      </c>
      <c r="C961" t="s">
        <v>2953</v>
      </c>
      <c r="D961" t="s">
        <v>190</v>
      </c>
      <c r="E961" t="s">
        <v>46</v>
      </c>
      <c r="F961" t="s">
        <v>49</v>
      </c>
      <c r="G961">
        <v>2</v>
      </c>
      <c r="H961" t="s">
        <v>177</v>
      </c>
      <c r="I961" t="s">
        <v>55</v>
      </c>
      <c r="J961" t="s">
        <v>2954</v>
      </c>
      <c r="K961" t="s">
        <v>257</v>
      </c>
      <c r="L961" t="s">
        <v>180</v>
      </c>
      <c r="M961" s="3">
        <f t="shared" si="14"/>
        <v>9</v>
      </c>
    </row>
    <row r="962" spans="1:13" x14ac:dyDescent="0.35">
      <c r="A962" t="s">
        <v>2955</v>
      </c>
      <c r="B962" t="s">
        <v>174</v>
      </c>
      <c r="C962" t="s">
        <v>2956</v>
      </c>
      <c r="D962" t="s">
        <v>190</v>
      </c>
      <c r="E962" t="s">
        <v>50</v>
      </c>
      <c r="F962" t="s">
        <v>56</v>
      </c>
      <c r="G962">
        <v>6</v>
      </c>
      <c r="H962" t="s">
        <v>177</v>
      </c>
      <c r="I962" t="s">
        <v>56</v>
      </c>
      <c r="J962" t="s">
        <v>2957</v>
      </c>
      <c r="K962" t="s">
        <v>183</v>
      </c>
      <c r="L962" t="s">
        <v>180</v>
      </c>
      <c r="M962" s="3">
        <f t="shared" si="14"/>
        <v>6</v>
      </c>
    </row>
    <row r="963" spans="1:13" x14ac:dyDescent="0.35">
      <c r="A963" t="s">
        <v>2958</v>
      </c>
      <c r="B963" t="s">
        <v>174</v>
      </c>
      <c r="C963" t="s">
        <v>2959</v>
      </c>
      <c r="D963" t="s">
        <v>190</v>
      </c>
      <c r="E963" t="s">
        <v>35</v>
      </c>
      <c r="F963" t="s">
        <v>47</v>
      </c>
      <c r="G963">
        <v>13</v>
      </c>
      <c r="H963" t="s">
        <v>195</v>
      </c>
      <c r="J963" t="s">
        <v>2960</v>
      </c>
      <c r="K963" t="s">
        <v>192</v>
      </c>
      <c r="L963" t="s">
        <v>180</v>
      </c>
      <c r="M963" s="3" t="str">
        <f t="shared" ref="M963:M1026" si="15">IF(H963="Efectivo",IFERROR((VALUE(RIGHT(I963,4))-VALUE(RIGHT(E963,4)))*12+(VALUE(LEFT(I963,2))-VALUE(LEFT(E963,2))),""),"")</f>
        <v/>
      </c>
    </row>
    <row r="964" spans="1:13" x14ac:dyDescent="0.35">
      <c r="A964" t="s">
        <v>2961</v>
      </c>
      <c r="B964" t="s">
        <v>174</v>
      </c>
      <c r="C964" t="s">
        <v>2962</v>
      </c>
      <c r="D964" t="s">
        <v>190</v>
      </c>
      <c r="E964" t="s">
        <v>38</v>
      </c>
      <c r="F964" t="s">
        <v>43</v>
      </c>
      <c r="G964">
        <v>4</v>
      </c>
      <c r="H964" t="s">
        <v>195</v>
      </c>
      <c r="J964" t="s">
        <v>2963</v>
      </c>
      <c r="K964" t="s">
        <v>270</v>
      </c>
      <c r="L964" t="s">
        <v>180</v>
      </c>
      <c r="M964" s="3" t="str">
        <f t="shared" si="15"/>
        <v/>
      </c>
    </row>
    <row r="965" spans="1:13" x14ac:dyDescent="0.35">
      <c r="A965" t="s">
        <v>2964</v>
      </c>
      <c r="B965" t="s">
        <v>174</v>
      </c>
      <c r="C965" t="s">
        <v>2965</v>
      </c>
      <c r="D965" t="s">
        <v>190</v>
      </c>
      <c r="E965" t="s">
        <v>47</v>
      </c>
      <c r="F965" t="s">
        <v>54</v>
      </c>
      <c r="G965">
        <v>6</v>
      </c>
      <c r="H965" t="s">
        <v>195</v>
      </c>
      <c r="J965" t="s">
        <v>2966</v>
      </c>
      <c r="K965" t="s">
        <v>257</v>
      </c>
      <c r="L965" t="s">
        <v>184</v>
      </c>
      <c r="M965" s="3" t="str">
        <f t="shared" si="15"/>
        <v/>
      </c>
    </row>
    <row r="966" spans="1:13" x14ac:dyDescent="0.35">
      <c r="A966" t="s">
        <v>2967</v>
      </c>
      <c r="B966" t="s">
        <v>174</v>
      </c>
      <c r="C966" t="s">
        <v>2968</v>
      </c>
      <c r="D966" t="s">
        <v>190</v>
      </c>
      <c r="E966" t="s">
        <v>28</v>
      </c>
      <c r="F966" t="s">
        <v>48</v>
      </c>
      <c r="G966">
        <v>20</v>
      </c>
      <c r="H966" t="s">
        <v>252</v>
      </c>
      <c r="J966" t="s">
        <v>2969</v>
      </c>
      <c r="K966" t="s">
        <v>270</v>
      </c>
      <c r="L966" t="s">
        <v>180</v>
      </c>
      <c r="M966" s="3" t="str">
        <f t="shared" si="15"/>
        <v/>
      </c>
    </row>
    <row r="967" spans="1:13" x14ac:dyDescent="0.35">
      <c r="A967" t="s">
        <v>2970</v>
      </c>
      <c r="B967" t="s">
        <v>174</v>
      </c>
      <c r="C967" t="s">
        <v>2971</v>
      </c>
      <c r="D967" t="s">
        <v>190</v>
      </c>
      <c r="E967" t="s">
        <v>42</v>
      </c>
      <c r="F967" t="s">
        <v>46</v>
      </c>
      <c r="G967">
        <v>3</v>
      </c>
      <c r="H967" t="s">
        <v>177</v>
      </c>
      <c r="I967" t="s">
        <v>48</v>
      </c>
      <c r="J967" t="s">
        <v>2972</v>
      </c>
      <c r="K967" t="s">
        <v>197</v>
      </c>
      <c r="L967" t="s">
        <v>184</v>
      </c>
      <c r="M967" s="3">
        <f t="shared" si="15"/>
        <v>6</v>
      </c>
    </row>
    <row r="968" spans="1:13" x14ac:dyDescent="0.35">
      <c r="A968" t="s">
        <v>2973</v>
      </c>
      <c r="B968" t="s">
        <v>174</v>
      </c>
      <c r="C968" t="s">
        <v>2974</v>
      </c>
      <c r="D968" t="s">
        <v>190</v>
      </c>
      <c r="E968" t="s">
        <v>46</v>
      </c>
      <c r="F968" t="s">
        <v>49</v>
      </c>
      <c r="G968">
        <v>2</v>
      </c>
      <c r="H968" t="s">
        <v>252</v>
      </c>
      <c r="J968" t="s">
        <v>1498</v>
      </c>
      <c r="K968" t="s">
        <v>270</v>
      </c>
      <c r="L968" t="s">
        <v>184</v>
      </c>
      <c r="M968" s="3" t="str">
        <f t="shared" si="15"/>
        <v/>
      </c>
    </row>
    <row r="969" spans="1:13" x14ac:dyDescent="0.35">
      <c r="A969" t="s">
        <v>2973</v>
      </c>
      <c r="B969" t="s">
        <v>174</v>
      </c>
      <c r="C969" t="s">
        <v>2974</v>
      </c>
      <c r="D969" t="s">
        <v>190</v>
      </c>
      <c r="E969" t="s">
        <v>46</v>
      </c>
      <c r="F969" t="s">
        <v>55</v>
      </c>
      <c r="G969">
        <v>9</v>
      </c>
      <c r="H969" t="s">
        <v>177</v>
      </c>
      <c r="I969" t="s">
        <v>55</v>
      </c>
      <c r="J969" t="s">
        <v>1498</v>
      </c>
      <c r="K969" t="s">
        <v>270</v>
      </c>
      <c r="L969" t="s">
        <v>184</v>
      </c>
      <c r="M969" s="3">
        <f t="shared" si="15"/>
        <v>9</v>
      </c>
    </row>
    <row r="970" spans="1:13" x14ac:dyDescent="0.35">
      <c r="A970" t="s">
        <v>2975</v>
      </c>
      <c r="B970" t="s">
        <v>174</v>
      </c>
      <c r="C970" t="s">
        <v>2976</v>
      </c>
      <c r="D970" t="s">
        <v>225</v>
      </c>
      <c r="E970" t="s">
        <v>42</v>
      </c>
      <c r="F970" t="s">
        <v>53</v>
      </c>
      <c r="G970">
        <v>11</v>
      </c>
      <c r="H970" t="s">
        <v>177</v>
      </c>
      <c r="I970" t="s">
        <v>54</v>
      </c>
      <c r="J970" t="s">
        <v>2977</v>
      </c>
      <c r="K970" t="s">
        <v>192</v>
      </c>
      <c r="L970" t="s">
        <v>180</v>
      </c>
      <c r="M970" s="3">
        <f t="shared" si="15"/>
        <v>12</v>
      </c>
    </row>
    <row r="971" spans="1:13" x14ac:dyDescent="0.35">
      <c r="A971" t="s">
        <v>2978</v>
      </c>
      <c r="B971" t="s">
        <v>174</v>
      </c>
      <c r="C971" t="s">
        <v>2979</v>
      </c>
      <c r="D971" t="s">
        <v>225</v>
      </c>
      <c r="E971" t="s">
        <v>48</v>
      </c>
      <c r="F971" t="s">
        <v>54</v>
      </c>
      <c r="G971">
        <v>6</v>
      </c>
      <c r="H971" t="s">
        <v>177</v>
      </c>
      <c r="I971" t="s">
        <v>55</v>
      </c>
      <c r="J971" t="s">
        <v>2980</v>
      </c>
      <c r="K971" t="s">
        <v>183</v>
      </c>
      <c r="L971" t="s">
        <v>180</v>
      </c>
      <c r="M971" s="3">
        <f t="shared" si="15"/>
        <v>7</v>
      </c>
    </row>
    <row r="972" spans="1:13" x14ac:dyDescent="0.35">
      <c r="A972" t="s">
        <v>2981</v>
      </c>
      <c r="B972" t="s">
        <v>174</v>
      </c>
      <c r="C972" t="s">
        <v>2982</v>
      </c>
      <c r="D972" t="s">
        <v>190</v>
      </c>
      <c r="E972" t="s">
        <v>44</v>
      </c>
      <c r="F972" t="s">
        <v>45</v>
      </c>
      <c r="G972">
        <v>2</v>
      </c>
      <c r="H972" t="s">
        <v>177</v>
      </c>
      <c r="I972" t="s">
        <v>46</v>
      </c>
      <c r="J972" t="s">
        <v>2983</v>
      </c>
      <c r="K972" t="s">
        <v>257</v>
      </c>
      <c r="L972" t="s">
        <v>184</v>
      </c>
      <c r="M972" s="3">
        <f t="shared" si="15"/>
        <v>2</v>
      </c>
    </row>
    <row r="973" spans="1:13" x14ac:dyDescent="0.35">
      <c r="A973" t="s">
        <v>2984</v>
      </c>
      <c r="B973" t="s">
        <v>174</v>
      </c>
      <c r="C973" t="s">
        <v>2985</v>
      </c>
      <c r="D973" t="s">
        <v>494</v>
      </c>
      <c r="E973" t="s">
        <v>26</v>
      </c>
      <c r="F973" t="s">
        <v>40</v>
      </c>
      <c r="G973">
        <v>14</v>
      </c>
      <c r="H973" t="s">
        <v>252</v>
      </c>
      <c r="J973" t="s">
        <v>2986</v>
      </c>
      <c r="K973" t="s">
        <v>183</v>
      </c>
      <c r="L973" t="s">
        <v>180</v>
      </c>
      <c r="M973" s="3" t="str">
        <f t="shared" si="15"/>
        <v/>
      </c>
    </row>
    <row r="974" spans="1:13" x14ac:dyDescent="0.35">
      <c r="A974" t="s">
        <v>2987</v>
      </c>
      <c r="B974" t="s">
        <v>174</v>
      </c>
      <c r="C974" t="s">
        <v>2988</v>
      </c>
      <c r="D974" t="s">
        <v>190</v>
      </c>
      <c r="E974" t="s">
        <v>52</v>
      </c>
      <c r="F974" t="s">
        <v>56</v>
      </c>
      <c r="G974">
        <v>4</v>
      </c>
      <c r="H974" t="s">
        <v>195</v>
      </c>
      <c r="J974" t="s">
        <v>2989</v>
      </c>
      <c r="K974" t="s">
        <v>257</v>
      </c>
      <c r="L974" t="s">
        <v>180</v>
      </c>
      <c r="M974" s="3" t="str">
        <f t="shared" si="15"/>
        <v/>
      </c>
    </row>
    <row r="975" spans="1:13" x14ac:dyDescent="0.35">
      <c r="A975" t="s">
        <v>2990</v>
      </c>
      <c r="B975" t="s">
        <v>174</v>
      </c>
      <c r="C975" t="s">
        <v>2991</v>
      </c>
      <c r="D975" t="s">
        <v>190</v>
      </c>
      <c r="E975" t="s">
        <v>37</v>
      </c>
      <c r="F975" t="s">
        <v>51</v>
      </c>
      <c r="G975">
        <v>14</v>
      </c>
      <c r="H975" t="s">
        <v>177</v>
      </c>
      <c r="I975" t="s">
        <v>52</v>
      </c>
      <c r="J975" t="s">
        <v>2992</v>
      </c>
      <c r="K975" t="s">
        <v>257</v>
      </c>
      <c r="L975" t="s">
        <v>184</v>
      </c>
      <c r="M975" s="3">
        <f t="shared" si="15"/>
        <v>15</v>
      </c>
    </row>
    <row r="976" spans="1:13" x14ac:dyDescent="0.35">
      <c r="A976" t="s">
        <v>2993</v>
      </c>
      <c r="B976" t="s">
        <v>174</v>
      </c>
      <c r="C976" t="s">
        <v>2994</v>
      </c>
      <c r="D976" t="s">
        <v>190</v>
      </c>
      <c r="E976" t="s">
        <v>43</v>
      </c>
      <c r="F976" t="s">
        <v>55</v>
      </c>
      <c r="G976">
        <v>12</v>
      </c>
      <c r="H976" t="s">
        <v>195</v>
      </c>
      <c r="J976" t="s">
        <v>2995</v>
      </c>
      <c r="K976" t="s">
        <v>257</v>
      </c>
      <c r="L976" t="s">
        <v>184</v>
      </c>
      <c r="M976" s="3" t="str">
        <f t="shared" si="15"/>
        <v/>
      </c>
    </row>
    <row r="977" spans="1:13" x14ac:dyDescent="0.35">
      <c r="A977" t="s">
        <v>2996</v>
      </c>
      <c r="B977" t="s">
        <v>174</v>
      </c>
      <c r="C977" t="s">
        <v>2997</v>
      </c>
      <c r="D977" t="s">
        <v>236</v>
      </c>
      <c r="E977" t="s">
        <v>36</v>
      </c>
      <c r="F977" t="s">
        <v>54</v>
      </c>
      <c r="G977">
        <v>18</v>
      </c>
      <c r="H977" t="s">
        <v>177</v>
      </c>
      <c r="I977" t="s">
        <v>54</v>
      </c>
      <c r="J977" t="s">
        <v>2998</v>
      </c>
      <c r="K977" t="s">
        <v>192</v>
      </c>
      <c r="L977" t="s">
        <v>180</v>
      </c>
      <c r="M977" s="3">
        <f t="shared" si="15"/>
        <v>18</v>
      </c>
    </row>
    <row r="978" spans="1:13" x14ac:dyDescent="0.35">
      <c r="A978" t="s">
        <v>2999</v>
      </c>
      <c r="B978" t="s">
        <v>174</v>
      </c>
      <c r="C978" t="s">
        <v>3000</v>
      </c>
      <c r="D978" t="s">
        <v>176</v>
      </c>
      <c r="E978" t="s">
        <v>33</v>
      </c>
      <c r="F978" t="s">
        <v>42</v>
      </c>
      <c r="G978">
        <v>9</v>
      </c>
      <c r="H978" t="s">
        <v>177</v>
      </c>
      <c r="I978" t="s">
        <v>42</v>
      </c>
      <c r="J978" t="s">
        <v>3001</v>
      </c>
      <c r="K978" t="s">
        <v>183</v>
      </c>
      <c r="L978" t="s">
        <v>180</v>
      </c>
      <c r="M978" s="3">
        <f t="shared" si="15"/>
        <v>9</v>
      </c>
    </row>
    <row r="979" spans="1:13" x14ac:dyDescent="0.35">
      <c r="A979" t="s">
        <v>3002</v>
      </c>
      <c r="B979" t="s">
        <v>174</v>
      </c>
      <c r="C979" t="s">
        <v>3003</v>
      </c>
      <c r="D979" t="s">
        <v>190</v>
      </c>
      <c r="E979" t="s">
        <v>27</v>
      </c>
      <c r="F979" t="s">
        <v>44</v>
      </c>
      <c r="G979">
        <v>17</v>
      </c>
      <c r="H979" t="s">
        <v>252</v>
      </c>
      <c r="J979" t="s">
        <v>3004</v>
      </c>
      <c r="K979" t="s">
        <v>183</v>
      </c>
      <c r="L979" t="s">
        <v>180</v>
      </c>
      <c r="M979" s="3" t="str">
        <f t="shared" si="15"/>
        <v/>
      </c>
    </row>
    <row r="980" spans="1:13" x14ac:dyDescent="0.35">
      <c r="A980" t="s">
        <v>3005</v>
      </c>
      <c r="B980" t="s">
        <v>174</v>
      </c>
      <c r="C980" t="s">
        <v>3006</v>
      </c>
      <c r="D980" t="s">
        <v>190</v>
      </c>
      <c r="E980" t="s">
        <v>48</v>
      </c>
      <c r="F980" t="s">
        <v>54</v>
      </c>
      <c r="G980">
        <v>5</v>
      </c>
      <c r="H980" t="s">
        <v>177</v>
      </c>
      <c r="I980" t="s">
        <v>55</v>
      </c>
      <c r="J980" t="s">
        <v>3007</v>
      </c>
      <c r="K980" t="s">
        <v>257</v>
      </c>
      <c r="L980" t="s">
        <v>184</v>
      </c>
      <c r="M980" s="3">
        <f t="shared" si="15"/>
        <v>7</v>
      </c>
    </row>
    <row r="981" spans="1:13" x14ac:dyDescent="0.35">
      <c r="A981" t="s">
        <v>3008</v>
      </c>
      <c r="B981" t="s">
        <v>174</v>
      </c>
      <c r="C981" t="s">
        <v>3009</v>
      </c>
      <c r="D981" t="s">
        <v>190</v>
      </c>
      <c r="E981" t="s">
        <v>43</v>
      </c>
      <c r="F981" t="s">
        <v>46</v>
      </c>
      <c r="G981">
        <v>3</v>
      </c>
      <c r="H981" t="s">
        <v>177</v>
      </c>
      <c r="I981" t="s">
        <v>47</v>
      </c>
      <c r="J981" t="s">
        <v>3010</v>
      </c>
      <c r="K981" t="s">
        <v>197</v>
      </c>
      <c r="L981" t="s">
        <v>180</v>
      </c>
      <c r="M981" s="3">
        <f t="shared" si="15"/>
        <v>4</v>
      </c>
    </row>
    <row r="982" spans="1:13" x14ac:dyDescent="0.35">
      <c r="A982" t="s">
        <v>3011</v>
      </c>
      <c r="B982" t="s">
        <v>174</v>
      </c>
      <c r="C982" t="s">
        <v>3012</v>
      </c>
      <c r="D982" t="s">
        <v>190</v>
      </c>
      <c r="E982" t="s">
        <v>39</v>
      </c>
      <c r="F982" t="s">
        <v>41</v>
      </c>
      <c r="G982">
        <v>2</v>
      </c>
      <c r="H982" t="s">
        <v>177</v>
      </c>
      <c r="I982" t="s">
        <v>42</v>
      </c>
      <c r="J982" t="s">
        <v>2432</v>
      </c>
      <c r="K982" t="s">
        <v>270</v>
      </c>
      <c r="L982" t="s">
        <v>180</v>
      </c>
      <c r="M982" s="3">
        <f t="shared" si="15"/>
        <v>3</v>
      </c>
    </row>
    <row r="983" spans="1:13" x14ac:dyDescent="0.35">
      <c r="A983" t="s">
        <v>3013</v>
      </c>
      <c r="B983" t="s">
        <v>174</v>
      </c>
      <c r="C983" t="s">
        <v>3014</v>
      </c>
      <c r="D983" t="s">
        <v>190</v>
      </c>
      <c r="E983" t="s">
        <v>41</v>
      </c>
      <c r="F983" t="s">
        <v>43</v>
      </c>
      <c r="G983">
        <v>2</v>
      </c>
      <c r="H983" t="s">
        <v>177</v>
      </c>
      <c r="I983" t="s">
        <v>44</v>
      </c>
      <c r="J983" t="s">
        <v>3015</v>
      </c>
      <c r="K983" t="s">
        <v>270</v>
      </c>
      <c r="L983" t="s">
        <v>180</v>
      </c>
      <c r="M983" s="3">
        <f t="shared" si="15"/>
        <v>3</v>
      </c>
    </row>
    <row r="984" spans="1:13" x14ac:dyDescent="0.35">
      <c r="A984" t="s">
        <v>3016</v>
      </c>
      <c r="B984" t="s">
        <v>174</v>
      </c>
      <c r="C984" t="s">
        <v>3017</v>
      </c>
      <c r="D984" t="s">
        <v>236</v>
      </c>
      <c r="E984" t="s">
        <v>39</v>
      </c>
      <c r="F984" t="s">
        <v>53</v>
      </c>
      <c r="G984">
        <v>14</v>
      </c>
      <c r="H984" t="s">
        <v>177</v>
      </c>
      <c r="I984" t="s">
        <v>54</v>
      </c>
      <c r="J984" t="s">
        <v>3018</v>
      </c>
      <c r="K984" t="s">
        <v>183</v>
      </c>
      <c r="L984" t="s">
        <v>180</v>
      </c>
      <c r="M984" s="3">
        <f t="shared" si="15"/>
        <v>15</v>
      </c>
    </row>
    <row r="985" spans="1:13" x14ac:dyDescent="0.35">
      <c r="A985" t="s">
        <v>3019</v>
      </c>
      <c r="B985" t="s">
        <v>174</v>
      </c>
      <c r="C985" t="s">
        <v>3020</v>
      </c>
      <c r="D985" t="s">
        <v>190</v>
      </c>
      <c r="E985" t="s">
        <v>51</v>
      </c>
      <c r="F985" t="s">
        <v>55</v>
      </c>
      <c r="G985">
        <v>3</v>
      </c>
      <c r="H985" t="s">
        <v>195</v>
      </c>
      <c r="J985" t="s">
        <v>3021</v>
      </c>
      <c r="K985" t="s">
        <v>219</v>
      </c>
      <c r="L985" t="s">
        <v>180</v>
      </c>
      <c r="M985" s="3" t="str">
        <f t="shared" si="15"/>
        <v/>
      </c>
    </row>
    <row r="986" spans="1:13" x14ac:dyDescent="0.35">
      <c r="A986" t="s">
        <v>3022</v>
      </c>
      <c r="B986" t="s">
        <v>174</v>
      </c>
      <c r="C986" t="s">
        <v>3023</v>
      </c>
      <c r="D986" t="s">
        <v>190</v>
      </c>
      <c r="E986" t="s">
        <v>35</v>
      </c>
      <c r="F986" t="s">
        <v>46</v>
      </c>
      <c r="G986">
        <v>11</v>
      </c>
      <c r="H986" t="s">
        <v>177</v>
      </c>
      <c r="I986" t="s">
        <v>47</v>
      </c>
      <c r="J986" t="s">
        <v>3024</v>
      </c>
      <c r="K986" t="s">
        <v>270</v>
      </c>
      <c r="L986" t="s">
        <v>184</v>
      </c>
      <c r="M986" s="3">
        <f t="shared" si="15"/>
        <v>12</v>
      </c>
    </row>
    <row r="987" spans="1:13" x14ac:dyDescent="0.35">
      <c r="A987" t="s">
        <v>3025</v>
      </c>
      <c r="B987" t="s">
        <v>174</v>
      </c>
      <c r="C987" t="s">
        <v>3026</v>
      </c>
      <c r="D987" t="s">
        <v>190</v>
      </c>
      <c r="E987" t="s">
        <v>51</v>
      </c>
      <c r="F987" t="s">
        <v>56</v>
      </c>
      <c r="G987">
        <v>4</v>
      </c>
      <c r="H987" t="s">
        <v>177</v>
      </c>
      <c r="I987" t="s">
        <v>56</v>
      </c>
      <c r="J987" t="s">
        <v>3027</v>
      </c>
      <c r="K987" t="s">
        <v>219</v>
      </c>
      <c r="L987" t="s">
        <v>180</v>
      </c>
      <c r="M987" s="3">
        <f t="shared" si="15"/>
        <v>5</v>
      </c>
    </row>
    <row r="988" spans="1:13" x14ac:dyDescent="0.35">
      <c r="A988" t="s">
        <v>3028</v>
      </c>
      <c r="B988" t="s">
        <v>174</v>
      </c>
      <c r="C988" t="s">
        <v>3029</v>
      </c>
      <c r="D988" t="s">
        <v>190</v>
      </c>
      <c r="E988" t="s">
        <v>38</v>
      </c>
      <c r="F988" t="s">
        <v>45</v>
      </c>
      <c r="G988">
        <v>7</v>
      </c>
      <c r="H988" t="s">
        <v>177</v>
      </c>
      <c r="I988" t="s">
        <v>46</v>
      </c>
      <c r="J988" t="s">
        <v>3030</v>
      </c>
      <c r="K988" t="s">
        <v>183</v>
      </c>
      <c r="L988" t="s">
        <v>180</v>
      </c>
      <c r="M988" s="3">
        <f t="shared" si="15"/>
        <v>8</v>
      </c>
    </row>
    <row r="989" spans="1:13" x14ac:dyDescent="0.35">
      <c r="A989" t="s">
        <v>3031</v>
      </c>
      <c r="B989" t="s">
        <v>174</v>
      </c>
      <c r="C989" t="s">
        <v>3032</v>
      </c>
      <c r="D989" t="s">
        <v>190</v>
      </c>
      <c r="E989" t="s">
        <v>44</v>
      </c>
      <c r="F989" t="s">
        <v>47</v>
      </c>
      <c r="G989">
        <v>3</v>
      </c>
      <c r="H989" t="s">
        <v>177</v>
      </c>
      <c r="I989" t="s">
        <v>47</v>
      </c>
      <c r="J989" t="s">
        <v>3033</v>
      </c>
      <c r="K989" t="s">
        <v>197</v>
      </c>
      <c r="L989" t="s">
        <v>180</v>
      </c>
      <c r="M989" s="3">
        <f t="shared" si="15"/>
        <v>3</v>
      </c>
    </row>
    <row r="990" spans="1:13" x14ac:dyDescent="0.35">
      <c r="A990" t="s">
        <v>3034</v>
      </c>
      <c r="B990" t="s">
        <v>174</v>
      </c>
      <c r="C990" t="s">
        <v>3035</v>
      </c>
      <c r="D990" t="s">
        <v>225</v>
      </c>
      <c r="E990" t="s">
        <v>34</v>
      </c>
      <c r="F990" t="s">
        <v>45</v>
      </c>
      <c r="G990">
        <v>10</v>
      </c>
      <c r="H990" t="s">
        <v>252</v>
      </c>
      <c r="J990" t="s">
        <v>3036</v>
      </c>
      <c r="K990" t="s">
        <v>183</v>
      </c>
      <c r="L990" t="s">
        <v>180</v>
      </c>
      <c r="M990" s="3" t="str">
        <f t="shared" si="15"/>
        <v/>
      </c>
    </row>
    <row r="991" spans="1:13" x14ac:dyDescent="0.35">
      <c r="A991" t="s">
        <v>3037</v>
      </c>
      <c r="B991" t="s">
        <v>174</v>
      </c>
      <c r="C991" t="s">
        <v>3038</v>
      </c>
      <c r="D991" t="s">
        <v>190</v>
      </c>
      <c r="E991" t="s">
        <v>40</v>
      </c>
      <c r="F991" t="s">
        <v>45</v>
      </c>
      <c r="G991">
        <v>5</v>
      </c>
      <c r="H991" t="s">
        <v>177</v>
      </c>
      <c r="I991" t="s">
        <v>45</v>
      </c>
      <c r="J991" t="s">
        <v>3039</v>
      </c>
      <c r="K991" t="s">
        <v>197</v>
      </c>
      <c r="L991" t="s">
        <v>184</v>
      </c>
      <c r="M991" s="3">
        <f t="shared" si="15"/>
        <v>5</v>
      </c>
    </row>
    <row r="992" spans="1:13" x14ac:dyDescent="0.35">
      <c r="A992" t="s">
        <v>3040</v>
      </c>
      <c r="B992" t="s">
        <v>174</v>
      </c>
      <c r="C992" t="s">
        <v>3041</v>
      </c>
      <c r="D992" t="s">
        <v>190</v>
      </c>
      <c r="E992" t="s">
        <v>36</v>
      </c>
      <c r="F992" t="s">
        <v>45</v>
      </c>
      <c r="G992">
        <v>8</v>
      </c>
      <c r="H992" t="s">
        <v>177</v>
      </c>
      <c r="I992" t="s">
        <v>45</v>
      </c>
      <c r="J992" t="s">
        <v>3042</v>
      </c>
      <c r="K992" t="s">
        <v>270</v>
      </c>
      <c r="L992" t="s">
        <v>184</v>
      </c>
      <c r="M992" s="3">
        <f t="shared" si="15"/>
        <v>9</v>
      </c>
    </row>
    <row r="993" spans="1:13" x14ac:dyDescent="0.35">
      <c r="A993" t="s">
        <v>3043</v>
      </c>
      <c r="B993" t="s">
        <v>174</v>
      </c>
      <c r="C993" t="s">
        <v>3044</v>
      </c>
      <c r="D993" t="s">
        <v>190</v>
      </c>
      <c r="E993" t="s">
        <v>44</v>
      </c>
      <c r="F993" t="s">
        <v>51</v>
      </c>
      <c r="G993">
        <v>7</v>
      </c>
      <c r="H993" t="s">
        <v>177</v>
      </c>
      <c r="I993" t="s">
        <v>52</v>
      </c>
      <c r="J993" t="s">
        <v>3045</v>
      </c>
      <c r="K993" t="s">
        <v>257</v>
      </c>
      <c r="L993" t="s">
        <v>180</v>
      </c>
      <c r="M993" s="3">
        <f t="shared" si="15"/>
        <v>8</v>
      </c>
    </row>
    <row r="994" spans="1:13" x14ac:dyDescent="0.35">
      <c r="A994" t="s">
        <v>3046</v>
      </c>
      <c r="B994" t="s">
        <v>174</v>
      </c>
      <c r="C994" t="s">
        <v>3047</v>
      </c>
      <c r="D994" t="s">
        <v>190</v>
      </c>
      <c r="E994" t="s">
        <v>44</v>
      </c>
      <c r="F994" t="s">
        <v>54</v>
      </c>
      <c r="G994">
        <v>10</v>
      </c>
      <c r="H994" t="s">
        <v>252</v>
      </c>
      <c r="J994" t="s">
        <v>3048</v>
      </c>
      <c r="K994" t="s">
        <v>257</v>
      </c>
      <c r="L994" t="s">
        <v>180</v>
      </c>
      <c r="M994" s="3" t="str">
        <f t="shared" si="15"/>
        <v/>
      </c>
    </row>
    <row r="995" spans="1:13" x14ac:dyDescent="0.35">
      <c r="A995" t="s">
        <v>3049</v>
      </c>
      <c r="B995" t="s">
        <v>174</v>
      </c>
      <c r="C995" t="s">
        <v>3050</v>
      </c>
      <c r="D995" t="s">
        <v>176</v>
      </c>
      <c r="E995" t="s">
        <v>36</v>
      </c>
      <c r="F995" t="s">
        <v>44</v>
      </c>
      <c r="G995">
        <v>8</v>
      </c>
      <c r="H995" t="s">
        <v>177</v>
      </c>
      <c r="I995" t="s">
        <v>45</v>
      </c>
      <c r="J995" t="s">
        <v>3051</v>
      </c>
      <c r="K995" t="s">
        <v>183</v>
      </c>
      <c r="L995" t="s">
        <v>180</v>
      </c>
      <c r="M995" s="3">
        <f t="shared" si="15"/>
        <v>9</v>
      </c>
    </row>
    <row r="996" spans="1:13" x14ac:dyDescent="0.35">
      <c r="A996" t="s">
        <v>3052</v>
      </c>
      <c r="B996" t="s">
        <v>174</v>
      </c>
      <c r="C996" t="s">
        <v>3053</v>
      </c>
      <c r="D996" t="s">
        <v>176</v>
      </c>
      <c r="E996" t="s">
        <v>35</v>
      </c>
      <c r="F996" t="s">
        <v>42</v>
      </c>
      <c r="G996">
        <v>7</v>
      </c>
      <c r="H996" t="s">
        <v>177</v>
      </c>
      <c r="I996" t="s">
        <v>42</v>
      </c>
      <c r="J996" t="s">
        <v>3054</v>
      </c>
      <c r="K996" t="s">
        <v>183</v>
      </c>
      <c r="L996" t="s">
        <v>180</v>
      </c>
      <c r="M996" s="3">
        <f t="shared" si="15"/>
        <v>7</v>
      </c>
    </row>
    <row r="997" spans="1:13" x14ac:dyDescent="0.35">
      <c r="A997" t="s">
        <v>3055</v>
      </c>
      <c r="B997" t="s">
        <v>174</v>
      </c>
      <c r="C997" t="s">
        <v>3056</v>
      </c>
      <c r="D997" t="s">
        <v>236</v>
      </c>
      <c r="E997" t="s">
        <v>37</v>
      </c>
      <c r="F997" t="s">
        <v>51</v>
      </c>
      <c r="G997">
        <v>15</v>
      </c>
      <c r="H997" t="s">
        <v>177</v>
      </c>
      <c r="I997" t="s">
        <v>52</v>
      </c>
      <c r="J997" t="s">
        <v>3057</v>
      </c>
      <c r="K997" t="s">
        <v>183</v>
      </c>
      <c r="L997" t="s">
        <v>180</v>
      </c>
      <c r="M997" s="3">
        <f t="shared" si="15"/>
        <v>15</v>
      </c>
    </row>
    <row r="998" spans="1:13" x14ac:dyDescent="0.35">
      <c r="A998" t="s">
        <v>3058</v>
      </c>
      <c r="B998" t="s">
        <v>174</v>
      </c>
      <c r="C998" t="s">
        <v>3059</v>
      </c>
      <c r="D998" t="s">
        <v>190</v>
      </c>
      <c r="E998" t="s">
        <v>43</v>
      </c>
      <c r="F998" t="s">
        <v>48</v>
      </c>
      <c r="G998">
        <v>5</v>
      </c>
      <c r="H998" t="s">
        <v>252</v>
      </c>
      <c r="J998" t="s">
        <v>3060</v>
      </c>
      <c r="K998" t="s">
        <v>197</v>
      </c>
      <c r="L998" t="s">
        <v>180</v>
      </c>
      <c r="M998" s="3" t="str">
        <f t="shared" si="15"/>
        <v/>
      </c>
    </row>
    <row r="999" spans="1:13" x14ac:dyDescent="0.35">
      <c r="A999" t="s">
        <v>3061</v>
      </c>
      <c r="B999" t="s">
        <v>174</v>
      </c>
      <c r="C999" t="s">
        <v>3062</v>
      </c>
      <c r="D999" t="s">
        <v>225</v>
      </c>
      <c r="E999" t="s">
        <v>33</v>
      </c>
      <c r="F999" t="s">
        <v>43</v>
      </c>
      <c r="G999">
        <v>10</v>
      </c>
      <c r="H999" t="s">
        <v>177</v>
      </c>
      <c r="I999" t="s">
        <v>43</v>
      </c>
      <c r="J999" t="s">
        <v>3063</v>
      </c>
      <c r="K999" t="s">
        <v>183</v>
      </c>
      <c r="L999" t="s">
        <v>180</v>
      </c>
      <c r="M999" s="3">
        <f t="shared" si="15"/>
        <v>10</v>
      </c>
    </row>
    <row r="1000" spans="1:13" x14ac:dyDescent="0.35">
      <c r="A1000" t="s">
        <v>3064</v>
      </c>
      <c r="B1000" t="s">
        <v>174</v>
      </c>
      <c r="C1000" t="s">
        <v>3065</v>
      </c>
      <c r="D1000" t="s">
        <v>236</v>
      </c>
      <c r="E1000" t="s">
        <v>48</v>
      </c>
      <c r="F1000" t="s">
        <v>54</v>
      </c>
      <c r="G1000">
        <v>6</v>
      </c>
      <c r="H1000" t="s">
        <v>177</v>
      </c>
      <c r="I1000" t="s">
        <v>54</v>
      </c>
      <c r="J1000" t="s">
        <v>3066</v>
      </c>
      <c r="K1000" t="s">
        <v>183</v>
      </c>
      <c r="L1000" t="s">
        <v>180</v>
      </c>
      <c r="M1000" s="3">
        <f t="shared" si="15"/>
        <v>6</v>
      </c>
    </row>
    <row r="1001" spans="1:13" x14ac:dyDescent="0.35">
      <c r="A1001" t="s">
        <v>3067</v>
      </c>
      <c r="B1001" t="s">
        <v>174</v>
      </c>
      <c r="C1001" t="s">
        <v>3068</v>
      </c>
      <c r="D1001" t="s">
        <v>225</v>
      </c>
      <c r="E1001" t="s">
        <v>1723</v>
      </c>
      <c r="F1001" t="s">
        <v>40</v>
      </c>
      <c r="G1001">
        <v>26</v>
      </c>
      <c r="H1001" t="s">
        <v>177</v>
      </c>
      <c r="I1001" t="s">
        <v>40</v>
      </c>
      <c r="J1001" t="s">
        <v>3069</v>
      </c>
      <c r="K1001" t="s">
        <v>179</v>
      </c>
      <c r="L1001" t="s">
        <v>180</v>
      </c>
      <c r="M1001" s="3">
        <f t="shared" si="15"/>
        <v>26</v>
      </c>
    </row>
    <row r="1002" spans="1:13" x14ac:dyDescent="0.35">
      <c r="A1002" t="s">
        <v>3070</v>
      </c>
      <c r="B1002" t="s">
        <v>174</v>
      </c>
      <c r="C1002" t="s">
        <v>3071</v>
      </c>
      <c r="D1002" t="s">
        <v>190</v>
      </c>
      <c r="E1002" t="s">
        <v>39</v>
      </c>
      <c r="F1002" t="s">
        <v>45</v>
      </c>
      <c r="G1002">
        <v>6</v>
      </c>
      <c r="H1002" t="s">
        <v>177</v>
      </c>
      <c r="I1002" t="s">
        <v>46</v>
      </c>
      <c r="J1002" t="s">
        <v>3072</v>
      </c>
      <c r="K1002" t="s">
        <v>270</v>
      </c>
      <c r="L1002" t="s">
        <v>180</v>
      </c>
      <c r="M1002" s="3">
        <f t="shared" si="15"/>
        <v>7</v>
      </c>
    </row>
    <row r="1003" spans="1:13" x14ac:dyDescent="0.35">
      <c r="A1003" t="s">
        <v>3073</v>
      </c>
      <c r="B1003" t="s">
        <v>174</v>
      </c>
      <c r="C1003" t="s">
        <v>3074</v>
      </c>
      <c r="D1003" t="s">
        <v>190</v>
      </c>
      <c r="E1003" t="s">
        <v>34</v>
      </c>
      <c r="F1003" t="s">
        <v>43</v>
      </c>
      <c r="G1003">
        <v>9</v>
      </c>
      <c r="H1003" t="s">
        <v>177</v>
      </c>
      <c r="I1003" t="s">
        <v>43</v>
      </c>
      <c r="J1003" t="s">
        <v>3075</v>
      </c>
      <c r="K1003" t="s">
        <v>270</v>
      </c>
      <c r="L1003" t="s">
        <v>180</v>
      </c>
      <c r="M1003" s="3">
        <f t="shared" si="15"/>
        <v>9</v>
      </c>
    </row>
    <row r="1004" spans="1:13" x14ac:dyDescent="0.35">
      <c r="A1004" t="s">
        <v>3076</v>
      </c>
      <c r="B1004" t="s">
        <v>174</v>
      </c>
      <c r="C1004" t="s">
        <v>3077</v>
      </c>
      <c r="D1004" t="s">
        <v>176</v>
      </c>
      <c r="E1004" t="s">
        <v>24</v>
      </c>
      <c r="F1004" t="s">
        <v>42</v>
      </c>
      <c r="G1004">
        <v>18</v>
      </c>
      <c r="H1004" t="s">
        <v>177</v>
      </c>
      <c r="I1004" t="s">
        <v>42</v>
      </c>
      <c r="J1004" t="s">
        <v>3078</v>
      </c>
      <c r="K1004" t="s">
        <v>183</v>
      </c>
      <c r="L1004" t="s">
        <v>180</v>
      </c>
      <c r="M1004" s="3">
        <f t="shared" si="15"/>
        <v>18</v>
      </c>
    </row>
    <row r="1005" spans="1:13" x14ac:dyDescent="0.35">
      <c r="A1005" t="s">
        <v>3079</v>
      </c>
      <c r="B1005" t="s">
        <v>174</v>
      </c>
      <c r="C1005" t="s">
        <v>3080</v>
      </c>
      <c r="D1005" t="s">
        <v>190</v>
      </c>
      <c r="E1005" t="s">
        <v>50</v>
      </c>
      <c r="F1005" t="s">
        <v>53</v>
      </c>
      <c r="G1005">
        <v>2</v>
      </c>
      <c r="H1005" t="s">
        <v>252</v>
      </c>
      <c r="J1005" t="s">
        <v>3081</v>
      </c>
      <c r="K1005" t="s">
        <v>219</v>
      </c>
      <c r="L1005" t="s">
        <v>180</v>
      </c>
      <c r="M1005" s="3" t="str">
        <f t="shared" si="15"/>
        <v/>
      </c>
    </row>
    <row r="1006" spans="1:13" x14ac:dyDescent="0.35">
      <c r="A1006" t="s">
        <v>3082</v>
      </c>
      <c r="B1006" t="s">
        <v>174</v>
      </c>
      <c r="C1006" t="s">
        <v>3083</v>
      </c>
      <c r="D1006" t="s">
        <v>236</v>
      </c>
      <c r="E1006" t="s">
        <v>46</v>
      </c>
      <c r="F1006" t="s">
        <v>48</v>
      </c>
      <c r="G1006">
        <v>2</v>
      </c>
      <c r="H1006" t="s">
        <v>177</v>
      </c>
      <c r="I1006" t="s">
        <v>49</v>
      </c>
      <c r="J1006" t="s">
        <v>3084</v>
      </c>
      <c r="K1006" t="s">
        <v>192</v>
      </c>
      <c r="L1006" t="s">
        <v>184</v>
      </c>
      <c r="M1006" s="3">
        <f t="shared" si="15"/>
        <v>3</v>
      </c>
    </row>
    <row r="1007" spans="1:13" x14ac:dyDescent="0.35">
      <c r="A1007" t="s">
        <v>3085</v>
      </c>
      <c r="B1007" t="s">
        <v>174</v>
      </c>
      <c r="C1007" t="s">
        <v>3086</v>
      </c>
      <c r="D1007" t="s">
        <v>190</v>
      </c>
      <c r="E1007" t="s">
        <v>39</v>
      </c>
      <c r="F1007" t="s">
        <v>43</v>
      </c>
      <c r="G1007">
        <v>5</v>
      </c>
      <c r="H1007" t="s">
        <v>177</v>
      </c>
      <c r="I1007" t="s">
        <v>44</v>
      </c>
      <c r="J1007" t="s">
        <v>3087</v>
      </c>
      <c r="K1007" t="s">
        <v>270</v>
      </c>
      <c r="L1007" t="s">
        <v>180</v>
      </c>
      <c r="M1007" s="3">
        <f t="shared" si="15"/>
        <v>5</v>
      </c>
    </row>
    <row r="1008" spans="1:13" x14ac:dyDescent="0.35">
      <c r="A1008" t="s">
        <v>3088</v>
      </c>
      <c r="B1008" t="s">
        <v>174</v>
      </c>
      <c r="C1008" t="s">
        <v>3089</v>
      </c>
      <c r="D1008" t="s">
        <v>190</v>
      </c>
      <c r="E1008" t="s">
        <v>44</v>
      </c>
      <c r="F1008" t="s">
        <v>56</v>
      </c>
      <c r="G1008">
        <v>12</v>
      </c>
      <c r="H1008" t="s">
        <v>177</v>
      </c>
      <c r="I1008" t="s">
        <v>56</v>
      </c>
      <c r="J1008" t="s">
        <v>3090</v>
      </c>
      <c r="K1008" t="s">
        <v>257</v>
      </c>
      <c r="L1008" t="s">
        <v>184</v>
      </c>
      <c r="M1008" s="3">
        <f t="shared" si="15"/>
        <v>12</v>
      </c>
    </row>
    <row r="1009" spans="1:13" x14ac:dyDescent="0.35">
      <c r="A1009" t="s">
        <v>3091</v>
      </c>
      <c r="B1009" t="s">
        <v>174</v>
      </c>
      <c r="C1009" t="s">
        <v>3092</v>
      </c>
      <c r="D1009" t="s">
        <v>190</v>
      </c>
      <c r="E1009" t="s">
        <v>34</v>
      </c>
      <c r="F1009" t="s">
        <v>41</v>
      </c>
      <c r="G1009">
        <v>7</v>
      </c>
      <c r="H1009" t="s">
        <v>177</v>
      </c>
      <c r="I1009" t="s">
        <v>42</v>
      </c>
      <c r="J1009" t="s">
        <v>3093</v>
      </c>
      <c r="K1009" t="s">
        <v>270</v>
      </c>
      <c r="L1009" t="s">
        <v>180</v>
      </c>
      <c r="M1009" s="3">
        <f t="shared" si="15"/>
        <v>8</v>
      </c>
    </row>
    <row r="1010" spans="1:13" x14ac:dyDescent="0.35">
      <c r="A1010" t="s">
        <v>3094</v>
      </c>
      <c r="B1010" t="s">
        <v>231</v>
      </c>
      <c r="C1010" t="s">
        <v>3095</v>
      </c>
      <c r="D1010" t="s">
        <v>225</v>
      </c>
      <c r="E1010" t="s">
        <v>32</v>
      </c>
      <c r="F1010" t="s">
        <v>46</v>
      </c>
      <c r="G1010">
        <v>14</v>
      </c>
      <c r="H1010" t="s">
        <v>195</v>
      </c>
      <c r="J1010" t="s">
        <v>3096</v>
      </c>
      <c r="K1010" t="s">
        <v>183</v>
      </c>
      <c r="L1010" t="s">
        <v>180</v>
      </c>
      <c r="M1010" s="3" t="str">
        <f t="shared" si="15"/>
        <v/>
      </c>
    </row>
    <row r="1011" spans="1:13" x14ac:dyDescent="0.35">
      <c r="A1011" t="s">
        <v>3097</v>
      </c>
      <c r="B1011" t="s">
        <v>174</v>
      </c>
      <c r="C1011" t="s">
        <v>3098</v>
      </c>
      <c r="D1011" t="s">
        <v>236</v>
      </c>
      <c r="E1011" t="s">
        <v>47</v>
      </c>
      <c r="F1011" t="s">
        <v>51</v>
      </c>
      <c r="G1011">
        <v>4</v>
      </c>
      <c r="H1011" t="s">
        <v>252</v>
      </c>
      <c r="J1011" t="s">
        <v>3099</v>
      </c>
      <c r="K1011" t="s">
        <v>183</v>
      </c>
      <c r="L1011" t="s">
        <v>184</v>
      </c>
      <c r="M1011" s="3" t="str">
        <f t="shared" si="15"/>
        <v/>
      </c>
    </row>
    <row r="1012" spans="1:13" x14ac:dyDescent="0.35">
      <c r="A1012" t="s">
        <v>3097</v>
      </c>
      <c r="B1012" t="s">
        <v>174</v>
      </c>
      <c r="C1012" t="s">
        <v>3098</v>
      </c>
      <c r="D1012" t="s">
        <v>236</v>
      </c>
      <c r="E1012" t="s">
        <v>47</v>
      </c>
      <c r="F1012" t="s">
        <v>53</v>
      </c>
      <c r="G1012">
        <v>5</v>
      </c>
      <c r="H1012" t="s">
        <v>177</v>
      </c>
      <c r="I1012" t="s">
        <v>53</v>
      </c>
      <c r="J1012" t="s">
        <v>3099</v>
      </c>
      <c r="K1012" t="s">
        <v>183</v>
      </c>
      <c r="L1012" t="s">
        <v>184</v>
      </c>
      <c r="M1012" s="3">
        <f t="shared" si="15"/>
        <v>6</v>
      </c>
    </row>
    <row r="1013" spans="1:13" x14ac:dyDescent="0.35">
      <c r="A1013" t="s">
        <v>3100</v>
      </c>
      <c r="B1013" t="s">
        <v>174</v>
      </c>
      <c r="C1013" t="s">
        <v>3101</v>
      </c>
      <c r="D1013" t="s">
        <v>225</v>
      </c>
      <c r="E1013" t="s">
        <v>41</v>
      </c>
      <c r="F1013" t="s">
        <v>50</v>
      </c>
      <c r="G1013">
        <v>8</v>
      </c>
      <c r="H1013" t="s">
        <v>252</v>
      </c>
      <c r="J1013" t="s">
        <v>3102</v>
      </c>
      <c r="K1013" t="s">
        <v>183</v>
      </c>
      <c r="L1013" t="s">
        <v>180</v>
      </c>
      <c r="M1013" s="3" t="str">
        <f t="shared" si="15"/>
        <v/>
      </c>
    </row>
    <row r="1014" spans="1:13" x14ac:dyDescent="0.35">
      <c r="A1014" t="s">
        <v>3103</v>
      </c>
      <c r="B1014" t="s">
        <v>174</v>
      </c>
      <c r="C1014" t="s">
        <v>3104</v>
      </c>
      <c r="D1014" t="s">
        <v>190</v>
      </c>
      <c r="E1014" t="s">
        <v>43</v>
      </c>
      <c r="F1014" t="s">
        <v>52</v>
      </c>
      <c r="G1014">
        <v>10</v>
      </c>
      <c r="H1014" t="s">
        <v>177</v>
      </c>
      <c r="I1014" t="s">
        <v>52</v>
      </c>
      <c r="J1014" t="s">
        <v>3105</v>
      </c>
      <c r="K1014" t="s">
        <v>197</v>
      </c>
      <c r="L1014" t="s">
        <v>180</v>
      </c>
      <c r="M1014" s="3">
        <f t="shared" si="15"/>
        <v>9</v>
      </c>
    </row>
    <row r="1015" spans="1:13" x14ac:dyDescent="0.35">
      <c r="A1015" t="s">
        <v>3106</v>
      </c>
      <c r="B1015" t="s">
        <v>174</v>
      </c>
      <c r="C1015" t="s">
        <v>3107</v>
      </c>
      <c r="D1015" t="s">
        <v>190</v>
      </c>
      <c r="E1015" t="s">
        <v>49</v>
      </c>
      <c r="F1015" t="s">
        <v>55</v>
      </c>
      <c r="G1015">
        <v>6</v>
      </c>
      <c r="H1015" t="s">
        <v>177</v>
      </c>
      <c r="I1015" t="s">
        <v>55</v>
      </c>
      <c r="J1015" t="s">
        <v>3108</v>
      </c>
      <c r="K1015" t="s">
        <v>192</v>
      </c>
      <c r="L1015" t="s">
        <v>180</v>
      </c>
      <c r="M1015" s="3">
        <f t="shared" si="15"/>
        <v>6</v>
      </c>
    </row>
    <row r="1016" spans="1:13" x14ac:dyDescent="0.35">
      <c r="A1016" t="s">
        <v>3109</v>
      </c>
      <c r="B1016" t="s">
        <v>174</v>
      </c>
      <c r="C1016" t="s">
        <v>3110</v>
      </c>
      <c r="D1016" t="s">
        <v>190</v>
      </c>
      <c r="E1016" t="s">
        <v>33</v>
      </c>
      <c r="F1016" t="s">
        <v>46</v>
      </c>
      <c r="G1016">
        <v>13</v>
      </c>
      <c r="H1016" t="s">
        <v>177</v>
      </c>
      <c r="I1016" t="s">
        <v>47</v>
      </c>
      <c r="J1016" t="s">
        <v>3111</v>
      </c>
      <c r="K1016" t="s">
        <v>270</v>
      </c>
      <c r="L1016" t="s">
        <v>180</v>
      </c>
      <c r="M1016" s="3">
        <f t="shared" si="15"/>
        <v>14</v>
      </c>
    </row>
    <row r="1017" spans="1:13" x14ac:dyDescent="0.35">
      <c r="A1017" t="s">
        <v>3112</v>
      </c>
      <c r="B1017" t="s">
        <v>174</v>
      </c>
      <c r="C1017" t="s">
        <v>3113</v>
      </c>
      <c r="D1017" t="s">
        <v>225</v>
      </c>
      <c r="E1017" t="s">
        <v>42</v>
      </c>
      <c r="F1017" t="s">
        <v>51</v>
      </c>
      <c r="G1017">
        <v>9</v>
      </c>
      <c r="H1017" t="s">
        <v>177</v>
      </c>
      <c r="I1017" t="s">
        <v>52</v>
      </c>
      <c r="J1017" t="s">
        <v>3114</v>
      </c>
      <c r="K1017" t="s">
        <v>183</v>
      </c>
      <c r="L1017" t="s">
        <v>180</v>
      </c>
      <c r="M1017" s="3">
        <f t="shared" si="15"/>
        <v>10</v>
      </c>
    </row>
    <row r="1018" spans="1:13" x14ac:dyDescent="0.35">
      <c r="A1018" t="s">
        <v>3115</v>
      </c>
      <c r="B1018" t="s">
        <v>174</v>
      </c>
      <c r="C1018" t="s">
        <v>3116</v>
      </c>
      <c r="D1018" t="s">
        <v>190</v>
      </c>
      <c r="E1018" t="s">
        <v>44</v>
      </c>
      <c r="F1018" t="s">
        <v>55</v>
      </c>
      <c r="G1018">
        <v>11</v>
      </c>
      <c r="H1018" t="s">
        <v>177</v>
      </c>
      <c r="I1018" t="s">
        <v>55</v>
      </c>
      <c r="J1018" t="s">
        <v>3117</v>
      </c>
      <c r="K1018" t="s">
        <v>257</v>
      </c>
      <c r="L1018" t="s">
        <v>180</v>
      </c>
      <c r="M1018" s="3">
        <f t="shared" si="15"/>
        <v>11</v>
      </c>
    </row>
    <row r="1019" spans="1:13" x14ac:dyDescent="0.35">
      <c r="A1019" t="s">
        <v>3118</v>
      </c>
      <c r="B1019" t="s">
        <v>174</v>
      </c>
      <c r="C1019" t="s">
        <v>3119</v>
      </c>
      <c r="D1019" t="s">
        <v>190</v>
      </c>
      <c r="E1019" t="s">
        <v>39</v>
      </c>
      <c r="F1019" t="s">
        <v>47</v>
      </c>
      <c r="G1019">
        <v>9</v>
      </c>
      <c r="H1019" t="s">
        <v>177</v>
      </c>
      <c r="I1019" t="s">
        <v>47</v>
      </c>
      <c r="J1019" t="s">
        <v>3120</v>
      </c>
      <c r="K1019" t="s">
        <v>270</v>
      </c>
      <c r="L1019" t="s">
        <v>180</v>
      </c>
      <c r="M1019" s="3">
        <f t="shared" si="15"/>
        <v>8</v>
      </c>
    </row>
    <row r="1020" spans="1:13" x14ac:dyDescent="0.35">
      <c r="A1020" t="s">
        <v>3118</v>
      </c>
      <c r="B1020" t="s">
        <v>174</v>
      </c>
      <c r="C1020" t="s">
        <v>3119</v>
      </c>
      <c r="D1020" t="s">
        <v>190</v>
      </c>
      <c r="E1020" t="s">
        <v>39</v>
      </c>
      <c r="F1020" t="s">
        <v>54</v>
      </c>
      <c r="G1020">
        <v>16</v>
      </c>
      <c r="H1020" t="s">
        <v>177</v>
      </c>
      <c r="I1020" t="s">
        <v>54</v>
      </c>
      <c r="J1020" t="s">
        <v>3120</v>
      </c>
      <c r="K1020" t="s">
        <v>270</v>
      </c>
      <c r="L1020" t="s">
        <v>180</v>
      </c>
      <c r="M1020" s="3">
        <f t="shared" si="15"/>
        <v>15</v>
      </c>
    </row>
    <row r="1021" spans="1:13" x14ac:dyDescent="0.35">
      <c r="A1021" t="s">
        <v>3121</v>
      </c>
      <c r="B1021" t="s">
        <v>174</v>
      </c>
      <c r="C1021" t="s">
        <v>3122</v>
      </c>
      <c r="D1021" t="s">
        <v>190</v>
      </c>
      <c r="E1021" t="s">
        <v>35</v>
      </c>
      <c r="F1021" t="s">
        <v>43</v>
      </c>
      <c r="G1021">
        <v>9</v>
      </c>
      <c r="H1021" t="s">
        <v>177</v>
      </c>
      <c r="I1021" t="s">
        <v>44</v>
      </c>
      <c r="J1021" t="s">
        <v>3123</v>
      </c>
      <c r="K1021" t="s">
        <v>183</v>
      </c>
      <c r="L1021" t="s">
        <v>180</v>
      </c>
      <c r="M1021" s="3">
        <f t="shared" si="15"/>
        <v>9</v>
      </c>
    </row>
    <row r="1022" spans="1:13" x14ac:dyDescent="0.35">
      <c r="A1022" t="s">
        <v>3124</v>
      </c>
      <c r="B1022" t="s">
        <v>174</v>
      </c>
      <c r="C1022" t="s">
        <v>3125</v>
      </c>
      <c r="D1022" t="s">
        <v>190</v>
      </c>
      <c r="E1022" t="s">
        <v>50</v>
      </c>
      <c r="F1022" t="s">
        <v>55</v>
      </c>
      <c r="G1022">
        <v>4</v>
      </c>
      <c r="H1022" t="s">
        <v>177</v>
      </c>
      <c r="I1022" t="s">
        <v>55</v>
      </c>
      <c r="J1022" t="s">
        <v>3126</v>
      </c>
      <c r="K1022" t="s">
        <v>183</v>
      </c>
      <c r="L1022" t="s">
        <v>184</v>
      </c>
      <c r="M1022" s="3">
        <f t="shared" si="15"/>
        <v>5</v>
      </c>
    </row>
    <row r="1023" spans="1:13" x14ac:dyDescent="0.35">
      <c r="A1023" t="s">
        <v>3127</v>
      </c>
      <c r="B1023" t="s">
        <v>174</v>
      </c>
      <c r="C1023" t="s">
        <v>3128</v>
      </c>
      <c r="D1023" t="s">
        <v>190</v>
      </c>
      <c r="E1023" t="s">
        <v>45</v>
      </c>
      <c r="F1023" t="s">
        <v>49</v>
      </c>
      <c r="G1023">
        <v>4</v>
      </c>
      <c r="H1023" t="s">
        <v>195</v>
      </c>
      <c r="J1023" t="s">
        <v>3129</v>
      </c>
      <c r="K1023" t="s">
        <v>257</v>
      </c>
      <c r="L1023" t="s">
        <v>180</v>
      </c>
      <c r="M1023" s="3" t="str">
        <f t="shared" si="15"/>
        <v/>
      </c>
    </row>
    <row r="1024" spans="1:13" x14ac:dyDescent="0.35">
      <c r="A1024" t="s">
        <v>3130</v>
      </c>
      <c r="B1024" t="s">
        <v>174</v>
      </c>
      <c r="C1024" t="s">
        <v>3131</v>
      </c>
      <c r="D1024" t="s">
        <v>190</v>
      </c>
      <c r="E1024" t="s">
        <v>41</v>
      </c>
      <c r="F1024" t="s">
        <v>43</v>
      </c>
      <c r="G1024">
        <v>2</v>
      </c>
      <c r="H1024" t="s">
        <v>177</v>
      </c>
      <c r="I1024" t="s">
        <v>43</v>
      </c>
      <c r="J1024" t="s">
        <v>3132</v>
      </c>
      <c r="K1024" t="s">
        <v>197</v>
      </c>
      <c r="L1024" t="s">
        <v>184</v>
      </c>
      <c r="M1024" s="3">
        <f t="shared" si="15"/>
        <v>2</v>
      </c>
    </row>
    <row r="1025" spans="1:13" x14ac:dyDescent="0.35">
      <c r="A1025" t="s">
        <v>3133</v>
      </c>
      <c r="B1025" t="s">
        <v>174</v>
      </c>
      <c r="C1025" t="s">
        <v>3134</v>
      </c>
      <c r="D1025" t="s">
        <v>190</v>
      </c>
      <c r="E1025" t="s">
        <v>39</v>
      </c>
      <c r="F1025" t="s">
        <v>42</v>
      </c>
      <c r="G1025">
        <v>3</v>
      </c>
      <c r="H1025" t="s">
        <v>177</v>
      </c>
      <c r="I1025" t="s">
        <v>43</v>
      </c>
      <c r="J1025" t="s">
        <v>1798</v>
      </c>
      <c r="K1025" t="s">
        <v>270</v>
      </c>
      <c r="L1025" t="s">
        <v>180</v>
      </c>
      <c r="M1025" s="3">
        <f t="shared" si="15"/>
        <v>4</v>
      </c>
    </row>
    <row r="1026" spans="1:13" x14ac:dyDescent="0.35">
      <c r="A1026" t="s">
        <v>3135</v>
      </c>
      <c r="B1026" t="s">
        <v>174</v>
      </c>
      <c r="C1026" t="s">
        <v>3136</v>
      </c>
      <c r="D1026" t="s">
        <v>190</v>
      </c>
      <c r="E1026" t="s">
        <v>40</v>
      </c>
      <c r="F1026" t="s">
        <v>50</v>
      </c>
      <c r="G1026">
        <v>10</v>
      </c>
      <c r="H1026" t="s">
        <v>252</v>
      </c>
      <c r="J1026" t="s">
        <v>3137</v>
      </c>
      <c r="K1026" t="s">
        <v>270</v>
      </c>
      <c r="L1026" t="s">
        <v>184</v>
      </c>
      <c r="M1026" s="3" t="str">
        <f t="shared" si="15"/>
        <v/>
      </c>
    </row>
    <row r="1027" spans="1:13" x14ac:dyDescent="0.35">
      <c r="A1027" t="s">
        <v>3138</v>
      </c>
      <c r="B1027" t="s">
        <v>174</v>
      </c>
      <c r="C1027" t="s">
        <v>3139</v>
      </c>
      <c r="D1027" t="s">
        <v>190</v>
      </c>
      <c r="E1027" t="s">
        <v>40</v>
      </c>
      <c r="F1027" t="s">
        <v>48</v>
      </c>
      <c r="G1027">
        <v>8</v>
      </c>
      <c r="H1027" t="s">
        <v>195</v>
      </c>
      <c r="J1027" t="s">
        <v>3140</v>
      </c>
      <c r="K1027" t="s">
        <v>197</v>
      </c>
      <c r="L1027" t="s">
        <v>180</v>
      </c>
      <c r="M1027" s="3" t="str">
        <f t="shared" ref="M1027:M1090" si="16">IF(H1027="Efectivo",IFERROR((VALUE(RIGHT(I1027,4))-VALUE(RIGHT(E1027,4)))*12+(VALUE(LEFT(I1027,2))-VALUE(LEFT(E1027,2))),""),"")</f>
        <v/>
      </c>
    </row>
    <row r="1028" spans="1:13" x14ac:dyDescent="0.35">
      <c r="A1028" t="s">
        <v>3141</v>
      </c>
      <c r="B1028" t="s">
        <v>174</v>
      </c>
      <c r="C1028" t="s">
        <v>3142</v>
      </c>
      <c r="D1028" t="s">
        <v>225</v>
      </c>
      <c r="E1028" t="s">
        <v>45</v>
      </c>
      <c r="F1028" t="s">
        <v>53</v>
      </c>
      <c r="G1028">
        <v>8</v>
      </c>
      <c r="H1028" t="s">
        <v>177</v>
      </c>
      <c r="I1028" t="s">
        <v>54</v>
      </c>
      <c r="J1028" t="s">
        <v>3143</v>
      </c>
      <c r="K1028" t="s">
        <v>183</v>
      </c>
      <c r="L1028" t="s">
        <v>180</v>
      </c>
      <c r="M1028" s="3">
        <f t="shared" si="16"/>
        <v>9</v>
      </c>
    </row>
    <row r="1029" spans="1:13" x14ac:dyDescent="0.35">
      <c r="A1029" t="s">
        <v>3144</v>
      </c>
      <c r="B1029" t="s">
        <v>174</v>
      </c>
      <c r="C1029" t="s">
        <v>3145</v>
      </c>
      <c r="D1029" t="s">
        <v>190</v>
      </c>
      <c r="E1029" t="s">
        <v>22</v>
      </c>
      <c r="F1029" t="s">
        <v>47</v>
      </c>
      <c r="G1029">
        <v>25</v>
      </c>
      <c r="H1029" t="s">
        <v>177</v>
      </c>
      <c r="I1029" t="s">
        <v>48</v>
      </c>
      <c r="J1029" t="s">
        <v>3146</v>
      </c>
      <c r="K1029" t="s">
        <v>179</v>
      </c>
      <c r="L1029" t="s">
        <v>180</v>
      </c>
      <c r="M1029" s="3">
        <f t="shared" si="16"/>
        <v>26</v>
      </c>
    </row>
    <row r="1030" spans="1:13" x14ac:dyDescent="0.35">
      <c r="A1030" t="s">
        <v>3147</v>
      </c>
      <c r="B1030" t="s">
        <v>174</v>
      </c>
      <c r="C1030" t="s">
        <v>3148</v>
      </c>
      <c r="D1030" t="s">
        <v>190</v>
      </c>
      <c r="E1030" t="s">
        <v>51</v>
      </c>
      <c r="F1030" t="s">
        <v>53</v>
      </c>
      <c r="G1030">
        <v>2</v>
      </c>
      <c r="H1030" t="s">
        <v>177</v>
      </c>
      <c r="I1030" t="s">
        <v>55</v>
      </c>
      <c r="J1030" t="s">
        <v>3149</v>
      </c>
      <c r="K1030" t="s">
        <v>219</v>
      </c>
      <c r="L1030" t="s">
        <v>180</v>
      </c>
      <c r="M1030" s="3">
        <f t="shared" si="16"/>
        <v>4</v>
      </c>
    </row>
    <row r="1031" spans="1:13" x14ac:dyDescent="0.35">
      <c r="A1031" t="s">
        <v>3150</v>
      </c>
      <c r="B1031" t="s">
        <v>174</v>
      </c>
      <c r="C1031" t="s">
        <v>3151</v>
      </c>
      <c r="D1031" t="s">
        <v>190</v>
      </c>
      <c r="E1031" t="s">
        <v>39</v>
      </c>
      <c r="F1031" t="s">
        <v>45</v>
      </c>
      <c r="G1031">
        <v>7</v>
      </c>
      <c r="H1031" t="s">
        <v>177</v>
      </c>
      <c r="I1031" t="s">
        <v>46</v>
      </c>
      <c r="J1031" t="s">
        <v>3152</v>
      </c>
      <c r="K1031" t="s">
        <v>270</v>
      </c>
      <c r="L1031" t="s">
        <v>184</v>
      </c>
      <c r="M1031" s="3">
        <f t="shared" si="16"/>
        <v>7</v>
      </c>
    </row>
    <row r="1032" spans="1:13" x14ac:dyDescent="0.35">
      <c r="A1032" t="s">
        <v>3153</v>
      </c>
      <c r="B1032" t="s">
        <v>174</v>
      </c>
      <c r="C1032" t="s">
        <v>3154</v>
      </c>
      <c r="D1032" t="s">
        <v>176</v>
      </c>
      <c r="E1032" t="s">
        <v>50</v>
      </c>
      <c r="F1032" t="s">
        <v>55</v>
      </c>
      <c r="G1032">
        <v>5</v>
      </c>
      <c r="H1032" t="s">
        <v>177</v>
      </c>
      <c r="I1032" t="s">
        <v>55</v>
      </c>
      <c r="J1032" t="s">
        <v>3155</v>
      </c>
      <c r="K1032" t="s">
        <v>183</v>
      </c>
      <c r="L1032" t="s">
        <v>180</v>
      </c>
      <c r="M1032" s="3">
        <f t="shared" si="16"/>
        <v>5</v>
      </c>
    </row>
    <row r="1033" spans="1:13" x14ac:dyDescent="0.35">
      <c r="A1033" t="s">
        <v>3156</v>
      </c>
      <c r="B1033" t="s">
        <v>174</v>
      </c>
      <c r="C1033" t="s">
        <v>3157</v>
      </c>
      <c r="D1033" t="s">
        <v>190</v>
      </c>
      <c r="E1033" t="s">
        <v>37</v>
      </c>
      <c r="F1033" t="s">
        <v>43</v>
      </c>
      <c r="G1033">
        <v>6</v>
      </c>
      <c r="H1033" t="s">
        <v>177</v>
      </c>
      <c r="I1033" t="s">
        <v>43</v>
      </c>
      <c r="J1033" t="s">
        <v>3158</v>
      </c>
      <c r="K1033" t="s">
        <v>270</v>
      </c>
      <c r="L1033" t="s">
        <v>184</v>
      </c>
      <c r="M1033" s="3">
        <f t="shared" si="16"/>
        <v>6</v>
      </c>
    </row>
    <row r="1034" spans="1:13" x14ac:dyDescent="0.35">
      <c r="A1034" t="s">
        <v>3159</v>
      </c>
      <c r="B1034" t="s">
        <v>174</v>
      </c>
      <c r="C1034" t="s">
        <v>3160</v>
      </c>
      <c r="D1034" t="s">
        <v>190</v>
      </c>
      <c r="E1034" t="s">
        <v>46</v>
      </c>
      <c r="F1034" t="s">
        <v>53</v>
      </c>
      <c r="G1034">
        <v>7</v>
      </c>
      <c r="H1034" t="s">
        <v>177</v>
      </c>
      <c r="I1034" t="s">
        <v>53</v>
      </c>
      <c r="J1034" t="s">
        <v>3161</v>
      </c>
      <c r="K1034" t="s">
        <v>257</v>
      </c>
      <c r="L1034" t="s">
        <v>180</v>
      </c>
      <c r="M1034" s="3">
        <f t="shared" si="16"/>
        <v>7</v>
      </c>
    </row>
    <row r="1035" spans="1:13" x14ac:dyDescent="0.35">
      <c r="A1035" t="s">
        <v>3162</v>
      </c>
      <c r="B1035" t="s">
        <v>174</v>
      </c>
      <c r="C1035" t="s">
        <v>3163</v>
      </c>
      <c r="D1035" t="s">
        <v>190</v>
      </c>
      <c r="E1035" t="s">
        <v>50</v>
      </c>
      <c r="F1035" t="s">
        <v>52</v>
      </c>
      <c r="G1035">
        <v>2</v>
      </c>
      <c r="H1035" t="s">
        <v>177</v>
      </c>
      <c r="I1035" t="s">
        <v>53</v>
      </c>
      <c r="J1035" t="s">
        <v>3164</v>
      </c>
      <c r="K1035" t="s">
        <v>183</v>
      </c>
      <c r="L1035" t="s">
        <v>180</v>
      </c>
      <c r="M1035" s="3">
        <f t="shared" si="16"/>
        <v>3</v>
      </c>
    </row>
    <row r="1036" spans="1:13" x14ac:dyDescent="0.35">
      <c r="A1036" t="s">
        <v>3165</v>
      </c>
      <c r="B1036" t="s">
        <v>174</v>
      </c>
      <c r="C1036" t="s">
        <v>3166</v>
      </c>
      <c r="D1036" t="s">
        <v>190</v>
      </c>
      <c r="E1036" t="s">
        <v>41</v>
      </c>
      <c r="F1036" t="s">
        <v>50</v>
      </c>
      <c r="G1036">
        <v>9</v>
      </c>
      <c r="H1036" t="s">
        <v>195</v>
      </c>
      <c r="J1036" t="s">
        <v>3167</v>
      </c>
      <c r="K1036" t="s">
        <v>183</v>
      </c>
      <c r="L1036" t="s">
        <v>180</v>
      </c>
      <c r="M1036" s="3" t="str">
        <f t="shared" si="16"/>
        <v/>
      </c>
    </row>
    <row r="1037" spans="1:13" x14ac:dyDescent="0.35">
      <c r="A1037" t="s">
        <v>3168</v>
      </c>
      <c r="B1037" t="s">
        <v>174</v>
      </c>
      <c r="C1037" t="s">
        <v>3169</v>
      </c>
      <c r="D1037" t="s">
        <v>190</v>
      </c>
      <c r="E1037" t="s">
        <v>45</v>
      </c>
      <c r="F1037" t="s">
        <v>52</v>
      </c>
      <c r="G1037">
        <v>7</v>
      </c>
      <c r="H1037" t="s">
        <v>177</v>
      </c>
      <c r="I1037" t="s">
        <v>54</v>
      </c>
      <c r="J1037" t="s">
        <v>3170</v>
      </c>
      <c r="K1037" t="s">
        <v>183</v>
      </c>
      <c r="L1037" t="s">
        <v>180</v>
      </c>
      <c r="M1037" s="3">
        <f t="shared" si="16"/>
        <v>9</v>
      </c>
    </row>
    <row r="1038" spans="1:13" x14ac:dyDescent="0.35">
      <c r="A1038" t="s">
        <v>3171</v>
      </c>
      <c r="B1038" t="s">
        <v>174</v>
      </c>
      <c r="C1038" t="s">
        <v>3172</v>
      </c>
      <c r="D1038" t="s">
        <v>190</v>
      </c>
      <c r="E1038" t="s">
        <v>46</v>
      </c>
      <c r="F1038" t="s">
        <v>56</v>
      </c>
      <c r="G1038">
        <v>10</v>
      </c>
      <c r="H1038" t="s">
        <v>195</v>
      </c>
      <c r="J1038" t="s">
        <v>3173</v>
      </c>
      <c r="K1038" t="s">
        <v>257</v>
      </c>
      <c r="L1038" t="s">
        <v>184</v>
      </c>
      <c r="M1038" s="3" t="str">
        <f t="shared" si="16"/>
        <v/>
      </c>
    </row>
    <row r="1039" spans="1:13" x14ac:dyDescent="0.35">
      <c r="A1039" t="s">
        <v>3174</v>
      </c>
      <c r="B1039" t="s">
        <v>174</v>
      </c>
      <c r="C1039" t="s">
        <v>3175</v>
      </c>
      <c r="D1039" t="s">
        <v>236</v>
      </c>
      <c r="E1039" t="s">
        <v>46</v>
      </c>
      <c r="F1039" t="s">
        <v>54</v>
      </c>
      <c r="G1039">
        <v>8</v>
      </c>
      <c r="H1039" t="s">
        <v>177</v>
      </c>
      <c r="I1039" t="s">
        <v>55</v>
      </c>
      <c r="J1039" t="s">
        <v>3176</v>
      </c>
      <c r="K1039" t="s">
        <v>192</v>
      </c>
      <c r="L1039" t="s">
        <v>184</v>
      </c>
      <c r="M1039" s="3">
        <f t="shared" si="16"/>
        <v>9</v>
      </c>
    </row>
    <row r="1040" spans="1:13" x14ac:dyDescent="0.35">
      <c r="A1040" t="s">
        <v>3177</v>
      </c>
      <c r="B1040" t="s">
        <v>174</v>
      </c>
      <c r="C1040" t="s">
        <v>3178</v>
      </c>
      <c r="D1040" t="s">
        <v>176</v>
      </c>
      <c r="E1040" t="s">
        <v>48</v>
      </c>
      <c r="F1040" t="s">
        <v>55</v>
      </c>
      <c r="G1040">
        <v>7</v>
      </c>
      <c r="H1040" t="s">
        <v>177</v>
      </c>
      <c r="I1040" t="s">
        <v>55</v>
      </c>
      <c r="J1040" t="s">
        <v>3179</v>
      </c>
      <c r="K1040" t="s">
        <v>183</v>
      </c>
      <c r="L1040" t="s">
        <v>180</v>
      </c>
      <c r="M1040" s="3">
        <f t="shared" si="16"/>
        <v>7</v>
      </c>
    </row>
    <row r="1041" spans="1:13" x14ac:dyDescent="0.35">
      <c r="A1041" t="s">
        <v>3180</v>
      </c>
      <c r="B1041" t="s">
        <v>174</v>
      </c>
      <c r="C1041" t="s">
        <v>3181</v>
      </c>
      <c r="D1041" t="s">
        <v>190</v>
      </c>
      <c r="E1041" t="s">
        <v>35</v>
      </c>
      <c r="F1041" t="s">
        <v>45</v>
      </c>
      <c r="G1041">
        <v>9</v>
      </c>
      <c r="H1041" t="s">
        <v>177</v>
      </c>
      <c r="I1041" t="s">
        <v>45</v>
      </c>
      <c r="J1041" t="s">
        <v>3182</v>
      </c>
      <c r="K1041" t="s">
        <v>270</v>
      </c>
      <c r="L1041" t="s">
        <v>184</v>
      </c>
      <c r="M1041" s="3">
        <f t="shared" si="16"/>
        <v>10</v>
      </c>
    </row>
    <row r="1042" spans="1:13" x14ac:dyDescent="0.35">
      <c r="A1042" t="s">
        <v>3183</v>
      </c>
      <c r="B1042" t="s">
        <v>174</v>
      </c>
      <c r="C1042" t="s">
        <v>3184</v>
      </c>
      <c r="D1042" t="s">
        <v>225</v>
      </c>
      <c r="E1042" t="s">
        <v>41</v>
      </c>
      <c r="F1042" t="s">
        <v>48</v>
      </c>
      <c r="G1042">
        <v>7</v>
      </c>
      <c r="H1042" t="s">
        <v>177</v>
      </c>
      <c r="I1042" t="s">
        <v>48</v>
      </c>
      <c r="J1042" t="s">
        <v>3185</v>
      </c>
      <c r="K1042" t="s">
        <v>183</v>
      </c>
      <c r="L1042" t="s">
        <v>180</v>
      </c>
      <c r="M1042" s="3">
        <f t="shared" si="16"/>
        <v>7</v>
      </c>
    </row>
    <row r="1043" spans="1:13" x14ac:dyDescent="0.35">
      <c r="A1043" t="s">
        <v>3186</v>
      </c>
      <c r="B1043" t="s">
        <v>174</v>
      </c>
      <c r="C1043" t="s">
        <v>3187</v>
      </c>
      <c r="D1043" t="s">
        <v>190</v>
      </c>
      <c r="E1043" t="s">
        <v>46</v>
      </c>
      <c r="F1043" t="s">
        <v>53</v>
      </c>
      <c r="G1043">
        <v>7</v>
      </c>
      <c r="H1043" t="s">
        <v>177</v>
      </c>
      <c r="I1043" t="s">
        <v>55</v>
      </c>
      <c r="J1043" t="s">
        <v>3188</v>
      </c>
      <c r="K1043" t="s">
        <v>257</v>
      </c>
      <c r="L1043" t="s">
        <v>180</v>
      </c>
      <c r="M1043" s="3">
        <f t="shared" si="16"/>
        <v>9</v>
      </c>
    </row>
    <row r="1044" spans="1:13" x14ac:dyDescent="0.35">
      <c r="A1044" t="s">
        <v>3189</v>
      </c>
      <c r="B1044" t="s">
        <v>174</v>
      </c>
      <c r="C1044" t="s">
        <v>3190</v>
      </c>
      <c r="D1044" t="s">
        <v>190</v>
      </c>
      <c r="E1044" t="s">
        <v>46</v>
      </c>
      <c r="F1044" t="s">
        <v>49</v>
      </c>
      <c r="G1044">
        <v>3</v>
      </c>
      <c r="H1044" t="s">
        <v>177</v>
      </c>
      <c r="I1044" t="s">
        <v>54</v>
      </c>
      <c r="J1044" t="s">
        <v>3191</v>
      </c>
      <c r="K1044" t="s">
        <v>257</v>
      </c>
      <c r="L1044" t="s">
        <v>180</v>
      </c>
      <c r="M1044" s="3">
        <f t="shared" si="16"/>
        <v>8</v>
      </c>
    </row>
    <row r="1045" spans="1:13" x14ac:dyDescent="0.35">
      <c r="A1045" t="s">
        <v>3192</v>
      </c>
      <c r="B1045" t="s">
        <v>174</v>
      </c>
      <c r="C1045" t="s">
        <v>3193</v>
      </c>
      <c r="D1045" t="s">
        <v>190</v>
      </c>
      <c r="E1045" t="s">
        <v>38</v>
      </c>
      <c r="F1045" t="s">
        <v>43</v>
      </c>
      <c r="G1045">
        <v>5</v>
      </c>
      <c r="H1045" t="s">
        <v>177</v>
      </c>
      <c r="I1045" t="s">
        <v>44</v>
      </c>
      <c r="J1045" t="s">
        <v>1991</v>
      </c>
      <c r="K1045" t="s">
        <v>270</v>
      </c>
      <c r="L1045" t="s">
        <v>180</v>
      </c>
      <c r="M1045" s="3">
        <f t="shared" si="16"/>
        <v>6</v>
      </c>
    </row>
    <row r="1046" spans="1:13" x14ac:dyDescent="0.35">
      <c r="A1046" t="s">
        <v>3194</v>
      </c>
      <c r="B1046" t="s">
        <v>174</v>
      </c>
      <c r="C1046" t="s">
        <v>3195</v>
      </c>
      <c r="D1046" t="s">
        <v>176</v>
      </c>
      <c r="E1046" t="s">
        <v>34</v>
      </c>
      <c r="F1046" t="s">
        <v>53</v>
      </c>
      <c r="G1046">
        <v>18</v>
      </c>
      <c r="H1046" t="s">
        <v>177</v>
      </c>
      <c r="I1046" t="s">
        <v>53</v>
      </c>
      <c r="J1046" t="s">
        <v>3196</v>
      </c>
      <c r="K1046" t="s">
        <v>183</v>
      </c>
      <c r="L1046" t="s">
        <v>180</v>
      </c>
      <c r="M1046" s="3">
        <f t="shared" si="16"/>
        <v>19</v>
      </c>
    </row>
    <row r="1047" spans="1:13" x14ac:dyDescent="0.35">
      <c r="A1047" t="s">
        <v>3197</v>
      </c>
      <c r="B1047" t="s">
        <v>174</v>
      </c>
      <c r="C1047" t="s">
        <v>3198</v>
      </c>
      <c r="D1047" t="s">
        <v>190</v>
      </c>
      <c r="E1047" t="s">
        <v>47</v>
      </c>
      <c r="F1047" t="s">
        <v>53</v>
      </c>
      <c r="G1047">
        <v>5</v>
      </c>
      <c r="H1047" t="s">
        <v>177</v>
      </c>
      <c r="I1047" t="s">
        <v>55</v>
      </c>
      <c r="J1047" t="s">
        <v>3199</v>
      </c>
      <c r="K1047" t="s">
        <v>197</v>
      </c>
      <c r="L1047" t="s">
        <v>180</v>
      </c>
      <c r="M1047" s="3">
        <f t="shared" si="16"/>
        <v>8</v>
      </c>
    </row>
    <row r="1048" spans="1:13" x14ac:dyDescent="0.35">
      <c r="A1048" t="s">
        <v>3200</v>
      </c>
      <c r="B1048" t="s">
        <v>174</v>
      </c>
      <c r="C1048" t="s">
        <v>3201</v>
      </c>
      <c r="D1048" t="s">
        <v>190</v>
      </c>
      <c r="E1048" t="s">
        <v>46</v>
      </c>
      <c r="F1048" t="s">
        <v>55</v>
      </c>
      <c r="G1048">
        <v>9</v>
      </c>
      <c r="H1048" t="s">
        <v>177</v>
      </c>
      <c r="I1048" t="s">
        <v>55</v>
      </c>
      <c r="J1048" t="s">
        <v>3202</v>
      </c>
      <c r="K1048" t="s">
        <v>197</v>
      </c>
      <c r="L1048" t="s">
        <v>180</v>
      </c>
      <c r="M1048" s="3">
        <f t="shared" si="16"/>
        <v>9</v>
      </c>
    </row>
    <row r="1049" spans="1:13" x14ac:dyDescent="0.35">
      <c r="A1049" t="s">
        <v>3203</v>
      </c>
      <c r="B1049" t="s">
        <v>174</v>
      </c>
      <c r="C1049" t="s">
        <v>3204</v>
      </c>
      <c r="D1049" t="s">
        <v>190</v>
      </c>
      <c r="E1049" t="s">
        <v>44</v>
      </c>
      <c r="F1049" t="s">
        <v>56</v>
      </c>
      <c r="G1049">
        <v>12</v>
      </c>
      <c r="H1049" t="s">
        <v>195</v>
      </c>
      <c r="J1049" t="s">
        <v>3205</v>
      </c>
      <c r="K1049" t="s">
        <v>183</v>
      </c>
      <c r="L1049" t="s">
        <v>184</v>
      </c>
      <c r="M1049" s="3" t="str">
        <f t="shared" si="16"/>
        <v/>
      </c>
    </row>
    <row r="1050" spans="1:13" x14ac:dyDescent="0.35">
      <c r="A1050" t="s">
        <v>3206</v>
      </c>
      <c r="B1050" t="s">
        <v>174</v>
      </c>
      <c r="C1050" t="s">
        <v>3207</v>
      </c>
      <c r="D1050" t="s">
        <v>190</v>
      </c>
      <c r="E1050" t="s">
        <v>46</v>
      </c>
      <c r="F1050" t="s">
        <v>51</v>
      </c>
      <c r="G1050">
        <v>5</v>
      </c>
      <c r="H1050" t="s">
        <v>177</v>
      </c>
      <c r="I1050" t="s">
        <v>52</v>
      </c>
      <c r="J1050" t="s">
        <v>3208</v>
      </c>
      <c r="K1050" t="s">
        <v>257</v>
      </c>
      <c r="L1050" t="s">
        <v>180</v>
      </c>
      <c r="M1050" s="3">
        <f t="shared" si="16"/>
        <v>6</v>
      </c>
    </row>
    <row r="1051" spans="1:13" x14ac:dyDescent="0.35">
      <c r="A1051" t="s">
        <v>3209</v>
      </c>
      <c r="B1051" t="s">
        <v>174</v>
      </c>
      <c r="C1051" t="s">
        <v>3210</v>
      </c>
      <c r="D1051" t="s">
        <v>190</v>
      </c>
      <c r="E1051" t="s">
        <v>2184</v>
      </c>
      <c r="F1051" t="s">
        <v>43</v>
      </c>
      <c r="G1051">
        <v>29</v>
      </c>
      <c r="H1051" t="s">
        <v>177</v>
      </c>
      <c r="I1051" t="s">
        <v>44</v>
      </c>
      <c r="J1051" t="s">
        <v>3211</v>
      </c>
      <c r="K1051" t="s">
        <v>425</v>
      </c>
      <c r="L1051" t="s">
        <v>180</v>
      </c>
      <c r="M1051" s="3">
        <f t="shared" si="16"/>
        <v>29</v>
      </c>
    </row>
    <row r="1052" spans="1:13" x14ac:dyDescent="0.35">
      <c r="A1052" t="s">
        <v>3212</v>
      </c>
      <c r="B1052" t="s">
        <v>174</v>
      </c>
      <c r="C1052" t="s">
        <v>3213</v>
      </c>
      <c r="D1052" t="s">
        <v>190</v>
      </c>
      <c r="E1052" t="s">
        <v>49</v>
      </c>
      <c r="F1052" t="s">
        <v>54</v>
      </c>
      <c r="G1052">
        <v>5</v>
      </c>
      <c r="H1052" t="s">
        <v>177</v>
      </c>
      <c r="I1052" t="s">
        <v>54</v>
      </c>
      <c r="J1052" t="s">
        <v>3214</v>
      </c>
      <c r="K1052" t="s">
        <v>197</v>
      </c>
      <c r="L1052" t="s">
        <v>180</v>
      </c>
      <c r="M1052" s="3">
        <f t="shared" si="16"/>
        <v>5</v>
      </c>
    </row>
    <row r="1053" spans="1:13" x14ac:dyDescent="0.35">
      <c r="A1053" t="s">
        <v>3215</v>
      </c>
      <c r="B1053" t="s">
        <v>231</v>
      </c>
      <c r="C1053" t="s">
        <v>3216</v>
      </c>
      <c r="D1053" t="s">
        <v>236</v>
      </c>
      <c r="E1053" t="s">
        <v>42</v>
      </c>
      <c r="F1053" t="s">
        <v>56</v>
      </c>
      <c r="G1053">
        <v>14</v>
      </c>
      <c r="H1053" t="s">
        <v>195</v>
      </c>
      <c r="J1053" t="s">
        <v>3217</v>
      </c>
      <c r="K1053" t="s">
        <v>183</v>
      </c>
      <c r="L1053" t="s">
        <v>184</v>
      </c>
      <c r="M1053" s="3" t="str">
        <f t="shared" si="16"/>
        <v/>
      </c>
    </row>
    <row r="1054" spans="1:13" x14ac:dyDescent="0.35">
      <c r="A1054" t="s">
        <v>3218</v>
      </c>
      <c r="B1054" t="s">
        <v>174</v>
      </c>
      <c r="C1054" t="s">
        <v>3219</v>
      </c>
      <c r="D1054" t="s">
        <v>190</v>
      </c>
      <c r="E1054" t="s">
        <v>42</v>
      </c>
      <c r="F1054" t="s">
        <v>46</v>
      </c>
      <c r="G1054">
        <v>3</v>
      </c>
      <c r="H1054" t="s">
        <v>177</v>
      </c>
      <c r="I1054" t="s">
        <v>46</v>
      </c>
      <c r="J1054" t="s">
        <v>3220</v>
      </c>
      <c r="K1054" t="s">
        <v>197</v>
      </c>
      <c r="L1054" t="s">
        <v>180</v>
      </c>
      <c r="M1054" s="3">
        <f t="shared" si="16"/>
        <v>4</v>
      </c>
    </row>
    <row r="1055" spans="1:13" x14ac:dyDescent="0.35">
      <c r="A1055" t="s">
        <v>3221</v>
      </c>
      <c r="B1055" t="s">
        <v>174</v>
      </c>
      <c r="C1055" t="s">
        <v>3222</v>
      </c>
      <c r="D1055" t="s">
        <v>190</v>
      </c>
      <c r="E1055" t="s">
        <v>39</v>
      </c>
      <c r="F1055" t="s">
        <v>46</v>
      </c>
      <c r="G1055">
        <v>7</v>
      </c>
      <c r="H1055" t="s">
        <v>177</v>
      </c>
      <c r="I1055" t="s">
        <v>46</v>
      </c>
      <c r="J1055" t="s">
        <v>3223</v>
      </c>
      <c r="K1055" t="s">
        <v>270</v>
      </c>
      <c r="L1055" t="s">
        <v>180</v>
      </c>
      <c r="M1055" s="3">
        <f t="shared" si="16"/>
        <v>7</v>
      </c>
    </row>
    <row r="1056" spans="1:13" x14ac:dyDescent="0.35">
      <c r="A1056" t="s">
        <v>3224</v>
      </c>
      <c r="B1056" t="s">
        <v>174</v>
      </c>
      <c r="C1056" t="s">
        <v>3225</v>
      </c>
      <c r="D1056" t="s">
        <v>176</v>
      </c>
      <c r="E1056" t="s">
        <v>30</v>
      </c>
      <c r="F1056" t="s">
        <v>45</v>
      </c>
      <c r="G1056">
        <v>14</v>
      </c>
      <c r="H1056" t="s">
        <v>177</v>
      </c>
      <c r="I1056" t="s">
        <v>45</v>
      </c>
      <c r="J1056" t="s">
        <v>3226</v>
      </c>
      <c r="K1056" t="s">
        <v>183</v>
      </c>
      <c r="L1056" t="s">
        <v>180</v>
      </c>
      <c r="M1056" s="3">
        <f t="shared" si="16"/>
        <v>15</v>
      </c>
    </row>
    <row r="1057" spans="1:13" x14ac:dyDescent="0.35">
      <c r="A1057" t="s">
        <v>3227</v>
      </c>
      <c r="B1057" t="s">
        <v>174</v>
      </c>
      <c r="C1057" t="s">
        <v>3228</v>
      </c>
      <c r="D1057" t="s">
        <v>190</v>
      </c>
      <c r="E1057" t="s">
        <v>41</v>
      </c>
      <c r="F1057" t="s">
        <v>45</v>
      </c>
      <c r="G1057">
        <v>3</v>
      </c>
      <c r="H1057" t="s">
        <v>177</v>
      </c>
      <c r="I1057" t="s">
        <v>45</v>
      </c>
      <c r="J1057" t="s">
        <v>3229</v>
      </c>
      <c r="K1057" t="s">
        <v>197</v>
      </c>
      <c r="L1057" t="s">
        <v>180</v>
      </c>
      <c r="M1057" s="3">
        <f t="shared" si="16"/>
        <v>4</v>
      </c>
    </row>
    <row r="1058" spans="1:13" x14ac:dyDescent="0.35">
      <c r="A1058" t="s">
        <v>3230</v>
      </c>
      <c r="B1058" t="s">
        <v>174</v>
      </c>
      <c r="C1058" t="s">
        <v>3231</v>
      </c>
      <c r="D1058" t="s">
        <v>190</v>
      </c>
      <c r="E1058" t="s">
        <v>43</v>
      </c>
      <c r="F1058" t="s">
        <v>50</v>
      </c>
      <c r="G1058">
        <v>7</v>
      </c>
      <c r="H1058" t="s">
        <v>177</v>
      </c>
      <c r="I1058" t="s">
        <v>50</v>
      </c>
      <c r="J1058" t="s">
        <v>3232</v>
      </c>
      <c r="K1058" t="s">
        <v>197</v>
      </c>
      <c r="L1058" t="s">
        <v>184</v>
      </c>
      <c r="M1058" s="3">
        <f t="shared" si="16"/>
        <v>7</v>
      </c>
    </row>
    <row r="1059" spans="1:13" x14ac:dyDescent="0.35">
      <c r="A1059" t="s">
        <v>3233</v>
      </c>
      <c r="B1059" t="s">
        <v>174</v>
      </c>
      <c r="C1059" t="s">
        <v>3234</v>
      </c>
      <c r="D1059" t="s">
        <v>236</v>
      </c>
      <c r="E1059" t="s">
        <v>39</v>
      </c>
      <c r="F1059" t="s">
        <v>48</v>
      </c>
      <c r="G1059">
        <v>9</v>
      </c>
      <c r="H1059" t="s">
        <v>177</v>
      </c>
      <c r="I1059" t="s">
        <v>49</v>
      </c>
      <c r="J1059" t="s">
        <v>3235</v>
      </c>
      <c r="K1059" t="s">
        <v>183</v>
      </c>
      <c r="L1059" t="s">
        <v>180</v>
      </c>
      <c r="M1059" s="3">
        <f t="shared" si="16"/>
        <v>10</v>
      </c>
    </row>
    <row r="1060" spans="1:13" x14ac:dyDescent="0.35">
      <c r="A1060" t="s">
        <v>3236</v>
      </c>
      <c r="B1060" t="s">
        <v>174</v>
      </c>
      <c r="C1060" t="s">
        <v>3237</v>
      </c>
      <c r="D1060" t="s">
        <v>190</v>
      </c>
      <c r="E1060" t="s">
        <v>50</v>
      </c>
      <c r="F1060" t="s">
        <v>55</v>
      </c>
      <c r="G1060">
        <v>5</v>
      </c>
      <c r="H1060" t="s">
        <v>177</v>
      </c>
      <c r="I1060" t="s">
        <v>55</v>
      </c>
      <c r="J1060" t="s">
        <v>3238</v>
      </c>
      <c r="K1060" t="s">
        <v>257</v>
      </c>
      <c r="L1060" t="s">
        <v>180</v>
      </c>
      <c r="M1060" s="3">
        <f t="shared" si="16"/>
        <v>5</v>
      </c>
    </row>
    <row r="1061" spans="1:13" x14ac:dyDescent="0.35">
      <c r="A1061" t="s">
        <v>3239</v>
      </c>
      <c r="B1061" t="s">
        <v>174</v>
      </c>
      <c r="C1061" t="s">
        <v>3240</v>
      </c>
      <c r="D1061" t="s">
        <v>190</v>
      </c>
      <c r="E1061" t="s">
        <v>39</v>
      </c>
      <c r="F1061" t="s">
        <v>55</v>
      </c>
      <c r="G1061">
        <v>16</v>
      </c>
      <c r="H1061" t="s">
        <v>177</v>
      </c>
      <c r="I1061" t="s">
        <v>55</v>
      </c>
      <c r="J1061" t="s">
        <v>3241</v>
      </c>
      <c r="K1061" t="s">
        <v>270</v>
      </c>
      <c r="L1061" t="s">
        <v>180</v>
      </c>
      <c r="M1061" s="3">
        <f t="shared" si="16"/>
        <v>16</v>
      </c>
    </row>
    <row r="1062" spans="1:13" x14ac:dyDescent="0.35">
      <c r="A1062" t="s">
        <v>3242</v>
      </c>
      <c r="B1062" t="s">
        <v>174</v>
      </c>
      <c r="C1062" t="s">
        <v>3243</v>
      </c>
      <c r="D1062" t="s">
        <v>190</v>
      </c>
      <c r="E1062" t="s">
        <v>35</v>
      </c>
      <c r="F1062" t="s">
        <v>56</v>
      </c>
      <c r="G1062">
        <v>20</v>
      </c>
      <c r="H1062" t="s">
        <v>252</v>
      </c>
      <c r="J1062" t="s">
        <v>3244</v>
      </c>
      <c r="K1062" t="s">
        <v>270</v>
      </c>
      <c r="L1062" t="s">
        <v>184</v>
      </c>
      <c r="M1062" s="3" t="str">
        <f t="shared" si="16"/>
        <v/>
      </c>
    </row>
    <row r="1063" spans="1:13" x14ac:dyDescent="0.35">
      <c r="A1063" t="s">
        <v>3245</v>
      </c>
      <c r="B1063" t="s">
        <v>174</v>
      </c>
      <c r="C1063" t="s">
        <v>3246</v>
      </c>
      <c r="D1063" t="s">
        <v>190</v>
      </c>
      <c r="E1063" t="s">
        <v>28</v>
      </c>
      <c r="F1063" t="s">
        <v>55</v>
      </c>
      <c r="G1063">
        <v>27</v>
      </c>
      <c r="H1063" t="s">
        <v>195</v>
      </c>
      <c r="J1063" t="s">
        <v>3247</v>
      </c>
      <c r="K1063" t="s">
        <v>270</v>
      </c>
      <c r="L1063" t="s">
        <v>180</v>
      </c>
      <c r="M1063" s="3" t="str">
        <f t="shared" si="16"/>
        <v/>
      </c>
    </row>
    <row r="1064" spans="1:13" x14ac:dyDescent="0.35">
      <c r="A1064" t="s">
        <v>3248</v>
      </c>
      <c r="B1064" t="s">
        <v>174</v>
      </c>
      <c r="C1064" t="s">
        <v>3249</v>
      </c>
      <c r="D1064" t="s">
        <v>225</v>
      </c>
      <c r="E1064" t="s">
        <v>32</v>
      </c>
      <c r="F1064" t="s">
        <v>47</v>
      </c>
      <c r="G1064">
        <v>15</v>
      </c>
      <c r="H1064" t="s">
        <v>252</v>
      </c>
      <c r="J1064" t="s">
        <v>3250</v>
      </c>
      <c r="K1064" t="s">
        <v>183</v>
      </c>
      <c r="L1064" t="s">
        <v>180</v>
      </c>
      <c r="M1064" s="3" t="str">
        <f t="shared" si="16"/>
        <v/>
      </c>
    </row>
    <row r="1065" spans="1:13" x14ac:dyDescent="0.35">
      <c r="A1065" t="s">
        <v>3251</v>
      </c>
      <c r="B1065" t="s">
        <v>174</v>
      </c>
      <c r="C1065" t="s">
        <v>3252</v>
      </c>
      <c r="D1065" t="s">
        <v>176</v>
      </c>
      <c r="E1065" t="s">
        <v>21</v>
      </c>
      <c r="F1065" t="s">
        <v>52</v>
      </c>
      <c r="G1065">
        <v>32</v>
      </c>
      <c r="H1065" t="s">
        <v>177</v>
      </c>
      <c r="I1065" t="s">
        <v>53</v>
      </c>
      <c r="J1065" t="s">
        <v>3253</v>
      </c>
      <c r="K1065" t="s">
        <v>179</v>
      </c>
      <c r="L1065" t="s">
        <v>180</v>
      </c>
      <c r="M1065" s="3">
        <f t="shared" si="16"/>
        <v>32</v>
      </c>
    </row>
    <row r="1066" spans="1:13" x14ac:dyDescent="0.35">
      <c r="A1066" t="s">
        <v>3254</v>
      </c>
      <c r="B1066" t="s">
        <v>174</v>
      </c>
      <c r="C1066" t="s">
        <v>3255</v>
      </c>
      <c r="D1066" t="s">
        <v>190</v>
      </c>
      <c r="E1066" t="s">
        <v>49</v>
      </c>
      <c r="F1066" t="s">
        <v>52</v>
      </c>
      <c r="G1066">
        <v>3</v>
      </c>
      <c r="H1066" t="s">
        <v>177</v>
      </c>
      <c r="I1066" t="s">
        <v>52</v>
      </c>
      <c r="J1066" t="s">
        <v>3256</v>
      </c>
      <c r="K1066" t="s">
        <v>257</v>
      </c>
      <c r="L1066" t="s">
        <v>180</v>
      </c>
      <c r="M1066" s="3">
        <f t="shared" si="16"/>
        <v>3</v>
      </c>
    </row>
    <row r="1067" spans="1:13" x14ac:dyDescent="0.35">
      <c r="A1067" t="s">
        <v>3257</v>
      </c>
      <c r="B1067" t="s">
        <v>174</v>
      </c>
      <c r="C1067" t="s">
        <v>3258</v>
      </c>
      <c r="D1067" t="s">
        <v>190</v>
      </c>
      <c r="E1067" t="s">
        <v>32</v>
      </c>
      <c r="F1067" t="s">
        <v>53</v>
      </c>
      <c r="G1067">
        <v>21</v>
      </c>
      <c r="H1067" t="s">
        <v>177</v>
      </c>
      <c r="I1067" t="s">
        <v>55</v>
      </c>
      <c r="J1067" t="s">
        <v>3259</v>
      </c>
      <c r="K1067" t="s">
        <v>270</v>
      </c>
      <c r="L1067" t="s">
        <v>180</v>
      </c>
      <c r="M1067" s="3">
        <f t="shared" si="16"/>
        <v>23</v>
      </c>
    </row>
    <row r="1068" spans="1:13" x14ac:dyDescent="0.35">
      <c r="A1068" t="s">
        <v>3260</v>
      </c>
      <c r="B1068" t="s">
        <v>174</v>
      </c>
      <c r="C1068" t="s">
        <v>3261</v>
      </c>
      <c r="D1068" t="s">
        <v>190</v>
      </c>
      <c r="E1068" t="s">
        <v>43</v>
      </c>
      <c r="F1068" t="s">
        <v>51</v>
      </c>
      <c r="G1068">
        <v>7</v>
      </c>
      <c r="H1068" t="s">
        <v>177</v>
      </c>
      <c r="I1068" t="s">
        <v>52</v>
      </c>
      <c r="J1068" t="s">
        <v>3262</v>
      </c>
      <c r="K1068" t="s">
        <v>183</v>
      </c>
      <c r="L1068" t="s">
        <v>180</v>
      </c>
      <c r="M1068" s="3">
        <f t="shared" si="16"/>
        <v>9</v>
      </c>
    </row>
    <row r="1069" spans="1:13" x14ac:dyDescent="0.35">
      <c r="A1069" t="s">
        <v>3263</v>
      </c>
      <c r="B1069" t="s">
        <v>174</v>
      </c>
      <c r="C1069" t="s">
        <v>3264</v>
      </c>
      <c r="D1069" t="s">
        <v>190</v>
      </c>
      <c r="E1069" t="s">
        <v>40</v>
      </c>
      <c r="F1069" t="s">
        <v>41</v>
      </c>
      <c r="G1069">
        <v>1</v>
      </c>
      <c r="H1069" t="s">
        <v>252</v>
      </c>
      <c r="J1069" t="s">
        <v>3265</v>
      </c>
      <c r="K1069" t="s">
        <v>197</v>
      </c>
      <c r="L1069" t="s">
        <v>180</v>
      </c>
      <c r="M1069" s="3" t="str">
        <f t="shared" si="16"/>
        <v/>
      </c>
    </row>
    <row r="1070" spans="1:13" x14ac:dyDescent="0.35">
      <c r="A1070" t="s">
        <v>3266</v>
      </c>
      <c r="B1070" t="s">
        <v>174</v>
      </c>
      <c r="C1070" t="s">
        <v>3267</v>
      </c>
      <c r="D1070" t="s">
        <v>190</v>
      </c>
      <c r="E1070" t="s">
        <v>34</v>
      </c>
      <c r="F1070" t="s">
        <v>53</v>
      </c>
      <c r="G1070">
        <v>19</v>
      </c>
      <c r="H1070" t="s">
        <v>177</v>
      </c>
      <c r="I1070" t="s">
        <v>55</v>
      </c>
      <c r="J1070" t="s">
        <v>3268</v>
      </c>
      <c r="K1070" t="s">
        <v>270</v>
      </c>
      <c r="L1070" t="s">
        <v>180</v>
      </c>
      <c r="M1070" s="3">
        <f t="shared" si="16"/>
        <v>21</v>
      </c>
    </row>
    <row r="1071" spans="1:13" x14ac:dyDescent="0.35">
      <c r="A1071" t="s">
        <v>3269</v>
      </c>
      <c r="B1071" t="s">
        <v>174</v>
      </c>
      <c r="C1071" t="s">
        <v>3270</v>
      </c>
      <c r="D1071" t="s">
        <v>236</v>
      </c>
      <c r="E1071" t="s">
        <v>47</v>
      </c>
      <c r="F1071" t="s">
        <v>56</v>
      </c>
      <c r="G1071">
        <v>9</v>
      </c>
      <c r="H1071" t="s">
        <v>195</v>
      </c>
      <c r="J1071" t="s">
        <v>3271</v>
      </c>
      <c r="K1071" t="s">
        <v>183</v>
      </c>
      <c r="L1071" t="s">
        <v>184</v>
      </c>
      <c r="M1071" s="3" t="str">
        <f t="shared" si="16"/>
        <v/>
      </c>
    </row>
    <row r="1072" spans="1:13" x14ac:dyDescent="0.35">
      <c r="A1072" t="s">
        <v>3272</v>
      </c>
      <c r="B1072" t="s">
        <v>174</v>
      </c>
      <c r="C1072" t="s">
        <v>3273</v>
      </c>
      <c r="D1072" t="s">
        <v>190</v>
      </c>
      <c r="E1072" t="s">
        <v>49</v>
      </c>
      <c r="F1072" t="s">
        <v>51</v>
      </c>
      <c r="G1072">
        <v>3</v>
      </c>
      <c r="H1072" t="s">
        <v>177</v>
      </c>
      <c r="I1072" t="s">
        <v>52</v>
      </c>
      <c r="J1072" t="s">
        <v>3274</v>
      </c>
      <c r="K1072" t="s">
        <v>257</v>
      </c>
      <c r="L1072" t="s">
        <v>180</v>
      </c>
      <c r="M1072" s="3">
        <f t="shared" si="16"/>
        <v>3</v>
      </c>
    </row>
    <row r="1073" spans="1:13" x14ac:dyDescent="0.35">
      <c r="A1073" t="s">
        <v>3275</v>
      </c>
      <c r="B1073" t="s">
        <v>174</v>
      </c>
      <c r="C1073" t="s">
        <v>3276</v>
      </c>
      <c r="D1073" t="s">
        <v>176</v>
      </c>
      <c r="E1073" t="s">
        <v>42</v>
      </c>
      <c r="F1073" t="s">
        <v>51</v>
      </c>
      <c r="G1073">
        <v>8</v>
      </c>
      <c r="H1073" t="s">
        <v>177</v>
      </c>
      <c r="I1073" t="s">
        <v>51</v>
      </c>
      <c r="J1073" t="s">
        <v>3277</v>
      </c>
      <c r="K1073" t="s">
        <v>183</v>
      </c>
      <c r="L1073" t="s">
        <v>180</v>
      </c>
      <c r="M1073" s="3">
        <f t="shared" si="16"/>
        <v>9</v>
      </c>
    </row>
    <row r="1074" spans="1:13" x14ac:dyDescent="0.35">
      <c r="A1074" t="s">
        <v>3278</v>
      </c>
      <c r="B1074" t="s">
        <v>174</v>
      </c>
      <c r="C1074" t="s">
        <v>3279</v>
      </c>
      <c r="D1074" t="s">
        <v>190</v>
      </c>
      <c r="E1074" t="s">
        <v>35</v>
      </c>
      <c r="F1074" t="s">
        <v>40</v>
      </c>
      <c r="G1074">
        <v>6</v>
      </c>
      <c r="H1074" t="s">
        <v>177</v>
      </c>
      <c r="I1074" t="s">
        <v>40</v>
      </c>
      <c r="J1074" t="s">
        <v>3280</v>
      </c>
      <c r="K1074" t="s">
        <v>270</v>
      </c>
      <c r="L1074" t="s">
        <v>180</v>
      </c>
      <c r="M1074" s="3">
        <f t="shared" si="16"/>
        <v>5</v>
      </c>
    </row>
    <row r="1075" spans="1:13" x14ac:dyDescent="0.35">
      <c r="A1075" t="s">
        <v>3281</v>
      </c>
      <c r="B1075" t="s">
        <v>174</v>
      </c>
      <c r="C1075" t="s">
        <v>3282</v>
      </c>
      <c r="D1075" t="s">
        <v>236</v>
      </c>
      <c r="E1075" t="s">
        <v>44</v>
      </c>
      <c r="F1075" t="s">
        <v>50</v>
      </c>
      <c r="G1075">
        <v>6</v>
      </c>
      <c r="H1075" t="s">
        <v>177</v>
      </c>
      <c r="I1075" t="s">
        <v>50</v>
      </c>
      <c r="J1075" t="s">
        <v>3283</v>
      </c>
      <c r="K1075" t="s">
        <v>192</v>
      </c>
      <c r="L1075" t="s">
        <v>184</v>
      </c>
      <c r="M1075" s="3">
        <f t="shared" si="16"/>
        <v>6</v>
      </c>
    </row>
    <row r="1076" spans="1:13" x14ac:dyDescent="0.35">
      <c r="A1076" t="s">
        <v>3284</v>
      </c>
      <c r="B1076" t="s">
        <v>174</v>
      </c>
      <c r="C1076" t="s">
        <v>3285</v>
      </c>
      <c r="D1076" t="s">
        <v>190</v>
      </c>
      <c r="E1076" t="s">
        <v>27</v>
      </c>
      <c r="F1076" t="s">
        <v>43</v>
      </c>
      <c r="G1076">
        <v>17</v>
      </c>
      <c r="H1076" t="s">
        <v>252</v>
      </c>
      <c r="J1076" t="s">
        <v>3286</v>
      </c>
      <c r="K1076" t="s">
        <v>183</v>
      </c>
      <c r="L1076" t="s">
        <v>180</v>
      </c>
      <c r="M1076" s="3" t="str">
        <f t="shared" si="16"/>
        <v/>
      </c>
    </row>
    <row r="1077" spans="1:13" x14ac:dyDescent="0.35">
      <c r="A1077" t="s">
        <v>3287</v>
      </c>
      <c r="B1077" t="s">
        <v>174</v>
      </c>
      <c r="C1077" t="s">
        <v>3288</v>
      </c>
      <c r="D1077" t="s">
        <v>190</v>
      </c>
      <c r="E1077" t="s">
        <v>46</v>
      </c>
      <c r="F1077" t="s">
        <v>48</v>
      </c>
      <c r="G1077">
        <v>2</v>
      </c>
      <c r="H1077" t="s">
        <v>177</v>
      </c>
      <c r="I1077" t="s">
        <v>48</v>
      </c>
      <c r="J1077" t="s">
        <v>3289</v>
      </c>
      <c r="K1077" t="s">
        <v>257</v>
      </c>
      <c r="L1077" t="s">
        <v>180</v>
      </c>
      <c r="M1077" s="3">
        <f t="shared" si="16"/>
        <v>2</v>
      </c>
    </row>
    <row r="1078" spans="1:13" x14ac:dyDescent="0.35">
      <c r="A1078" t="s">
        <v>3290</v>
      </c>
      <c r="B1078" t="s">
        <v>231</v>
      </c>
      <c r="C1078" t="s">
        <v>3291</v>
      </c>
      <c r="D1078" t="s">
        <v>190</v>
      </c>
      <c r="E1078" t="s">
        <v>44</v>
      </c>
      <c r="F1078" t="s">
        <v>53</v>
      </c>
      <c r="G1078">
        <v>9</v>
      </c>
      <c r="H1078" t="s">
        <v>177</v>
      </c>
      <c r="I1078" t="s">
        <v>53</v>
      </c>
      <c r="J1078" t="s">
        <v>3292</v>
      </c>
      <c r="K1078" t="s">
        <v>197</v>
      </c>
      <c r="L1078" t="s">
        <v>180</v>
      </c>
      <c r="M1078" s="3">
        <f t="shared" si="16"/>
        <v>9</v>
      </c>
    </row>
    <row r="1079" spans="1:13" x14ac:dyDescent="0.35">
      <c r="A1079" t="s">
        <v>3293</v>
      </c>
      <c r="B1079" t="s">
        <v>174</v>
      </c>
      <c r="C1079" t="s">
        <v>3294</v>
      </c>
      <c r="D1079" t="s">
        <v>190</v>
      </c>
      <c r="E1079" t="s">
        <v>45</v>
      </c>
      <c r="F1079" t="s">
        <v>48</v>
      </c>
      <c r="G1079">
        <v>3</v>
      </c>
      <c r="H1079" t="s">
        <v>177</v>
      </c>
      <c r="I1079" t="s">
        <v>48</v>
      </c>
      <c r="J1079" t="s">
        <v>3295</v>
      </c>
      <c r="K1079" t="s">
        <v>183</v>
      </c>
      <c r="L1079" t="s">
        <v>180</v>
      </c>
      <c r="M1079" s="3">
        <f t="shared" si="16"/>
        <v>3</v>
      </c>
    </row>
    <row r="1080" spans="1:13" x14ac:dyDescent="0.35">
      <c r="A1080" t="s">
        <v>3296</v>
      </c>
      <c r="B1080" t="s">
        <v>174</v>
      </c>
      <c r="C1080" t="s">
        <v>3297</v>
      </c>
      <c r="D1080" t="s">
        <v>190</v>
      </c>
      <c r="E1080" t="s">
        <v>41</v>
      </c>
      <c r="F1080" t="s">
        <v>51</v>
      </c>
      <c r="G1080">
        <v>10</v>
      </c>
      <c r="H1080" t="s">
        <v>177</v>
      </c>
      <c r="I1080" t="s">
        <v>51</v>
      </c>
      <c r="J1080" t="s">
        <v>3298</v>
      </c>
      <c r="K1080" t="s">
        <v>197</v>
      </c>
      <c r="L1080" t="s">
        <v>180</v>
      </c>
      <c r="M1080" s="3">
        <f t="shared" si="16"/>
        <v>10</v>
      </c>
    </row>
    <row r="1081" spans="1:13" x14ac:dyDescent="0.35">
      <c r="A1081" t="s">
        <v>3299</v>
      </c>
      <c r="B1081" t="s">
        <v>174</v>
      </c>
      <c r="C1081" t="s">
        <v>3300</v>
      </c>
      <c r="D1081" t="s">
        <v>190</v>
      </c>
      <c r="E1081" t="s">
        <v>45</v>
      </c>
      <c r="F1081" t="s">
        <v>50</v>
      </c>
      <c r="G1081">
        <v>5</v>
      </c>
      <c r="H1081" t="s">
        <v>177</v>
      </c>
      <c r="I1081" t="s">
        <v>50</v>
      </c>
      <c r="J1081" t="s">
        <v>3301</v>
      </c>
      <c r="K1081" t="s">
        <v>257</v>
      </c>
      <c r="L1081" t="s">
        <v>180</v>
      </c>
      <c r="M1081" s="3">
        <f t="shared" si="16"/>
        <v>5</v>
      </c>
    </row>
    <row r="1082" spans="1:13" x14ac:dyDescent="0.35">
      <c r="A1082" t="s">
        <v>3302</v>
      </c>
      <c r="B1082" t="s">
        <v>174</v>
      </c>
      <c r="C1082" t="s">
        <v>3303</v>
      </c>
      <c r="D1082" t="s">
        <v>236</v>
      </c>
      <c r="E1082" t="s">
        <v>38</v>
      </c>
      <c r="F1082" t="s">
        <v>53</v>
      </c>
      <c r="G1082">
        <v>15</v>
      </c>
      <c r="H1082" t="s">
        <v>195</v>
      </c>
      <c r="J1082" t="s">
        <v>3304</v>
      </c>
      <c r="K1082" t="s">
        <v>377</v>
      </c>
      <c r="L1082" t="s">
        <v>180</v>
      </c>
      <c r="M1082" s="3" t="str">
        <f t="shared" si="16"/>
        <v/>
      </c>
    </row>
    <row r="1083" spans="1:13" x14ac:dyDescent="0.35">
      <c r="A1083" t="s">
        <v>3305</v>
      </c>
      <c r="B1083" t="s">
        <v>174</v>
      </c>
      <c r="C1083" t="s">
        <v>3306</v>
      </c>
      <c r="D1083" t="s">
        <v>190</v>
      </c>
      <c r="E1083" t="s">
        <v>41</v>
      </c>
      <c r="F1083" t="s">
        <v>51</v>
      </c>
      <c r="G1083">
        <v>10</v>
      </c>
      <c r="H1083" t="s">
        <v>177</v>
      </c>
      <c r="I1083" t="s">
        <v>52</v>
      </c>
      <c r="J1083" t="s">
        <v>3307</v>
      </c>
      <c r="K1083" t="s">
        <v>197</v>
      </c>
      <c r="L1083" t="s">
        <v>184</v>
      </c>
      <c r="M1083" s="3">
        <f t="shared" si="16"/>
        <v>11</v>
      </c>
    </row>
    <row r="1084" spans="1:13" x14ac:dyDescent="0.35">
      <c r="A1084" t="s">
        <v>3308</v>
      </c>
      <c r="B1084" t="s">
        <v>174</v>
      </c>
      <c r="C1084" t="s">
        <v>3309</v>
      </c>
      <c r="D1084" t="s">
        <v>190</v>
      </c>
      <c r="E1084" t="s">
        <v>18</v>
      </c>
      <c r="F1084" t="s">
        <v>55</v>
      </c>
      <c r="G1084">
        <v>38</v>
      </c>
      <c r="H1084" t="s">
        <v>177</v>
      </c>
      <c r="I1084" t="s">
        <v>55</v>
      </c>
      <c r="J1084" t="s">
        <v>3310</v>
      </c>
      <c r="K1084" t="s">
        <v>183</v>
      </c>
      <c r="L1084" t="s">
        <v>180</v>
      </c>
      <c r="M1084" s="3">
        <f t="shared" si="16"/>
        <v>37</v>
      </c>
    </row>
    <row r="1085" spans="1:13" x14ac:dyDescent="0.35">
      <c r="A1085" t="s">
        <v>3311</v>
      </c>
      <c r="B1085" t="s">
        <v>174</v>
      </c>
      <c r="C1085" t="s">
        <v>3312</v>
      </c>
      <c r="D1085" t="s">
        <v>225</v>
      </c>
      <c r="E1085" t="s">
        <v>47</v>
      </c>
      <c r="F1085" t="s">
        <v>50</v>
      </c>
      <c r="G1085">
        <v>2</v>
      </c>
      <c r="H1085" t="s">
        <v>177</v>
      </c>
      <c r="I1085" t="s">
        <v>50</v>
      </c>
      <c r="J1085" t="s">
        <v>3313</v>
      </c>
      <c r="K1085" t="s">
        <v>192</v>
      </c>
      <c r="L1085" t="s">
        <v>180</v>
      </c>
      <c r="M1085" s="3">
        <f t="shared" si="16"/>
        <v>3</v>
      </c>
    </row>
    <row r="1086" spans="1:13" x14ac:dyDescent="0.35">
      <c r="A1086" t="s">
        <v>3314</v>
      </c>
      <c r="B1086" t="s">
        <v>174</v>
      </c>
      <c r="C1086" t="s">
        <v>3315</v>
      </c>
      <c r="D1086" t="s">
        <v>190</v>
      </c>
      <c r="E1086" t="s">
        <v>42</v>
      </c>
      <c r="F1086" t="s">
        <v>51</v>
      </c>
      <c r="G1086">
        <v>9</v>
      </c>
      <c r="H1086" t="s">
        <v>177</v>
      </c>
      <c r="I1086" t="s">
        <v>52</v>
      </c>
      <c r="J1086" t="s">
        <v>3316</v>
      </c>
      <c r="K1086" t="s">
        <v>197</v>
      </c>
      <c r="L1086" t="s">
        <v>180</v>
      </c>
      <c r="M1086" s="3">
        <f t="shared" si="16"/>
        <v>10</v>
      </c>
    </row>
    <row r="1087" spans="1:13" x14ac:dyDescent="0.35">
      <c r="A1087" t="s">
        <v>3317</v>
      </c>
      <c r="B1087" t="s">
        <v>174</v>
      </c>
      <c r="C1087" t="s">
        <v>3318</v>
      </c>
      <c r="D1087" t="s">
        <v>190</v>
      </c>
      <c r="E1087" t="s">
        <v>45</v>
      </c>
      <c r="F1087" t="s">
        <v>52</v>
      </c>
      <c r="G1087">
        <v>7</v>
      </c>
      <c r="H1087" t="s">
        <v>177</v>
      </c>
      <c r="I1087" t="s">
        <v>52</v>
      </c>
      <c r="J1087" t="s">
        <v>3319</v>
      </c>
      <c r="K1087" t="s">
        <v>183</v>
      </c>
      <c r="L1087" t="s">
        <v>184</v>
      </c>
      <c r="M1087" s="3">
        <f t="shared" si="16"/>
        <v>7</v>
      </c>
    </row>
    <row r="1088" spans="1:13" x14ac:dyDescent="0.35">
      <c r="A1088" t="s">
        <v>3320</v>
      </c>
      <c r="B1088" t="s">
        <v>174</v>
      </c>
      <c r="C1088" t="s">
        <v>3321</v>
      </c>
      <c r="D1088" t="s">
        <v>190</v>
      </c>
      <c r="E1088" t="s">
        <v>36</v>
      </c>
      <c r="F1088" t="s">
        <v>55</v>
      </c>
      <c r="G1088">
        <v>19</v>
      </c>
      <c r="H1088" t="s">
        <v>177</v>
      </c>
      <c r="I1088" t="s">
        <v>56</v>
      </c>
      <c r="J1088" t="s">
        <v>3322</v>
      </c>
      <c r="K1088" t="s">
        <v>192</v>
      </c>
      <c r="L1088" t="s">
        <v>180</v>
      </c>
      <c r="M1088" s="3">
        <f t="shared" si="16"/>
        <v>20</v>
      </c>
    </row>
    <row r="1089" spans="1:13" x14ac:dyDescent="0.35">
      <c r="A1089" t="s">
        <v>3323</v>
      </c>
      <c r="B1089" t="s">
        <v>174</v>
      </c>
      <c r="C1089" t="s">
        <v>3324</v>
      </c>
      <c r="D1089" t="s">
        <v>190</v>
      </c>
      <c r="E1089" t="s">
        <v>35</v>
      </c>
      <c r="F1089" t="s">
        <v>46</v>
      </c>
      <c r="G1089">
        <v>12</v>
      </c>
      <c r="H1089" t="s">
        <v>177</v>
      </c>
      <c r="I1089" t="s">
        <v>46</v>
      </c>
      <c r="J1089" t="s">
        <v>2426</v>
      </c>
      <c r="K1089" t="s">
        <v>270</v>
      </c>
      <c r="L1089" t="s">
        <v>180</v>
      </c>
      <c r="M1089" s="3">
        <f t="shared" si="16"/>
        <v>11</v>
      </c>
    </row>
    <row r="1090" spans="1:13" x14ac:dyDescent="0.35">
      <c r="A1090" t="s">
        <v>3325</v>
      </c>
      <c r="B1090" t="s">
        <v>174</v>
      </c>
      <c r="C1090" t="s">
        <v>3326</v>
      </c>
      <c r="D1090" t="s">
        <v>190</v>
      </c>
      <c r="E1090" t="s">
        <v>41</v>
      </c>
      <c r="F1090" t="s">
        <v>53</v>
      </c>
      <c r="G1090">
        <v>12</v>
      </c>
      <c r="H1090" t="s">
        <v>177</v>
      </c>
      <c r="I1090" t="s">
        <v>56</v>
      </c>
      <c r="J1090" t="s">
        <v>3327</v>
      </c>
      <c r="K1090" t="s">
        <v>197</v>
      </c>
      <c r="L1090" t="s">
        <v>180</v>
      </c>
      <c r="M1090" s="3">
        <f t="shared" si="16"/>
        <v>15</v>
      </c>
    </row>
    <row r="1091" spans="1:13" x14ac:dyDescent="0.35">
      <c r="A1091" t="s">
        <v>3328</v>
      </c>
      <c r="B1091" t="s">
        <v>174</v>
      </c>
      <c r="C1091" t="s">
        <v>3329</v>
      </c>
      <c r="D1091" t="s">
        <v>176</v>
      </c>
      <c r="E1091" t="s">
        <v>46</v>
      </c>
      <c r="F1091" t="s">
        <v>56</v>
      </c>
      <c r="G1091">
        <v>10</v>
      </c>
      <c r="H1091" t="s">
        <v>195</v>
      </c>
      <c r="J1091" t="s">
        <v>3330</v>
      </c>
      <c r="K1091" t="s">
        <v>183</v>
      </c>
      <c r="L1091" t="s">
        <v>180</v>
      </c>
      <c r="M1091" s="3" t="str">
        <f t="shared" ref="M1091:M1154" si="17">IF(H1091="Efectivo",IFERROR((VALUE(RIGHT(I1091,4))-VALUE(RIGHT(E1091,4)))*12+(VALUE(LEFT(I1091,2))-VALUE(LEFT(E1091,2))),""),"")</f>
        <v/>
      </c>
    </row>
    <row r="1092" spans="1:13" x14ac:dyDescent="0.35">
      <c r="A1092" t="s">
        <v>3331</v>
      </c>
      <c r="B1092" t="s">
        <v>174</v>
      </c>
      <c r="C1092" t="s">
        <v>3332</v>
      </c>
      <c r="D1092" t="s">
        <v>190</v>
      </c>
      <c r="E1092" t="s">
        <v>47</v>
      </c>
      <c r="F1092" t="s">
        <v>55</v>
      </c>
      <c r="G1092">
        <v>7</v>
      </c>
      <c r="H1092" t="s">
        <v>177</v>
      </c>
      <c r="I1092" t="s">
        <v>55</v>
      </c>
      <c r="J1092" t="s">
        <v>3333</v>
      </c>
      <c r="K1092" t="s">
        <v>197</v>
      </c>
      <c r="L1092" t="s">
        <v>180</v>
      </c>
      <c r="M1092" s="3">
        <f t="shared" si="17"/>
        <v>8</v>
      </c>
    </row>
    <row r="1093" spans="1:13" x14ac:dyDescent="0.35">
      <c r="A1093" t="s">
        <v>3334</v>
      </c>
      <c r="B1093" t="s">
        <v>174</v>
      </c>
      <c r="C1093" t="s">
        <v>3335</v>
      </c>
      <c r="D1093" t="s">
        <v>190</v>
      </c>
      <c r="E1093" t="s">
        <v>48</v>
      </c>
      <c r="F1093" t="s">
        <v>54</v>
      </c>
      <c r="G1093">
        <v>6</v>
      </c>
      <c r="H1093" t="s">
        <v>177</v>
      </c>
      <c r="I1093" t="s">
        <v>56</v>
      </c>
      <c r="J1093" t="s">
        <v>3336</v>
      </c>
      <c r="K1093" t="s">
        <v>197</v>
      </c>
      <c r="L1093" t="s">
        <v>180</v>
      </c>
      <c r="M1093" s="3">
        <f t="shared" si="17"/>
        <v>8</v>
      </c>
    </row>
    <row r="1094" spans="1:13" x14ac:dyDescent="0.35">
      <c r="A1094" t="s">
        <v>3337</v>
      </c>
      <c r="B1094" t="s">
        <v>174</v>
      </c>
      <c r="C1094" t="s">
        <v>3338</v>
      </c>
      <c r="D1094" t="s">
        <v>190</v>
      </c>
      <c r="E1094" t="s">
        <v>44</v>
      </c>
      <c r="F1094" t="s">
        <v>46</v>
      </c>
      <c r="G1094">
        <v>2</v>
      </c>
      <c r="H1094" t="s">
        <v>177</v>
      </c>
      <c r="I1094" t="s">
        <v>47</v>
      </c>
      <c r="J1094" t="s">
        <v>3339</v>
      </c>
      <c r="K1094" t="s">
        <v>257</v>
      </c>
      <c r="L1094" t="s">
        <v>184</v>
      </c>
      <c r="M1094" s="3">
        <f t="shared" si="17"/>
        <v>3</v>
      </c>
    </row>
    <row r="1095" spans="1:13" x14ac:dyDescent="0.35">
      <c r="A1095" t="s">
        <v>3340</v>
      </c>
      <c r="B1095" t="s">
        <v>174</v>
      </c>
      <c r="C1095" t="s">
        <v>3341</v>
      </c>
      <c r="D1095" t="s">
        <v>190</v>
      </c>
      <c r="E1095" t="s">
        <v>45</v>
      </c>
      <c r="F1095" t="s">
        <v>54</v>
      </c>
      <c r="G1095">
        <v>9</v>
      </c>
      <c r="H1095" t="s">
        <v>177</v>
      </c>
      <c r="I1095" t="s">
        <v>55</v>
      </c>
      <c r="J1095" t="s">
        <v>3342</v>
      </c>
      <c r="K1095" t="s">
        <v>257</v>
      </c>
      <c r="L1095" t="s">
        <v>180</v>
      </c>
      <c r="M1095" s="3">
        <f t="shared" si="17"/>
        <v>10</v>
      </c>
    </row>
    <row r="1096" spans="1:13" x14ac:dyDescent="0.35">
      <c r="A1096" t="s">
        <v>3343</v>
      </c>
      <c r="B1096" t="s">
        <v>174</v>
      </c>
      <c r="C1096" t="s">
        <v>3344</v>
      </c>
      <c r="D1096" t="s">
        <v>190</v>
      </c>
      <c r="E1096" t="s">
        <v>41</v>
      </c>
      <c r="F1096" t="s">
        <v>55</v>
      </c>
      <c r="G1096">
        <v>14</v>
      </c>
      <c r="H1096" t="s">
        <v>177</v>
      </c>
      <c r="I1096" t="s">
        <v>55</v>
      </c>
      <c r="J1096" t="s">
        <v>3345</v>
      </c>
      <c r="K1096" t="s">
        <v>270</v>
      </c>
      <c r="L1096" t="s">
        <v>180</v>
      </c>
      <c r="M1096" s="3">
        <f t="shared" si="17"/>
        <v>14</v>
      </c>
    </row>
    <row r="1097" spans="1:13" x14ac:dyDescent="0.35">
      <c r="A1097" t="s">
        <v>3346</v>
      </c>
      <c r="B1097" t="s">
        <v>174</v>
      </c>
      <c r="C1097" t="s">
        <v>3347</v>
      </c>
      <c r="D1097" t="s">
        <v>190</v>
      </c>
      <c r="E1097" t="s">
        <v>49</v>
      </c>
      <c r="F1097" t="s">
        <v>54</v>
      </c>
      <c r="G1097">
        <v>5</v>
      </c>
      <c r="H1097" t="s">
        <v>177</v>
      </c>
      <c r="I1097" t="s">
        <v>55</v>
      </c>
      <c r="J1097" t="s">
        <v>568</v>
      </c>
      <c r="K1097" t="s">
        <v>183</v>
      </c>
      <c r="L1097" t="s">
        <v>184</v>
      </c>
      <c r="M1097" s="3">
        <f t="shared" si="17"/>
        <v>6</v>
      </c>
    </row>
    <row r="1098" spans="1:13" x14ac:dyDescent="0.35">
      <c r="A1098" t="s">
        <v>3348</v>
      </c>
      <c r="B1098" t="s">
        <v>174</v>
      </c>
      <c r="C1098" t="s">
        <v>3349</v>
      </c>
      <c r="D1098" t="s">
        <v>190</v>
      </c>
      <c r="E1098" t="s">
        <v>45</v>
      </c>
      <c r="F1098" t="s">
        <v>51</v>
      </c>
      <c r="G1098">
        <v>6</v>
      </c>
      <c r="H1098" t="s">
        <v>177</v>
      </c>
      <c r="I1098" t="s">
        <v>52</v>
      </c>
      <c r="J1098" t="s">
        <v>3350</v>
      </c>
      <c r="K1098" t="s">
        <v>257</v>
      </c>
      <c r="L1098" t="s">
        <v>180</v>
      </c>
      <c r="M1098" s="3">
        <f t="shared" si="17"/>
        <v>7</v>
      </c>
    </row>
    <row r="1099" spans="1:13" x14ac:dyDescent="0.35">
      <c r="A1099" t="s">
        <v>3351</v>
      </c>
      <c r="B1099" t="s">
        <v>174</v>
      </c>
      <c r="C1099" t="s">
        <v>3352</v>
      </c>
      <c r="D1099" t="s">
        <v>176</v>
      </c>
      <c r="E1099" t="s">
        <v>45</v>
      </c>
      <c r="F1099" t="s">
        <v>53</v>
      </c>
      <c r="G1099">
        <v>8</v>
      </c>
      <c r="H1099" t="s">
        <v>177</v>
      </c>
      <c r="I1099" t="s">
        <v>53</v>
      </c>
      <c r="J1099" t="s">
        <v>3353</v>
      </c>
      <c r="K1099" t="s">
        <v>183</v>
      </c>
      <c r="L1099" t="s">
        <v>180</v>
      </c>
      <c r="M1099" s="3">
        <f t="shared" si="17"/>
        <v>8</v>
      </c>
    </row>
    <row r="1100" spans="1:13" x14ac:dyDescent="0.35">
      <c r="A1100" t="s">
        <v>3354</v>
      </c>
      <c r="B1100" t="s">
        <v>231</v>
      </c>
      <c r="C1100" t="s">
        <v>3355</v>
      </c>
      <c r="D1100" t="s">
        <v>190</v>
      </c>
      <c r="E1100" t="s">
        <v>32</v>
      </c>
      <c r="F1100" t="s">
        <v>48</v>
      </c>
      <c r="G1100">
        <v>17</v>
      </c>
      <c r="H1100" t="s">
        <v>195</v>
      </c>
      <c r="J1100" t="s">
        <v>3356</v>
      </c>
      <c r="K1100" t="s">
        <v>377</v>
      </c>
      <c r="L1100" t="s">
        <v>180</v>
      </c>
      <c r="M1100" s="3" t="str">
        <f t="shared" si="17"/>
        <v/>
      </c>
    </row>
    <row r="1101" spans="1:13" x14ac:dyDescent="0.35">
      <c r="A1101" t="s">
        <v>3357</v>
      </c>
      <c r="B1101" t="s">
        <v>174</v>
      </c>
      <c r="C1101" t="s">
        <v>3358</v>
      </c>
      <c r="D1101" t="s">
        <v>190</v>
      </c>
      <c r="E1101" t="s">
        <v>43</v>
      </c>
      <c r="F1101" t="s">
        <v>46</v>
      </c>
      <c r="G1101">
        <v>3</v>
      </c>
      <c r="H1101" t="s">
        <v>177</v>
      </c>
      <c r="I1101" t="s">
        <v>46</v>
      </c>
      <c r="J1101" t="s">
        <v>2784</v>
      </c>
      <c r="K1101" t="s">
        <v>270</v>
      </c>
      <c r="L1101" t="s">
        <v>180</v>
      </c>
      <c r="M1101" s="3">
        <f t="shared" si="17"/>
        <v>3</v>
      </c>
    </row>
    <row r="1102" spans="1:13" x14ac:dyDescent="0.35">
      <c r="A1102" t="s">
        <v>3359</v>
      </c>
      <c r="B1102" t="s">
        <v>174</v>
      </c>
      <c r="C1102" t="s">
        <v>3360</v>
      </c>
      <c r="D1102" t="s">
        <v>190</v>
      </c>
      <c r="E1102" t="s">
        <v>52</v>
      </c>
      <c r="F1102" t="s">
        <v>54</v>
      </c>
      <c r="G1102">
        <v>1</v>
      </c>
      <c r="H1102" t="s">
        <v>177</v>
      </c>
      <c r="I1102" t="s">
        <v>54</v>
      </c>
      <c r="J1102" t="s">
        <v>1004</v>
      </c>
      <c r="K1102" t="s">
        <v>270</v>
      </c>
      <c r="L1102" t="s">
        <v>180</v>
      </c>
      <c r="M1102" s="3">
        <f t="shared" si="17"/>
        <v>2</v>
      </c>
    </row>
    <row r="1103" spans="1:13" x14ac:dyDescent="0.35">
      <c r="A1103" t="s">
        <v>3361</v>
      </c>
      <c r="B1103" t="s">
        <v>174</v>
      </c>
      <c r="C1103" t="s">
        <v>3362</v>
      </c>
      <c r="D1103" t="s">
        <v>190</v>
      </c>
      <c r="E1103" t="s">
        <v>47</v>
      </c>
      <c r="F1103" t="s">
        <v>52</v>
      </c>
      <c r="G1103">
        <v>5</v>
      </c>
      <c r="H1103" t="s">
        <v>177</v>
      </c>
      <c r="I1103" t="s">
        <v>53</v>
      </c>
      <c r="J1103" t="s">
        <v>3363</v>
      </c>
      <c r="K1103" t="s">
        <v>197</v>
      </c>
      <c r="L1103" t="s">
        <v>180</v>
      </c>
      <c r="M1103" s="3">
        <f t="shared" si="17"/>
        <v>6</v>
      </c>
    </row>
    <row r="1104" spans="1:13" x14ac:dyDescent="0.35">
      <c r="A1104" t="s">
        <v>3364</v>
      </c>
      <c r="B1104" t="s">
        <v>174</v>
      </c>
      <c r="C1104" t="s">
        <v>3365</v>
      </c>
      <c r="D1104" t="s">
        <v>190</v>
      </c>
      <c r="E1104" t="s">
        <v>33</v>
      </c>
      <c r="F1104" t="s">
        <v>50</v>
      </c>
      <c r="G1104">
        <v>17</v>
      </c>
      <c r="H1104" t="s">
        <v>177</v>
      </c>
      <c r="I1104" t="s">
        <v>53</v>
      </c>
      <c r="J1104" t="s">
        <v>3366</v>
      </c>
      <c r="K1104" t="s">
        <v>183</v>
      </c>
      <c r="L1104" t="s">
        <v>180</v>
      </c>
      <c r="M1104" s="3">
        <f t="shared" si="17"/>
        <v>20</v>
      </c>
    </row>
    <row r="1105" spans="1:13" x14ac:dyDescent="0.35">
      <c r="A1105" t="s">
        <v>3367</v>
      </c>
      <c r="B1105" t="s">
        <v>174</v>
      </c>
      <c r="C1105" t="s">
        <v>3368</v>
      </c>
      <c r="D1105" t="s">
        <v>236</v>
      </c>
      <c r="E1105" t="s">
        <v>35</v>
      </c>
      <c r="F1105" t="s">
        <v>52</v>
      </c>
      <c r="G1105">
        <v>18</v>
      </c>
      <c r="H1105" t="s">
        <v>177</v>
      </c>
      <c r="I1105" t="s">
        <v>53</v>
      </c>
      <c r="J1105" t="s">
        <v>3369</v>
      </c>
      <c r="K1105" t="s">
        <v>183</v>
      </c>
      <c r="L1105" t="s">
        <v>180</v>
      </c>
      <c r="M1105" s="3">
        <f t="shared" si="17"/>
        <v>18</v>
      </c>
    </row>
    <row r="1106" spans="1:13" x14ac:dyDescent="0.35">
      <c r="A1106" t="s">
        <v>3370</v>
      </c>
      <c r="B1106" t="s">
        <v>174</v>
      </c>
      <c r="C1106" t="s">
        <v>3371</v>
      </c>
      <c r="D1106" t="s">
        <v>190</v>
      </c>
      <c r="E1106" t="s">
        <v>46</v>
      </c>
      <c r="F1106" t="s">
        <v>52</v>
      </c>
      <c r="G1106">
        <v>6</v>
      </c>
      <c r="H1106" t="s">
        <v>177</v>
      </c>
      <c r="I1106" t="s">
        <v>52</v>
      </c>
      <c r="J1106" t="s">
        <v>3372</v>
      </c>
      <c r="K1106" t="s">
        <v>197</v>
      </c>
      <c r="L1106" t="s">
        <v>180</v>
      </c>
      <c r="M1106" s="3">
        <f t="shared" si="17"/>
        <v>6</v>
      </c>
    </row>
    <row r="1107" spans="1:13" x14ac:dyDescent="0.35">
      <c r="A1107" t="s">
        <v>3373</v>
      </c>
      <c r="B1107" t="s">
        <v>174</v>
      </c>
      <c r="C1107" t="s">
        <v>3374</v>
      </c>
      <c r="D1107" t="s">
        <v>190</v>
      </c>
      <c r="E1107" t="s">
        <v>39</v>
      </c>
      <c r="F1107" t="s">
        <v>42</v>
      </c>
      <c r="G1107">
        <v>3</v>
      </c>
      <c r="H1107" t="s">
        <v>177</v>
      </c>
      <c r="I1107" t="s">
        <v>42</v>
      </c>
      <c r="J1107" t="s">
        <v>2246</v>
      </c>
      <c r="K1107" t="s">
        <v>270</v>
      </c>
      <c r="L1107" t="s">
        <v>180</v>
      </c>
      <c r="M1107" s="3">
        <f t="shared" si="17"/>
        <v>3</v>
      </c>
    </row>
    <row r="1108" spans="1:13" x14ac:dyDescent="0.35">
      <c r="A1108" t="s">
        <v>3375</v>
      </c>
      <c r="B1108" t="s">
        <v>174</v>
      </c>
      <c r="C1108" t="s">
        <v>3376</v>
      </c>
      <c r="D1108" t="s">
        <v>236</v>
      </c>
      <c r="E1108" t="s">
        <v>38</v>
      </c>
      <c r="F1108" t="s">
        <v>44</v>
      </c>
      <c r="G1108">
        <v>6</v>
      </c>
      <c r="H1108" t="s">
        <v>177</v>
      </c>
      <c r="I1108" t="s">
        <v>44</v>
      </c>
      <c r="J1108" t="s">
        <v>3377</v>
      </c>
      <c r="K1108" t="s">
        <v>331</v>
      </c>
      <c r="L1108" t="s">
        <v>180</v>
      </c>
      <c r="M1108" s="3">
        <f t="shared" si="17"/>
        <v>6</v>
      </c>
    </row>
    <row r="1109" spans="1:13" x14ac:dyDescent="0.35">
      <c r="A1109" t="s">
        <v>3378</v>
      </c>
      <c r="B1109" t="s">
        <v>174</v>
      </c>
      <c r="C1109" t="s">
        <v>3379</v>
      </c>
      <c r="D1109" t="s">
        <v>190</v>
      </c>
      <c r="E1109" t="s">
        <v>47</v>
      </c>
      <c r="F1109" t="s">
        <v>55</v>
      </c>
      <c r="G1109">
        <v>9</v>
      </c>
      <c r="H1109" t="s">
        <v>177</v>
      </c>
      <c r="I1109" t="s">
        <v>55</v>
      </c>
      <c r="J1109" t="s">
        <v>3380</v>
      </c>
      <c r="K1109" t="s">
        <v>257</v>
      </c>
      <c r="L1109" t="s">
        <v>180</v>
      </c>
      <c r="M1109" s="3">
        <f t="shared" si="17"/>
        <v>8</v>
      </c>
    </row>
    <row r="1110" spans="1:13" x14ac:dyDescent="0.35">
      <c r="A1110" t="s">
        <v>3381</v>
      </c>
      <c r="B1110" t="s">
        <v>174</v>
      </c>
      <c r="C1110" t="s">
        <v>3382</v>
      </c>
      <c r="D1110" t="s">
        <v>176</v>
      </c>
      <c r="E1110" t="s">
        <v>49</v>
      </c>
      <c r="F1110" t="s">
        <v>55</v>
      </c>
      <c r="G1110">
        <v>6</v>
      </c>
      <c r="H1110" t="s">
        <v>177</v>
      </c>
      <c r="I1110" t="s">
        <v>55</v>
      </c>
      <c r="J1110" t="s">
        <v>3383</v>
      </c>
      <c r="K1110" t="s">
        <v>183</v>
      </c>
      <c r="L1110" t="s">
        <v>180</v>
      </c>
      <c r="M1110" s="3">
        <f t="shared" si="17"/>
        <v>6</v>
      </c>
    </row>
    <row r="1111" spans="1:13" x14ac:dyDescent="0.35">
      <c r="A1111" t="s">
        <v>3384</v>
      </c>
      <c r="B1111" t="s">
        <v>174</v>
      </c>
      <c r="C1111" t="s">
        <v>3385</v>
      </c>
      <c r="D1111" t="s">
        <v>190</v>
      </c>
      <c r="E1111" t="s">
        <v>43</v>
      </c>
      <c r="F1111" t="s">
        <v>49</v>
      </c>
      <c r="G1111">
        <v>6</v>
      </c>
      <c r="H1111" t="s">
        <v>177</v>
      </c>
      <c r="I1111" t="s">
        <v>49</v>
      </c>
      <c r="J1111" t="s">
        <v>1561</v>
      </c>
      <c r="K1111" t="s">
        <v>270</v>
      </c>
      <c r="L1111" t="s">
        <v>184</v>
      </c>
      <c r="M1111" s="3">
        <f t="shared" si="17"/>
        <v>6</v>
      </c>
    </row>
    <row r="1112" spans="1:13" x14ac:dyDescent="0.35">
      <c r="A1112" t="s">
        <v>3386</v>
      </c>
      <c r="B1112" t="s">
        <v>174</v>
      </c>
      <c r="C1112" t="s">
        <v>3387</v>
      </c>
      <c r="D1112" t="s">
        <v>190</v>
      </c>
      <c r="E1112" t="s">
        <v>19</v>
      </c>
      <c r="F1112" t="s">
        <v>45</v>
      </c>
      <c r="G1112">
        <v>26</v>
      </c>
      <c r="H1112" t="s">
        <v>252</v>
      </c>
      <c r="J1112" t="s">
        <v>3388</v>
      </c>
      <c r="K1112" t="s">
        <v>179</v>
      </c>
      <c r="L1112" t="s">
        <v>180</v>
      </c>
      <c r="M1112" s="3" t="str">
        <f t="shared" si="17"/>
        <v/>
      </c>
    </row>
    <row r="1113" spans="1:13" x14ac:dyDescent="0.35">
      <c r="A1113" t="s">
        <v>3389</v>
      </c>
      <c r="B1113" t="s">
        <v>174</v>
      </c>
      <c r="C1113" t="s">
        <v>3390</v>
      </c>
      <c r="D1113" t="s">
        <v>190</v>
      </c>
      <c r="E1113" t="s">
        <v>50</v>
      </c>
      <c r="F1113" t="s">
        <v>56</v>
      </c>
      <c r="G1113">
        <v>6</v>
      </c>
      <c r="H1113" t="s">
        <v>195</v>
      </c>
      <c r="J1113" t="s">
        <v>3391</v>
      </c>
      <c r="K1113" t="s">
        <v>197</v>
      </c>
      <c r="L1113" t="s">
        <v>180</v>
      </c>
      <c r="M1113" s="3" t="str">
        <f t="shared" si="17"/>
        <v/>
      </c>
    </row>
    <row r="1114" spans="1:13" x14ac:dyDescent="0.35">
      <c r="A1114" t="s">
        <v>3392</v>
      </c>
      <c r="B1114" t="s">
        <v>174</v>
      </c>
      <c r="C1114" t="s">
        <v>3393</v>
      </c>
      <c r="D1114" t="s">
        <v>190</v>
      </c>
      <c r="E1114" t="s">
        <v>39</v>
      </c>
      <c r="F1114" t="s">
        <v>48</v>
      </c>
      <c r="G1114">
        <v>9</v>
      </c>
      <c r="H1114" t="s">
        <v>177</v>
      </c>
      <c r="I1114" t="s">
        <v>49</v>
      </c>
      <c r="J1114" t="s">
        <v>3394</v>
      </c>
      <c r="K1114" t="s">
        <v>270</v>
      </c>
      <c r="L1114" t="s">
        <v>180</v>
      </c>
      <c r="M1114" s="3">
        <f t="shared" si="17"/>
        <v>10</v>
      </c>
    </row>
    <row r="1115" spans="1:13" x14ac:dyDescent="0.35">
      <c r="A1115" t="s">
        <v>3395</v>
      </c>
      <c r="B1115" t="s">
        <v>174</v>
      </c>
      <c r="C1115" t="s">
        <v>3396</v>
      </c>
      <c r="D1115" t="s">
        <v>190</v>
      </c>
      <c r="E1115" t="s">
        <v>47</v>
      </c>
      <c r="F1115" t="s">
        <v>52</v>
      </c>
      <c r="G1115">
        <v>4</v>
      </c>
      <c r="H1115" t="s">
        <v>177</v>
      </c>
      <c r="I1115" t="s">
        <v>52</v>
      </c>
      <c r="J1115" t="s">
        <v>3397</v>
      </c>
      <c r="K1115" t="s">
        <v>257</v>
      </c>
      <c r="L1115" t="s">
        <v>180</v>
      </c>
      <c r="M1115" s="3">
        <f t="shared" si="17"/>
        <v>5</v>
      </c>
    </row>
    <row r="1116" spans="1:13" x14ac:dyDescent="0.35">
      <c r="A1116" t="s">
        <v>3398</v>
      </c>
      <c r="B1116" t="s">
        <v>231</v>
      </c>
      <c r="C1116" t="s">
        <v>3399</v>
      </c>
      <c r="D1116" t="s">
        <v>176</v>
      </c>
      <c r="E1116" t="s">
        <v>39</v>
      </c>
      <c r="F1116" t="s">
        <v>49</v>
      </c>
      <c r="G1116">
        <v>10</v>
      </c>
      <c r="H1116" t="s">
        <v>195</v>
      </c>
      <c r="J1116" t="s">
        <v>3400</v>
      </c>
      <c r="K1116" t="s">
        <v>183</v>
      </c>
      <c r="L1116" t="s">
        <v>180</v>
      </c>
      <c r="M1116" s="3" t="str">
        <f t="shared" si="17"/>
        <v/>
      </c>
    </row>
    <row r="1117" spans="1:13" x14ac:dyDescent="0.35">
      <c r="A1117" t="s">
        <v>3401</v>
      </c>
      <c r="B1117" t="s">
        <v>174</v>
      </c>
      <c r="C1117" t="s">
        <v>3402</v>
      </c>
      <c r="D1117" t="s">
        <v>190</v>
      </c>
      <c r="E1117" t="s">
        <v>40</v>
      </c>
      <c r="F1117" t="s">
        <v>50</v>
      </c>
      <c r="G1117">
        <v>10</v>
      </c>
      <c r="H1117" t="s">
        <v>177</v>
      </c>
      <c r="I1117" t="s">
        <v>53</v>
      </c>
      <c r="J1117" t="s">
        <v>3403</v>
      </c>
      <c r="K1117" t="s">
        <v>270</v>
      </c>
      <c r="L1117" t="s">
        <v>180</v>
      </c>
      <c r="M1117" s="3">
        <f t="shared" si="17"/>
        <v>13</v>
      </c>
    </row>
    <row r="1118" spans="1:13" x14ac:dyDescent="0.35">
      <c r="A1118" t="s">
        <v>3404</v>
      </c>
      <c r="B1118" t="s">
        <v>174</v>
      </c>
      <c r="C1118" t="s">
        <v>3405</v>
      </c>
      <c r="D1118" t="s">
        <v>236</v>
      </c>
      <c r="E1118" t="s">
        <v>30</v>
      </c>
      <c r="F1118" t="s">
        <v>50</v>
      </c>
      <c r="G1118">
        <v>20</v>
      </c>
      <c r="H1118" t="s">
        <v>177</v>
      </c>
      <c r="I1118" t="s">
        <v>52</v>
      </c>
      <c r="J1118" t="s">
        <v>3406</v>
      </c>
      <c r="K1118" t="s">
        <v>183</v>
      </c>
      <c r="L1118" t="s">
        <v>180</v>
      </c>
      <c r="M1118" s="3">
        <f t="shared" si="17"/>
        <v>22</v>
      </c>
    </row>
    <row r="1119" spans="1:13" x14ac:dyDescent="0.35">
      <c r="A1119" t="s">
        <v>3407</v>
      </c>
      <c r="B1119" t="s">
        <v>174</v>
      </c>
      <c r="C1119" t="s">
        <v>3408</v>
      </c>
      <c r="D1119" t="s">
        <v>190</v>
      </c>
      <c r="E1119" t="s">
        <v>45</v>
      </c>
      <c r="F1119" t="s">
        <v>48</v>
      </c>
      <c r="G1119">
        <v>3</v>
      </c>
      <c r="H1119" t="s">
        <v>252</v>
      </c>
      <c r="J1119" t="s">
        <v>3409</v>
      </c>
      <c r="K1119" t="s">
        <v>257</v>
      </c>
      <c r="L1119" t="s">
        <v>180</v>
      </c>
      <c r="M1119" s="3" t="str">
        <f t="shared" si="17"/>
        <v/>
      </c>
    </row>
    <row r="1120" spans="1:13" x14ac:dyDescent="0.35">
      <c r="A1120" t="s">
        <v>3410</v>
      </c>
      <c r="B1120" t="s">
        <v>174</v>
      </c>
      <c r="C1120" t="s">
        <v>3411</v>
      </c>
      <c r="D1120" t="s">
        <v>190</v>
      </c>
      <c r="E1120" t="s">
        <v>51</v>
      </c>
      <c r="F1120" t="s">
        <v>56</v>
      </c>
      <c r="G1120">
        <v>5</v>
      </c>
      <c r="H1120" t="s">
        <v>195</v>
      </c>
      <c r="J1120" t="s">
        <v>3412</v>
      </c>
      <c r="K1120" t="s">
        <v>197</v>
      </c>
      <c r="L1120" t="s">
        <v>184</v>
      </c>
      <c r="M1120" s="3" t="str">
        <f t="shared" si="17"/>
        <v/>
      </c>
    </row>
    <row r="1121" spans="1:13" x14ac:dyDescent="0.35">
      <c r="A1121" t="s">
        <v>3413</v>
      </c>
      <c r="B1121" t="s">
        <v>174</v>
      </c>
      <c r="C1121" t="s">
        <v>3414</v>
      </c>
      <c r="D1121" t="s">
        <v>190</v>
      </c>
      <c r="E1121" t="s">
        <v>40</v>
      </c>
      <c r="F1121" t="s">
        <v>46</v>
      </c>
      <c r="G1121">
        <v>6</v>
      </c>
      <c r="H1121" t="s">
        <v>177</v>
      </c>
      <c r="I1121" t="s">
        <v>46</v>
      </c>
      <c r="J1121" t="s">
        <v>3415</v>
      </c>
      <c r="K1121" t="s">
        <v>377</v>
      </c>
      <c r="L1121" t="s">
        <v>180</v>
      </c>
      <c r="M1121" s="3">
        <f t="shared" si="17"/>
        <v>6</v>
      </c>
    </row>
    <row r="1122" spans="1:13" x14ac:dyDescent="0.35">
      <c r="A1122" t="s">
        <v>3416</v>
      </c>
      <c r="B1122" t="s">
        <v>174</v>
      </c>
      <c r="C1122" t="s">
        <v>3417</v>
      </c>
      <c r="D1122" t="s">
        <v>190</v>
      </c>
      <c r="E1122" t="s">
        <v>36</v>
      </c>
      <c r="F1122" t="s">
        <v>41</v>
      </c>
      <c r="G1122">
        <v>4</v>
      </c>
      <c r="H1122" t="s">
        <v>177</v>
      </c>
      <c r="I1122" t="s">
        <v>41</v>
      </c>
      <c r="J1122" t="s">
        <v>3418</v>
      </c>
      <c r="K1122" t="s">
        <v>270</v>
      </c>
      <c r="L1122" t="s">
        <v>180</v>
      </c>
      <c r="M1122" s="3">
        <f t="shared" si="17"/>
        <v>5</v>
      </c>
    </row>
    <row r="1123" spans="1:13" x14ac:dyDescent="0.35">
      <c r="A1123" t="s">
        <v>3419</v>
      </c>
      <c r="B1123" t="s">
        <v>231</v>
      </c>
      <c r="C1123" t="s">
        <v>3420</v>
      </c>
      <c r="D1123" t="s">
        <v>236</v>
      </c>
      <c r="E1123" t="s">
        <v>43</v>
      </c>
      <c r="F1123" t="s">
        <v>51</v>
      </c>
      <c r="G1123">
        <v>8</v>
      </c>
      <c r="H1123" t="s">
        <v>177</v>
      </c>
      <c r="I1123" t="s">
        <v>52</v>
      </c>
      <c r="J1123" t="s">
        <v>3421</v>
      </c>
      <c r="K1123" t="s">
        <v>183</v>
      </c>
      <c r="L1123" t="s">
        <v>184</v>
      </c>
      <c r="M1123" s="3">
        <f t="shared" si="17"/>
        <v>9</v>
      </c>
    </row>
    <row r="1124" spans="1:13" x14ac:dyDescent="0.35">
      <c r="A1124" t="s">
        <v>3422</v>
      </c>
      <c r="B1124" t="s">
        <v>174</v>
      </c>
      <c r="C1124" t="s">
        <v>3423</v>
      </c>
      <c r="D1124" t="s">
        <v>190</v>
      </c>
      <c r="E1124" t="s">
        <v>42</v>
      </c>
      <c r="F1124" t="s">
        <v>46</v>
      </c>
      <c r="G1124">
        <v>4</v>
      </c>
      <c r="H1124" t="s">
        <v>177</v>
      </c>
      <c r="I1124" t="s">
        <v>46</v>
      </c>
      <c r="J1124" t="s">
        <v>3424</v>
      </c>
      <c r="K1124" t="s">
        <v>197</v>
      </c>
      <c r="L1124" t="s">
        <v>180</v>
      </c>
      <c r="M1124" s="3">
        <f t="shared" si="17"/>
        <v>4</v>
      </c>
    </row>
    <row r="1125" spans="1:13" x14ac:dyDescent="0.35">
      <c r="A1125" t="s">
        <v>3425</v>
      </c>
      <c r="B1125" t="s">
        <v>174</v>
      </c>
      <c r="C1125" t="s">
        <v>3426</v>
      </c>
      <c r="D1125" t="s">
        <v>190</v>
      </c>
      <c r="E1125" t="s">
        <v>47</v>
      </c>
      <c r="F1125" t="s">
        <v>54</v>
      </c>
      <c r="G1125">
        <v>6</v>
      </c>
      <c r="H1125" t="s">
        <v>177</v>
      </c>
      <c r="I1125" t="s">
        <v>54</v>
      </c>
      <c r="J1125" t="s">
        <v>3427</v>
      </c>
      <c r="K1125" t="s">
        <v>197</v>
      </c>
      <c r="L1125" t="s">
        <v>180</v>
      </c>
      <c r="M1125" s="3">
        <f t="shared" si="17"/>
        <v>7</v>
      </c>
    </row>
    <row r="1126" spans="1:13" x14ac:dyDescent="0.35">
      <c r="A1126" t="s">
        <v>3428</v>
      </c>
      <c r="B1126" t="s">
        <v>174</v>
      </c>
      <c r="C1126" t="s">
        <v>3429</v>
      </c>
      <c r="D1126" t="s">
        <v>236</v>
      </c>
      <c r="E1126" t="s">
        <v>48</v>
      </c>
      <c r="F1126" t="s">
        <v>53</v>
      </c>
      <c r="G1126">
        <v>5</v>
      </c>
      <c r="H1126" t="s">
        <v>177</v>
      </c>
      <c r="I1126" t="s">
        <v>54</v>
      </c>
      <c r="J1126" t="s">
        <v>3430</v>
      </c>
      <c r="K1126" t="s">
        <v>183</v>
      </c>
      <c r="L1126" t="s">
        <v>184</v>
      </c>
      <c r="M1126" s="3">
        <f t="shared" si="17"/>
        <v>6</v>
      </c>
    </row>
    <row r="1127" spans="1:13" x14ac:dyDescent="0.35">
      <c r="A1127" t="s">
        <v>3431</v>
      </c>
      <c r="B1127" t="s">
        <v>174</v>
      </c>
      <c r="C1127" t="s">
        <v>3432</v>
      </c>
      <c r="D1127" t="s">
        <v>236</v>
      </c>
      <c r="E1127" t="s">
        <v>32</v>
      </c>
      <c r="F1127" t="s">
        <v>45</v>
      </c>
      <c r="G1127">
        <v>13</v>
      </c>
      <c r="H1127" t="s">
        <v>177</v>
      </c>
      <c r="I1127" t="s">
        <v>45</v>
      </c>
      <c r="J1127" t="s">
        <v>3433</v>
      </c>
      <c r="K1127" t="s">
        <v>183</v>
      </c>
      <c r="L1127" t="s">
        <v>180</v>
      </c>
      <c r="M1127" s="3">
        <f t="shared" si="17"/>
        <v>13</v>
      </c>
    </row>
    <row r="1128" spans="1:13" x14ac:dyDescent="0.35">
      <c r="A1128" t="s">
        <v>3434</v>
      </c>
      <c r="B1128" t="s">
        <v>174</v>
      </c>
      <c r="C1128" t="s">
        <v>3435</v>
      </c>
      <c r="D1128" t="s">
        <v>190</v>
      </c>
      <c r="E1128" t="s">
        <v>45</v>
      </c>
      <c r="F1128" t="s">
        <v>55</v>
      </c>
      <c r="G1128">
        <v>10</v>
      </c>
      <c r="H1128" t="s">
        <v>177</v>
      </c>
      <c r="I1128" t="s">
        <v>56</v>
      </c>
      <c r="J1128" t="s">
        <v>3436</v>
      </c>
      <c r="K1128" t="s">
        <v>257</v>
      </c>
      <c r="L1128" t="s">
        <v>180</v>
      </c>
      <c r="M1128" s="3">
        <f t="shared" si="17"/>
        <v>11</v>
      </c>
    </row>
    <row r="1129" spans="1:13" x14ac:dyDescent="0.35">
      <c r="A1129" t="s">
        <v>3437</v>
      </c>
      <c r="B1129" t="s">
        <v>174</v>
      </c>
      <c r="C1129" t="s">
        <v>3438</v>
      </c>
      <c r="D1129" t="s">
        <v>190</v>
      </c>
      <c r="E1129" t="s">
        <v>46</v>
      </c>
      <c r="F1129" t="s">
        <v>54</v>
      </c>
      <c r="G1129">
        <v>9</v>
      </c>
      <c r="H1129" t="s">
        <v>177</v>
      </c>
      <c r="I1129" t="s">
        <v>54</v>
      </c>
      <c r="J1129" t="s">
        <v>3439</v>
      </c>
      <c r="K1129" t="s">
        <v>257</v>
      </c>
      <c r="L1129" t="s">
        <v>184</v>
      </c>
      <c r="M1129" s="3">
        <f t="shared" si="17"/>
        <v>8</v>
      </c>
    </row>
    <row r="1130" spans="1:13" x14ac:dyDescent="0.35">
      <c r="A1130" t="s">
        <v>3440</v>
      </c>
      <c r="B1130" t="s">
        <v>174</v>
      </c>
      <c r="C1130" t="s">
        <v>3441</v>
      </c>
      <c r="D1130" t="s">
        <v>190</v>
      </c>
      <c r="E1130" t="s">
        <v>23</v>
      </c>
      <c r="F1130" t="s">
        <v>45</v>
      </c>
      <c r="G1130">
        <v>22</v>
      </c>
      <c r="H1130" t="s">
        <v>177</v>
      </c>
      <c r="I1130" t="s">
        <v>46</v>
      </c>
      <c r="J1130" t="s">
        <v>3442</v>
      </c>
      <c r="K1130" t="s">
        <v>3443</v>
      </c>
      <c r="L1130" t="s">
        <v>180</v>
      </c>
      <c r="M1130" s="3">
        <f t="shared" si="17"/>
        <v>23</v>
      </c>
    </row>
    <row r="1131" spans="1:13" x14ac:dyDescent="0.35">
      <c r="A1131" t="s">
        <v>3444</v>
      </c>
      <c r="B1131" t="s">
        <v>174</v>
      </c>
      <c r="C1131" t="s">
        <v>3445</v>
      </c>
      <c r="D1131" t="s">
        <v>190</v>
      </c>
      <c r="E1131" t="s">
        <v>39</v>
      </c>
      <c r="F1131" t="s">
        <v>54</v>
      </c>
      <c r="G1131">
        <v>15</v>
      </c>
      <c r="H1131" t="s">
        <v>177</v>
      </c>
      <c r="I1131" t="s">
        <v>55</v>
      </c>
      <c r="J1131" t="s">
        <v>3446</v>
      </c>
      <c r="K1131" t="s">
        <v>270</v>
      </c>
      <c r="L1131" t="s">
        <v>180</v>
      </c>
      <c r="M1131" s="3">
        <f t="shared" si="17"/>
        <v>16</v>
      </c>
    </row>
    <row r="1132" spans="1:13" x14ac:dyDescent="0.35">
      <c r="A1132" t="s">
        <v>3447</v>
      </c>
      <c r="B1132" t="s">
        <v>174</v>
      </c>
      <c r="C1132" t="s">
        <v>3448</v>
      </c>
      <c r="D1132" t="s">
        <v>190</v>
      </c>
      <c r="E1132" t="s">
        <v>44</v>
      </c>
      <c r="F1132" t="s">
        <v>53</v>
      </c>
      <c r="G1132">
        <v>9</v>
      </c>
      <c r="H1132" t="s">
        <v>177</v>
      </c>
      <c r="I1132" t="s">
        <v>53</v>
      </c>
      <c r="J1132" t="s">
        <v>3449</v>
      </c>
      <c r="K1132" t="s">
        <v>183</v>
      </c>
      <c r="L1132" t="s">
        <v>180</v>
      </c>
      <c r="M1132" s="3">
        <f t="shared" si="17"/>
        <v>9</v>
      </c>
    </row>
    <row r="1133" spans="1:13" x14ac:dyDescent="0.35">
      <c r="A1133" t="s">
        <v>3450</v>
      </c>
      <c r="B1133" t="s">
        <v>174</v>
      </c>
      <c r="C1133" t="s">
        <v>3451</v>
      </c>
      <c r="D1133" t="s">
        <v>190</v>
      </c>
      <c r="E1133" t="s">
        <v>46</v>
      </c>
      <c r="F1133" t="s">
        <v>53</v>
      </c>
      <c r="G1133">
        <v>7</v>
      </c>
      <c r="H1133" t="s">
        <v>177</v>
      </c>
      <c r="I1133" t="s">
        <v>53</v>
      </c>
      <c r="J1133" t="s">
        <v>3123</v>
      </c>
      <c r="K1133" t="s">
        <v>183</v>
      </c>
      <c r="L1133" t="s">
        <v>180</v>
      </c>
      <c r="M1133" s="3">
        <f t="shared" si="17"/>
        <v>7</v>
      </c>
    </row>
    <row r="1134" spans="1:13" x14ac:dyDescent="0.35">
      <c r="A1134" t="s">
        <v>3452</v>
      </c>
      <c r="B1134" t="s">
        <v>174</v>
      </c>
      <c r="C1134" t="s">
        <v>3453</v>
      </c>
      <c r="D1134" t="s">
        <v>190</v>
      </c>
      <c r="E1134" t="s">
        <v>39</v>
      </c>
      <c r="F1134" t="s">
        <v>46</v>
      </c>
      <c r="G1134">
        <v>7</v>
      </c>
      <c r="H1134" t="s">
        <v>252</v>
      </c>
      <c r="J1134" t="s">
        <v>3454</v>
      </c>
      <c r="K1134" t="s">
        <v>270</v>
      </c>
      <c r="L1134" t="s">
        <v>180</v>
      </c>
      <c r="M1134" s="3" t="str">
        <f t="shared" si="17"/>
        <v/>
      </c>
    </row>
    <row r="1135" spans="1:13" x14ac:dyDescent="0.35">
      <c r="A1135" t="s">
        <v>3455</v>
      </c>
      <c r="B1135" t="s">
        <v>174</v>
      </c>
      <c r="C1135" t="s">
        <v>3456</v>
      </c>
      <c r="D1135" t="s">
        <v>190</v>
      </c>
      <c r="E1135" t="s">
        <v>36</v>
      </c>
      <c r="F1135" t="s">
        <v>56</v>
      </c>
      <c r="G1135">
        <v>20</v>
      </c>
      <c r="H1135" t="s">
        <v>177</v>
      </c>
      <c r="I1135" t="s">
        <v>56</v>
      </c>
      <c r="J1135" t="s">
        <v>3457</v>
      </c>
      <c r="K1135" t="s">
        <v>270</v>
      </c>
      <c r="L1135" t="s">
        <v>180</v>
      </c>
      <c r="M1135" s="3">
        <f t="shared" si="17"/>
        <v>20</v>
      </c>
    </row>
    <row r="1136" spans="1:13" x14ac:dyDescent="0.35">
      <c r="A1136" t="s">
        <v>3458</v>
      </c>
      <c r="B1136" t="s">
        <v>174</v>
      </c>
      <c r="C1136" t="s">
        <v>3459</v>
      </c>
      <c r="D1136" t="s">
        <v>190</v>
      </c>
      <c r="E1136" t="s">
        <v>35</v>
      </c>
      <c r="F1136" t="s">
        <v>42</v>
      </c>
      <c r="G1136">
        <v>7</v>
      </c>
      <c r="H1136" t="s">
        <v>252</v>
      </c>
      <c r="J1136" t="s">
        <v>3460</v>
      </c>
      <c r="K1136" t="s">
        <v>270</v>
      </c>
      <c r="L1136" t="s">
        <v>180</v>
      </c>
      <c r="M1136" s="3" t="str">
        <f t="shared" si="17"/>
        <v/>
      </c>
    </row>
    <row r="1137" spans="1:13" x14ac:dyDescent="0.35">
      <c r="A1137" t="s">
        <v>3461</v>
      </c>
      <c r="B1137" t="s">
        <v>174</v>
      </c>
      <c r="C1137" t="s">
        <v>3462</v>
      </c>
      <c r="D1137" t="s">
        <v>190</v>
      </c>
      <c r="E1137" t="s">
        <v>49</v>
      </c>
      <c r="F1137" t="s">
        <v>56</v>
      </c>
      <c r="G1137">
        <v>6</v>
      </c>
      <c r="H1137" t="s">
        <v>177</v>
      </c>
      <c r="I1137" t="s">
        <v>56</v>
      </c>
      <c r="J1137" t="s">
        <v>1309</v>
      </c>
      <c r="K1137" t="s">
        <v>257</v>
      </c>
      <c r="L1137" t="s">
        <v>180</v>
      </c>
      <c r="M1137" s="3">
        <f t="shared" si="17"/>
        <v>7</v>
      </c>
    </row>
    <row r="1138" spans="1:13" x14ac:dyDescent="0.35">
      <c r="A1138" t="s">
        <v>3463</v>
      </c>
      <c r="B1138" t="s">
        <v>174</v>
      </c>
      <c r="C1138" t="s">
        <v>3464</v>
      </c>
      <c r="D1138" t="s">
        <v>190</v>
      </c>
      <c r="E1138" t="s">
        <v>35</v>
      </c>
      <c r="F1138" t="s">
        <v>45</v>
      </c>
      <c r="G1138">
        <v>9</v>
      </c>
      <c r="H1138" t="s">
        <v>177</v>
      </c>
      <c r="I1138" t="s">
        <v>45</v>
      </c>
      <c r="J1138" t="s">
        <v>3465</v>
      </c>
      <c r="K1138" t="s">
        <v>270</v>
      </c>
      <c r="L1138" t="s">
        <v>184</v>
      </c>
      <c r="M1138" s="3">
        <f t="shared" si="17"/>
        <v>10</v>
      </c>
    </row>
    <row r="1139" spans="1:13" x14ac:dyDescent="0.35">
      <c r="A1139" t="s">
        <v>3466</v>
      </c>
      <c r="B1139" t="s">
        <v>174</v>
      </c>
      <c r="C1139" t="s">
        <v>3467</v>
      </c>
      <c r="D1139" t="s">
        <v>190</v>
      </c>
      <c r="E1139" t="s">
        <v>42</v>
      </c>
      <c r="F1139" t="s">
        <v>47</v>
      </c>
      <c r="G1139">
        <v>5</v>
      </c>
      <c r="H1139" t="s">
        <v>177</v>
      </c>
      <c r="I1139" t="s">
        <v>48</v>
      </c>
      <c r="J1139" t="s">
        <v>3468</v>
      </c>
      <c r="K1139" t="s">
        <v>197</v>
      </c>
      <c r="L1139" t="s">
        <v>180</v>
      </c>
      <c r="M1139" s="3">
        <f t="shared" si="17"/>
        <v>6</v>
      </c>
    </row>
    <row r="1140" spans="1:13" x14ac:dyDescent="0.35">
      <c r="A1140" t="s">
        <v>3469</v>
      </c>
      <c r="B1140" t="s">
        <v>174</v>
      </c>
      <c r="C1140" t="s">
        <v>3470</v>
      </c>
      <c r="D1140" t="s">
        <v>190</v>
      </c>
      <c r="E1140" t="s">
        <v>37</v>
      </c>
      <c r="F1140" t="s">
        <v>51</v>
      </c>
      <c r="G1140">
        <v>14</v>
      </c>
      <c r="H1140" t="s">
        <v>177</v>
      </c>
      <c r="I1140" t="s">
        <v>53</v>
      </c>
      <c r="J1140" t="s">
        <v>3471</v>
      </c>
      <c r="K1140" t="s">
        <v>257</v>
      </c>
      <c r="L1140" t="s">
        <v>180</v>
      </c>
      <c r="M1140" s="3">
        <f t="shared" si="17"/>
        <v>16</v>
      </c>
    </row>
    <row r="1141" spans="1:13" x14ac:dyDescent="0.35">
      <c r="A1141" t="s">
        <v>3472</v>
      </c>
      <c r="B1141" t="s">
        <v>174</v>
      </c>
      <c r="C1141" t="s">
        <v>3473</v>
      </c>
      <c r="D1141" t="s">
        <v>190</v>
      </c>
      <c r="E1141" t="s">
        <v>44</v>
      </c>
      <c r="F1141" t="s">
        <v>51</v>
      </c>
      <c r="G1141">
        <v>7</v>
      </c>
      <c r="H1141" t="s">
        <v>177</v>
      </c>
      <c r="I1141" t="s">
        <v>53</v>
      </c>
      <c r="J1141" t="s">
        <v>3474</v>
      </c>
      <c r="K1141" t="s">
        <v>183</v>
      </c>
      <c r="L1141" t="s">
        <v>180</v>
      </c>
      <c r="M1141" s="3">
        <f t="shared" si="17"/>
        <v>9</v>
      </c>
    </row>
    <row r="1142" spans="1:13" x14ac:dyDescent="0.35">
      <c r="A1142" t="s">
        <v>3475</v>
      </c>
      <c r="B1142" t="s">
        <v>174</v>
      </c>
      <c r="C1142" t="s">
        <v>3476</v>
      </c>
      <c r="D1142" t="s">
        <v>190</v>
      </c>
      <c r="E1142" t="s">
        <v>37</v>
      </c>
      <c r="F1142" t="s">
        <v>45</v>
      </c>
      <c r="G1142">
        <v>9</v>
      </c>
      <c r="H1142" t="s">
        <v>177</v>
      </c>
      <c r="I1142" t="s">
        <v>46</v>
      </c>
      <c r="J1142" t="s">
        <v>3477</v>
      </c>
      <c r="K1142" t="s">
        <v>192</v>
      </c>
      <c r="L1142" t="s">
        <v>180</v>
      </c>
      <c r="M1142" s="3">
        <f t="shared" si="17"/>
        <v>9</v>
      </c>
    </row>
    <row r="1143" spans="1:13" x14ac:dyDescent="0.35">
      <c r="A1143" t="s">
        <v>3478</v>
      </c>
      <c r="B1143" t="s">
        <v>174</v>
      </c>
      <c r="C1143" t="s">
        <v>3479</v>
      </c>
      <c r="D1143" t="s">
        <v>494</v>
      </c>
      <c r="E1143" t="s">
        <v>33</v>
      </c>
      <c r="F1143" t="s">
        <v>55</v>
      </c>
      <c r="G1143">
        <v>22</v>
      </c>
      <c r="H1143" t="s">
        <v>177</v>
      </c>
      <c r="I1143" t="s">
        <v>55</v>
      </c>
      <c r="J1143" t="s">
        <v>3480</v>
      </c>
      <c r="K1143" t="s">
        <v>183</v>
      </c>
      <c r="L1143" t="s">
        <v>180</v>
      </c>
      <c r="M1143" s="3">
        <f t="shared" si="17"/>
        <v>22</v>
      </c>
    </row>
    <row r="1144" spans="1:13" x14ac:dyDescent="0.35">
      <c r="A1144" t="s">
        <v>3481</v>
      </c>
      <c r="B1144" t="s">
        <v>174</v>
      </c>
      <c r="C1144" t="s">
        <v>3482</v>
      </c>
      <c r="D1144" t="s">
        <v>190</v>
      </c>
      <c r="E1144" t="s">
        <v>44</v>
      </c>
      <c r="F1144" t="s">
        <v>55</v>
      </c>
      <c r="G1144">
        <v>11</v>
      </c>
      <c r="H1144" t="s">
        <v>177</v>
      </c>
      <c r="I1144" t="s">
        <v>55</v>
      </c>
      <c r="J1144" t="s">
        <v>2125</v>
      </c>
      <c r="K1144" t="s">
        <v>270</v>
      </c>
      <c r="L1144" t="s">
        <v>180</v>
      </c>
      <c r="M1144" s="3">
        <f t="shared" si="17"/>
        <v>11</v>
      </c>
    </row>
    <row r="1145" spans="1:13" x14ac:dyDescent="0.35">
      <c r="A1145" t="s">
        <v>3483</v>
      </c>
      <c r="B1145" t="s">
        <v>231</v>
      </c>
      <c r="C1145" t="s">
        <v>3484</v>
      </c>
      <c r="D1145" t="s">
        <v>176</v>
      </c>
      <c r="E1145" t="s">
        <v>24</v>
      </c>
      <c r="F1145" t="s">
        <v>54</v>
      </c>
      <c r="G1145">
        <v>30</v>
      </c>
      <c r="H1145" t="s">
        <v>195</v>
      </c>
      <c r="J1145" t="s">
        <v>3485</v>
      </c>
      <c r="K1145" t="s">
        <v>183</v>
      </c>
      <c r="L1145" t="s">
        <v>180</v>
      </c>
      <c r="M1145" s="3" t="str">
        <f t="shared" si="17"/>
        <v/>
      </c>
    </row>
    <row r="1146" spans="1:13" x14ac:dyDescent="0.35">
      <c r="A1146" t="s">
        <v>3486</v>
      </c>
      <c r="B1146" t="s">
        <v>174</v>
      </c>
      <c r="C1146" t="s">
        <v>3487</v>
      </c>
      <c r="D1146" t="s">
        <v>236</v>
      </c>
      <c r="E1146" t="s">
        <v>46</v>
      </c>
      <c r="F1146" t="s">
        <v>53</v>
      </c>
      <c r="G1146">
        <v>7</v>
      </c>
      <c r="H1146" t="s">
        <v>177</v>
      </c>
      <c r="I1146" t="s">
        <v>53</v>
      </c>
      <c r="J1146" t="s">
        <v>3488</v>
      </c>
      <c r="K1146" t="s">
        <v>192</v>
      </c>
      <c r="L1146" t="s">
        <v>180</v>
      </c>
      <c r="M1146" s="3">
        <f t="shared" si="17"/>
        <v>7</v>
      </c>
    </row>
    <row r="1147" spans="1:13" x14ac:dyDescent="0.35">
      <c r="A1147" t="s">
        <v>3489</v>
      </c>
      <c r="B1147" t="s">
        <v>174</v>
      </c>
      <c r="C1147" t="s">
        <v>3490</v>
      </c>
      <c r="D1147" t="s">
        <v>190</v>
      </c>
      <c r="E1147" t="s">
        <v>32</v>
      </c>
      <c r="F1147" t="s">
        <v>53</v>
      </c>
      <c r="G1147">
        <v>21</v>
      </c>
      <c r="H1147" t="s">
        <v>177</v>
      </c>
      <c r="I1147" t="s">
        <v>53</v>
      </c>
      <c r="J1147" t="s">
        <v>3491</v>
      </c>
      <c r="K1147" t="s">
        <v>270</v>
      </c>
      <c r="L1147" t="s">
        <v>180</v>
      </c>
      <c r="M1147" s="3">
        <f t="shared" si="17"/>
        <v>21</v>
      </c>
    </row>
    <row r="1148" spans="1:13" x14ac:dyDescent="0.35">
      <c r="A1148" t="s">
        <v>3492</v>
      </c>
      <c r="B1148" t="s">
        <v>174</v>
      </c>
      <c r="C1148" t="s">
        <v>3493</v>
      </c>
      <c r="D1148" t="s">
        <v>190</v>
      </c>
      <c r="E1148" t="s">
        <v>46</v>
      </c>
      <c r="F1148" t="s">
        <v>55</v>
      </c>
      <c r="G1148">
        <v>8</v>
      </c>
      <c r="H1148" t="s">
        <v>177</v>
      </c>
      <c r="I1148" t="s">
        <v>55</v>
      </c>
      <c r="J1148" t="s">
        <v>2743</v>
      </c>
      <c r="K1148" t="s">
        <v>183</v>
      </c>
      <c r="L1148" t="s">
        <v>180</v>
      </c>
      <c r="M1148" s="3">
        <f t="shared" si="17"/>
        <v>9</v>
      </c>
    </row>
    <row r="1149" spans="1:13" x14ac:dyDescent="0.35">
      <c r="A1149" t="s">
        <v>3494</v>
      </c>
      <c r="B1149" t="s">
        <v>174</v>
      </c>
      <c r="C1149" t="s">
        <v>3495</v>
      </c>
      <c r="D1149" t="s">
        <v>190</v>
      </c>
      <c r="E1149" t="s">
        <v>32</v>
      </c>
      <c r="F1149" t="s">
        <v>55</v>
      </c>
      <c r="G1149">
        <v>23</v>
      </c>
      <c r="H1149" t="s">
        <v>177</v>
      </c>
      <c r="I1149" t="s">
        <v>55</v>
      </c>
      <c r="J1149" t="s">
        <v>3496</v>
      </c>
      <c r="K1149" t="s">
        <v>183</v>
      </c>
      <c r="L1149" t="s">
        <v>180</v>
      </c>
      <c r="M1149" s="3">
        <f t="shared" si="17"/>
        <v>23</v>
      </c>
    </row>
    <row r="1150" spans="1:13" x14ac:dyDescent="0.35">
      <c r="A1150" t="s">
        <v>3494</v>
      </c>
      <c r="B1150" t="s">
        <v>174</v>
      </c>
      <c r="C1150" t="s">
        <v>3497</v>
      </c>
      <c r="D1150" t="s">
        <v>176</v>
      </c>
      <c r="E1150" t="s">
        <v>43</v>
      </c>
      <c r="F1150" t="s">
        <v>48</v>
      </c>
      <c r="G1150">
        <v>5</v>
      </c>
      <c r="H1150" t="s">
        <v>177</v>
      </c>
      <c r="I1150" t="s">
        <v>49</v>
      </c>
      <c r="J1150" t="s">
        <v>3498</v>
      </c>
      <c r="K1150" t="s">
        <v>183</v>
      </c>
      <c r="L1150" t="s">
        <v>180</v>
      </c>
      <c r="M1150" s="3">
        <f t="shared" si="17"/>
        <v>6</v>
      </c>
    </row>
    <row r="1151" spans="1:13" x14ac:dyDescent="0.35">
      <c r="A1151" t="s">
        <v>3499</v>
      </c>
      <c r="B1151" t="s">
        <v>174</v>
      </c>
      <c r="C1151" t="s">
        <v>3500</v>
      </c>
      <c r="D1151" t="s">
        <v>190</v>
      </c>
      <c r="E1151" t="s">
        <v>47</v>
      </c>
      <c r="F1151" t="s">
        <v>56</v>
      </c>
      <c r="G1151">
        <v>8</v>
      </c>
      <c r="H1151" t="s">
        <v>177</v>
      </c>
      <c r="I1151" t="s">
        <v>56</v>
      </c>
      <c r="J1151" t="s">
        <v>3501</v>
      </c>
      <c r="K1151" t="s">
        <v>257</v>
      </c>
      <c r="L1151" t="s">
        <v>184</v>
      </c>
      <c r="M1151" s="3">
        <f t="shared" si="17"/>
        <v>9</v>
      </c>
    </row>
    <row r="1152" spans="1:13" x14ac:dyDescent="0.35">
      <c r="A1152" t="s">
        <v>3502</v>
      </c>
      <c r="B1152" t="s">
        <v>174</v>
      </c>
      <c r="C1152" t="s">
        <v>3503</v>
      </c>
      <c r="D1152" t="s">
        <v>190</v>
      </c>
      <c r="E1152" t="s">
        <v>46</v>
      </c>
      <c r="F1152" t="s">
        <v>52</v>
      </c>
      <c r="G1152">
        <v>6</v>
      </c>
      <c r="H1152" t="s">
        <v>177</v>
      </c>
      <c r="I1152" t="s">
        <v>53</v>
      </c>
      <c r="J1152" t="s">
        <v>3504</v>
      </c>
      <c r="K1152" t="s">
        <v>197</v>
      </c>
      <c r="L1152" t="s">
        <v>180</v>
      </c>
      <c r="M1152" s="3">
        <f t="shared" si="17"/>
        <v>7</v>
      </c>
    </row>
    <row r="1153" spans="1:13" x14ac:dyDescent="0.35">
      <c r="A1153" t="s">
        <v>3505</v>
      </c>
      <c r="B1153" t="s">
        <v>174</v>
      </c>
      <c r="C1153" t="s">
        <v>3506</v>
      </c>
      <c r="D1153" t="s">
        <v>190</v>
      </c>
      <c r="E1153" t="s">
        <v>39</v>
      </c>
      <c r="F1153" t="s">
        <v>42</v>
      </c>
      <c r="G1153">
        <v>3</v>
      </c>
      <c r="H1153" t="s">
        <v>177</v>
      </c>
      <c r="I1153" t="s">
        <v>42</v>
      </c>
      <c r="J1153" t="s">
        <v>1789</v>
      </c>
      <c r="K1153" t="s">
        <v>270</v>
      </c>
      <c r="L1153" t="s">
        <v>180</v>
      </c>
      <c r="M1153" s="3">
        <f t="shared" si="17"/>
        <v>3</v>
      </c>
    </row>
    <row r="1154" spans="1:13" x14ac:dyDescent="0.35">
      <c r="A1154" t="s">
        <v>3507</v>
      </c>
      <c r="B1154" t="s">
        <v>174</v>
      </c>
      <c r="C1154" t="s">
        <v>3508</v>
      </c>
      <c r="D1154" t="s">
        <v>190</v>
      </c>
      <c r="E1154" t="s">
        <v>42</v>
      </c>
      <c r="F1154" t="s">
        <v>46</v>
      </c>
      <c r="G1154">
        <v>4</v>
      </c>
      <c r="H1154" t="s">
        <v>177</v>
      </c>
      <c r="I1154" t="s">
        <v>47</v>
      </c>
      <c r="J1154" t="s">
        <v>3509</v>
      </c>
      <c r="K1154" t="s">
        <v>197</v>
      </c>
      <c r="L1154" t="s">
        <v>184</v>
      </c>
      <c r="M1154" s="3">
        <f t="shared" si="17"/>
        <v>5</v>
      </c>
    </row>
    <row r="1155" spans="1:13" x14ac:dyDescent="0.35">
      <c r="A1155" t="s">
        <v>3510</v>
      </c>
      <c r="B1155" t="s">
        <v>231</v>
      </c>
      <c r="C1155" t="s">
        <v>3511</v>
      </c>
      <c r="D1155" t="s">
        <v>190</v>
      </c>
      <c r="E1155" t="s">
        <v>39</v>
      </c>
      <c r="F1155" t="s">
        <v>45</v>
      </c>
      <c r="G1155">
        <v>7</v>
      </c>
      <c r="H1155" t="s">
        <v>177</v>
      </c>
      <c r="I1155" t="s">
        <v>45</v>
      </c>
      <c r="J1155" t="s">
        <v>3512</v>
      </c>
      <c r="K1155" t="s">
        <v>270</v>
      </c>
      <c r="L1155" t="s">
        <v>180</v>
      </c>
      <c r="M1155" s="3">
        <f t="shared" ref="M1155:M1218" si="18">IF(H1155="Efectivo",IFERROR((VALUE(RIGHT(I1155,4))-VALUE(RIGHT(E1155,4)))*12+(VALUE(LEFT(I1155,2))-VALUE(LEFT(E1155,2))),""),"")</f>
        <v>6</v>
      </c>
    </row>
    <row r="1156" spans="1:13" x14ac:dyDescent="0.35">
      <c r="A1156" t="s">
        <v>3513</v>
      </c>
      <c r="B1156" t="s">
        <v>174</v>
      </c>
      <c r="C1156" t="s">
        <v>3514</v>
      </c>
      <c r="D1156" t="s">
        <v>190</v>
      </c>
      <c r="E1156" t="s">
        <v>43</v>
      </c>
      <c r="F1156" t="s">
        <v>53</v>
      </c>
      <c r="G1156">
        <v>9</v>
      </c>
      <c r="H1156" t="s">
        <v>177</v>
      </c>
      <c r="I1156" t="s">
        <v>55</v>
      </c>
      <c r="J1156" t="s">
        <v>3515</v>
      </c>
      <c r="K1156" t="s">
        <v>257</v>
      </c>
      <c r="L1156" t="s">
        <v>184</v>
      </c>
      <c r="M1156" s="3">
        <f t="shared" si="18"/>
        <v>12</v>
      </c>
    </row>
    <row r="1157" spans="1:13" x14ac:dyDescent="0.35">
      <c r="A1157" t="s">
        <v>3516</v>
      </c>
      <c r="B1157" t="s">
        <v>174</v>
      </c>
      <c r="C1157" t="s">
        <v>3517</v>
      </c>
      <c r="D1157" t="s">
        <v>190</v>
      </c>
      <c r="E1157" t="s">
        <v>34</v>
      </c>
      <c r="F1157" t="s">
        <v>43</v>
      </c>
      <c r="G1157">
        <v>10</v>
      </c>
      <c r="H1157" t="s">
        <v>177</v>
      </c>
      <c r="I1157" t="s">
        <v>44</v>
      </c>
      <c r="J1157" t="s">
        <v>3518</v>
      </c>
      <c r="K1157" t="s">
        <v>183</v>
      </c>
      <c r="L1157" t="s">
        <v>180</v>
      </c>
      <c r="M1157" s="3">
        <f t="shared" si="18"/>
        <v>10</v>
      </c>
    </row>
    <row r="1158" spans="1:13" x14ac:dyDescent="0.35">
      <c r="A1158" t="s">
        <v>3519</v>
      </c>
      <c r="B1158" t="s">
        <v>174</v>
      </c>
      <c r="C1158" t="s">
        <v>3520</v>
      </c>
      <c r="D1158" t="s">
        <v>190</v>
      </c>
      <c r="E1158" t="s">
        <v>50</v>
      </c>
      <c r="F1158" t="s">
        <v>54</v>
      </c>
      <c r="G1158">
        <v>3</v>
      </c>
      <c r="H1158" t="s">
        <v>177</v>
      </c>
      <c r="I1158" t="s">
        <v>54</v>
      </c>
      <c r="J1158" t="s">
        <v>3521</v>
      </c>
      <c r="K1158" t="s">
        <v>183</v>
      </c>
      <c r="L1158" t="s">
        <v>184</v>
      </c>
      <c r="M1158" s="3">
        <f t="shared" si="18"/>
        <v>4</v>
      </c>
    </row>
    <row r="1159" spans="1:13" x14ac:dyDescent="0.35">
      <c r="A1159" t="s">
        <v>3522</v>
      </c>
      <c r="B1159" t="s">
        <v>174</v>
      </c>
      <c r="C1159" t="s">
        <v>3523</v>
      </c>
      <c r="D1159" t="s">
        <v>190</v>
      </c>
      <c r="E1159" t="s">
        <v>49</v>
      </c>
      <c r="F1159" t="s">
        <v>55</v>
      </c>
      <c r="G1159">
        <v>5</v>
      </c>
      <c r="H1159" t="s">
        <v>177</v>
      </c>
      <c r="I1159" t="s">
        <v>55</v>
      </c>
      <c r="J1159" t="s">
        <v>3524</v>
      </c>
      <c r="K1159" t="s">
        <v>197</v>
      </c>
      <c r="L1159" t="s">
        <v>180</v>
      </c>
      <c r="M1159" s="3">
        <f t="shared" si="18"/>
        <v>6</v>
      </c>
    </row>
    <row r="1160" spans="1:13" x14ac:dyDescent="0.35">
      <c r="A1160" t="s">
        <v>3525</v>
      </c>
      <c r="B1160" t="s">
        <v>174</v>
      </c>
      <c r="C1160" t="s">
        <v>3526</v>
      </c>
      <c r="D1160" t="s">
        <v>190</v>
      </c>
      <c r="E1160" t="s">
        <v>40</v>
      </c>
      <c r="F1160" t="s">
        <v>44</v>
      </c>
      <c r="G1160">
        <v>4</v>
      </c>
      <c r="H1160" t="s">
        <v>177</v>
      </c>
      <c r="I1160" t="s">
        <v>44</v>
      </c>
      <c r="J1160" t="s">
        <v>3527</v>
      </c>
      <c r="K1160" t="s">
        <v>270</v>
      </c>
      <c r="L1160" t="s">
        <v>184</v>
      </c>
      <c r="M1160" s="3">
        <f t="shared" si="18"/>
        <v>4</v>
      </c>
    </row>
    <row r="1161" spans="1:13" x14ac:dyDescent="0.35">
      <c r="A1161" t="s">
        <v>3528</v>
      </c>
      <c r="B1161" t="s">
        <v>174</v>
      </c>
      <c r="C1161" t="s">
        <v>3529</v>
      </c>
      <c r="D1161" t="s">
        <v>190</v>
      </c>
      <c r="E1161" t="s">
        <v>45</v>
      </c>
      <c r="F1161" t="s">
        <v>46</v>
      </c>
      <c r="G1161">
        <v>1</v>
      </c>
      <c r="H1161" t="s">
        <v>177</v>
      </c>
      <c r="I1161" t="s">
        <v>47</v>
      </c>
      <c r="J1161" t="s">
        <v>3530</v>
      </c>
      <c r="K1161" t="s">
        <v>257</v>
      </c>
      <c r="L1161" t="s">
        <v>184</v>
      </c>
      <c r="M1161" s="3">
        <f t="shared" si="18"/>
        <v>2</v>
      </c>
    </row>
    <row r="1162" spans="1:13" x14ac:dyDescent="0.35">
      <c r="A1162" t="s">
        <v>3531</v>
      </c>
      <c r="B1162" t="s">
        <v>174</v>
      </c>
      <c r="C1162" t="s">
        <v>3532</v>
      </c>
      <c r="D1162" t="s">
        <v>190</v>
      </c>
      <c r="E1162" t="s">
        <v>34</v>
      </c>
      <c r="F1162" t="s">
        <v>40</v>
      </c>
      <c r="G1162">
        <v>6</v>
      </c>
      <c r="H1162" t="s">
        <v>177</v>
      </c>
      <c r="I1162" t="s">
        <v>40</v>
      </c>
      <c r="J1162" t="s">
        <v>3533</v>
      </c>
      <c r="K1162" t="s">
        <v>270</v>
      </c>
      <c r="L1162" t="s">
        <v>180</v>
      </c>
      <c r="M1162" s="3">
        <f t="shared" si="18"/>
        <v>6</v>
      </c>
    </row>
    <row r="1163" spans="1:13" x14ac:dyDescent="0.35">
      <c r="A1163" t="s">
        <v>3534</v>
      </c>
      <c r="B1163" t="s">
        <v>174</v>
      </c>
      <c r="C1163" t="s">
        <v>3535</v>
      </c>
      <c r="D1163" t="s">
        <v>190</v>
      </c>
      <c r="E1163" t="s">
        <v>39</v>
      </c>
      <c r="F1163" t="s">
        <v>47</v>
      </c>
      <c r="G1163">
        <v>9</v>
      </c>
      <c r="H1163" t="s">
        <v>177</v>
      </c>
      <c r="I1163" t="s">
        <v>48</v>
      </c>
      <c r="J1163" t="s">
        <v>3536</v>
      </c>
      <c r="K1163" t="s">
        <v>270</v>
      </c>
      <c r="L1163" t="s">
        <v>184</v>
      </c>
      <c r="M1163" s="3">
        <f t="shared" si="18"/>
        <v>9</v>
      </c>
    </row>
    <row r="1164" spans="1:13" x14ac:dyDescent="0.35">
      <c r="A1164" t="s">
        <v>3537</v>
      </c>
      <c r="B1164" t="s">
        <v>174</v>
      </c>
      <c r="C1164" t="s">
        <v>3538</v>
      </c>
      <c r="D1164" t="s">
        <v>190</v>
      </c>
      <c r="E1164" t="s">
        <v>40</v>
      </c>
      <c r="F1164" t="s">
        <v>47</v>
      </c>
      <c r="G1164">
        <v>6</v>
      </c>
      <c r="H1164" t="s">
        <v>177</v>
      </c>
      <c r="I1164" t="s">
        <v>48</v>
      </c>
      <c r="J1164" t="s">
        <v>3539</v>
      </c>
      <c r="K1164" t="s">
        <v>270</v>
      </c>
      <c r="L1164" t="s">
        <v>180</v>
      </c>
      <c r="M1164" s="3">
        <f t="shared" si="18"/>
        <v>8</v>
      </c>
    </row>
    <row r="1165" spans="1:13" x14ac:dyDescent="0.35">
      <c r="A1165" t="s">
        <v>3540</v>
      </c>
      <c r="B1165" t="s">
        <v>174</v>
      </c>
      <c r="C1165" t="s">
        <v>3541</v>
      </c>
      <c r="D1165" t="s">
        <v>190</v>
      </c>
      <c r="E1165" t="s">
        <v>51</v>
      </c>
      <c r="F1165" t="s">
        <v>54</v>
      </c>
      <c r="G1165">
        <v>2</v>
      </c>
      <c r="H1165" t="s">
        <v>177</v>
      </c>
      <c r="I1165" t="s">
        <v>55</v>
      </c>
      <c r="J1165" t="s">
        <v>3542</v>
      </c>
      <c r="K1165" t="s">
        <v>257</v>
      </c>
      <c r="L1165" t="s">
        <v>180</v>
      </c>
      <c r="M1165" s="3">
        <f t="shared" si="18"/>
        <v>4</v>
      </c>
    </row>
    <row r="1166" spans="1:13" x14ac:dyDescent="0.35">
      <c r="A1166" t="s">
        <v>3543</v>
      </c>
      <c r="B1166" t="s">
        <v>174</v>
      </c>
      <c r="C1166" t="s">
        <v>3544</v>
      </c>
      <c r="D1166" t="s">
        <v>190</v>
      </c>
      <c r="E1166" t="s">
        <v>44</v>
      </c>
      <c r="F1166" t="s">
        <v>48</v>
      </c>
      <c r="G1166">
        <v>4</v>
      </c>
      <c r="H1166" t="s">
        <v>177</v>
      </c>
      <c r="I1166" t="s">
        <v>48</v>
      </c>
      <c r="J1166" t="s">
        <v>3545</v>
      </c>
      <c r="K1166" t="s">
        <v>257</v>
      </c>
      <c r="L1166" t="s">
        <v>180</v>
      </c>
      <c r="M1166" s="3">
        <f t="shared" si="18"/>
        <v>4</v>
      </c>
    </row>
    <row r="1167" spans="1:13" x14ac:dyDescent="0.35">
      <c r="A1167" t="s">
        <v>3546</v>
      </c>
      <c r="B1167" t="s">
        <v>174</v>
      </c>
      <c r="C1167" t="s">
        <v>3547</v>
      </c>
      <c r="D1167" t="s">
        <v>190</v>
      </c>
      <c r="E1167" t="s">
        <v>39</v>
      </c>
      <c r="F1167" t="s">
        <v>42</v>
      </c>
      <c r="G1167">
        <v>3</v>
      </c>
      <c r="H1167" t="s">
        <v>177</v>
      </c>
      <c r="I1167" t="s">
        <v>42</v>
      </c>
      <c r="J1167" t="s">
        <v>3548</v>
      </c>
      <c r="K1167" t="s">
        <v>270</v>
      </c>
      <c r="L1167" t="s">
        <v>180</v>
      </c>
      <c r="M1167" s="3">
        <f t="shared" si="18"/>
        <v>3</v>
      </c>
    </row>
    <row r="1168" spans="1:13" x14ac:dyDescent="0.35">
      <c r="A1168" t="s">
        <v>3549</v>
      </c>
      <c r="B1168" t="s">
        <v>174</v>
      </c>
      <c r="C1168" t="s">
        <v>3550</v>
      </c>
      <c r="D1168" t="s">
        <v>190</v>
      </c>
      <c r="E1168" t="s">
        <v>39</v>
      </c>
      <c r="F1168" t="s">
        <v>42</v>
      </c>
      <c r="G1168">
        <v>3</v>
      </c>
      <c r="H1168" t="s">
        <v>177</v>
      </c>
      <c r="I1168" t="s">
        <v>42</v>
      </c>
      <c r="J1168" t="s">
        <v>1043</v>
      </c>
      <c r="K1168" t="s">
        <v>270</v>
      </c>
      <c r="L1168" t="s">
        <v>180</v>
      </c>
      <c r="M1168" s="3">
        <f t="shared" si="18"/>
        <v>3</v>
      </c>
    </row>
    <row r="1169" spans="1:13" x14ac:dyDescent="0.35">
      <c r="A1169" t="s">
        <v>3551</v>
      </c>
      <c r="B1169" t="s">
        <v>174</v>
      </c>
      <c r="C1169" t="s">
        <v>3552</v>
      </c>
      <c r="D1169" t="s">
        <v>190</v>
      </c>
      <c r="E1169" t="s">
        <v>49</v>
      </c>
      <c r="F1169" t="s">
        <v>51</v>
      </c>
      <c r="G1169">
        <v>2</v>
      </c>
      <c r="H1169" t="s">
        <v>177</v>
      </c>
      <c r="I1169" t="s">
        <v>53</v>
      </c>
      <c r="J1169" t="s">
        <v>3553</v>
      </c>
      <c r="K1169" t="s">
        <v>270</v>
      </c>
      <c r="L1169" t="s">
        <v>184</v>
      </c>
      <c r="M1169" s="3">
        <f t="shared" si="18"/>
        <v>4</v>
      </c>
    </row>
    <row r="1170" spans="1:13" x14ac:dyDescent="0.35">
      <c r="A1170" t="s">
        <v>3554</v>
      </c>
      <c r="B1170" t="s">
        <v>174</v>
      </c>
      <c r="C1170" t="s">
        <v>3555</v>
      </c>
      <c r="D1170" t="s">
        <v>190</v>
      </c>
      <c r="E1170" t="s">
        <v>39</v>
      </c>
      <c r="F1170" t="s">
        <v>43</v>
      </c>
      <c r="G1170">
        <v>4</v>
      </c>
      <c r="H1170" t="s">
        <v>177</v>
      </c>
      <c r="I1170" t="s">
        <v>44</v>
      </c>
      <c r="J1170" t="s">
        <v>3553</v>
      </c>
      <c r="K1170" t="s">
        <v>270</v>
      </c>
      <c r="L1170" t="s">
        <v>180</v>
      </c>
      <c r="M1170" s="3">
        <f t="shared" si="18"/>
        <v>5</v>
      </c>
    </row>
    <row r="1171" spans="1:13" x14ac:dyDescent="0.35">
      <c r="A1171" t="s">
        <v>3556</v>
      </c>
      <c r="B1171" t="s">
        <v>174</v>
      </c>
      <c r="C1171" t="s">
        <v>3557</v>
      </c>
      <c r="D1171" t="s">
        <v>190</v>
      </c>
      <c r="E1171" t="s">
        <v>45</v>
      </c>
      <c r="F1171" t="s">
        <v>49</v>
      </c>
      <c r="G1171">
        <v>3</v>
      </c>
      <c r="H1171" t="s">
        <v>177</v>
      </c>
      <c r="I1171" t="s">
        <v>49</v>
      </c>
      <c r="J1171" t="s">
        <v>3558</v>
      </c>
      <c r="K1171" t="s">
        <v>257</v>
      </c>
      <c r="L1171" t="s">
        <v>180</v>
      </c>
      <c r="M1171" s="3">
        <f t="shared" si="18"/>
        <v>4</v>
      </c>
    </row>
    <row r="1172" spans="1:13" x14ac:dyDescent="0.35">
      <c r="A1172" t="s">
        <v>3559</v>
      </c>
      <c r="B1172" t="s">
        <v>174</v>
      </c>
      <c r="C1172" t="s">
        <v>3560</v>
      </c>
      <c r="D1172" t="s">
        <v>190</v>
      </c>
      <c r="E1172" t="s">
        <v>33</v>
      </c>
      <c r="F1172" t="s">
        <v>42</v>
      </c>
      <c r="G1172">
        <v>9</v>
      </c>
      <c r="H1172" t="s">
        <v>177</v>
      </c>
      <c r="I1172" t="s">
        <v>42</v>
      </c>
      <c r="J1172" t="s">
        <v>3561</v>
      </c>
      <c r="K1172" t="s">
        <v>377</v>
      </c>
      <c r="L1172" t="s">
        <v>180</v>
      </c>
      <c r="M1172" s="3">
        <f t="shared" si="18"/>
        <v>9</v>
      </c>
    </row>
    <row r="1173" spans="1:13" x14ac:dyDescent="0.35">
      <c r="A1173" t="s">
        <v>3562</v>
      </c>
      <c r="B1173" t="s">
        <v>174</v>
      </c>
      <c r="C1173" t="s">
        <v>3563</v>
      </c>
      <c r="D1173" t="s">
        <v>190</v>
      </c>
      <c r="E1173" t="s">
        <v>43</v>
      </c>
      <c r="F1173" t="s">
        <v>55</v>
      </c>
      <c r="G1173">
        <v>13</v>
      </c>
      <c r="H1173" t="s">
        <v>195</v>
      </c>
      <c r="J1173" t="s">
        <v>3564</v>
      </c>
      <c r="K1173" t="s">
        <v>197</v>
      </c>
      <c r="L1173" t="s">
        <v>180</v>
      </c>
      <c r="M1173" s="3" t="str">
        <f t="shared" si="18"/>
        <v/>
      </c>
    </row>
    <row r="1174" spans="1:13" x14ac:dyDescent="0.35">
      <c r="A1174" t="s">
        <v>3565</v>
      </c>
      <c r="B1174" t="s">
        <v>174</v>
      </c>
      <c r="C1174" t="s">
        <v>3566</v>
      </c>
      <c r="D1174" t="s">
        <v>236</v>
      </c>
      <c r="E1174" t="s">
        <v>45</v>
      </c>
      <c r="F1174" t="s">
        <v>52</v>
      </c>
      <c r="G1174">
        <v>6</v>
      </c>
      <c r="H1174" t="s">
        <v>177</v>
      </c>
      <c r="I1174" t="s">
        <v>52</v>
      </c>
      <c r="J1174" t="s">
        <v>3567</v>
      </c>
      <c r="K1174" t="s">
        <v>183</v>
      </c>
      <c r="L1174" t="s">
        <v>184</v>
      </c>
      <c r="M1174" s="3">
        <f t="shared" si="18"/>
        <v>7</v>
      </c>
    </row>
    <row r="1175" spans="1:13" x14ac:dyDescent="0.35">
      <c r="A1175" t="s">
        <v>3568</v>
      </c>
      <c r="B1175" t="s">
        <v>174</v>
      </c>
      <c r="C1175" t="s">
        <v>3569</v>
      </c>
      <c r="D1175" t="s">
        <v>236</v>
      </c>
      <c r="E1175" t="s">
        <v>47</v>
      </c>
      <c r="F1175" t="s">
        <v>54</v>
      </c>
      <c r="G1175">
        <v>6</v>
      </c>
      <c r="H1175" t="s">
        <v>177</v>
      </c>
      <c r="I1175" t="s">
        <v>54</v>
      </c>
      <c r="J1175" t="s">
        <v>3570</v>
      </c>
      <c r="K1175" t="s">
        <v>192</v>
      </c>
      <c r="L1175" t="s">
        <v>180</v>
      </c>
      <c r="M1175" s="3">
        <f t="shared" si="18"/>
        <v>7</v>
      </c>
    </row>
    <row r="1176" spans="1:13" x14ac:dyDescent="0.35">
      <c r="A1176" t="s">
        <v>3571</v>
      </c>
      <c r="B1176" t="s">
        <v>174</v>
      </c>
      <c r="C1176" t="s">
        <v>3572</v>
      </c>
      <c r="D1176" t="s">
        <v>190</v>
      </c>
      <c r="E1176" t="s">
        <v>44</v>
      </c>
      <c r="F1176" t="s">
        <v>54</v>
      </c>
      <c r="G1176">
        <v>10</v>
      </c>
      <c r="H1176" t="s">
        <v>177</v>
      </c>
      <c r="I1176" t="s">
        <v>54</v>
      </c>
      <c r="J1176" t="s">
        <v>3573</v>
      </c>
      <c r="K1176" t="s">
        <v>257</v>
      </c>
      <c r="L1176" t="s">
        <v>184</v>
      </c>
      <c r="M1176" s="3">
        <f t="shared" si="18"/>
        <v>10</v>
      </c>
    </row>
    <row r="1177" spans="1:13" x14ac:dyDescent="0.35">
      <c r="A1177" t="s">
        <v>3574</v>
      </c>
      <c r="B1177" t="s">
        <v>231</v>
      </c>
      <c r="C1177" t="s">
        <v>3575</v>
      </c>
      <c r="D1177" t="s">
        <v>236</v>
      </c>
      <c r="E1177" t="s">
        <v>49</v>
      </c>
      <c r="F1177" t="s">
        <v>53</v>
      </c>
      <c r="G1177">
        <v>4</v>
      </c>
      <c r="H1177" t="s">
        <v>177</v>
      </c>
      <c r="I1177" t="s">
        <v>53</v>
      </c>
      <c r="J1177" t="s">
        <v>3576</v>
      </c>
      <c r="K1177" t="s">
        <v>183</v>
      </c>
      <c r="L1177" t="s">
        <v>180</v>
      </c>
      <c r="M1177" s="3">
        <f t="shared" si="18"/>
        <v>4</v>
      </c>
    </row>
    <row r="1178" spans="1:13" x14ac:dyDescent="0.35">
      <c r="A1178" t="s">
        <v>3577</v>
      </c>
      <c r="B1178" t="s">
        <v>174</v>
      </c>
      <c r="C1178" t="s">
        <v>3578</v>
      </c>
      <c r="D1178" t="s">
        <v>190</v>
      </c>
      <c r="E1178" t="s">
        <v>50</v>
      </c>
      <c r="F1178" t="s">
        <v>56</v>
      </c>
      <c r="G1178">
        <v>6</v>
      </c>
      <c r="H1178" t="s">
        <v>177</v>
      </c>
      <c r="I1178" t="s">
        <v>56</v>
      </c>
      <c r="J1178" t="s">
        <v>3579</v>
      </c>
      <c r="K1178" t="s">
        <v>257</v>
      </c>
      <c r="L1178" t="s">
        <v>180</v>
      </c>
      <c r="M1178" s="3">
        <f t="shared" si="18"/>
        <v>6</v>
      </c>
    </row>
    <row r="1179" spans="1:13" x14ac:dyDescent="0.35">
      <c r="A1179" t="s">
        <v>3580</v>
      </c>
      <c r="B1179" t="s">
        <v>174</v>
      </c>
      <c r="C1179" t="s">
        <v>3581</v>
      </c>
      <c r="D1179" t="s">
        <v>190</v>
      </c>
      <c r="E1179" t="s">
        <v>52</v>
      </c>
      <c r="F1179" t="s">
        <v>55</v>
      </c>
      <c r="G1179">
        <v>3</v>
      </c>
      <c r="H1179" t="s">
        <v>177</v>
      </c>
      <c r="I1179" t="s">
        <v>56</v>
      </c>
      <c r="J1179" t="s">
        <v>3582</v>
      </c>
      <c r="K1179" t="s">
        <v>183</v>
      </c>
      <c r="L1179" t="s">
        <v>180</v>
      </c>
      <c r="M1179" s="3">
        <f t="shared" si="18"/>
        <v>4</v>
      </c>
    </row>
    <row r="1180" spans="1:13" x14ac:dyDescent="0.35">
      <c r="A1180" t="s">
        <v>3583</v>
      </c>
      <c r="B1180" t="s">
        <v>174</v>
      </c>
      <c r="C1180" t="s">
        <v>3584</v>
      </c>
      <c r="D1180" t="s">
        <v>190</v>
      </c>
      <c r="E1180" t="s">
        <v>44</v>
      </c>
      <c r="F1180" t="s">
        <v>45</v>
      </c>
      <c r="G1180">
        <v>1</v>
      </c>
      <c r="H1180" t="s">
        <v>195</v>
      </c>
      <c r="J1180" t="s">
        <v>3585</v>
      </c>
      <c r="K1180" t="s">
        <v>257</v>
      </c>
      <c r="L1180" t="s">
        <v>180</v>
      </c>
      <c r="M1180" s="3" t="str">
        <f t="shared" si="18"/>
        <v/>
      </c>
    </row>
    <row r="1181" spans="1:13" x14ac:dyDescent="0.35">
      <c r="A1181" t="s">
        <v>3586</v>
      </c>
      <c r="B1181" t="s">
        <v>174</v>
      </c>
      <c r="C1181" t="s">
        <v>3587</v>
      </c>
      <c r="D1181" t="s">
        <v>236</v>
      </c>
      <c r="E1181" t="s">
        <v>50</v>
      </c>
      <c r="F1181" t="s">
        <v>53</v>
      </c>
      <c r="G1181">
        <v>3</v>
      </c>
      <c r="H1181" t="s">
        <v>177</v>
      </c>
      <c r="I1181" t="s">
        <v>54</v>
      </c>
      <c r="J1181" t="s">
        <v>3588</v>
      </c>
      <c r="K1181" t="s">
        <v>257</v>
      </c>
      <c r="L1181" t="s">
        <v>180</v>
      </c>
      <c r="M1181" s="3">
        <f t="shared" si="18"/>
        <v>4</v>
      </c>
    </row>
    <row r="1182" spans="1:13" x14ac:dyDescent="0.35">
      <c r="A1182" t="s">
        <v>3589</v>
      </c>
      <c r="B1182" t="s">
        <v>174</v>
      </c>
      <c r="C1182" t="s">
        <v>3590</v>
      </c>
      <c r="D1182" t="s">
        <v>225</v>
      </c>
      <c r="E1182" t="s">
        <v>46</v>
      </c>
      <c r="F1182" t="s">
        <v>56</v>
      </c>
      <c r="G1182">
        <v>10</v>
      </c>
      <c r="H1182" t="s">
        <v>195</v>
      </c>
      <c r="J1182" t="s">
        <v>3591</v>
      </c>
      <c r="K1182" t="s">
        <v>183</v>
      </c>
      <c r="L1182" t="s">
        <v>180</v>
      </c>
      <c r="M1182" s="3" t="str">
        <f t="shared" si="18"/>
        <v/>
      </c>
    </row>
    <row r="1183" spans="1:13" x14ac:dyDescent="0.35">
      <c r="A1183" t="s">
        <v>3592</v>
      </c>
      <c r="B1183" t="s">
        <v>174</v>
      </c>
      <c r="C1183" t="s">
        <v>3593</v>
      </c>
      <c r="D1183" t="s">
        <v>176</v>
      </c>
      <c r="E1183" t="s">
        <v>43</v>
      </c>
      <c r="F1183" t="s">
        <v>46</v>
      </c>
      <c r="G1183">
        <v>3</v>
      </c>
      <c r="H1183" t="s">
        <v>177</v>
      </c>
      <c r="I1183" t="s">
        <v>46</v>
      </c>
      <c r="J1183" t="s">
        <v>3594</v>
      </c>
      <c r="K1183" t="s">
        <v>183</v>
      </c>
      <c r="L1183" t="s">
        <v>180</v>
      </c>
      <c r="M1183" s="3">
        <f t="shared" si="18"/>
        <v>3</v>
      </c>
    </row>
    <row r="1184" spans="1:13" x14ac:dyDescent="0.35">
      <c r="A1184" t="s">
        <v>3595</v>
      </c>
      <c r="B1184" t="s">
        <v>174</v>
      </c>
      <c r="C1184" t="s">
        <v>3596</v>
      </c>
      <c r="D1184" t="s">
        <v>190</v>
      </c>
      <c r="E1184" t="s">
        <v>45</v>
      </c>
      <c r="F1184" t="s">
        <v>51</v>
      </c>
      <c r="G1184">
        <v>6</v>
      </c>
      <c r="H1184" t="s">
        <v>177</v>
      </c>
      <c r="I1184" t="s">
        <v>51</v>
      </c>
      <c r="J1184" t="s">
        <v>2963</v>
      </c>
      <c r="K1184" t="s">
        <v>270</v>
      </c>
      <c r="L1184" t="s">
        <v>180</v>
      </c>
      <c r="M1184" s="3">
        <f t="shared" si="18"/>
        <v>6</v>
      </c>
    </row>
    <row r="1185" spans="1:13" x14ac:dyDescent="0.35">
      <c r="A1185" t="s">
        <v>3597</v>
      </c>
      <c r="B1185" t="s">
        <v>231</v>
      </c>
      <c r="C1185" t="s">
        <v>3598</v>
      </c>
      <c r="D1185" t="s">
        <v>225</v>
      </c>
      <c r="E1185" t="s">
        <v>35</v>
      </c>
      <c r="F1185" t="s">
        <v>48</v>
      </c>
      <c r="G1185">
        <v>13</v>
      </c>
      <c r="H1185" t="s">
        <v>177</v>
      </c>
      <c r="I1185" t="s">
        <v>48</v>
      </c>
      <c r="J1185" t="s">
        <v>3599</v>
      </c>
      <c r="K1185" t="s">
        <v>183</v>
      </c>
      <c r="L1185" t="s">
        <v>180</v>
      </c>
      <c r="M1185" s="3">
        <f t="shared" si="18"/>
        <v>13</v>
      </c>
    </row>
    <row r="1186" spans="1:13" x14ac:dyDescent="0.35">
      <c r="A1186" t="s">
        <v>3600</v>
      </c>
      <c r="B1186" t="s">
        <v>231</v>
      </c>
      <c r="C1186" t="s">
        <v>3601</v>
      </c>
      <c r="D1186" t="s">
        <v>176</v>
      </c>
      <c r="E1186" t="s">
        <v>28</v>
      </c>
      <c r="F1186" t="s">
        <v>42</v>
      </c>
      <c r="G1186">
        <v>14</v>
      </c>
      <c r="H1186" t="s">
        <v>177</v>
      </c>
      <c r="I1186" t="s">
        <v>42</v>
      </c>
      <c r="J1186" t="s">
        <v>3602</v>
      </c>
      <c r="K1186" t="s">
        <v>377</v>
      </c>
      <c r="L1186" t="s">
        <v>180</v>
      </c>
      <c r="M1186" s="3">
        <f t="shared" si="18"/>
        <v>14</v>
      </c>
    </row>
    <row r="1187" spans="1:13" x14ac:dyDescent="0.35">
      <c r="A1187" t="s">
        <v>3603</v>
      </c>
      <c r="B1187" t="s">
        <v>174</v>
      </c>
      <c r="C1187" t="s">
        <v>3604</v>
      </c>
      <c r="D1187" t="s">
        <v>190</v>
      </c>
      <c r="E1187" t="s">
        <v>41</v>
      </c>
      <c r="F1187" t="s">
        <v>56</v>
      </c>
      <c r="G1187">
        <v>15</v>
      </c>
      <c r="H1187" t="s">
        <v>177</v>
      </c>
      <c r="I1187" t="s">
        <v>56</v>
      </c>
      <c r="J1187" t="s">
        <v>3605</v>
      </c>
      <c r="K1187" t="s">
        <v>197</v>
      </c>
      <c r="L1187" t="s">
        <v>184</v>
      </c>
      <c r="M1187" s="3">
        <f t="shared" si="18"/>
        <v>15</v>
      </c>
    </row>
    <row r="1188" spans="1:13" x14ac:dyDescent="0.35">
      <c r="A1188" t="s">
        <v>3606</v>
      </c>
      <c r="B1188" t="s">
        <v>174</v>
      </c>
      <c r="C1188" t="s">
        <v>3607</v>
      </c>
      <c r="D1188" t="s">
        <v>190</v>
      </c>
      <c r="E1188" t="s">
        <v>35</v>
      </c>
      <c r="F1188" t="s">
        <v>43</v>
      </c>
      <c r="G1188">
        <v>9</v>
      </c>
      <c r="H1188" t="s">
        <v>177</v>
      </c>
      <c r="I1188" t="s">
        <v>44</v>
      </c>
      <c r="J1188" t="s">
        <v>1748</v>
      </c>
      <c r="K1188" t="s">
        <v>183</v>
      </c>
      <c r="L1188" t="s">
        <v>180</v>
      </c>
      <c r="M1188" s="3">
        <f t="shared" si="18"/>
        <v>9</v>
      </c>
    </row>
    <row r="1189" spans="1:13" x14ac:dyDescent="0.35">
      <c r="A1189" t="s">
        <v>3608</v>
      </c>
      <c r="B1189" t="s">
        <v>174</v>
      </c>
      <c r="C1189" t="s">
        <v>3609</v>
      </c>
      <c r="D1189" t="s">
        <v>190</v>
      </c>
      <c r="E1189" t="s">
        <v>43</v>
      </c>
      <c r="F1189" t="s">
        <v>49</v>
      </c>
      <c r="G1189">
        <v>5</v>
      </c>
      <c r="H1189" t="s">
        <v>252</v>
      </c>
      <c r="J1189" t="s">
        <v>789</v>
      </c>
      <c r="K1189" t="s">
        <v>270</v>
      </c>
      <c r="L1189" t="s">
        <v>180</v>
      </c>
      <c r="M1189" s="3" t="str">
        <f t="shared" si="18"/>
        <v/>
      </c>
    </row>
    <row r="1190" spans="1:13" x14ac:dyDescent="0.35">
      <c r="A1190" t="s">
        <v>3608</v>
      </c>
      <c r="B1190" t="s">
        <v>174</v>
      </c>
      <c r="C1190" t="s">
        <v>3609</v>
      </c>
      <c r="D1190" t="s">
        <v>190</v>
      </c>
      <c r="E1190" t="s">
        <v>43</v>
      </c>
      <c r="F1190" t="s">
        <v>53</v>
      </c>
      <c r="G1190">
        <v>10</v>
      </c>
      <c r="H1190" t="s">
        <v>177</v>
      </c>
      <c r="I1190" t="s">
        <v>53</v>
      </c>
      <c r="J1190" t="s">
        <v>789</v>
      </c>
      <c r="K1190" t="s">
        <v>270</v>
      </c>
      <c r="L1190" t="s">
        <v>180</v>
      </c>
      <c r="M1190" s="3">
        <f t="shared" si="18"/>
        <v>10</v>
      </c>
    </row>
    <row r="1191" spans="1:13" x14ac:dyDescent="0.35">
      <c r="A1191" t="s">
        <v>3610</v>
      </c>
      <c r="B1191" t="s">
        <v>174</v>
      </c>
      <c r="C1191" t="s">
        <v>3611</v>
      </c>
      <c r="D1191" t="s">
        <v>190</v>
      </c>
      <c r="E1191" t="s">
        <v>49</v>
      </c>
      <c r="F1191" t="s">
        <v>52</v>
      </c>
      <c r="G1191">
        <v>3</v>
      </c>
      <c r="H1191" t="s">
        <v>177</v>
      </c>
      <c r="I1191" t="s">
        <v>52</v>
      </c>
      <c r="J1191" t="s">
        <v>3612</v>
      </c>
      <c r="K1191" t="s">
        <v>257</v>
      </c>
      <c r="L1191" t="s">
        <v>184</v>
      </c>
      <c r="M1191" s="3">
        <f t="shared" si="18"/>
        <v>3</v>
      </c>
    </row>
    <row r="1192" spans="1:13" x14ac:dyDescent="0.35">
      <c r="A1192" t="s">
        <v>3613</v>
      </c>
      <c r="B1192" t="s">
        <v>174</v>
      </c>
      <c r="C1192" t="s">
        <v>3614</v>
      </c>
      <c r="D1192" t="s">
        <v>190</v>
      </c>
      <c r="E1192" t="s">
        <v>35</v>
      </c>
      <c r="F1192" t="s">
        <v>42</v>
      </c>
      <c r="G1192">
        <v>7</v>
      </c>
      <c r="H1192" t="s">
        <v>177</v>
      </c>
      <c r="I1192" t="s">
        <v>42</v>
      </c>
      <c r="J1192" t="s">
        <v>3615</v>
      </c>
      <c r="K1192" t="s">
        <v>377</v>
      </c>
      <c r="L1192" t="s">
        <v>180</v>
      </c>
      <c r="M1192" s="3">
        <f t="shared" si="18"/>
        <v>7</v>
      </c>
    </row>
    <row r="1193" spans="1:13" x14ac:dyDescent="0.35">
      <c r="A1193" t="s">
        <v>3616</v>
      </c>
      <c r="B1193" t="s">
        <v>174</v>
      </c>
      <c r="C1193" t="s">
        <v>3617</v>
      </c>
      <c r="D1193" t="s">
        <v>190</v>
      </c>
      <c r="E1193" t="s">
        <v>45</v>
      </c>
      <c r="F1193" t="s">
        <v>51</v>
      </c>
      <c r="G1193">
        <v>6</v>
      </c>
      <c r="H1193" t="s">
        <v>252</v>
      </c>
      <c r="J1193" t="s">
        <v>3618</v>
      </c>
      <c r="K1193" t="s">
        <v>257</v>
      </c>
      <c r="L1193" t="s">
        <v>184</v>
      </c>
      <c r="M1193" s="3" t="str">
        <f t="shared" si="18"/>
        <v/>
      </c>
    </row>
    <row r="1194" spans="1:13" x14ac:dyDescent="0.35">
      <c r="A1194" t="s">
        <v>3619</v>
      </c>
      <c r="B1194" t="s">
        <v>174</v>
      </c>
      <c r="C1194" t="s">
        <v>3620</v>
      </c>
      <c r="D1194" t="s">
        <v>176</v>
      </c>
      <c r="E1194" t="s">
        <v>49</v>
      </c>
      <c r="F1194" t="s">
        <v>53</v>
      </c>
      <c r="G1194">
        <v>3</v>
      </c>
      <c r="H1194" t="s">
        <v>177</v>
      </c>
      <c r="I1194" t="s">
        <v>53</v>
      </c>
      <c r="J1194" t="s">
        <v>3621</v>
      </c>
      <c r="K1194" t="s">
        <v>183</v>
      </c>
      <c r="L1194" t="s">
        <v>184</v>
      </c>
      <c r="M1194" s="3">
        <f t="shared" si="18"/>
        <v>4</v>
      </c>
    </row>
    <row r="1195" spans="1:13" x14ac:dyDescent="0.35">
      <c r="A1195" t="s">
        <v>3622</v>
      </c>
      <c r="B1195" t="s">
        <v>174</v>
      </c>
      <c r="C1195" t="s">
        <v>3623</v>
      </c>
      <c r="D1195" t="s">
        <v>190</v>
      </c>
      <c r="E1195" t="s">
        <v>40</v>
      </c>
      <c r="F1195" t="s">
        <v>53</v>
      </c>
      <c r="G1195">
        <v>12</v>
      </c>
      <c r="H1195" t="s">
        <v>177</v>
      </c>
      <c r="I1195" t="s">
        <v>54</v>
      </c>
      <c r="J1195" t="s">
        <v>3624</v>
      </c>
      <c r="K1195" t="s">
        <v>183</v>
      </c>
      <c r="L1195" t="s">
        <v>180</v>
      </c>
      <c r="M1195" s="3">
        <f t="shared" si="18"/>
        <v>14</v>
      </c>
    </row>
    <row r="1196" spans="1:13" x14ac:dyDescent="0.35">
      <c r="A1196" t="s">
        <v>3625</v>
      </c>
      <c r="B1196" t="s">
        <v>174</v>
      </c>
      <c r="C1196" t="s">
        <v>3626</v>
      </c>
      <c r="D1196" t="s">
        <v>176</v>
      </c>
      <c r="E1196" t="s">
        <v>48</v>
      </c>
      <c r="F1196" t="s">
        <v>54</v>
      </c>
      <c r="G1196">
        <v>6</v>
      </c>
      <c r="H1196" t="s">
        <v>177</v>
      </c>
      <c r="I1196" t="s">
        <v>54</v>
      </c>
      <c r="J1196" t="s">
        <v>3627</v>
      </c>
      <c r="K1196" t="s">
        <v>183</v>
      </c>
      <c r="L1196" t="s">
        <v>180</v>
      </c>
      <c r="M1196" s="3">
        <f t="shared" si="18"/>
        <v>6</v>
      </c>
    </row>
    <row r="1197" spans="1:13" x14ac:dyDescent="0.35">
      <c r="A1197" t="s">
        <v>3628</v>
      </c>
      <c r="B1197" t="s">
        <v>174</v>
      </c>
      <c r="C1197" t="s">
        <v>3629</v>
      </c>
      <c r="D1197" t="s">
        <v>190</v>
      </c>
      <c r="E1197" t="s">
        <v>38</v>
      </c>
      <c r="F1197" t="s">
        <v>48</v>
      </c>
      <c r="G1197">
        <v>10</v>
      </c>
      <c r="H1197" t="s">
        <v>177</v>
      </c>
      <c r="I1197" t="s">
        <v>48</v>
      </c>
      <c r="J1197" t="s">
        <v>3630</v>
      </c>
      <c r="K1197" t="s">
        <v>270</v>
      </c>
      <c r="L1197" t="s">
        <v>184</v>
      </c>
      <c r="M1197" s="3">
        <f t="shared" si="18"/>
        <v>10</v>
      </c>
    </row>
    <row r="1198" spans="1:13" x14ac:dyDescent="0.35">
      <c r="A1198" t="s">
        <v>3631</v>
      </c>
      <c r="B1198" t="s">
        <v>174</v>
      </c>
      <c r="C1198" t="s">
        <v>3632</v>
      </c>
      <c r="D1198" t="s">
        <v>236</v>
      </c>
      <c r="E1198" t="s">
        <v>44</v>
      </c>
      <c r="F1198" t="s">
        <v>48</v>
      </c>
      <c r="G1198">
        <v>4</v>
      </c>
      <c r="H1198" t="s">
        <v>177</v>
      </c>
      <c r="I1198" t="s">
        <v>49</v>
      </c>
      <c r="J1198" t="s">
        <v>3633</v>
      </c>
      <c r="K1198" t="s">
        <v>192</v>
      </c>
      <c r="L1198" t="s">
        <v>184</v>
      </c>
      <c r="M1198" s="3">
        <f t="shared" si="18"/>
        <v>5</v>
      </c>
    </row>
    <row r="1199" spans="1:13" x14ac:dyDescent="0.35">
      <c r="A1199" t="s">
        <v>3634</v>
      </c>
      <c r="B1199" t="s">
        <v>174</v>
      </c>
      <c r="C1199" t="s">
        <v>3635</v>
      </c>
      <c r="D1199" t="s">
        <v>236</v>
      </c>
      <c r="E1199" t="s">
        <v>46</v>
      </c>
      <c r="F1199" t="s">
        <v>56</v>
      </c>
      <c r="G1199">
        <v>10</v>
      </c>
      <c r="H1199" t="s">
        <v>195</v>
      </c>
      <c r="J1199" t="s">
        <v>3636</v>
      </c>
      <c r="K1199" t="s">
        <v>192</v>
      </c>
      <c r="L1199" t="s">
        <v>184</v>
      </c>
      <c r="M1199" s="3" t="str">
        <f t="shared" si="18"/>
        <v/>
      </c>
    </row>
    <row r="1200" spans="1:13" x14ac:dyDescent="0.35">
      <c r="A1200" t="s">
        <v>3637</v>
      </c>
      <c r="B1200" t="s">
        <v>174</v>
      </c>
      <c r="C1200" t="s">
        <v>3638</v>
      </c>
      <c r="D1200" t="s">
        <v>176</v>
      </c>
      <c r="E1200" t="s">
        <v>47</v>
      </c>
      <c r="F1200" t="s">
        <v>51</v>
      </c>
      <c r="G1200">
        <v>4</v>
      </c>
      <c r="H1200" t="s">
        <v>177</v>
      </c>
      <c r="I1200" t="s">
        <v>52</v>
      </c>
      <c r="J1200" t="s">
        <v>3639</v>
      </c>
      <c r="K1200" t="s">
        <v>183</v>
      </c>
      <c r="L1200" t="s">
        <v>180</v>
      </c>
      <c r="M1200" s="3">
        <f t="shared" si="18"/>
        <v>5</v>
      </c>
    </row>
    <row r="1201" spans="1:13" x14ac:dyDescent="0.35">
      <c r="A1201" t="s">
        <v>3640</v>
      </c>
      <c r="B1201" t="s">
        <v>174</v>
      </c>
      <c r="C1201" t="s">
        <v>3641</v>
      </c>
      <c r="D1201" t="s">
        <v>176</v>
      </c>
      <c r="E1201" t="s">
        <v>44</v>
      </c>
      <c r="F1201" t="s">
        <v>50</v>
      </c>
      <c r="G1201">
        <v>5</v>
      </c>
      <c r="H1201" t="s">
        <v>195</v>
      </c>
      <c r="J1201" t="s">
        <v>3642</v>
      </c>
      <c r="K1201" t="s">
        <v>183</v>
      </c>
      <c r="L1201" t="s">
        <v>180</v>
      </c>
      <c r="M1201" s="3" t="str">
        <f t="shared" si="18"/>
        <v/>
      </c>
    </row>
    <row r="1202" spans="1:13" x14ac:dyDescent="0.35">
      <c r="A1202" t="s">
        <v>3643</v>
      </c>
      <c r="B1202" t="s">
        <v>174</v>
      </c>
      <c r="C1202" t="s">
        <v>3644</v>
      </c>
      <c r="D1202" t="s">
        <v>225</v>
      </c>
      <c r="E1202" t="s">
        <v>45</v>
      </c>
      <c r="F1202" t="s">
        <v>53</v>
      </c>
      <c r="G1202">
        <v>8</v>
      </c>
      <c r="H1202" t="s">
        <v>177</v>
      </c>
      <c r="I1202" t="s">
        <v>53</v>
      </c>
      <c r="J1202" t="s">
        <v>3645</v>
      </c>
      <c r="K1202" t="s">
        <v>192</v>
      </c>
      <c r="L1202" t="s">
        <v>180</v>
      </c>
      <c r="M1202" s="3">
        <f t="shared" si="18"/>
        <v>8</v>
      </c>
    </row>
    <row r="1203" spans="1:13" x14ac:dyDescent="0.35">
      <c r="A1203" t="s">
        <v>3646</v>
      </c>
      <c r="B1203" t="s">
        <v>174</v>
      </c>
      <c r="C1203" t="s">
        <v>3647</v>
      </c>
      <c r="D1203" t="s">
        <v>190</v>
      </c>
      <c r="E1203" t="s">
        <v>44</v>
      </c>
      <c r="F1203" t="s">
        <v>48</v>
      </c>
      <c r="G1203">
        <v>4</v>
      </c>
      <c r="H1203" t="s">
        <v>177</v>
      </c>
      <c r="I1203" t="s">
        <v>48</v>
      </c>
      <c r="J1203" t="s">
        <v>3648</v>
      </c>
      <c r="K1203" t="s">
        <v>183</v>
      </c>
      <c r="L1203" t="s">
        <v>180</v>
      </c>
      <c r="M1203" s="3">
        <f t="shared" si="18"/>
        <v>4</v>
      </c>
    </row>
    <row r="1204" spans="1:13" x14ac:dyDescent="0.35">
      <c r="A1204" t="s">
        <v>3649</v>
      </c>
      <c r="B1204" t="s">
        <v>174</v>
      </c>
      <c r="C1204" t="s">
        <v>3650</v>
      </c>
      <c r="D1204" t="s">
        <v>236</v>
      </c>
      <c r="E1204" t="s">
        <v>53</v>
      </c>
      <c r="F1204" t="s">
        <v>55</v>
      </c>
      <c r="G1204">
        <v>2</v>
      </c>
      <c r="H1204" t="s">
        <v>177</v>
      </c>
      <c r="I1204" t="s">
        <v>55</v>
      </c>
      <c r="J1204" t="s">
        <v>3651</v>
      </c>
      <c r="K1204" t="s">
        <v>183</v>
      </c>
      <c r="L1204" t="s">
        <v>184</v>
      </c>
      <c r="M1204" s="3">
        <f t="shared" si="18"/>
        <v>2</v>
      </c>
    </row>
    <row r="1205" spans="1:13" x14ac:dyDescent="0.35">
      <c r="A1205" t="s">
        <v>3652</v>
      </c>
      <c r="B1205" t="s">
        <v>174</v>
      </c>
      <c r="C1205" t="s">
        <v>3653</v>
      </c>
      <c r="D1205" t="s">
        <v>236</v>
      </c>
      <c r="E1205" t="s">
        <v>36</v>
      </c>
      <c r="F1205" t="s">
        <v>45</v>
      </c>
      <c r="G1205">
        <v>9</v>
      </c>
      <c r="H1205" t="s">
        <v>177</v>
      </c>
      <c r="I1205" t="s">
        <v>47</v>
      </c>
      <c r="J1205" t="s">
        <v>3654</v>
      </c>
      <c r="K1205" t="s">
        <v>331</v>
      </c>
      <c r="L1205" t="s">
        <v>180</v>
      </c>
      <c r="M1205" s="3">
        <f t="shared" si="18"/>
        <v>11</v>
      </c>
    </row>
    <row r="1206" spans="1:13" x14ac:dyDescent="0.35">
      <c r="A1206" t="s">
        <v>3655</v>
      </c>
      <c r="B1206" t="s">
        <v>174</v>
      </c>
      <c r="C1206" t="s">
        <v>3656</v>
      </c>
      <c r="D1206" t="s">
        <v>190</v>
      </c>
      <c r="E1206" t="s">
        <v>47</v>
      </c>
      <c r="F1206" t="s">
        <v>56</v>
      </c>
      <c r="G1206">
        <v>9</v>
      </c>
      <c r="H1206" t="s">
        <v>177</v>
      </c>
      <c r="I1206" t="s">
        <v>56</v>
      </c>
      <c r="J1206" t="s">
        <v>3657</v>
      </c>
      <c r="K1206" t="s">
        <v>197</v>
      </c>
      <c r="L1206" t="s">
        <v>180</v>
      </c>
      <c r="M1206" s="3">
        <f t="shared" si="18"/>
        <v>9</v>
      </c>
    </row>
    <row r="1207" spans="1:13" x14ac:dyDescent="0.35">
      <c r="A1207" t="s">
        <v>3658</v>
      </c>
      <c r="B1207" t="s">
        <v>174</v>
      </c>
      <c r="C1207" t="s">
        <v>3659</v>
      </c>
      <c r="D1207" t="s">
        <v>190</v>
      </c>
      <c r="E1207" t="s">
        <v>44</v>
      </c>
      <c r="F1207" t="s">
        <v>47</v>
      </c>
      <c r="G1207">
        <v>3</v>
      </c>
      <c r="H1207" t="s">
        <v>177</v>
      </c>
      <c r="I1207" t="s">
        <v>48</v>
      </c>
      <c r="J1207" t="s">
        <v>3660</v>
      </c>
      <c r="K1207" t="s">
        <v>257</v>
      </c>
      <c r="L1207" t="s">
        <v>180</v>
      </c>
      <c r="M1207" s="3">
        <f t="shared" si="18"/>
        <v>4</v>
      </c>
    </row>
    <row r="1208" spans="1:13" x14ac:dyDescent="0.35">
      <c r="A1208" t="s">
        <v>3661</v>
      </c>
      <c r="B1208" t="s">
        <v>174</v>
      </c>
      <c r="C1208" t="s">
        <v>3662</v>
      </c>
      <c r="D1208" t="s">
        <v>190</v>
      </c>
      <c r="E1208" t="s">
        <v>36</v>
      </c>
      <c r="F1208" t="s">
        <v>40</v>
      </c>
      <c r="G1208">
        <v>4</v>
      </c>
      <c r="H1208" t="s">
        <v>177</v>
      </c>
      <c r="I1208" t="s">
        <v>41</v>
      </c>
      <c r="J1208" t="s">
        <v>3663</v>
      </c>
      <c r="K1208" t="s">
        <v>192</v>
      </c>
      <c r="L1208" t="s">
        <v>180</v>
      </c>
      <c r="M1208" s="3">
        <f t="shared" si="18"/>
        <v>5</v>
      </c>
    </row>
    <row r="1209" spans="1:13" x14ac:dyDescent="0.35">
      <c r="A1209" t="s">
        <v>3664</v>
      </c>
      <c r="B1209" t="s">
        <v>174</v>
      </c>
      <c r="C1209" t="s">
        <v>3665</v>
      </c>
      <c r="D1209" t="s">
        <v>190</v>
      </c>
      <c r="E1209" t="s">
        <v>39</v>
      </c>
      <c r="F1209" t="s">
        <v>45</v>
      </c>
      <c r="G1209">
        <v>6</v>
      </c>
      <c r="H1209" t="s">
        <v>177</v>
      </c>
      <c r="I1209" t="s">
        <v>46</v>
      </c>
      <c r="J1209" t="s">
        <v>3666</v>
      </c>
      <c r="K1209" t="s">
        <v>270</v>
      </c>
      <c r="L1209" t="s">
        <v>180</v>
      </c>
      <c r="M1209" s="3">
        <f t="shared" si="18"/>
        <v>7</v>
      </c>
    </row>
    <row r="1210" spans="1:13" x14ac:dyDescent="0.35">
      <c r="A1210" t="s">
        <v>3667</v>
      </c>
      <c r="B1210" t="s">
        <v>174</v>
      </c>
      <c r="C1210" t="s">
        <v>3668</v>
      </c>
      <c r="D1210" t="s">
        <v>190</v>
      </c>
      <c r="E1210" t="s">
        <v>43</v>
      </c>
      <c r="F1210" t="s">
        <v>51</v>
      </c>
      <c r="G1210">
        <v>8</v>
      </c>
      <c r="H1210" t="s">
        <v>177</v>
      </c>
      <c r="I1210" t="s">
        <v>52</v>
      </c>
      <c r="J1210" t="s">
        <v>3669</v>
      </c>
      <c r="K1210" t="s">
        <v>257</v>
      </c>
      <c r="L1210" t="s">
        <v>184</v>
      </c>
      <c r="M1210" s="3">
        <f t="shared" si="18"/>
        <v>9</v>
      </c>
    </row>
    <row r="1211" spans="1:13" x14ac:dyDescent="0.35">
      <c r="A1211" t="s">
        <v>3670</v>
      </c>
      <c r="B1211" t="s">
        <v>174</v>
      </c>
      <c r="C1211" t="s">
        <v>3671</v>
      </c>
      <c r="D1211" t="s">
        <v>176</v>
      </c>
      <c r="E1211" t="s">
        <v>41</v>
      </c>
      <c r="F1211" t="s">
        <v>56</v>
      </c>
      <c r="G1211">
        <v>14</v>
      </c>
      <c r="H1211" t="s">
        <v>195</v>
      </c>
      <c r="J1211" t="s">
        <v>3672</v>
      </c>
      <c r="K1211" t="s">
        <v>183</v>
      </c>
      <c r="L1211" t="s">
        <v>184</v>
      </c>
      <c r="M1211" s="3" t="str">
        <f t="shared" si="18"/>
        <v/>
      </c>
    </row>
    <row r="1212" spans="1:13" x14ac:dyDescent="0.35">
      <c r="A1212" t="s">
        <v>3673</v>
      </c>
      <c r="B1212" t="s">
        <v>174</v>
      </c>
      <c r="C1212" t="s">
        <v>3674</v>
      </c>
      <c r="D1212" t="s">
        <v>190</v>
      </c>
      <c r="E1212" t="s">
        <v>49</v>
      </c>
      <c r="F1212" t="s">
        <v>52</v>
      </c>
      <c r="G1212">
        <v>3</v>
      </c>
      <c r="H1212" t="s">
        <v>177</v>
      </c>
      <c r="I1212" t="s">
        <v>52</v>
      </c>
      <c r="J1212" t="s">
        <v>3675</v>
      </c>
      <c r="K1212" t="s">
        <v>197</v>
      </c>
      <c r="L1212" t="s">
        <v>180</v>
      </c>
      <c r="M1212" s="3">
        <f t="shared" si="18"/>
        <v>3</v>
      </c>
    </row>
    <row r="1213" spans="1:13" x14ac:dyDescent="0.35">
      <c r="A1213" t="s">
        <v>3676</v>
      </c>
      <c r="B1213" t="s">
        <v>174</v>
      </c>
      <c r="C1213" t="s">
        <v>3677</v>
      </c>
      <c r="D1213" t="s">
        <v>190</v>
      </c>
      <c r="E1213" t="s">
        <v>44</v>
      </c>
      <c r="F1213" t="s">
        <v>48</v>
      </c>
      <c r="G1213">
        <v>4</v>
      </c>
      <c r="H1213" t="s">
        <v>177</v>
      </c>
      <c r="I1213" t="s">
        <v>49</v>
      </c>
      <c r="J1213" t="s">
        <v>3678</v>
      </c>
      <c r="K1213" t="s">
        <v>257</v>
      </c>
      <c r="L1213" t="s">
        <v>180</v>
      </c>
      <c r="M1213" s="3">
        <f t="shared" si="18"/>
        <v>5</v>
      </c>
    </row>
    <row r="1214" spans="1:13" x14ac:dyDescent="0.35">
      <c r="A1214" t="s">
        <v>3679</v>
      </c>
      <c r="B1214" t="s">
        <v>174</v>
      </c>
      <c r="C1214" t="s">
        <v>3680</v>
      </c>
      <c r="D1214" t="s">
        <v>236</v>
      </c>
      <c r="E1214" t="s">
        <v>44</v>
      </c>
      <c r="F1214" t="s">
        <v>48</v>
      </c>
      <c r="G1214">
        <v>4</v>
      </c>
      <c r="H1214" t="s">
        <v>177</v>
      </c>
      <c r="I1214" t="s">
        <v>49</v>
      </c>
      <c r="J1214" t="s">
        <v>3681</v>
      </c>
      <c r="K1214" t="s">
        <v>192</v>
      </c>
      <c r="L1214" t="s">
        <v>184</v>
      </c>
      <c r="M1214" s="3">
        <f t="shared" si="18"/>
        <v>5</v>
      </c>
    </row>
    <row r="1215" spans="1:13" x14ac:dyDescent="0.35">
      <c r="A1215" t="s">
        <v>3682</v>
      </c>
      <c r="B1215" t="s">
        <v>174</v>
      </c>
      <c r="C1215" t="s">
        <v>3683</v>
      </c>
      <c r="D1215" t="s">
        <v>190</v>
      </c>
      <c r="E1215" t="s">
        <v>46</v>
      </c>
      <c r="F1215" t="s">
        <v>50</v>
      </c>
      <c r="G1215">
        <v>4</v>
      </c>
      <c r="H1215" t="s">
        <v>177</v>
      </c>
      <c r="I1215" t="s">
        <v>54</v>
      </c>
      <c r="J1215" t="s">
        <v>2104</v>
      </c>
      <c r="K1215" t="s">
        <v>270</v>
      </c>
      <c r="L1215" t="s">
        <v>180</v>
      </c>
      <c r="M1215" s="3">
        <f t="shared" si="18"/>
        <v>8</v>
      </c>
    </row>
    <row r="1216" spans="1:13" x14ac:dyDescent="0.35">
      <c r="A1216" t="s">
        <v>3684</v>
      </c>
      <c r="B1216" t="s">
        <v>174</v>
      </c>
      <c r="C1216" t="s">
        <v>3685</v>
      </c>
      <c r="D1216" t="s">
        <v>190</v>
      </c>
      <c r="E1216" t="s">
        <v>31</v>
      </c>
      <c r="F1216" t="s">
        <v>40</v>
      </c>
      <c r="G1216">
        <v>9</v>
      </c>
      <c r="H1216" t="s">
        <v>252</v>
      </c>
      <c r="J1216" t="s">
        <v>3686</v>
      </c>
      <c r="K1216" t="s">
        <v>377</v>
      </c>
      <c r="L1216" t="s">
        <v>180</v>
      </c>
      <c r="M1216" s="3" t="str">
        <f t="shared" si="18"/>
        <v/>
      </c>
    </row>
    <row r="1217" spans="1:13" x14ac:dyDescent="0.35">
      <c r="A1217" t="s">
        <v>3687</v>
      </c>
      <c r="B1217" t="s">
        <v>174</v>
      </c>
      <c r="C1217" t="s">
        <v>3688</v>
      </c>
      <c r="D1217" t="s">
        <v>176</v>
      </c>
      <c r="E1217" t="s">
        <v>45</v>
      </c>
      <c r="F1217" t="s">
        <v>49</v>
      </c>
      <c r="G1217">
        <v>3</v>
      </c>
      <c r="H1217" t="s">
        <v>195</v>
      </c>
      <c r="J1217" t="s">
        <v>3689</v>
      </c>
      <c r="K1217" t="s">
        <v>183</v>
      </c>
      <c r="L1217" t="s">
        <v>180</v>
      </c>
      <c r="M1217" s="3" t="str">
        <f t="shared" si="18"/>
        <v/>
      </c>
    </row>
    <row r="1218" spans="1:13" x14ac:dyDescent="0.35">
      <c r="A1218" t="s">
        <v>3690</v>
      </c>
      <c r="B1218" t="s">
        <v>174</v>
      </c>
      <c r="C1218" t="s">
        <v>3691</v>
      </c>
      <c r="D1218" t="s">
        <v>190</v>
      </c>
      <c r="E1218" t="s">
        <v>43</v>
      </c>
      <c r="F1218" t="s">
        <v>56</v>
      </c>
      <c r="G1218">
        <v>12</v>
      </c>
      <c r="H1218" t="s">
        <v>177</v>
      </c>
      <c r="I1218" t="s">
        <v>56</v>
      </c>
      <c r="J1218" t="s">
        <v>3692</v>
      </c>
      <c r="K1218" t="s">
        <v>197</v>
      </c>
      <c r="L1218" t="s">
        <v>180</v>
      </c>
      <c r="M1218" s="3">
        <f t="shared" si="18"/>
        <v>13</v>
      </c>
    </row>
    <row r="1219" spans="1:13" x14ac:dyDescent="0.35">
      <c r="A1219" t="s">
        <v>3693</v>
      </c>
      <c r="B1219" t="s">
        <v>174</v>
      </c>
      <c r="C1219" t="s">
        <v>3694</v>
      </c>
      <c r="D1219" t="s">
        <v>225</v>
      </c>
      <c r="E1219" t="s">
        <v>49</v>
      </c>
      <c r="F1219" t="s">
        <v>53</v>
      </c>
      <c r="G1219">
        <v>4</v>
      </c>
      <c r="H1219" t="s">
        <v>177</v>
      </c>
      <c r="I1219" t="s">
        <v>54</v>
      </c>
      <c r="J1219" t="s">
        <v>3695</v>
      </c>
      <c r="K1219" t="s">
        <v>192</v>
      </c>
      <c r="L1219" t="s">
        <v>184</v>
      </c>
      <c r="M1219" s="3">
        <f t="shared" ref="M1219:M1282" si="19">IF(H1219="Efectivo",IFERROR((VALUE(RIGHT(I1219,4))-VALUE(RIGHT(E1219,4)))*12+(VALUE(LEFT(I1219,2))-VALUE(LEFT(E1219,2))),""),"")</f>
        <v>5</v>
      </c>
    </row>
    <row r="1220" spans="1:13" x14ac:dyDescent="0.35">
      <c r="A1220" t="s">
        <v>3696</v>
      </c>
      <c r="B1220" t="s">
        <v>174</v>
      </c>
      <c r="C1220" t="s">
        <v>3697</v>
      </c>
      <c r="D1220" t="s">
        <v>190</v>
      </c>
      <c r="E1220" t="s">
        <v>42</v>
      </c>
      <c r="F1220" t="s">
        <v>48</v>
      </c>
      <c r="G1220">
        <v>6</v>
      </c>
      <c r="H1220" t="s">
        <v>177</v>
      </c>
      <c r="I1220" t="s">
        <v>47</v>
      </c>
      <c r="J1220" t="s">
        <v>3698</v>
      </c>
      <c r="K1220" t="s">
        <v>270</v>
      </c>
      <c r="L1220" t="s">
        <v>180</v>
      </c>
      <c r="M1220" s="3">
        <f t="shared" si="19"/>
        <v>5</v>
      </c>
    </row>
    <row r="1221" spans="1:13" x14ac:dyDescent="0.35">
      <c r="A1221" t="s">
        <v>3699</v>
      </c>
      <c r="B1221" t="s">
        <v>174</v>
      </c>
      <c r="C1221" t="s">
        <v>3700</v>
      </c>
      <c r="D1221" t="s">
        <v>176</v>
      </c>
      <c r="E1221" t="s">
        <v>26</v>
      </c>
      <c r="F1221" t="s">
        <v>53</v>
      </c>
      <c r="G1221">
        <v>27</v>
      </c>
      <c r="H1221" t="s">
        <v>177</v>
      </c>
      <c r="I1221" t="s">
        <v>54</v>
      </c>
      <c r="J1221" t="s">
        <v>3701</v>
      </c>
      <c r="K1221" t="s">
        <v>183</v>
      </c>
      <c r="L1221" t="s">
        <v>180</v>
      </c>
      <c r="M1221" s="3">
        <f t="shared" si="19"/>
        <v>28</v>
      </c>
    </row>
    <row r="1222" spans="1:13" x14ac:dyDescent="0.35">
      <c r="A1222" t="s">
        <v>3702</v>
      </c>
      <c r="B1222" t="s">
        <v>174</v>
      </c>
      <c r="C1222" t="s">
        <v>3703</v>
      </c>
      <c r="D1222" t="s">
        <v>236</v>
      </c>
      <c r="E1222" t="s">
        <v>38</v>
      </c>
      <c r="F1222" t="s">
        <v>40</v>
      </c>
      <c r="G1222">
        <v>2</v>
      </c>
      <c r="H1222" t="s">
        <v>252</v>
      </c>
      <c r="J1222" t="s">
        <v>3704</v>
      </c>
      <c r="K1222" t="s">
        <v>183</v>
      </c>
      <c r="L1222" t="s">
        <v>180</v>
      </c>
      <c r="M1222" s="3" t="str">
        <f t="shared" si="19"/>
        <v/>
      </c>
    </row>
    <row r="1223" spans="1:13" x14ac:dyDescent="0.35">
      <c r="A1223" t="s">
        <v>3705</v>
      </c>
      <c r="B1223" t="s">
        <v>174</v>
      </c>
      <c r="C1223" t="s">
        <v>3706</v>
      </c>
      <c r="D1223" t="s">
        <v>190</v>
      </c>
      <c r="E1223" t="s">
        <v>42</v>
      </c>
      <c r="F1223" t="s">
        <v>46</v>
      </c>
      <c r="G1223">
        <v>3</v>
      </c>
      <c r="H1223" t="s">
        <v>177</v>
      </c>
      <c r="I1223" t="s">
        <v>46</v>
      </c>
      <c r="J1223" t="s">
        <v>3707</v>
      </c>
      <c r="K1223" t="s">
        <v>197</v>
      </c>
      <c r="L1223" t="s">
        <v>184</v>
      </c>
      <c r="M1223" s="3">
        <f t="shared" si="19"/>
        <v>4</v>
      </c>
    </row>
    <row r="1224" spans="1:13" x14ac:dyDescent="0.35">
      <c r="A1224" t="s">
        <v>3708</v>
      </c>
      <c r="B1224" t="s">
        <v>174</v>
      </c>
      <c r="C1224" t="s">
        <v>3709</v>
      </c>
      <c r="D1224" t="s">
        <v>190</v>
      </c>
      <c r="E1224" t="s">
        <v>48</v>
      </c>
      <c r="F1224" t="s">
        <v>52</v>
      </c>
      <c r="G1224">
        <v>3</v>
      </c>
      <c r="H1224" t="s">
        <v>177</v>
      </c>
      <c r="I1224" t="s">
        <v>52</v>
      </c>
      <c r="J1224" t="s">
        <v>3710</v>
      </c>
      <c r="K1224" t="s">
        <v>197</v>
      </c>
      <c r="L1224" t="s">
        <v>180</v>
      </c>
      <c r="M1224" s="3">
        <f t="shared" si="19"/>
        <v>4</v>
      </c>
    </row>
    <row r="1225" spans="1:13" x14ac:dyDescent="0.35">
      <c r="A1225" t="s">
        <v>3711</v>
      </c>
      <c r="B1225" t="s">
        <v>174</v>
      </c>
      <c r="C1225" t="s">
        <v>3712</v>
      </c>
      <c r="D1225" t="s">
        <v>190</v>
      </c>
      <c r="E1225" t="s">
        <v>41</v>
      </c>
      <c r="F1225" t="s">
        <v>43</v>
      </c>
      <c r="G1225">
        <v>2</v>
      </c>
      <c r="H1225" t="s">
        <v>177</v>
      </c>
      <c r="I1225" t="s">
        <v>44</v>
      </c>
      <c r="J1225" t="s">
        <v>3713</v>
      </c>
      <c r="K1225" t="s">
        <v>197</v>
      </c>
      <c r="L1225" t="s">
        <v>184</v>
      </c>
      <c r="M1225" s="3">
        <f t="shared" si="19"/>
        <v>3</v>
      </c>
    </row>
    <row r="1226" spans="1:13" x14ac:dyDescent="0.35">
      <c r="A1226" t="s">
        <v>3714</v>
      </c>
      <c r="B1226" t="s">
        <v>174</v>
      </c>
      <c r="C1226" t="s">
        <v>3715</v>
      </c>
      <c r="D1226" t="s">
        <v>190</v>
      </c>
      <c r="E1226" t="s">
        <v>49</v>
      </c>
      <c r="F1226" t="s">
        <v>54</v>
      </c>
      <c r="G1226">
        <v>5</v>
      </c>
      <c r="H1226" t="s">
        <v>177</v>
      </c>
      <c r="I1226" t="s">
        <v>54</v>
      </c>
      <c r="J1226" t="s">
        <v>3716</v>
      </c>
      <c r="K1226" t="s">
        <v>257</v>
      </c>
      <c r="L1226" t="s">
        <v>184</v>
      </c>
      <c r="M1226" s="3">
        <f t="shared" si="19"/>
        <v>5</v>
      </c>
    </row>
    <row r="1227" spans="1:13" x14ac:dyDescent="0.35">
      <c r="A1227" t="s">
        <v>3717</v>
      </c>
      <c r="B1227" t="s">
        <v>174</v>
      </c>
      <c r="C1227" t="s">
        <v>3718</v>
      </c>
      <c r="D1227" t="s">
        <v>190</v>
      </c>
      <c r="E1227" t="s">
        <v>29</v>
      </c>
      <c r="F1227" t="s">
        <v>50</v>
      </c>
      <c r="G1227">
        <v>21</v>
      </c>
      <c r="H1227" t="s">
        <v>195</v>
      </c>
      <c r="J1227" t="s">
        <v>3719</v>
      </c>
      <c r="K1227" t="s">
        <v>183</v>
      </c>
      <c r="L1227" t="s">
        <v>180</v>
      </c>
      <c r="M1227" s="3" t="str">
        <f t="shared" si="19"/>
        <v/>
      </c>
    </row>
    <row r="1228" spans="1:13" x14ac:dyDescent="0.35">
      <c r="A1228" t="s">
        <v>3720</v>
      </c>
      <c r="B1228" t="s">
        <v>174</v>
      </c>
      <c r="C1228" t="s">
        <v>3721</v>
      </c>
      <c r="D1228" t="s">
        <v>190</v>
      </c>
      <c r="E1228" t="s">
        <v>43</v>
      </c>
      <c r="F1228" t="s">
        <v>46</v>
      </c>
      <c r="G1228">
        <v>3</v>
      </c>
      <c r="H1228" t="s">
        <v>252</v>
      </c>
      <c r="J1228" t="s">
        <v>3722</v>
      </c>
      <c r="K1228" t="s">
        <v>257</v>
      </c>
      <c r="L1228" t="s">
        <v>180</v>
      </c>
      <c r="M1228" s="3" t="str">
        <f t="shared" si="19"/>
        <v/>
      </c>
    </row>
    <row r="1229" spans="1:13" x14ac:dyDescent="0.35">
      <c r="A1229" t="s">
        <v>3723</v>
      </c>
      <c r="B1229" t="s">
        <v>174</v>
      </c>
      <c r="C1229" t="s">
        <v>3724</v>
      </c>
      <c r="D1229" t="s">
        <v>190</v>
      </c>
      <c r="E1229" t="s">
        <v>36</v>
      </c>
      <c r="F1229" t="s">
        <v>44</v>
      </c>
      <c r="G1229">
        <v>8</v>
      </c>
      <c r="H1229" t="s">
        <v>177</v>
      </c>
      <c r="I1229" t="s">
        <v>45</v>
      </c>
      <c r="J1229" t="s">
        <v>3725</v>
      </c>
      <c r="K1229" t="s">
        <v>425</v>
      </c>
      <c r="L1229" t="s">
        <v>180</v>
      </c>
      <c r="M1229" s="3">
        <f t="shared" si="19"/>
        <v>9</v>
      </c>
    </row>
    <row r="1230" spans="1:13" x14ac:dyDescent="0.35">
      <c r="A1230" t="s">
        <v>3726</v>
      </c>
      <c r="B1230" t="s">
        <v>174</v>
      </c>
      <c r="C1230" t="s">
        <v>3727</v>
      </c>
      <c r="D1230" t="s">
        <v>190</v>
      </c>
      <c r="E1230" t="s">
        <v>39</v>
      </c>
      <c r="F1230" t="s">
        <v>48</v>
      </c>
      <c r="G1230">
        <v>9</v>
      </c>
      <c r="H1230" t="s">
        <v>195</v>
      </c>
      <c r="J1230" t="s">
        <v>3728</v>
      </c>
      <c r="K1230" t="s">
        <v>270</v>
      </c>
      <c r="L1230" t="s">
        <v>180</v>
      </c>
      <c r="M1230" s="3" t="str">
        <f t="shared" si="19"/>
        <v/>
      </c>
    </row>
    <row r="1231" spans="1:13" x14ac:dyDescent="0.35">
      <c r="A1231" t="s">
        <v>3729</v>
      </c>
      <c r="B1231" t="s">
        <v>174</v>
      </c>
      <c r="C1231" t="s">
        <v>3730</v>
      </c>
      <c r="D1231" t="s">
        <v>225</v>
      </c>
      <c r="E1231" t="s">
        <v>49</v>
      </c>
      <c r="F1231" t="s">
        <v>55</v>
      </c>
      <c r="G1231">
        <v>5</v>
      </c>
      <c r="H1231" t="s">
        <v>177</v>
      </c>
      <c r="I1231" t="s">
        <v>55</v>
      </c>
      <c r="J1231" t="s">
        <v>3731</v>
      </c>
      <c r="K1231" t="s">
        <v>192</v>
      </c>
      <c r="L1231" t="s">
        <v>184</v>
      </c>
      <c r="M1231" s="3">
        <f t="shared" si="19"/>
        <v>6</v>
      </c>
    </row>
    <row r="1232" spans="1:13" x14ac:dyDescent="0.35">
      <c r="A1232" t="s">
        <v>3732</v>
      </c>
      <c r="B1232" t="s">
        <v>174</v>
      </c>
      <c r="C1232" t="s">
        <v>3733</v>
      </c>
      <c r="D1232" t="s">
        <v>190</v>
      </c>
      <c r="E1232" t="s">
        <v>45</v>
      </c>
      <c r="F1232" t="s">
        <v>47</v>
      </c>
      <c r="G1232">
        <v>2</v>
      </c>
      <c r="H1232" t="s">
        <v>177</v>
      </c>
      <c r="I1232" t="s">
        <v>47</v>
      </c>
      <c r="J1232" t="s">
        <v>3734</v>
      </c>
      <c r="K1232" t="s">
        <v>183</v>
      </c>
      <c r="L1232" t="s">
        <v>180</v>
      </c>
      <c r="M1232" s="3">
        <f t="shared" si="19"/>
        <v>2</v>
      </c>
    </row>
    <row r="1233" spans="1:13" x14ac:dyDescent="0.35">
      <c r="A1233" t="s">
        <v>3735</v>
      </c>
      <c r="B1233" t="s">
        <v>174</v>
      </c>
      <c r="C1233" t="s">
        <v>3736</v>
      </c>
      <c r="D1233" t="s">
        <v>190</v>
      </c>
      <c r="E1233" t="s">
        <v>41</v>
      </c>
      <c r="F1233" t="s">
        <v>53</v>
      </c>
      <c r="G1233">
        <v>12</v>
      </c>
      <c r="H1233" t="s">
        <v>177</v>
      </c>
      <c r="I1233" t="s">
        <v>53</v>
      </c>
      <c r="J1233" t="s">
        <v>3737</v>
      </c>
      <c r="K1233" t="s">
        <v>183</v>
      </c>
      <c r="L1233" t="s">
        <v>180</v>
      </c>
      <c r="M1233" s="3">
        <f t="shared" si="19"/>
        <v>12</v>
      </c>
    </row>
    <row r="1234" spans="1:13" x14ac:dyDescent="0.35">
      <c r="A1234" t="s">
        <v>3738</v>
      </c>
      <c r="B1234" t="s">
        <v>174</v>
      </c>
      <c r="C1234" t="s">
        <v>3739</v>
      </c>
      <c r="D1234" t="s">
        <v>190</v>
      </c>
      <c r="E1234" t="s">
        <v>40</v>
      </c>
      <c r="F1234" t="s">
        <v>46</v>
      </c>
      <c r="G1234">
        <v>6</v>
      </c>
      <c r="H1234" t="s">
        <v>177</v>
      </c>
      <c r="I1234" t="s">
        <v>46</v>
      </c>
      <c r="J1234" t="s">
        <v>3740</v>
      </c>
      <c r="K1234" t="s">
        <v>270</v>
      </c>
      <c r="L1234" t="s">
        <v>180</v>
      </c>
      <c r="M1234" s="3">
        <f t="shared" si="19"/>
        <v>6</v>
      </c>
    </row>
    <row r="1235" spans="1:13" x14ac:dyDescent="0.35">
      <c r="A1235" t="s">
        <v>3741</v>
      </c>
      <c r="B1235" t="s">
        <v>174</v>
      </c>
      <c r="C1235" t="s">
        <v>3742</v>
      </c>
      <c r="D1235" t="s">
        <v>236</v>
      </c>
      <c r="E1235" t="s">
        <v>46</v>
      </c>
      <c r="F1235" t="s">
        <v>50</v>
      </c>
      <c r="G1235">
        <v>3</v>
      </c>
      <c r="H1235" t="s">
        <v>177</v>
      </c>
      <c r="I1235" t="s">
        <v>52</v>
      </c>
      <c r="J1235" t="s">
        <v>3743</v>
      </c>
      <c r="K1235" t="s">
        <v>183</v>
      </c>
      <c r="L1235" t="s">
        <v>184</v>
      </c>
      <c r="M1235" s="3">
        <f t="shared" si="19"/>
        <v>6</v>
      </c>
    </row>
    <row r="1236" spans="1:13" x14ac:dyDescent="0.35">
      <c r="A1236" t="s">
        <v>3744</v>
      </c>
      <c r="B1236" t="s">
        <v>174</v>
      </c>
      <c r="C1236" t="s">
        <v>3745</v>
      </c>
      <c r="D1236" t="s">
        <v>176</v>
      </c>
      <c r="E1236" t="s">
        <v>33</v>
      </c>
      <c r="F1236" t="s">
        <v>45</v>
      </c>
      <c r="G1236">
        <v>12</v>
      </c>
      <c r="H1236" t="s">
        <v>177</v>
      </c>
      <c r="I1236" t="s">
        <v>45</v>
      </c>
      <c r="J1236" t="s">
        <v>3746</v>
      </c>
      <c r="K1236" t="s">
        <v>183</v>
      </c>
      <c r="L1236" t="s">
        <v>180</v>
      </c>
      <c r="M1236" s="3">
        <f t="shared" si="19"/>
        <v>12</v>
      </c>
    </row>
    <row r="1237" spans="1:13" x14ac:dyDescent="0.35">
      <c r="A1237" t="s">
        <v>3747</v>
      </c>
      <c r="B1237" t="s">
        <v>174</v>
      </c>
      <c r="C1237" t="s">
        <v>3748</v>
      </c>
      <c r="D1237" t="s">
        <v>190</v>
      </c>
      <c r="E1237" t="s">
        <v>43</v>
      </c>
      <c r="F1237" t="s">
        <v>55</v>
      </c>
      <c r="G1237">
        <v>12</v>
      </c>
      <c r="H1237" t="s">
        <v>177</v>
      </c>
      <c r="I1237" t="s">
        <v>55</v>
      </c>
      <c r="J1237" t="s">
        <v>3749</v>
      </c>
      <c r="K1237" t="s">
        <v>197</v>
      </c>
      <c r="L1237" t="s">
        <v>180</v>
      </c>
      <c r="M1237" s="3">
        <f t="shared" si="19"/>
        <v>12</v>
      </c>
    </row>
    <row r="1238" spans="1:13" x14ac:dyDescent="0.35">
      <c r="A1238" t="s">
        <v>3750</v>
      </c>
      <c r="B1238" t="s">
        <v>174</v>
      </c>
      <c r="C1238" t="s">
        <v>3751</v>
      </c>
      <c r="D1238" t="s">
        <v>190</v>
      </c>
      <c r="E1238" t="s">
        <v>37</v>
      </c>
      <c r="F1238" t="s">
        <v>52</v>
      </c>
      <c r="G1238">
        <v>15</v>
      </c>
      <c r="H1238" t="s">
        <v>177</v>
      </c>
      <c r="I1238" t="s">
        <v>53</v>
      </c>
      <c r="J1238" t="s">
        <v>3752</v>
      </c>
      <c r="K1238" t="s">
        <v>183</v>
      </c>
      <c r="L1238" t="s">
        <v>180</v>
      </c>
      <c r="M1238" s="3">
        <f t="shared" si="19"/>
        <v>16</v>
      </c>
    </row>
    <row r="1239" spans="1:13" x14ac:dyDescent="0.35">
      <c r="A1239" t="s">
        <v>3753</v>
      </c>
      <c r="B1239" t="s">
        <v>174</v>
      </c>
      <c r="C1239" t="s">
        <v>3754</v>
      </c>
      <c r="D1239" t="s">
        <v>176</v>
      </c>
      <c r="E1239" t="s">
        <v>51</v>
      </c>
      <c r="F1239" t="s">
        <v>54</v>
      </c>
      <c r="G1239">
        <v>3</v>
      </c>
      <c r="H1239" t="s">
        <v>177</v>
      </c>
      <c r="I1239" t="s">
        <v>54</v>
      </c>
      <c r="J1239" t="s">
        <v>3755</v>
      </c>
      <c r="K1239" t="s">
        <v>183</v>
      </c>
      <c r="L1239" t="s">
        <v>180</v>
      </c>
      <c r="M1239" s="3">
        <f t="shared" si="19"/>
        <v>3</v>
      </c>
    </row>
    <row r="1240" spans="1:13" x14ac:dyDescent="0.35">
      <c r="A1240" t="s">
        <v>3756</v>
      </c>
      <c r="B1240" t="s">
        <v>174</v>
      </c>
      <c r="C1240" t="s">
        <v>3757</v>
      </c>
      <c r="D1240" t="s">
        <v>190</v>
      </c>
      <c r="E1240" t="s">
        <v>49</v>
      </c>
      <c r="F1240" t="s">
        <v>54</v>
      </c>
      <c r="G1240">
        <v>4</v>
      </c>
      <c r="H1240" t="s">
        <v>177</v>
      </c>
      <c r="I1240" t="s">
        <v>54</v>
      </c>
      <c r="J1240" t="s">
        <v>1582</v>
      </c>
      <c r="K1240" t="s">
        <v>183</v>
      </c>
      <c r="L1240" t="s">
        <v>180</v>
      </c>
      <c r="M1240" s="3">
        <f t="shared" si="19"/>
        <v>5</v>
      </c>
    </row>
    <row r="1241" spans="1:13" x14ac:dyDescent="0.35">
      <c r="A1241" t="s">
        <v>3758</v>
      </c>
      <c r="B1241" t="s">
        <v>174</v>
      </c>
      <c r="C1241" t="s">
        <v>3759</v>
      </c>
      <c r="D1241" t="s">
        <v>176</v>
      </c>
      <c r="E1241" t="s">
        <v>44</v>
      </c>
      <c r="F1241" t="s">
        <v>47</v>
      </c>
      <c r="G1241">
        <v>2</v>
      </c>
      <c r="H1241" t="s">
        <v>177</v>
      </c>
      <c r="I1241" t="s">
        <v>47</v>
      </c>
      <c r="J1241" t="s">
        <v>3760</v>
      </c>
      <c r="K1241" t="s">
        <v>183</v>
      </c>
      <c r="L1241" t="s">
        <v>184</v>
      </c>
      <c r="M1241" s="3">
        <f t="shared" si="19"/>
        <v>3</v>
      </c>
    </row>
    <row r="1242" spans="1:13" x14ac:dyDescent="0.35">
      <c r="A1242" t="s">
        <v>3761</v>
      </c>
      <c r="B1242" t="s">
        <v>174</v>
      </c>
      <c r="C1242" t="s">
        <v>3762</v>
      </c>
      <c r="D1242" t="s">
        <v>190</v>
      </c>
      <c r="E1242" t="s">
        <v>47</v>
      </c>
      <c r="F1242" t="s">
        <v>55</v>
      </c>
      <c r="G1242">
        <v>8</v>
      </c>
      <c r="H1242" t="s">
        <v>177</v>
      </c>
      <c r="I1242" t="s">
        <v>55</v>
      </c>
      <c r="J1242" t="s">
        <v>3763</v>
      </c>
      <c r="K1242" t="s">
        <v>257</v>
      </c>
      <c r="L1242" t="s">
        <v>184</v>
      </c>
      <c r="M1242" s="3">
        <f t="shared" si="19"/>
        <v>8</v>
      </c>
    </row>
    <row r="1243" spans="1:13" x14ac:dyDescent="0.35">
      <c r="A1243" t="s">
        <v>3764</v>
      </c>
      <c r="B1243" t="s">
        <v>174</v>
      </c>
      <c r="C1243" t="s">
        <v>3765</v>
      </c>
      <c r="D1243" t="s">
        <v>190</v>
      </c>
      <c r="E1243" t="s">
        <v>37</v>
      </c>
      <c r="F1243" t="s">
        <v>53</v>
      </c>
      <c r="G1243">
        <v>15</v>
      </c>
      <c r="H1243" t="s">
        <v>177</v>
      </c>
      <c r="I1243" t="s">
        <v>55</v>
      </c>
      <c r="J1243" t="s">
        <v>3766</v>
      </c>
      <c r="K1243" t="s">
        <v>270</v>
      </c>
      <c r="L1243" t="s">
        <v>180</v>
      </c>
      <c r="M1243" s="3">
        <f t="shared" si="19"/>
        <v>18</v>
      </c>
    </row>
    <row r="1244" spans="1:13" x14ac:dyDescent="0.35">
      <c r="A1244" t="s">
        <v>3767</v>
      </c>
      <c r="B1244" t="s">
        <v>174</v>
      </c>
      <c r="C1244" t="s">
        <v>3768</v>
      </c>
      <c r="D1244" t="s">
        <v>190</v>
      </c>
      <c r="E1244" t="s">
        <v>44</v>
      </c>
      <c r="F1244" t="s">
        <v>48</v>
      </c>
      <c r="G1244">
        <v>4</v>
      </c>
      <c r="H1244" t="s">
        <v>177</v>
      </c>
      <c r="I1244" t="s">
        <v>48</v>
      </c>
      <c r="J1244" t="s">
        <v>3769</v>
      </c>
      <c r="K1244" t="s">
        <v>183</v>
      </c>
      <c r="L1244" t="s">
        <v>180</v>
      </c>
      <c r="M1244" s="3">
        <f t="shared" si="19"/>
        <v>4</v>
      </c>
    </row>
    <row r="1245" spans="1:13" x14ac:dyDescent="0.35">
      <c r="A1245" t="s">
        <v>3770</v>
      </c>
      <c r="B1245" t="s">
        <v>174</v>
      </c>
      <c r="C1245" t="s">
        <v>3771</v>
      </c>
      <c r="D1245" t="s">
        <v>190</v>
      </c>
      <c r="E1245" t="s">
        <v>47</v>
      </c>
      <c r="F1245" t="s">
        <v>53</v>
      </c>
      <c r="G1245">
        <v>5</v>
      </c>
      <c r="H1245" t="s">
        <v>177</v>
      </c>
      <c r="I1245" t="s">
        <v>53</v>
      </c>
      <c r="J1245" t="s">
        <v>3772</v>
      </c>
      <c r="K1245" t="s">
        <v>197</v>
      </c>
      <c r="L1245" t="s">
        <v>180</v>
      </c>
      <c r="M1245" s="3">
        <f t="shared" si="19"/>
        <v>6</v>
      </c>
    </row>
    <row r="1246" spans="1:13" x14ac:dyDescent="0.35">
      <c r="A1246" t="s">
        <v>3773</v>
      </c>
      <c r="B1246" t="s">
        <v>174</v>
      </c>
      <c r="C1246" t="s">
        <v>3774</v>
      </c>
      <c r="D1246" t="s">
        <v>225</v>
      </c>
      <c r="E1246" t="s">
        <v>43</v>
      </c>
      <c r="F1246" t="s">
        <v>46</v>
      </c>
      <c r="G1246">
        <v>3</v>
      </c>
      <c r="H1246" t="s">
        <v>177</v>
      </c>
      <c r="I1246" t="s">
        <v>47</v>
      </c>
      <c r="J1246" t="s">
        <v>3775</v>
      </c>
      <c r="K1246" t="s">
        <v>192</v>
      </c>
      <c r="L1246" t="s">
        <v>180</v>
      </c>
      <c r="M1246" s="3">
        <f t="shared" si="19"/>
        <v>4</v>
      </c>
    </row>
    <row r="1247" spans="1:13" x14ac:dyDescent="0.35">
      <c r="A1247" t="s">
        <v>3776</v>
      </c>
      <c r="B1247" t="s">
        <v>174</v>
      </c>
      <c r="C1247" t="s">
        <v>3777</v>
      </c>
      <c r="D1247" t="s">
        <v>190</v>
      </c>
      <c r="E1247" t="s">
        <v>43</v>
      </c>
      <c r="F1247" t="s">
        <v>46</v>
      </c>
      <c r="G1247">
        <v>3</v>
      </c>
      <c r="H1247" t="s">
        <v>177</v>
      </c>
      <c r="I1247" t="s">
        <v>47</v>
      </c>
      <c r="J1247" t="s">
        <v>3093</v>
      </c>
      <c r="K1247" t="s">
        <v>270</v>
      </c>
      <c r="L1247" t="s">
        <v>184</v>
      </c>
      <c r="M1247" s="3">
        <f t="shared" si="19"/>
        <v>4</v>
      </c>
    </row>
    <row r="1248" spans="1:13" x14ac:dyDescent="0.35">
      <c r="A1248" t="s">
        <v>3778</v>
      </c>
      <c r="B1248" t="s">
        <v>174</v>
      </c>
      <c r="C1248" t="s">
        <v>3779</v>
      </c>
      <c r="D1248" t="s">
        <v>176</v>
      </c>
      <c r="E1248" t="s">
        <v>27</v>
      </c>
      <c r="F1248" t="s">
        <v>40</v>
      </c>
      <c r="G1248">
        <v>13</v>
      </c>
      <c r="H1248" t="s">
        <v>177</v>
      </c>
      <c r="I1248" t="s">
        <v>40</v>
      </c>
      <c r="J1248" t="s">
        <v>3780</v>
      </c>
      <c r="K1248" t="s">
        <v>183</v>
      </c>
      <c r="L1248" t="s">
        <v>180</v>
      </c>
      <c r="M1248" s="3">
        <f t="shared" si="19"/>
        <v>13</v>
      </c>
    </row>
    <row r="1249" spans="1:13" x14ac:dyDescent="0.35">
      <c r="A1249" t="s">
        <v>3781</v>
      </c>
      <c r="B1249" t="s">
        <v>174</v>
      </c>
      <c r="C1249" t="s">
        <v>3782</v>
      </c>
      <c r="D1249" t="s">
        <v>176</v>
      </c>
      <c r="E1249" t="s">
        <v>42</v>
      </c>
      <c r="F1249" t="s">
        <v>50</v>
      </c>
      <c r="G1249">
        <v>7</v>
      </c>
      <c r="H1249" t="s">
        <v>195</v>
      </c>
      <c r="J1249" t="s">
        <v>3783</v>
      </c>
      <c r="K1249" t="s">
        <v>183</v>
      </c>
      <c r="L1249" t="s">
        <v>180</v>
      </c>
      <c r="M1249" s="3" t="str">
        <f t="shared" si="19"/>
        <v/>
      </c>
    </row>
    <row r="1250" spans="1:13" x14ac:dyDescent="0.35">
      <c r="A1250" t="s">
        <v>3784</v>
      </c>
      <c r="B1250" t="s">
        <v>174</v>
      </c>
      <c r="C1250" t="s">
        <v>3785</v>
      </c>
      <c r="D1250" t="s">
        <v>225</v>
      </c>
      <c r="E1250" t="s">
        <v>38</v>
      </c>
      <c r="F1250" t="s">
        <v>55</v>
      </c>
      <c r="G1250">
        <v>17</v>
      </c>
      <c r="H1250" t="s">
        <v>177</v>
      </c>
      <c r="I1250" t="s">
        <v>55</v>
      </c>
      <c r="J1250" t="s">
        <v>3786</v>
      </c>
      <c r="K1250" t="s">
        <v>192</v>
      </c>
      <c r="L1250" t="s">
        <v>180</v>
      </c>
      <c r="M1250" s="3">
        <f t="shared" si="19"/>
        <v>17</v>
      </c>
    </row>
    <row r="1251" spans="1:13" x14ac:dyDescent="0.35">
      <c r="A1251" t="s">
        <v>3787</v>
      </c>
      <c r="B1251" t="s">
        <v>174</v>
      </c>
      <c r="C1251" t="s">
        <v>3788</v>
      </c>
      <c r="D1251" t="s">
        <v>176</v>
      </c>
      <c r="E1251" t="s">
        <v>51</v>
      </c>
      <c r="F1251" t="s">
        <v>56</v>
      </c>
      <c r="G1251">
        <v>4</v>
      </c>
      <c r="H1251" t="s">
        <v>195</v>
      </c>
      <c r="J1251" t="s">
        <v>3789</v>
      </c>
      <c r="K1251" t="s">
        <v>183</v>
      </c>
      <c r="L1251" t="s">
        <v>180</v>
      </c>
      <c r="M1251" s="3" t="str">
        <f t="shared" si="19"/>
        <v/>
      </c>
    </row>
    <row r="1252" spans="1:13" x14ac:dyDescent="0.35">
      <c r="A1252" t="s">
        <v>3790</v>
      </c>
      <c r="B1252" t="s">
        <v>174</v>
      </c>
      <c r="C1252" t="s">
        <v>3791</v>
      </c>
      <c r="D1252" t="s">
        <v>190</v>
      </c>
      <c r="E1252" t="s">
        <v>38</v>
      </c>
      <c r="F1252" t="s">
        <v>52</v>
      </c>
      <c r="G1252">
        <v>14</v>
      </c>
      <c r="H1252" t="s">
        <v>177</v>
      </c>
      <c r="I1252" t="s">
        <v>53</v>
      </c>
      <c r="J1252" t="s">
        <v>3792</v>
      </c>
      <c r="K1252" t="s">
        <v>270</v>
      </c>
      <c r="L1252" t="s">
        <v>180</v>
      </c>
      <c r="M1252" s="3">
        <f t="shared" si="19"/>
        <v>15</v>
      </c>
    </row>
    <row r="1253" spans="1:13" x14ac:dyDescent="0.35">
      <c r="A1253" t="s">
        <v>3793</v>
      </c>
      <c r="B1253" t="s">
        <v>174</v>
      </c>
      <c r="C1253" t="s">
        <v>3794</v>
      </c>
      <c r="D1253" t="s">
        <v>190</v>
      </c>
      <c r="E1253" t="s">
        <v>3795</v>
      </c>
      <c r="F1253" t="s">
        <v>44</v>
      </c>
      <c r="G1253">
        <v>37</v>
      </c>
      <c r="H1253" t="s">
        <v>195</v>
      </c>
      <c r="J1253" t="s">
        <v>3796</v>
      </c>
      <c r="K1253" t="s">
        <v>183</v>
      </c>
      <c r="L1253" t="s">
        <v>180</v>
      </c>
      <c r="M1253" s="3" t="str">
        <f t="shared" si="19"/>
        <v/>
      </c>
    </row>
    <row r="1254" spans="1:13" x14ac:dyDescent="0.35">
      <c r="A1254" t="s">
        <v>3797</v>
      </c>
      <c r="B1254" t="s">
        <v>174</v>
      </c>
      <c r="C1254" t="s">
        <v>3798</v>
      </c>
      <c r="D1254" t="s">
        <v>190</v>
      </c>
      <c r="E1254" t="s">
        <v>46</v>
      </c>
      <c r="F1254" t="s">
        <v>49</v>
      </c>
      <c r="G1254">
        <v>2</v>
      </c>
      <c r="H1254" t="s">
        <v>195</v>
      </c>
      <c r="J1254" t="s">
        <v>3799</v>
      </c>
      <c r="K1254" t="s">
        <v>197</v>
      </c>
      <c r="L1254" t="s">
        <v>180</v>
      </c>
      <c r="M1254" s="3" t="str">
        <f t="shared" si="19"/>
        <v/>
      </c>
    </row>
    <row r="1255" spans="1:13" x14ac:dyDescent="0.35">
      <c r="A1255" t="s">
        <v>3800</v>
      </c>
      <c r="B1255" t="s">
        <v>174</v>
      </c>
      <c r="C1255" t="s">
        <v>3801</v>
      </c>
      <c r="D1255" t="s">
        <v>190</v>
      </c>
      <c r="E1255" t="s">
        <v>37</v>
      </c>
      <c r="F1255" t="s">
        <v>53</v>
      </c>
      <c r="G1255">
        <v>15</v>
      </c>
      <c r="H1255" t="s">
        <v>177</v>
      </c>
      <c r="I1255" t="s">
        <v>55</v>
      </c>
      <c r="J1255" t="s">
        <v>3802</v>
      </c>
      <c r="K1255" t="s">
        <v>270</v>
      </c>
      <c r="L1255" t="s">
        <v>180</v>
      </c>
      <c r="M1255" s="3">
        <f t="shared" si="19"/>
        <v>18</v>
      </c>
    </row>
    <row r="1256" spans="1:13" x14ac:dyDescent="0.35">
      <c r="A1256" t="s">
        <v>3803</v>
      </c>
      <c r="B1256" t="s">
        <v>174</v>
      </c>
      <c r="C1256" t="s">
        <v>3804</v>
      </c>
      <c r="D1256" t="s">
        <v>190</v>
      </c>
      <c r="E1256" t="s">
        <v>48</v>
      </c>
      <c r="F1256" t="s">
        <v>52</v>
      </c>
      <c r="G1256">
        <v>3</v>
      </c>
      <c r="H1256" t="s">
        <v>177</v>
      </c>
      <c r="I1256" t="s">
        <v>52</v>
      </c>
      <c r="J1256" t="s">
        <v>3805</v>
      </c>
      <c r="K1256" t="s">
        <v>197</v>
      </c>
      <c r="L1256" t="s">
        <v>180</v>
      </c>
      <c r="M1256" s="3">
        <f t="shared" si="19"/>
        <v>4</v>
      </c>
    </row>
    <row r="1257" spans="1:13" x14ac:dyDescent="0.35">
      <c r="A1257" t="s">
        <v>3806</v>
      </c>
      <c r="B1257" t="s">
        <v>174</v>
      </c>
      <c r="C1257" t="s">
        <v>3807</v>
      </c>
      <c r="D1257" t="s">
        <v>176</v>
      </c>
      <c r="E1257" t="s">
        <v>42</v>
      </c>
      <c r="F1257" t="s">
        <v>51</v>
      </c>
      <c r="G1257">
        <v>9</v>
      </c>
      <c r="H1257" t="s">
        <v>177</v>
      </c>
      <c r="I1257" t="s">
        <v>52</v>
      </c>
      <c r="J1257" t="s">
        <v>3808</v>
      </c>
      <c r="K1257" t="s">
        <v>183</v>
      </c>
      <c r="L1257" t="s">
        <v>180</v>
      </c>
      <c r="M1257" s="3">
        <f t="shared" si="19"/>
        <v>10</v>
      </c>
    </row>
    <row r="1258" spans="1:13" x14ac:dyDescent="0.35">
      <c r="A1258" t="s">
        <v>3809</v>
      </c>
      <c r="B1258" t="s">
        <v>174</v>
      </c>
      <c r="C1258" t="s">
        <v>3810</v>
      </c>
      <c r="D1258" t="s">
        <v>176</v>
      </c>
      <c r="E1258" t="s">
        <v>30</v>
      </c>
      <c r="F1258" t="s">
        <v>42</v>
      </c>
      <c r="G1258">
        <v>12</v>
      </c>
      <c r="H1258" t="s">
        <v>177</v>
      </c>
      <c r="I1258" t="s">
        <v>43</v>
      </c>
      <c r="J1258" t="s">
        <v>1162</v>
      </c>
      <c r="K1258" t="s">
        <v>377</v>
      </c>
      <c r="L1258" t="s">
        <v>180</v>
      </c>
      <c r="M1258" s="3">
        <f t="shared" si="19"/>
        <v>13</v>
      </c>
    </row>
    <row r="1259" spans="1:13" x14ac:dyDescent="0.35">
      <c r="A1259" t="s">
        <v>3811</v>
      </c>
      <c r="B1259" t="s">
        <v>174</v>
      </c>
      <c r="C1259" t="s">
        <v>3812</v>
      </c>
      <c r="D1259" t="s">
        <v>190</v>
      </c>
      <c r="E1259" t="s">
        <v>40</v>
      </c>
      <c r="F1259" t="s">
        <v>48</v>
      </c>
      <c r="G1259">
        <v>8</v>
      </c>
      <c r="H1259" t="s">
        <v>195</v>
      </c>
      <c r="J1259" t="s">
        <v>3813</v>
      </c>
      <c r="K1259" t="s">
        <v>270</v>
      </c>
      <c r="L1259" t="s">
        <v>180</v>
      </c>
      <c r="M1259" s="3" t="str">
        <f t="shared" si="19"/>
        <v/>
      </c>
    </row>
    <row r="1260" spans="1:13" x14ac:dyDescent="0.35">
      <c r="A1260" t="s">
        <v>3814</v>
      </c>
      <c r="B1260" t="s">
        <v>174</v>
      </c>
      <c r="C1260" t="s">
        <v>3815</v>
      </c>
      <c r="D1260" t="s">
        <v>176</v>
      </c>
      <c r="E1260" t="s">
        <v>34</v>
      </c>
      <c r="F1260" t="s">
        <v>40</v>
      </c>
      <c r="G1260">
        <v>6</v>
      </c>
      <c r="H1260" t="s">
        <v>177</v>
      </c>
      <c r="I1260" t="s">
        <v>40</v>
      </c>
      <c r="J1260" t="s">
        <v>3816</v>
      </c>
      <c r="K1260" t="s">
        <v>183</v>
      </c>
      <c r="L1260" t="s">
        <v>180</v>
      </c>
      <c r="M1260" s="3">
        <f t="shared" si="19"/>
        <v>6</v>
      </c>
    </row>
    <row r="1261" spans="1:13" x14ac:dyDescent="0.35">
      <c r="A1261" t="s">
        <v>3817</v>
      </c>
      <c r="B1261" t="s">
        <v>174</v>
      </c>
      <c r="C1261" t="s">
        <v>3818</v>
      </c>
      <c r="D1261" t="s">
        <v>176</v>
      </c>
      <c r="E1261" t="s">
        <v>47</v>
      </c>
      <c r="F1261" t="s">
        <v>54</v>
      </c>
      <c r="G1261">
        <v>6</v>
      </c>
      <c r="H1261" t="s">
        <v>177</v>
      </c>
      <c r="I1261" t="s">
        <v>54</v>
      </c>
      <c r="J1261" t="s">
        <v>3819</v>
      </c>
      <c r="K1261" t="s">
        <v>183</v>
      </c>
      <c r="L1261" t="s">
        <v>184</v>
      </c>
      <c r="M1261" s="3">
        <f t="shared" si="19"/>
        <v>7</v>
      </c>
    </row>
    <row r="1262" spans="1:13" x14ac:dyDescent="0.35">
      <c r="A1262" t="s">
        <v>3820</v>
      </c>
      <c r="B1262" t="s">
        <v>174</v>
      </c>
      <c r="C1262" t="s">
        <v>3821</v>
      </c>
      <c r="D1262" t="s">
        <v>190</v>
      </c>
      <c r="E1262" t="s">
        <v>39</v>
      </c>
      <c r="F1262" t="s">
        <v>42</v>
      </c>
      <c r="G1262">
        <v>3</v>
      </c>
      <c r="H1262" t="s">
        <v>177</v>
      </c>
      <c r="I1262" t="s">
        <v>42</v>
      </c>
      <c r="J1262" t="s">
        <v>1462</v>
      </c>
      <c r="K1262" t="s">
        <v>270</v>
      </c>
      <c r="L1262" t="s">
        <v>184</v>
      </c>
      <c r="M1262" s="3">
        <f t="shared" si="19"/>
        <v>3</v>
      </c>
    </row>
    <row r="1263" spans="1:13" x14ac:dyDescent="0.35">
      <c r="A1263" t="s">
        <v>3822</v>
      </c>
      <c r="B1263" t="s">
        <v>174</v>
      </c>
      <c r="C1263" t="s">
        <v>3823</v>
      </c>
      <c r="D1263" t="s">
        <v>190</v>
      </c>
      <c r="E1263" t="s">
        <v>43</v>
      </c>
      <c r="F1263" t="s">
        <v>53</v>
      </c>
      <c r="G1263">
        <v>11</v>
      </c>
      <c r="H1263" t="s">
        <v>177</v>
      </c>
      <c r="I1263" t="s">
        <v>53</v>
      </c>
      <c r="J1263" t="s">
        <v>3824</v>
      </c>
      <c r="K1263" t="s">
        <v>257</v>
      </c>
      <c r="L1263" t="s">
        <v>180</v>
      </c>
      <c r="M1263" s="3">
        <f t="shared" si="19"/>
        <v>10</v>
      </c>
    </row>
    <row r="1264" spans="1:13" x14ac:dyDescent="0.35">
      <c r="A1264" t="s">
        <v>3825</v>
      </c>
      <c r="B1264" t="s">
        <v>174</v>
      </c>
      <c r="C1264" t="s">
        <v>3826</v>
      </c>
      <c r="D1264" t="s">
        <v>190</v>
      </c>
      <c r="E1264" t="s">
        <v>50</v>
      </c>
      <c r="F1264" t="s">
        <v>56</v>
      </c>
      <c r="G1264">
        <v>6</v>
      </c>
      <c r="H1264" t="s">
        <v>177</v>
      </c>
      <c r="I1264" t="s">
        <v>56</v>
      </c>
      <c r="J1264" t="s">
        <v>3827</v>
      </c>
      <c r="K1264" t="s">
        <v>219</v>
      </c>
      <c r="L1264" t="s">
        <v>180</v>
      </c>
      <c r="M1264" s="3">
        <f t="shared" si="19"/>
        <v>6</v>
      </c>
    </row>
    <row r="1265" spans="1:13" x14ac:dyDescent="0.35">
      <c r="A1265" t="s">
        <v>3828</v>
      </c>
      <c r="B1265" t="s">
        <v>174</v>
      </c>
      <c r="C1265" t="s">
        <v>3829</v>
      </c>
      <c r="D1265" t="s">
        <v>225</v>
      </c>
      <c r="E1265" t="s">
        <v>25</v>
      </c>
      <c r="F1265" t="s">
        <v>45</v>
      </c>
      <c r="G1265">
        <v>20</v>
      </c>
      <c r="H1265" t="s">
        <v>177</v>
      </c>
      <c r="I1265" t="s">
        <v>45</v>
      </c>
      <c r="J1265" t="s">
        <v>3830</v>
      </c>
      <c r="K1265" t="s">
        <v>183</v>
      </c>
      <c r="L1265" t="s">
        <v>180</v>
      </c>
      <c r="M1265" s="3">
        <f t="shared" si="19"/>
        <v>20</v>
      </c>
    </row>
    <row r="1266" spans="1:13" x14ac:dyDescent="0.35">
      <c r="A1266" t="s">
        <v>3831</v>
      </c>
      <c r="B1266" t="s">
        <v>174</v>
      </c>
      <c r="C1266" t="s">
        <v>3832</v>
      </c>
      <c r="D1266" t="s">
        <v>190</v>
      </c>
      <c r="E1266" t="s">
        <v>34</v>
      </c>
      <c r="F1266" t="s">
        <v>50</v>
      </c>
      <c r="G1266">
        <v>15</v>
      </c>
      <c r="H1266" t="s">
        <v>177</v>
      </c>
      <c r="I1266" t="s">
        <v>50</v>
      </c>
      <c r="J1266" t="s">
        <v>3833</v>
      </c>
      <c r="K1266" t="s">
        <v>270</v>
      </c>
      <c r="L1266" t="s">
        <v>184</v>
      </c>
      <c r="M1266" s="3">
        <f t="shared" si="19"/>
        <v>16</v>
      </c>
    </row>
    <row r="1267" spans="1:13" x14ac:dyDescent="0.35">
      <c r="A1267" t="s">
        <v>3834</v>
      </c>
      <c r="B1267" t="s">
        <v>174</v>
      </c>
      <c r="C1267" t="s">
        <v>3835</v>
      </c>
      <c r="D1267" t="s">
        <v>236</v>
      </c>
      <c r="E1267" t="s">
        <v>46</v>
      </c>
      <c r="F1267" t="s">
        <v>50</v>
      </c>
      <c r="G1267">
        <v>4</v>
      </c>
      <c r="H1267" t="s">
        <v>195</v>
      </c>
      <c r="J1267" t="s">
        <v>3836</v>
      </c>
      <c r="K1267" t="s">
        <v>192</v>
      </c>
      <c r="L1267" t="s">
        <v>180</v>
      </c>
      <c r="M1267" s="3" t="str">
        <f t="shared" si="19"/>
        <v/>
      </c>
    </row>
    <row r="1268" spans="1:13" x14ac:dyDescent="0.35">
      <c r="A1268" t="s">
        <v>3837</v>
      </c>
      <c r="B1268" t="s">
        <v>174</v>
      </c>
      <c r="C1268" t="s">
        <v>3838</v>
      </c>
      <c r="D1268" t="s">
        <v>176</v>
      </c>
      <c r="E1268" t="s">
        <v>49</v>
      </c>
      <c r="F1268" t="s">
        <v>54</v>
      </c>
      <c r="G1268">
        <v>6</v>
      </c>
      <c r="H1268" t="s">
        <v>177</v>
      </c>
      <c r="I1268" t="s">
        <v>54</v>
      </c>
      <c r="J1268" t="s">
        <v>3839</v>
      </c>
      <c r="K1268" t="s">
        <v>183</v>
      </c>
      <c r="L1268" t="s">
        <v>180</v>
      </c>
      <c r="M1268" s="3">
        <f t="shared" si="19"/>
        <v>5</v>
      </c>
    </row>
    <row r="1269" spans="1:13" x14ac:dyDescent="0.35">
      <c r="A1269" t="s">
        <v>3840</v>
      </c>
      <c r="B1269" t="s">
        <v>174</v>
      </c>
      <c r="C1269" t="s">
        <v>3841</v>
      </c>
      <c r="D1269" t="s">
        <v>190</v>
      </c>
      <c r="E1269" t="s">
        <v>46</v>
      </c>
      <c r="F1269" t="s">
        <v>54</v>
      </c>
      <c r="G1269">
        <v>8</v>
      </c>
      <c r="H1269" t="s">
        <v>177</v>
      </c>
      <c r="I1269" t="s">
        <v>56</v>
      </c>
      <c r="J1269" t="s">
        <v>3842</v>
      </c>
      <c r="K1269" t="s">
        <v>270</v>
      </c>
      <c r="L1269" t="s">
        <v>180</v>
      </c>
      <c r="M1269" s="3">
        <f t="shared" si="19"/>
        <v>10</v>
      </c>
    </row>
    <row r="1270" spans="1:13" x14ac:dyDescent="0.35">
      <c r="A1270" t="s">
        <v>3843</v>
      </c>
      <c r="B1270" t="s">
        <v>174</v>
      </c>
      <c r="C1270" t="s">
        <v>3844</v>
      </c>
      <c r="D1270" t="s">
        <v>190</v>
      </c>
      <c r="E1270" t="s">
        <v>51</v>
      </c>
      <c r="F1270" t="s">
        <v>56</v>
      </c>
      <c r="G1270">
        <v>5</v>
      </c>
      <c r="H1270" t="s">
        <v>195</v>
      </c>
      <c r="J1270" t="s">
        <v>3845</v>
      </c>
      <c r="K1270" t="s">
        <v>257</v>
      </c>
      <c r="L1270" t="s">
        <v>180</v>
      </c>
      <c r="M1270" s="3" t="str">
        <f t="shared" si="19"/>
        <v/>
      </c>
    </row>
    <row r="1271" spans="1:13" x14ac:dyDescent="0.35">
      <c r="A1271" t="s">
        <v>3846</v>
      </c>
      <c r="B1271" t="s">
        <v>174</v>
      </c>
      <c r="C1271" t="s">
        <v>3847</v>
      </c>
      <c r="D1271" t="s">
        <v>176</v>
      </c>
      <c r="E1271" t="s">
        <v>43</v>
      </c>
      <c r="F1271" t="s">
        <v>55</v>
      </c>
      <c r="G1271">
        <v>13</v>
      </c>
      <c r="H1271" t="s">
        <v>177</v>
      </c>
      <c r="I1271" t="s">
        <v>55</v>
      </c>
      <c r="J1271" t="s">
        <v>3848</v>
      </c>
      <c r="K1271" t="s">
        <v>183</v>
      </c>
      <c r="L1271" t="s">
        <v>180</v>
      </c>
      <c r="M1271" s="3">
        <f t="shared" si="19"/>
        <v>12</v>
      </c>
    </row>
    <row r="1272" spans="1:13" x14ac:dyDescent="0.35">
      <c r="A1272" t="s">
        <v>3849</v>
      </c>
      <c r="B1272" t="s">
        <v>174</v>
      </c>
      <c r="C1272" t="s">
        <v>3850</v>
      </c>
      <c r="D1272" t="s">
        <v>190</v>
      </c>
      <c r="E1272" t="s">
        <v>43</v>
      </c>
      <c r="F1272" t="s">
        <v>54</v>
      </c>
      <c r="G1272">
        <v>11</v>
      </c>
      <c r="H1272" t="s">
        <v>177</v>
      </c>
      <c r="I1272" t="s">
        <v>54</v>
      </c>
      <c r="J1272" t="s">
        <v>3851</v>
      </c>
      <c r="K1272" t="s">
        <v>197</v>
      </c>
      <c r="L1272" t="s">
        <v>180</v>
      </c>
      <c r="M1272" s="3">
        <f t="shared" si="19"/>
        <v>11</v>
      </c>
    </row>
    <row r="1273" spans="1:13" x14ac:dyDescent="0.35">
      <c r="A1273" t="s">
        <v>3852</v>
      </c>
      <c r="B1273" t="s">
        <v>174</v>
      </c>
      <c r="C1273" t="s">
        <v>3853</v>
      </c>
      <c r="D1273" t="s">
        <v>190</v>
      </c>
      <c r="E1273" t="s">
        <v>42</v>
      </c>
      <c r="F1273" t="s">
        <v>50</v>
      </c>
      <c r="G1273">
        <v>8</v>
      </c>
      <c r="H1273" t="s">
        <v>252</v>
      </c>
      <c r="J1273" t="s">
        <v>3854</v>
      </c>
      <c r="K1273" t="s">
        <v>197</v>
      </c>
      <c r="L1273" t="s">
        <v>180</v>
      </c>
      <c r="M1273" s="3" t="str">
        <f t="shared" si="19"/>
        <v/>
      </c>
    </row>
    <row r="1274" spans="1:13" x14ac:dyDescent="0.35">
      <c r="A1274" t="s">
        <v>3852</v>
      </c>
      <c r="B1274" t="s">
        <v>174</v>
      </c>
      <c r="C1274" t="s">
        <v>3853</v>
      </c>
      <c r="D1274" t="s">
        <v>190</v>
      </c>
      <c r="E1274" t="s">
        <v>42</v>
      </c>
      <c r="F1274" t="s">
        <v>55</v>
      </c>
      <c r="G1274">
        <v>13</v>
      </c>
      <c r="H1274" t="s">
        <v>177</v>
      </c>
      <c r="I1274" t="s">
        <v>55</v>
      </c>
      <c r="J1274" t="s">
        <v>3854</v>
      </c>
      <c r="K1274" t="s">
        <v>197</v>
      </c>
      <c r="L1274" t="s">
        <v>180</v>
      </c>
      <c r="M1274" s="3">
        <f t="shared" si="19"/>
        <v>13</v>
      </c>
    </row>
    <row r="1275" spans="1:13" x14ac:dyDescent="0.35">
      <c r="A1275" t="s">
        <v>3855</v>
      </c>
      <c r="B1275" t="s">
        <v>174</v>
      </c>
      <c r="C1275" t="s">
        <v>3856</v>
      </c>
      <c r="D1275" t="s">
        <v>190</v>
      </c>
      <c r="E1275" t="s">
        <v>37</v>
      </c>
      <c r="F1275" t="s">
        <v>47</v>
      </c>
      <c r="G1275">
        <v>10</v>
      </c>
      <c r="H1275" t="s">
        <v>177</v>
      </c>
      <c r="I1275" t="s">
        <v>47</v>
      </c>
      <c r="J1275" t="s">
        <v>3857</v>
      </c>
      <c r="K1275" t="s">
        <v>257</v>
      </c>
      <c r="L1275" t="s">
        <v>180</v>
      </c>
      <c r="M1275" s="3">
        <f t="shared" si="19"/>
        <v>10</v>
      </c>
    </row>
    <row r="1276" spans="1:13" x14ac:dyDescent="0.35">
      <c r="A1276" t="s">
        <v>3858</v>
      </c>
      <c r="B1276" t="s">
        <v>174</v>
      </c>
      <c r="C1276" t="s">
        <v>3859</v>
      </c>
      <c r="D1276" t="s">
        <v>190</v>
      </c>
      <c r="E1276" t="s">
        <v>42</v>
      </c>
      <c r="F1276" t="s">
        <v>47</v>
      </c>
      <c r="G1276">
        <v>5</v>
      </c>
      <c r="H1276" t="s">
        <v>177</v>
      </c>
      <c r="I1276" t="s">
        <v>47</v>
      </c>
      <c r="J1276" t="s">
        <v>3860</v>
      </c>
      <c r="K1276" t="s">
        <v>197</v>
      </c>
      <c r="L1276" t="s">
        <v>184</v>
      </c>
      <c r="M1276" s="3">
        <f t="shared" si="19"/>
        <v>5</v>
      </c>
    </row>
    <row r="1277" spans="1:13" x14ac:dyDescent="0.35">
      <c r="A1277" t="s">
        <v>3861</v>
      </c>
      <c r="B1277" t="s">
        <v>174</v>
      </c>
      <c r="C1277" t="s">
        <v>3862</v>
      </c>
      <c r="D1277" t="s">
        <v>190</v>
      </c>
      <c r="E1277" t="s">
        <v>42</v>
      </c>
      <c r="F1277" t="s">
        <v>46</v>
      </c>
      <c r="G1277">
        <v>3</v>
      </c>
      <c r="H1277" t="s">
        <v>177</v>
      </c>
      <c r="I1277" t="s">
        <v>46</v>
      </c>
      <c r="J1277" t="s">
        <v>3863</v>
      </c>
      <c r="K1277" t="s">
        <v>197</v>
      </c>
      <c r="L1277" t="s">
        <v>184</v>
      </c>
      <c r="M1277" s="3">
        <f t="shared" si="19"/>
        <v>4</v>
      </c>
    </row>
    <row r="1278" spans="1:13" x14ac:dyDescent="0.35">
      <c r="A1278" t="s">
        <v>3864</v>
      </c>
      <c r="B1278" t="s">
        <v>174</v>
      </c>
      <c r="C1278" t="s">
        <v>3865</v>
      </c>
      <c r="D1278" t="s">
        <v>176</v>
      </c>
      <c r="E1278" t="s">
        <v>44</v>
      </c>
      <c r="F1278" t="s">
        <v>49</v>
      </c>
      <c r="G1278">
        <v>4</v>
      </c>
      <c r="H1278" t="s">
        <v>195</v>
      </c>
      <c r="J1278" t="s">
        <v>3866</v>
      </c>
      <c r="K1278" t="s">
        <v>183</v>
      </c>
      <c r="L1278" t="s">
        <v>184</v>
      </c>
      <c r="M1278" s="3" t="str">
        <f t="shared" si="19"/>
        <v/>
      </c>
    </row>
    <row r="1279" spans="1:13" x14ac:dyDescent="0.35">
      <c r="A1279" t="s">
        <v>3867</v>
      </c>
      <c r="B1279" t="s">
        <v>174</v>
      </c>
      <c r="C1279" t="s">
        <v>3868</v>
      </c>
      <c r="D1279" t="s">
        <v>190</v>
      </c>
      <c r="E1279" t="s">
        <v>47</v>
      </c>
      <c r="F1279" t="s">
        <v>51</v>
      </c>
      <c r="G1279">
        <v>4</v>
      </c>
      <c r="H1279" t="s">
        <v>177</v>
      </c>
      <c r="I1279" t="s">
        <v>52</v>
      </c>
      <c r="J1279" t="s">
        <v>3869</v>
      </c>
      <c r="K1279" t="s">
        <v>257</v>
      </c>
      <c r="L1279" t="s">
        <v>180</v>
      </c>
      <c r="M1279" s="3">
        <f t="shared" si="19"/>
        <v>5</v>
      </c>
    </row>
    <row r="1280" spans="1:13" x14ac:dyDescent="0.35">
      <c r="A1280" t="s">
        <v>3870</v>
      </c>
      <c r="B1280" t="s">
        <v>174</v>
      </c>
      <c r="C1280" t="s">
        <v>3871</v>
      </c>
      <c r="D1280" t="s">
        <v>190</v>
      </c>
      <c r="E1280" t="s">
        <v>45</v>
      </c>
      <c r="F1280" t="s">
        <v>50</v>
      </c>
      <c r="G1280">
        <v>6</v>
      </c>
      <c r="H1280" t="s">
        <v>177</v>
      </c>
      <c r="I1280" t="s">
        <v>51</v>
      </c>
      <c r="J1280" t="s">
        <v>3872</v>
      </c>
      <c r="K1280" t="s">
        <v>183</v>
      </c>
      <c r="L1280" t="s">
        <v>184</v>
      </c>
      <c r="M1280" s="3">
        <f t="shared" si="19"/>
        <v>6</v>
      </c>
    </row>
    <row r="1281" spans="1:13" x14ac:dyDescent="0.35">
      <c r="A1281" t="s">
        <v>3873</v>
      </c>
      <c r="B1281" t="s">
        <v>174</v>
      </c>
      <c r="C1281" t="s">
        <v>3874</v>
      </c>
      <c r="D1281" t="s">
        <v>176</v>
      </c>
      <c r="E1281" t="s">
        <v>46</v>
      </c>
      <c r="F1281" t="s">
        <v>56</v>
      </c>
      <c r="G1281">
        <v>10</v>
      </c>
      <c r="H1281" t="s">
        <v>195</v>
      </c>
      <c r="J1281" t="s">
        <v>3875</v>
      </c>
      <c r="K1281" t="s">
        <v>183</v>
      </c>
      <c r="L1281" t="s">
        <v>180</v>
      </c>
      <c r="M1281" s="3" t="str">
        <f t="shared" si="19"/>
        <v/>
      </c>
    </row>
    <row r="1282" spans="1:13" x14ac:dyDescent="0.35">
      <c r="A1282" t="s">
        <v>3876</v>
      </c>
      <c r="B1282" t="s">
        <v>174</v>
      </c>
      <c r="C1282" t="s">
        <v>3877</v>
      </c>
      <c r="D1282" t="s">
        <v>176</v>
      </c>
      <c r="E1282" t="s">
        <v>18</v>
      </c>
      <c r="F1282" t="s">
        <v>55</v>
      </c>
      <c r="G1282">
        <v>38</v>
      </c>
      <c r="H1282" t="s">
        <v>195</v>
      </c>
      <c r="J1282" t="s">
        <v>3878</v>
      </c>
      <c r="K1282" t="s">
        <v>183</v>
      </c>
      <c r="L1282" t="s">
        <v>180</v>
      </c>
      <c r="M1282" s="3" t="str">
        <f t="shared" si="19"/>
        <v/>
      </c>
    </row>
    <row r="1283" spans="1:13" x14ac:dyDescent="0.35">
      <c r="A1283" t="s">
        <v>3879</v>
      </c>
      <c r="B1283" t="s">
        <v>174</v>
      </c>
      <c r="C1283" t="s">
        <v>3880</v>
      </c>
      <c r="D1283" t="s">
        <v>190</v>
      </c>
      <c r="E1283" t="s">
        <v>39</v>
      </c>
      <c r="F1283" t="s">
        <v>40</v>
      </c>
      <c r="G1283">
        <v>1</v>
      </c>
      <c r="H1283" t="s">
        <v>177</v>
      </c>
      <c r="I1283" t="s">
        <v>40</v>
      </c>
      <c r="J1283" t="s">
        <v>3015</v>
      </c>
      <c r="K1283" t="s">
        <v>270</v>
      </c>
      <c r="L1283" t="s">
        <v>180</v>
      </c>
      <c r="M1283" s="3">
        <f t="shared" ref="M1283:M1346" si="20">IF(H1283="Efectivo",IFERROR((VALUE(RIGHT(I1283,4))-VALUE(RIGHT(E1283,4)))*12+(VALUE(LEFT(I1283,2))-VALUE(LEFT(E1283,2))),""),"")</f>
        <v>1</v>
      </c>
    </row>
    <row r="1284" spans="1:13" x14ac:dyDescent="0.35">
      <c r="A1284" t="s">
        <v>3881</v>
      </c>
      <c r="B1284" t="s">
        <v>174</v>
      </c>
      <c r="C1284" t="s">
        <v>3882</v>
      </c>
      <c r="D1284" t="s">
        <v>190</v>
      </c>
      <c r="E1284" t="s">
        <v>41</v>
      </c>
      <c r="F1284" t="s">
        <v>52</v>
      </c>
      <c r="G1284">
        <v>11</v>
      </c>
      <c r="H1284" t="s">
        <v>177</v>
      </c>
      <c r="I1284" t="s">
        <v>52</v>
      </c>
      <c r="J1284" t="s">
        <v>3883</v>
      </c>
      <c r="K1284" t="s">
        <v>183</v>
      </c>
      <c r="L1284" t="s">
        <v>180</v>
      </c>
      <c r="M1284" s="3">
        <f t="shared" si="20"/>
        <v>11</v>
      </c>
    </row>
    <row r="1285" spans="1:13" x14ac:dyDescent="0.35">
      <c r="A1285" t="s">
        <v>3884</v>
      </c>
      <c r="B1285" t="s">
        <v>174</v>
      </c>
      <c r="C1285" t="s">
        <v>3885</v>
      </c>
      <c r="D1285" t="s">
        <v>190</v>
      </c>
      <c r="E1285" t="s">
        <v>43</v>
      </c>
      <c r="F1285" t="s">
        <v>47</v>
      </c>
      <c r="G1285">
        <v>4</v>
      </c>
      <c r="H1285" t="s">
        <v>195</v>
      </c>
      <c r="J1285" t="s">
        <v>3886</v>
      </c>
      <c r="K1285" t="s">
        <v>257</v>
      </c>
      <c r="L1285" t="s">
        <v>180</v>
      </c>
      <c r="M1285" s="3" t="str">
        <f t="shared" si="20"/>
        <v/>
      </c>
    </row>
    <row r="1286" spans="1:13" x14ac:dyDescent="0.35">
      <c r="A1286" t="s">
        <v>3887</v>
      </c>
      <c r="B1286" t="s">
        <v>174</v>
      </c>
      <c r="C1286" t="s">
        <v>3888</v>
      </c>
      <c r="D1286" t="s">
        <v>176</v>
      </c>
      <c r="E1286" t="s">
        <v>36</v>
      </c>
      <c r="F1286" t="s">
        <v>55</v>
      </c>
      <c r="G1286">
        <v>19</v>
      </c>
      <c r="H1286" t="s">
        <v>195</v>
      </c>
      <c r="J1286" t="s">
        <v>3889</v>
      </c>
      <c r="K1286" t="s">
        <v>183</v>
      </c>
      <c r="L1286" t="s">
        <v>180</v>
      </c>
      <c r="M1286" s="3" t="str">
        <f t="shared" si="20"/>
        <v/>
      </c>
    </row>
    <row r="1287" spans="1:13" x14ac:dyDescent="0.35">
      <c r="A1287" t="s">
        <v>3890</v>
      </c>
      <c r="B1287" t="s">
        <v>174</v>
      </c>
      <c r="C1287" t="s">
        <v>3891</v>
      </c>
      <c r="D1287" t="s">
        <v>190</v>
      </c>
      <c r="E1287" t="s">
        <v>44</v>
      </c>
      <c r="F1287" t="s">
        <v>54</v>
      </c>
      <c r="G1287">
        <v>10</v>
      </c>
      <c r="H1287" t="s">
        <v>177</v>
      </c>
      <c r="I1287" t="s">
        <v>56</v>
      </c>
      <c r="J1287" t="s">
        <v>3892</v>
      </c>
      <c r="K1287" t="s">
        <v>257</v>
      </c>
      <c r="L1287" t="s">
        <v>180</v>
      </c>
      <c r="M1287" s="3">
        <f t="shared" si="20"/>
        <v>12</v>
      </c>
    </row>
    <row r="1288" spans="1:13" x14ac:dyDescent="0.35">
      <c r="A1288" t="s">
        <v>3893</v>
      </c>
      <c r="B1288" t="s">
        <v>174</v>
      </c>
      <c r="C1288" t="s">
        <v>3894</v>
      </c>
      <c r="D1288" t="s">
        <v>176</v>
      </c>
      <c r="E1288" t="s">
        <v>32</v>
      </c>
      <c r="F1288" t="s">
        <v>48</v>
      </c>
      <c r="G1288">
        <v>16</v>
      </c>
      <c r="H1288" t="s">
        <v>177</v>
      </c>
      <c r="I1288" t="s">
        <v>49</v>
      </c>
      <c r="J1288" t="s">
        <v>3895</v>
      </c>
      <c r="K1288" t="s">
        <v>183</v>
      </c>
      <c r="L1288" t="s">
        <v>180</v>
      </c>
      <c r="M1288" s="3">
        <f t="shared" si="20"/>
        <v>17</v>
      </c>
    </row>
    <row r="1289" spans="1:13" x14ac:dyDescent="0.35">
      <c r="A1289" t="s">
        <v>3896</v>
      </c>
      <c r="B1289" t="s">
        <v>174</v>
      </c>
      <c r="C1289" t="s">
        <v>3897</v>
      </c>
      <c r="D1289" t="s">
        <v>176</v>
      </c>
      <c r="E1289" t="s">
        <v>37</v>
      </c>
      <c r="F1289" t="s">
        <v>48</v>
      </c>
      <c r="G1289">
        <v>12</v>
      </c>
      <c r="H1289" t="s">
        <v>177</v>
      </c>
      <c r="I1289" t="s">
        <v>49</v>
      </c>
      <c r="J1289" t="s">
        <v>3898</v>
      </c>
      <c r="K1289" t="s">
        <v>183</v>
      </c>
      <c r="L1289" t="s">
        <v>180</v>
      </c>
      <c r="M1289" s="3">
        <f t="shared" si="20"/>
        <v>12</v>
      </c>
    </row>
    <row r="1290" spans="1:13" x14ac:dyDescent="0.35">
      <c r="A1290" t="s">
        <v>3899</v>
      </c>
      <c r="B1290" t="s">
        <v>174</v>
      </c>
      <c r="C1290" t="s">
        <v>3900</v>
      </c>
      <c r="D1290" t="s">
        <v>190</v>
      </c>
      <c r="E1290" t="s">
        <v>42</v>
      </c>
      <c r="F1290" t="s">
        <v>45</v>
      </c>
      <c r="G1290">
        <v>3</v>
      </c>
      <c r="H1290" t="s">
        <v>177</v>
      </c>
      <c r="I1290" t="s">
        <v>45</v>
      </c>
      <c r="J1290" t="s">
        <v>3901</v>
      </c>
      <c r="K1290" t="s">
        <v>270</v>
      </c>
      <c r="L1290" t="s">
        <v>180</v>
      </c>
      <c r="M1290" s="3">
        <f t="shared" si="20"/>
        <v>3</v>
      </c>
    </row>
    <row r="1291" spans="1:13" x14ac:dyDescent="0.35">
      <c r="A1291" t="s">
        <v>3902</v>
      </c>
      <c r="B1291" t="s">
        <v>174</v>
      </c>
      <c r="C1291" t="s">
        <v>3903</v>
      </c>
      <c r="D1291" t="s">
        <v>190</v>
      </c>
      <c r="E1291" t="s">
        <v>44</v>
      </c>
      <c r="F1291" t="s">
        <v>49</v>
      </c>
      <c r="G1291">
        <v>5</v>
      </c>
      <c r="H1291" t="s">
        <v>177</v>
      </c>
      <c r="I1291" t="s">
        <v>49</v>
      </c>
      <c r="J1291" t="s">
        <v>3904</v>
      </c>
      <c r="K1291" t="s">
        <v>257</v>
      </c>
      <c r="L1291" t="s">
        <v>180</v>
      </c>
      <c r="M1291" s="3">
        <f t="shared" si="20"/>
        <v>5</v>
      </c>
    </row>
    <row r="1292" spans="1:13" x14ac:dyDescent="0.35">
      <c r="M1292" s="3" t="str">
        <f t="shared" si="20"/>
        <v/>
      </c>
    </row>
    <row r="1293" spans="1:13" x14ac:dyDescent="0.35">
      <c r="M1293" s="3" t="str">
        <f t="shared" si="20"/>
        <v/>
      </c>
    </row>
    <row r="1294" spans="1:13" x14ac:dyDescent="0.35">
      <c r="M1294" s="3" t="str">
        <f t="shared" si="20"/>
        <v/>
      </c>
    </row>
    <row r="1295" spans="1:13" x14ac:dyDescent="0.35">
      <c r="M1295" s="3" t="str">
        <f t="shared" si="20"/>
        <v/>
      </c>
    </row>
    <row r="1296" spans="1:13" x14ac:dyDescent="0.35">
      <c r="M1296" s="3" t="str">
        <f t="shared" si="20"/>
        <v/>
      </c>
    </row>
    <row r="1297" spans="13:13" x14ac:dyDescent="0.35">
      <c r="M1297" s="3" t="str">
        <f t="shared" si="20"/>
        <v/>
      </c>
    </row>
    <row r="1298" spans="13:13" x14ac:dyDescent="0.35">
      <c r="M1298" s="3" t="str">
        <f t="shared" si="20"/>
        <v/>
      </c>
    </row>
    <row r="1299" spans="13:13" x14ac:dyDescent="0.35">
      <c r="M1299" s="3" t="str">
        <f t="shared" si="20"/>
        <v/>
      </c>
    </row>
    <row r="1300" spans="13:13" x14ac:dyDescent="0.35">
      <c r="M1300" s="3" t="str">
        <f t="shared" si="20"/>
        <v/>
      </c>
    </row>
    <row r="1301" spans="13:13" x14ac:dyDescent="0.35">
      <c r="M1301" s="3" t="str">
        <f t="shared" si="20"/>
        <v/>
      </c>
    </row>
    <row r="1302" spans="13:13" x14ac:dyDescent="0.35">
      <c r="M1302" s="3" t="str">
        <f t="shared" si="20"/>
        <v/>
      </c>
    </row>
    <row r="1303" spans="13:13" x14ac:dyDescent="0.35">
      <c r="M1303" s="3" t="str">
        <f t="shared" si="20"/>
        <v/>
      </c>
    </row>
    <row r="1304" spans="13:13" x14ac:dyDescent="0.35">
      <c r="M1304" s="3" t="str">
        <f t="shared" si="20"/>
        <v/>
      </c>
    </row>
    <row r="1305" spans="13:13" x14ac:dyDescent="0.35">
      <c r="M1305" s="3" t="str">
        <f t="shared" si="20"/>
        <v/>
      </c>
    </row>
    <row r="1306" spans="13:13" x14ac:dyDescent="0.35">
      <c r="M1306" s="3" t="str">
        <f t="shared" si="20"/>
        <v/>
      </c>
    </row>
    <row r="1307" spans="13:13" x14ac:dyDescent="0.35">
      <c r="M1307" s="3" t="str">
        <f t="shared" si="20"/>
        <v/>
      </c>
    </row>
    <row r="1308" spans="13:13" x14ac:dyDescent="0.35">
      <c r="M1308" s="3" t="str">
        <f t="shared" si="20"/>
        <v/>
      </c>
    </row>
    <row r="1309" spans="13:13" x14ac:dyDescent="0.35">
      <c r="M1309" s="3" t="str">
        <f t="shared" si="20"/>
        <v/>
      </c>
    </row>
    <row r="1310" spans="13:13" x14ac:dyDescent="0.35">
      <c r="M1310" s="3" t="str">
        <f t="shared" si="20"/>
        <v/>
      </c>
    </row>
    <row r="1311" spans="13:13" x14ac:dyDescent="0.35">
      <c r="M1311" s="3" t="str">
        <f t="shared" si="20"/>
        <v/>
      </c>
    </row>
    <row r="1312" spans="13:13" x14ac:dyDescent="0.35">
      <c r="M1312" s="3" t="str">
        <f t="shared" si="20"/>
        <v/>
      </c>
    </row>
    <row r="1313" spans="13:13" x14ac:dyDescent="0.35">
      <c r="M1313" s="3" t="str">
        <f t="shared" si="20"/>
        <v/>
      </c>
    </row>
    <row r="1314" spans="13:13" x14ac:dyDescent="0.35">
      <c r="M1314" s="3" t="str">
        <f t="shared" si="20"/>
        <v/>
      </c>
    </row>
    <row r="1315" spans="13:13" x14ac:dyDescent="0.35">
      <c r="M1315" s="3" t="str">
        <f t="shared" si="20"/>
        <v/>
      </c>
    </row>
    <row r="1316" spans="13:13" x14ac:dyDescent="0.35">
      <c r="M1316" s="3" t="str">
        <f t="shared" si="20"/>
        <v/>
      </c>
    </row>
    <row r="1317" spans="13:13" x14ac:dyDescent="0.35">
      <c r="M1317" s="3" t="str">
        <f t="shared" si="20"/>
        <v/>
      </c>
    </row>
    <row r="1318" spans="13:13" x14ac:dyDescent="0.35">
      <c r="M1318" s="3" t="str">
        <f t="shared" si="20"/>
        <v/>
      </c>
    </row>
    <row r="1319" spans="13:13" x14ac:dyDescent="0.35">
      <c r="M1319" s="3" t="str">
        <f t="shared" si="20"/>
        <v/>
      </c>
    </row>
    <row r="1320" spans="13:13" x14ac:dyDescent="0.35">
      <c r="M1320" s="3" t="str">
        <f t="shared" si="20"/>
        <v/>
      </c>
    </row>
    <row r="1321" spans="13:13" x14ac:dyDescent="0.35">
      <c r="M1321" s="3" t="str">
        <f t="shared" si="20"/>
        <v/>
      </c>
    </row>
    <row r="1322" spans="13:13" x14ac:dyDescent="0.35">
      <c r="M1322" s="3" t="str">
        <f t="shared" si="20"/>
        <v/>
      </c>
    </row>
    <row r="1323" spans="13:13" x14ac:dyDescent="0.35">
      <c r="M1323" s="3" t="str">
        <f t="shared" si="20"/>
        <v/>
      </c>
    </row>
    <row r="1324" spans="13:13" x14ac:dyDescent="0.35">
      <c r="M1324" s="3" t="str">
        <f t="shared" si="20"/>
        <v/>
      </c>
    </row>
    <row r="1325" spans="13:13" x14ac:dyDescent="0.35">
      <c r="M1325" s="3" t="str">
        <f t="shared" si="20"/>
        <v/>
      </c>
    </row>
    <row r="1326" spans="13:13" x14ac:dyDescent="0.35">
      <c r="M1326" s="3" t="str">
        <f t="shared" si="20"/>
        <v/>
      </c>
    </row>
    <row r="1327" spans="13:13" x14ac:dyDescent="0.35">
      <c r="M1327" s="3" t="str">
        <f t="shared" si="20"/>
        <v/>
      </c>
    </row>
    <row r="1328" spans="13:13" x14ac:dyDescent="0.35">
      <c r="M1328" s="3" t="str">
        <f t="shared" si="20"/>
        <v/>
      </c>
    </row>
    <row r="1329" spans="13:13" x14ac:dyDescent="0.35">
      <c r="M1329" s="3" t="str">
        <f t="shared" si="20"/>
        <v/>
      </c>
    </row>
    <row r="1330" spans="13:13" x14ac:dyDescent="0.35">
      <c r="M1330" s="3" t="str">
        <f t="shared" si="20"/>
        <v/>
      </c>
    </row>
    <row r="1331" spans="13:13" x14ac:dyDescent="0.35">
      <c r="M1331" s="3" t="str">
        <f t="shared" si="20"/>
        <v/>
      </c>
    </row>
    <row r="1332" spans="13:13" x14ac:dyDescent="0.35">
      <c r="M1332" s="3" t="str">
        <f t="shared" si="20"/>
        <v/>
      </c>
    </row>
    <row r="1333" spans="13:13" x14ac:dyDescent="0.35">
      <c r="M1333" s="3" t="str">
        <f t="shared" si="20"/>
        <v/>
      </c>
    </row>
    <row r="1334" spans="13:13" x14ac:dyDescent="0.35">
      <c r="M1334" s="3" t="str">
        <f t="shared" si="20"/>
        <v/>
      </c>
    </row>
    <row r="1335" spans="13:13" x14ac:dyDescent="0.35">
      <c r="M1335" s="3" t="str">
        <f t="shared" si="20"/>
        <v/>
      </c>
    </row>
    <row r="1336" spans="13:13" x14ac:dyDescent="0.35">
      <c r="M1336" s="3" t="str">
        <f t="shared" si="20"/>
        <v/>
      </c>
    </row>
    <row r="1337" spans="13:13" x14ac:dyDescent="0.35">
      <c r="M1337" s="3" t="str">
        <f t="shared" si="20"/>
        <v/>
      </c>
    </row>
    <row r="1338" spans="13:13" x14ac:dyDescent="0.35">
      <c r="M1338" s="3" t="str">
        <f t="shared" si="20"/>
        <v/>
      </c>
    </row>
    <row r="1339" spans="13:13" x14ac:dyDescent="0.35">
      <c r="M1339" s="3" t="str">
        <f t="shared" si="20"/>
        <v/>
      </c>
    </row>
    <row r="1340" spans="13:13" x14ac:dyDescent="0.35">
      <c r="M1340" s="3" t="str">
        <f t="shared" si="20"/>
        <v/>
      </c>
    </row>
    <row r="1341" spans="13:13" x14ac:dyDescent="0.35">
      <c r="M1341" s="3" t="str">
        <f t="shared" si="20"/>
        <v/>
      </c>
    </row>
    <row r="1342" spans="13:13" x14ac:dyDescent="0.35">
      <c r="M1342" s="3" t="str">
        <f t="shared" si="20"/>
        <v/>
      </c>
    </row>
    <row r="1343" spans="13:13" x14ac:dyDescent="0.35">
      <c r="M1343" s="3" t="str">
        <f t="shared" si="20"/>
        <v/>
      </c>
    </row>
    <row r="1344" spans="13:13" x14ac:dyDescent="0.35">
      <c r="M1344" s="3" t="str">
        <f t="shared" si="20"/>
        <v/>
      </c>
    </row>
    <row r="1345" spans="13:13" x14ac:dyDescent="0.35">
      <c r="M1345" s="3" t="str">
        <f t="shared" si="20"/>
        <v/>
      </c>
    </row>
    <row r="1346" spans="13:13" x14ac:dyDescent="0.35">
      <c r="M1346" s="3" t="str">
        <f t="shared" si="20"/>
        <v/>
      </c>
    </row>
    <row r="1347" spans="13:13" x14ac:dyDescent="0.35">
      <c r="M1347" s="3" t="str">
        <f t="shared" ref="M1347:M1410" si="21">IF(H1347="Efectivo",IFERROR((VALUE(RIGHT(I1347,4))-VALUE(RIGHT(E1347,4)))*12+(VALUE(LEFT(I1347,2))-VALUE(LEFT(E1347,2))),""),"")</f>
        <v/>
      </c>
    </row>
    <row r="1348" spans="13:13" x14ac:dyDescent="0.35">
      <c r="M1348" s="3" t="str">
        <f t="shared" si="21"/>
        <v/>
      </c>
    </row>
    <row r="1349" spans="13:13" x14ac:dyDescent="0.35">
      <c r="M1349" s="3" t="str">
        <f t="shared" si="21"/>
        <v/>
      </c>
    </row>
    <row r="1350" spans="13:13" x14ac:dyDescent="0.35">
      <c r="M1350" s="3" t="str">
        <f t="shared" si="21"/>
        <v/>
      </c>
    </row>
    <row r="1351" spans="13:13" x14ac:dyDescent="0.35">
      <c r="M1351" s="3" t="str">
        <f t="shared" si="21"/>
        <v/>
      </c>
    </row>
    <row r="1352" spans="13:13" x14ac:dyDescent="0.35">
      <c r="M1352" s="3" t="str">
        <f t="shared" si="21"/>
        <v/>
      </c>
    </row>
    <row r="1353" spans="13:13" x14ac:dyDescent="0.35">
      <c r="M1353" s="3" t="str">
        <f t="shared" si="21"/>
        <v/>
      </c>
    </row>
    <row r="1354" spans="13:13" x14ac:dyDescent="0.35">
      <c r="M1354" s="3" t="str">
        <f t="shared" si="21"/>
        <v/>
      </c>
    </row>
    <row r="1355" spans="13:13" x14ac:dyDescent="0.35">
      <c r="M1355" s="3" t="str">
        <f t="shared" si="21"/>
        <v/>
      </c>
    </row>
    <row r="1356" spans="13:13" x14ac:dyDescent="0.35">
      <c r="M1356" s="3" t="str">
        <f t="shared" si="21"/>
        <v/>
      </c>
    </row>
    <row r="1357" spans="13:13" x14ac:dyDescent="0.35">
      <c r="M1357" s="3" t="str">
        <f t="shared" si="21"/>
        <v/>
      </c>
    </row>
    <row r="1358" spans="13:13" x14ac:dyDescent="0.35">
      <c r="M1358" s="3" t="str">
        <f t="shared" si="21"/>
        <v/>
      </c>
    </row>
    <row r="1359" spans="13:13" x14ac:dyDescent="0.35">
      <c r="M1359" s="3" t="str">
        <f t="shared" si="21"/>
        <v/>
      </c>
    </row>
    <row r="1360" spans="13:13" x14ac:dyDescent="0.35">
      <c r="M1360" s="3" t="str">
        <f t="shared" si="21"/>
        <v/>
      </c>
    </row>
    <row r="1361" spans="13:13" x14ac:dyDescent="0.35">
      <c r="M1361" s="3" t="str">
        <f t="shared" si="21"/>
        <v/>
      </c>
    </row>
    <row r="1362" spans="13:13" x14ac:dyDescent="0.35">
      <c r="M1362" s="3" t="str">
        <f t="shared" si="21"/>
        <v/>
      </c>
    </row>
    <row r="1363" spans="13:13" x14ac:dyDescent="0.35">
      <c r="M1363" s="3" t="str">
        <f t="shared" si="21"/>
        <v/>
      </c>
    </row>
    <row r="1364" spans="13:13" x14ac:dyDescent="0.35">
      <c r="M1364" s="3" t="str">
        <f t="shared" si="21"/>
        <v/>
      </c>
    </row>
    <row r="1365" spans="13:13" x14ac:dyDescent="0.35">
      <c r="M1365" s="3" t="str">
        <f t="shared" si="21"/>
        <v/>
      </c>
    </row>
    <row r="1366" spans="13:13" x14ac:dyDescent="0.35">
      <c r="M1366" s="3" t="str">
        <f t="shared" si="21"/>
        <v/>
      </c>
    </row>
    <row r="1367" spans="13:13" x14ac:dyDescent="0.35">
      <c r="M1367" s="3" t="str">
        <f t="shared" si="21"/>
        <v/>
      </c>
    </row>
    <row r="1368" spans="13:13" x14ac:dyDescent="0.35">
      <c r="M1368" s="3" t="str">
        <f t="shared" si="21"/>
        <v/>
      </c>
    </row>
    <row r="1369" spans="13:13" x14ac:dyDescent="0.35">
      <c r="M1369" s="3" t="str">
        <f t="shared" si="21"/>
        <v/>
      </c>
    </row>
    <row r="1370" spans="13:13" x14ac:dyDescent="0.35">
      <c r="M1370" s="3" t="str">
        <f t="shared" si="21"/>
        <v/>
      </c>
    </row>
    <row r="1371" spans="13:13" x14ac:dyDescent="0.35">
      <c r="M1371" s="3" t="str">
        <f t="shared" si="21"/>
        <v/>
      </c>
    </row>
    <row r="1372" spans="13:13" x14ac:dyDescent="0.35">
      <c r="M1372" s="3" t="str">
        <f t="shared" si="21"/>
        <v/>
      </c>
    </row>
    <row r="1373" spans="13:13" x14ac:dyDescent="0.35">
      <c r="M1373" s="3" t="str">
        <f t="shared" si="21"/>
        <v/>
      </c>
    </row>
    <row r="1374" spans="13:13" x14ac:dyDescent="0.35">
      <c r="M1374" s="3" t="str">
        <f t="shared" si="21"/>
        <v/>
      </c>
    </row>
    <row r="1375" spans="13:13" x14ac:dyDescent="0.35">
      <c r="M1375" s="3" t="str">
        <f t="shared" si="21"/>
        <v/>
      </c>
    </row>
    <row r="1376" spans="13:13" x14ac:dyDescent="0.35">
      <c r="M1376" s="3" t="str">
        <f t="shared" si="21"/>
        <v/>
      </c>
    </row>
    <row r="1377" spans="13:13" x14ac:dyDescent="0.35">
      <c r="M1377" s="3" t="str">
        <f t="shared" si="21"/>
        <v/>
      </c>
    </row>
    <row r="1378" spans="13:13" x14ac:dyDescent="0.35">
      <c r="M1378" s="3" t="str">
        <f t="shared" si="21"/>
        <v/>
      </c>
    </row>
    <row r="1379" spans="13:13" x14ac:dyDescent="0.35">
      <c r="M1379" s="3" t="str">
        <f t="shared" si="21"/>
        <v/>
      </c>
    </row>
    <row r="1380" spans="13:13" x14ac:dyDescent="0.35">
      <c r="M1380" s="3" t="str">
        <f t="shared" si="21"/>
        <v/>
      </c>
    </row>
    <row r="1381" spans="13:13" x14ac:dyDescent="0.35">
      <c r="M1381" s="3" t="str">
        <f t="shared" si="21"/>
        <v/>
      </c>
    </row>
    <row r="1382" spans="13:13" x14ac:dyDescent="0.35">
      <c r="M1382" s="3" t="str">
        <f t="shared" si="21"/>
        <v/>
      </c>
    </row>
    <row r="1383" spans="13:13" x14ac:dyDescent="0.35">
      <c r="M1383" s="3" t="str">
        <f t="shared" si="21"/>
        <v/>
      </c>
    </row>
    <row r="1384" spans="13:13" x14ac:dyDescent="0.35">
      <c r="M1384" s="3" t="str">
        <f t="shared" si="21"/>
        <v/>
      </c>
    </row>
    <row r="1385" spans="13:13" x14ac:dyDescent="0.35">
      <c r="M1385" s="3" t="str">
        <f t="shared" si="21"/>
        <v/>
      </c>
    </row>
    <row r="1386" spans="13:13" x14ac:dyDescent="0.35">
      <c r="M1386" s="3" t="str">
        <f t="shared" si="21"/>
        <v/>
      </c>
    </row>
    <row r="1387" spans="13:13" x14ac:dyDescent="0.35">
      <c r="M1387" s="3" t="str">
        <f t="shared" si="21"/>
        <v/>
      </c>
    </row>
    <row r="1388" spans="13:13" x14ac:dyDescent="0.35">
      <c r="M1388" s="3" t="str">
        <f t="shared" si="21"/>
        <v/>
      </c>
    </row>
    <row r="1389" spans="13:13" x14ac:dyDescent="0.35">
      <c r="M1389" s="3" t="str">
        <f t="shared" si="21"/>
        <v/>
      </c>
    </row>
    <row r="1390" spans="13:13" x14ac:dyDescent="0.35">
      <c r="M1390" s="3" t="str">
        <f t="shared" si="21"/>
        <v/>
      </c>
    </row>
    <row r="1391" spans="13:13" x14ac:dyDescent="0.35">
      <c r="M1391" s="3" t="str">
        <f t="shared" si="21"/>
        <v/>
      </c>
    </row>
    <row r="1392" spans="13:13" x14ac:dyDescent="0.35">
      <c r="M1392" s="3" t="str">
        <f t="shared" si="21"/>
        <v/>
      </c>
    </row>
    <row r="1393" spans="13:13" x14ac:dyDescent="0.35">
      <c r="M1393" s="3" t="str">
        <f t="shared" si="21"/>
        <v/>
      </c>
    </row>
    <row r="1394" spans="13:13" x14ac:dyDescent="0.35">
      <c r="M1394" s="3" t="str">
        <f t="shared" si="21"/>
        <v/>
      </c>
    </row>
    <row r="1395" spans="13:13" x14ac:dyDescent="0.35">
      <c r="M1395" s="3" t="str">
        <f t="shared" si="21"/>
        <v/>
      </c>
    </row>
    <row r="1396" spans="13:13" x14ac:dyDescent="0.35">
      <c r="M1396" s="3" t="str">
        <f t="shared" si="21"/>
        <v/>
      </c>
    </row>
    <row r="1397" spans="13:13" x14ac:dyDescent="0.35">
      <c r="M1397" s="3" t="str">
        <f t="shared" si="21"/>
        <v/>
      </c>
    </row>
    <row r="1398" spans="13:13" x14ac:dyDescent="0.35">
      <c r="M1398" s="3" t="str">
        <f t="shared" si="21"/>
        <v/>
      </c>
    </row>
    <row r="1399" spans="13:13" x14ac:dyDescent="0.35">
      <c r="M1399" s="3" t="str">
        <f t="shared" si="21"/>
        <v/>
      </c>
    </row>
    <row r="1400" spans="13:13" x14ac:dyDescent="0.35">
      <c r="M1400" s="3" t="str">
        <f t="shared" si="21"/>
        <v/>
      </c>
    </row>
    <row r="1401" spans="13:13" x14ac:dyDescent="0.35">
      <c r="M1401" s="3" t="str">
        <f t="shared" si="21"/>
        <v/>
      </c>
    </row>
    <row r="1402" spans="13:13" x14ac:dyDescent="0.35">
      <c r="M1402" s="3" t="str">
        <f t="shared" si="21"/>
        <v/>
      </c>
    </row>
    <row r="1403" spans="13:13" x14ac:dyDescent="0.35">
      <c r="M1403" s="3" t="str">
        <f t="shared" si="21"/>
        <v/>
      </c>
    </row>
    <row r="1404" spans="13:13" x14ac:dyDescent="0.35">
      <c r="M1404" s="3" t="str">
        <f t="shared" si="21"/>
        <v/>
      </c>
    </row>
    <row r="1405" spans="13:13" x14ac:dyDescent="0.35">
      <c r="M1405" s="3" t="str">
        <f t="shared" si="21"/>
        <v/>
      </c>
    </row>
    <row r="1406" spans="13:13" x14ac:dyDescent="0.35">
      <c r="M1406" s="3" t="str">
        <f t="shared" si="21"/>
        <v/>
      </c>
    </row>
    <row r="1407" spans="13:13" x14ac:dyDescent="0.35">
      <c r="M1407" s="3" t="str">
        <f t="shared" si="21"/>
        <v/>
      </c>
    </row>
    <row r="1408" spans="13:13" x14ac:dyDescent="0.35">
      <c r="M1408" s="3" t="str">
        <f t="shared" si="21"/>
        <v/>
      </c>
    </row>
    <row r="1409" spans="13:13" x14ac:dyDescent="0.35">
      <c r="M1409" s="3" t="str">
        <f t="shared" si="21"/>
        <v/>
      </c>
    </row>
    <row r="1410" spans="13:13" x14ac:dyDescent="0.35">
      <c r="M1410" s="3" t="str">
        <f t="shared" si="21"/>
        <v/>
      </c>
    </row>
    <row r="1411" spans="13:13" x14ac:dyDescent="0.35">
      <c r="M1411" s="3" t="str">
        <f t="shared" ref="M1411:M1474" si="22">IF(H1411="Efectivo",IFERROR((VALUE(RIGHT(I1411,4))-VALUE(RIGHT(E1411,4)))*12+(VALUE(LEFT(I1411,2))-VALUE(LEFT(E1411,2))),""),"")</f>
        <v/>
      </c>
    </row>
    <row r="1412" spans="13:13" x14ac:dyDescent="0.35">
      <c r="M1412" s="3" t="str">
        <f t="shared" si="22"/>
        <v/>
      </c>
    </row>
    <row r="1413" spans="13:13" x14ac:dyDescent="0.35">
      <c r="M1413" s="3" t="str">
        <f t="shared" si="22"/>
        <v/>
      </c>
    </row>
    <row r="1414" spans="13:13" x14ac:dyDescent="0.35">
      <c r="M1414" s="3" t="str">
        <f t="shared" si="22"/>
        <v/>
      </c>
    </row>
    <row r="1415" spans="13:13" x14ac:dyDescent="0.35">
      <c r="M1415" s="3" t="str">
        <f t="shared" si="22"/>
        <v/>
      </c>
    </row>
    <row r="1416" spans="13:13" x14ac:dyDescent="0.35">
      <c r="M1416" s="3" t="str">
        <f t="shared" si="22"/>
        <v/>
      </c>
    </row>
    <row r="1417" spans="13:13" x14ac:dyDescent="0.35">
      <c r="M1417" s="3" t="str">
        <f t="shared" si="22"/>
        <v/>
      </c>
    </row>
    <row r="1418" spans="13:13" x14ac:dyDescent="0.35">
      <c r="M1418" s="3" t="str">
        <f t="shared" si="22"/>
        <v/>
      </c>
    </row>
    <row r="1419" spans="13:13" x14ac:dyDescent="0.35">
      <c r="M1419" s="3" t="str">
        <f t="shared" si="22"/>
        <v/>
      </c>
    </row>
    <row r="1420" spans="13:13" x14ac:dyDescent="0.35">
      <c r="M1420" s="3" t="str">
        <f t="shared" si="22"/>
        <v/>
      </c>
    </row>
    <row r="1421" spans="13:13" x14ac:dyDescent="0.35">
      <c r="M1421" s="3" t="str">
        <f t="shared" si="22"/>
        <v/>
      </c>
    </row>
    <row r="1422" spans="13:13" x14ac:dyDescent="0.35">
      <c r="M1422" s="3" t="str">
        <f t="shared" si="22"/>
        <v/>
      </c>
    </row>
    <row r="1423" spans="13:13" x14ac:dyDescent="0.35">
      <c r="M1423" s="3" t="str">
        <f t="shared" si="22"/>
        <v/>
      </c>
    </row>
    <row r="1424" spans="13:13" x14ac:dyDescent="0.35">
      <c r="M1424" s="3" t="str">
        <f t="shared" si="22"/>
        <v/>
      </c>
    </row>
    <row r="1425" spans="13:13" x14ac:dyDescent="0.35">
      <c r="M1425" s="3" t="str">
        <f t="shared" si="22"/>
        <v/>
      </c>
    </row>
    <row r="1426" spans="13:13" x14ac:dyDescent="0.35">
      <c r="M1426" s="3" t="str">
        <f t="shared" si="22"/>
        <v/>
      </c>
    </row>
    <row r="1427" spans="13:13" x14ac:dyDescent="0.35">
      <c r="M1427" s="3" t="str">
        <f t="shared" si="22"/>
        <v/>
      </c>
    </row>
    <row r="1428" spans="13:13" x14ac:dyDescent="0.35">
      <c r="M1428" s="3" t="str">
        <f t="shared" si="22"/>
        <v/>
      </c>
    </row>
    <row r="1429" spans="13:13" x14ac:dyDescent="0.35">
      <c r="M1429" s="3" t="str">
        <f t="shared" si="22"/>
        <v/>
      </c>
    </row>
    <row r="1430" spans="13:13" x14ac:dyDescent="0.35">
      <c r="M1430" s="3" t="str">
        <f t="shared" si="22"/>
        <v/>
      </c>
    </row>
    <row r="1431" spans="13:13" x14ac:dyDescent="0.35">
      <c r="M1431" s="3" t="str">
        <f t="shared" si="22"/>
        <v/>
      </c>
    </row>
    <row r="1432" spans="13:13" x14ac:dyDescent="0.35">
      <c r="M1432" s="3" t="str">
        <f t="shared" si="22"/>
        <v/>
      </c>
    </row>
    <row r="1433" spans="13:13" x14ac:dyDescent="0.35">
      <c r="M1433" s="3" t="str">
        <f t="shared" si="22"/>
        <v/>
      </c>
    </row>
    <row r="1434" spans="13:13" x14ac:dyDescent="0.35">
      <c r="M1434" s="3" t="str">
        <f t="shared" si="22"/>
        <v/>
      </c>
    </row>
    <row r="1435" spans="13:13" x14ac:dyDescent="0.35">
      <c r="M1435" s="3" t="str">
        <f t="shared" si="22"/>
        <v/>
      </c>
    </row>
    <row r="1436" spans="13:13" x14ac:dyDescent="0.35">
      <c r="M1436" s="3" t="str">
        <f t="shared" si="22"/>
        <v/>
      </c>
    </row>
    <row r="1437" spans="13:13" x14ac:dyDescent="0.35">
      <c r="M1437" s="3" t="str">
        <f t="shared" si="22"/>
        <v/>
      </c>
    </row>
    <row r="1438" spans="13:13" x14ac:dyDescent="0.35">
      <c r="M1438" s="3" t="str">
        <f t="shared" si="22"/>
        <v/>
      </c>
    </row>
    <row r="1439" spans="13:13" x14ac:dyDescent="0.35">
      <c r="M1439" s="3" t="str">
        <f t="shared" si="22"/>
        <v/>
      </c>
    </row>
    <row r="1440" spans="13:13" x14ac:dyDescent="0.35">
      <c r="M1440" s="3" t="str">
        <f t="shared" si="22"/>
        <v/>
      </c>
    </row>
    <row r="1441" spans="13:13" x14ac:dyDescent="0.35">
      <c r="M1441" s="3" t="str">
        <f t="shared" si="22"/>
        <v/>
      </c>
    </row>
    <row r="1442" spans="13:13" x14ac:dyDescent="0.35">
      <c r="M1442" s="3" t="str">
        <f t="shared" si="22"/>
        <v/>
      </c>
    </row>
    <row r="1443" spans="13:13" x14ac:dyDescent="0.35">
      <c r="M1443" s="3" t="str">
        <f t="shared" si="22"/>
        <v/>
      </c>
    </row>
    <row r="1444" spans="13:13" x14ac:dyDescent="0.35">
      <c r="M1444" s="3" t="str">
        <f t="shared" si="22"/>
        <v/>
      </c>
    </row>
    <row r="1445" spans="13:13" x14ac:dyDescent="0.35">
      <c r="M1445" s="3" t="str">
        <f t="shared" si="22"/>
        <v/>
      </c>
    </row>
    <row r="1446" spans="13:13" x14ac:dyDescent="0.35">
      <c r="M1446" s="3" t="str">
        <f t="shared" si="22"/>
        <v/>
      </c>
    </row>
    <row r="1447" spans="13:13" x14ac:dyDescent="0.35">
      <c r="M1447" s="3" t="str">
        <f t="shared" si="22"/>
        <v/>
      </c>
    </row>
    <row r="1448" spans="13:13" x14ac:dyDescent="0.35">
      <c r="M1448" s="3" t="str">
        <f t="shared" si="22"/>
        <v/>
      </c>
    </row>
    <row r="1449" spans="13:13" x14ac:dyDescent="0.35">
      <c r="M1449" s="3" t="str">
        <f t="shared" si="22"/>
        <v/>
      </c>
    </row>
    <row r="1450" spans="13:13" x14ac:dyDescent="0.35">
      <c r="M1450" s="3" t="str">
        <f t="shared" si="22"/>
        <v/>
      </c>
    </row>
    <row r="1451" spans="13:13" x14ac:dyDescent="0.35">
      <c r="M1451" s="3" t="str">
        <f t="shared" si="22"/>
        <v/>
      </c>
    </row>
    <row r="1452" spans="13:13" x14ac:dyDescent="0.35">
      <c r="M1452" s="3" t="str">
        <f t="shared" si="22"/>
        <v/>
      </c>
    </row>
    <row r="1453" spans="13:13" x14ac:dyDescent="0.35">
      <c r="M1453" s="3" t="str">
        <f t="shared" si="22"/>
        <v/>
      </c>
    </row>
    <row r="1454" spans="13:13" x14ac:dyDescent="0.35">
      <c r="M1454" s="3" t="str">
        <f t="shared" si="22"/>
        <v/>
      </c>
    </row>
    <row r="1455" spans="13:13" x14ac:dyDescent="0.35">
      <c r="M1455" s="3" t="str">
        <f t="shared" si="22"/>
        <v/>
      </c>
    </row>
    <row r="1456" spans="13:13" x14ac:dyDescent="0.35">
      <c r="M1456" s="3" t="str">
        <f t="shared" si="22"/>
        <v/>
      </c>
    </row>
    <row r="1457" spans="13:13" x14ac:dyDescent="0.35">
      <c r="M1457" s="3" t="str">
        <f t="shared" si="22"/>
        <v/>
      </c>
    </row>
    <row r="1458" spans="13:13" x14ac:dyDescent="0.35">
      <c r="M1458" s="3" t="str">
        <f t="shared" si="22"/>
        <v/>
      </c>
    </row>
    <row r="1459" spans="13:13" x14ac:dyDescent="0.35">
      <c r="M1459" s="3" t="str">
        <f t="shared" si="22"/>
        <v/>
      </c>
    </row>
    <row r="1460" spans="13:13" x14ac:dyDescent="0.35">
      <c r="M1460" s="3" t="str">
        <f t="shared" si="22"/>
        <v/>
      </c>
    </row>
    <row r="1461" spans="13:13" x14ac:dyDescent="0.35">
      <c r="M1461" s="3" t="str">
        <f t="shared" si="22"/>
        <v/>
      </c>
    </row>
    <row r="1462" spans="13:13" x14ac:dyDescent="0.35">
      <c r="M1462" s="3" t="str">
        <f t="shared" si="22"/>
        <v/>
      </c>
    </row>
    <row r="1463" spans="13:13" x14ac:dyDescent="0.35">
      <c r="M1463" s="3" t="str">
        <f t="shared" si="22"/>
        <v/>
      </c>
    </row>
    <row r="1464" spans="13:13" x14ac:dyDescent="0.35">
      <c r="M1464" s="3" t="str">
        <f t="shared" si="22"/>
        <v/>
      </c>
    </row>
    <row r="1465" spans="13:13" x14ac:dyDescent="0.35">
      <c r="M1465" s="3" t="str">
        <f t="shared" si="22"/>
        <v/>
      </c>
    </row>
    <row r="1466" spans="13:13" x14ac:dyDescent="0.35">
      <c r="M1466" s="3" t="str">
        <f t="shared" si="22"/>
        <v/>
      </c>
    </row>
    <row r="1467" spans="13:13" x14ac:dyDescent="0.35">
      <c r="M1467" s="3" t="str">
        <f t="shared" si="22"/>
        <v/>
      </c>
    </row>
    <row r="1468" spans="13:13" x14ac:dyDescent="0.35">
      <c r="M1468" s="3" t="str">
        <f t="shared" si="22"/>
        <v/>
      </c>
    </row>
    <row r="1469" spans="13:13" x14ac:dyDescent="0.35">
      <c r="M1469" s="3" t="str">
        <f t="shared" si="22"/>
        <v/>
      </c>
    </row>
    <row r="1470" spans="13:13" x14ac:dyDescent="0.35">
      <c r="M1470" s="3" t="str">
        <f t="shared" si="22"/>
        <v/>
      </c>
    </row>
    <row r="1471" spans="13:13" x14ac:dyDescent="0.35">
      <c r="M1471" s="3" t="str">
        <f t="shared" si="22"/>
        <v/>
      </c>
    </row>
    <row r="1472" spans="13:13" x14ac:dyDescent="0.35">
      <c r="M1472" s="3" t="str">
        <f t="shared" si="22"/>
        <v/>
      </c>
    </row>
    <row r="1473" spans="13:13" x14ac:dyDescent="0.35">
      <c r="M1473" s="3" t="str">
        <f t="shared" si="22"/>
        <v/>
      </c>
    </row>
    <row r="1474" spans="13:13" x14ac:dyDescent="0.35">
      <c r="M1474" s="3" t="str">
        <f t="shared" si="22"/>
        <v/>
      </c>
    </row>
    <row r="1475" spans="13:13" x14ac:dyDescent="0.35">
      <c r="M1475" s="3" t="str">
        <f t="shared" ref="M1475:M1538" si="23">IF(H1475="Efectivo",IFERROR((VALUE(RIGHT(I1475,4))-VALUE(RIGHT(E1475,4)))*12+(VALUE(LEFT(I1475,2))-VALUE(LEFT(E1475,2))),""),"")</f>
        <v/>
      </c>
    </row>
    <row r="1476" spans="13:13" x14ac:dyDescent="0.35">
      <c r="M1476" s="3" t="str">
        <f t="shared" si="23"/>
        <v/>
      </c>
    </row>
    <row r="1477" spans="13:13" x14ac:dyDescent="0.35">
      <c r="M1477" s="3" t="str">
        <f t="shared" si="23"/>
        <v/>
      </c>
    </row>
    <row r="1478" spans="13:13" x14ac:dyDescent="0.35">
      <c r="M1478" s="3" t="str">
        <f t="shared" si="23"/>
        <v/>
      </c>
    </row>
    <row r="1479" spans="13:13" x14ac:dyDescent="0.35">
      <c r="M1479" s="3" t="str">
        <f t="shared" si="23"/>
        <v/>
      </c>
    </row>
    <row r="1480" spans="13:13" x14ac:dyDescent="0.35">
      <c r="M1480" s="3" t="str">
        <f t="shared" si="23"/>
        <v/>
      </c>
    </row>
    <row r="1481" spans="13:13" x14ac:dyDescent="0.35">
      <c r="M1481" s="3" t="str">
        <f t="shared" si="23"/>
        <v/>
      </c>
    </row>
    <row r="1482" spans="13:13" x14ac:dyDescent="0.35">
      <c r="M1482" s="3" t="str">
        <f t="shared" si="23"/>
        <v/>
      </c>
    </row>
    <row r="1483" spans="13:13" x14ac:dyDescent="0.35">
      <c r="M1483" s="3" t="str">
        <f t="shared" si="23"/>
        <v/>
      </c>
    </row>
    <row r="1484" spans="13:13" x14ac:dyDescent="0.35">
      <c r="M1484" s="3" t="str">
        <f t="shared" si="23"/>
        <v/>
      </c>
    </row>
    <row r="1485" spans="13:13" x14ac:dyDescent="0.35">
      <c r="M1485" s="3" t="str">
        <f t="shared" si="23"/>
        <v/>
      </c>
    </row>
    <row r="1486" spans="13:13" x14ac:dyDescent="0.35">
      <c r="M1486" s="3" t="str">
        <f t="shared" si="23"/>
        <v/>
      </c>
    </row>
    <row r="1487" spans="13:13" x14ac:dyDescent="0.35">
      <c r="M1487" s="3" t="str">
        <f t="shared" si="23"/>
        <v/>
      </c>
    </row>
    <row r="1488" spans="13:13" x14ac:dyDescent="0.35">
      <c r="M1488" s="3" t="str">
        <f t="shared" si="23"/>
        <v/>
      </c>
    </row>
    <row r="1489" spans="13:13" x14ac:dyDescent="0.35">
      <c r="M1489" s="3" t="str">
        <f t="shared" si="23"/>
        <v/>
      </c>
    </row>
    <row r="1490" spans="13:13" x14ac:dyDescent="0.35">
      <c r="M1490" s="3" t="str">
        <f t="shared" si="23"/>
        <v/>
      </c>
    </row>
    <row r="1491" spans="13:13" x14ac:dyDescent="0.35">
      <c r="M1491" s="3" t="str">
        <f t="shared" si="23"/>
        <v/>
      </c>
    </row>
    <row r="1492" spans="13:13" x14ac:dyDescent="0.35">
      <c r="M1492" s="3" t="str">
        <f t="shared" si="23"/>
        <v/>
      </c>
    </row>
    <row r="1493" spans="13:13" x14ac:dyDescent="0.35">
      <c r="M1493" s="3" t="str">
        <f t="shared" si="23"/>
        <v/>
      </c>
    </row>
    <row r="1494" spans="13:13" x14ac:dyDescent="0.35">
      <c r="M1494" s="3" t="str">
        <f t="shared" si="23"/>
        <v/>
      </c>
    </row>
    <row r="1495" spans="13:13" x14ac:dyDescent="0.35">
      <c r="M1495" s="3" t="str">
        <f t="shared" si="23"/>
        <v/>
      </c>
    </row>
    <row r="1496" spans="13:13" x14ac:dyDescent="0.35">
      <c r="M1496" s="3" t="str">
        <f t="shared" si="23"/>
        <v/>
      </c>
    </row>
    <row r="1497" spans="13:13" x14ac:dyDescent="0.35">
      <c r="M1497" s="3" t="str">
        <f t="shared" si="23"/>
        <v/>
      </c>
    </row>
    <row r="1498" spans="13:13" x14ac:dyDescent="0.35">
      <c r="M1498" s="3" t="str">
        <f t="shared" si="23"/>
        <v/>
      </c>
    </row>
    <row r="1499" spans="13:13" x14ac:dyDescent="0.35">
      <c r="M1499" s="3" t="str">
        <f t="shared" si="23"/>
        <v/>
      </c>
    </row>
    <row r="1500" spans="13:13" x14ac:dyDescent="0.35">
      <c r="M1500" s="3" t="str">
        <f t="shared" si="23"/>
        <v/>
      </c>
    </row>
    <row r="1501" spans="13:13" x14ac:dyDescent="0.35">
      <c r="M1501" s="3" t="str">
        <f t="shared" si="23"/>
        <v/>
      </c>
    </row>
    <row r="1502" spans="13:13" x14ac:dyDescent="0.35">
      <c r="M1502" s="3" t="str">
        <f t="shared" si="23"/>
        <v/>
      </c>
    </row>
    <row r="1503" spans="13:13" x14ac:dyDescent="0.35">
      <c r="M1503" s="3" t="str">
        <f t="shared" si="23"/>
        <v/>
      </c>
    </row>
    <row r="1504" spans="13:13" x14ac:dyDescent="0.35">
      <c r="M1504" s="3" t="str">
        <f t="shared" si="23"/>
        <v/>
      </c>
    </row>
    <row r="1505" spans="13:13" x14ac:dyDescent="0.35">
      <c r="M1505" s="3" t="str">
        <f t="shared" si="23"/>
        <v/>
      </c>
    </row>
    <row r="1506" spans="13:13" x14ac:dyDescent="0.35">
      <c r="M1506" s="3" t="str">
        <f t="shared" si="23"/>
        <v/>
      </c>
    </row>
    <row r="1507" spans="13:13" x14ac:dyDescent="0.35">
      <c r="M1507" s="3" t="str">
        <f t="shared" si="23"/>
        <v/>
      </c>
    </row>
    <row r="1508" spans="13:13" x14ac:dyDescent="0.35">
      <c r="M1508" s="3" t="str">
        <f t="shared" si="23"/>
        <v/>
      </c>
    </row>
    <row r="1509" spans="13:13" x14ac:dyDescent="0.35">
      <c r="M1509" s="3" t="str">
        <f t="shared" si="23"/>
        <v/>
      </c>
    </row>
    <row r="1510" spans="13:13" x14ac:dyDescent="0.35">
      <c r="M1510" s="3" t="str">
        <f t="shared" si="23"/>
        <v/>
      </c>
    </row>
    <row r="1511" spans="13:13" x14ac:dyDescent="0.35">
      <c r="M1511" s="3" t="str">
        <f t="shared" si="23"/>
        <v/>
      </c>
    </row>
    <row r="1512" spans="13:13" x14ac:dyDescent="0.35">
      <c r="M1512" s="3" t="str">
        <f t="shared" si="23"/>
        <v/>
      </c>
    </row>
    <row r="1513" spans="13:13" x14ac:dyDescent="0.35">
      <c r="M1513" s="3" t="str">
        <f t="shared" si="23"/>
        <v/>
      </c>
    </row>
    <row r="1514" spans="13:13" x14ac:dyDescent="0.35">
      <c r="M1514" s="3" t="str">
        <f t="shared" si="23"/>
        <v/>
      </c>
    </row>
    <row r="1515" spans="13:13" x14ac:dyDescent="0.35">
      <c r="M1515" s="3" t="str">
        <f t="shared" si="23"/>
        <v/>
      </c>
    </row>
    <row r="1516" spans="13:13" x14ac:dyDescent="0.35">
      <c r="M1516" s="3" t="str">
        <f t="shared" si="23"/>
        <v/>
      </c>
    </row>
    <row r="1517" spans="13:13" x14ac:dyDescent="0.35">
      <c r="M1517" s="3" t="str">
        <f t="shared" si="23"/>
        <v/>
      </c>
    </row>
    <row r="1518" spans="13:13" x14ac:dyDescent="0.35">
      <c r="M1518" s="3" t="str">
        <f t="shared" si="23"/>
        <v/>
      </c>
    </row>
    <row r="1519" spans="13:13" x14ac:dyDescent="0.35">
      <c r="M1519" s="3" t="str">
        <f t="shared" si="23"/>
        <v/>
      </c>
    </row>
    <row r="1520" spans="13:13" x14ac:dyDescent="0.35">
      <c r="M1520" s="3" t="str">
        <f t="shared" si="23"/>
        <v/>
      </c>
    </row>
    <row r="1521" spans="13:13" x14ac:dyDescent="0.35">
      <c r="M1521" s="3" t="str">
        <f t="shared" si="23"/>
        <v/>
      </c>
    </row>
    <row r="1522" spans="13:13" x14ac:dyDescent="0.35">
      <c r="M1522" s="3" t="str">
        <f t="shared" si="23"/>
        <v/>
      </c>
    </row>
    <row r="1523" spans="13:13" x14ac:dyDescent="0.35">
      <c r="M1523" s="3" t="str">
        <f t="shared" si="23"/>
        <v/>
      </c>
    </row>
    <row r="1524" spans="13:13" x14ac:dyDescent="0.35">
      <c r="M1524" s="3" t="str">
        <f t="shared" si="23"/>
        <v/>
      </c>
    </row>
    <row r="1525" spans="13:13" x14ac:dyDescent="0.35">
      <c r="M1525" s="3" t="str">
        <f t="shared" si="23"/>
        <v/>
      </c>
    </row>
    <row r="1526" spans="13:13" x14ac:dyDescent="0.35">
      <c r="M1526" s="3" t="str">
        <f t="shared" si="23"/>
        <v/>
      </c>
    </row>
    <row r="1527" spans="13:13" x14ac:dyDescent="0.35">
      <c r="M1527" s="3" t="str">
        <f t="shared" si="23"/>
        <v/>
      </c>
    </row>
    <row r="1528" spans="13:13" x14ac:dyDescent="0.35">
      <c r="M1528" s="3" t="str">
        <f t="shared" si="23"/>
        <v/>
      </c>
    </row>
    <row r="1529" spans="13:13" x14ac:dyDescent="0.35">
      <c r="M1529" s="3" t="str">
        <f t="shared" si="23"/>
        <v/>
      </c>
    </row>
    <row r="1530" spans="13:13" x14ac:dyDescent="0.35">
      <c r="M1530" s="3" t="str">
        <f t="shared" si="23"/>
        <v/>
      </c>
    </row>
    <row r="1531" spans="13:13" x14ac:dyDescent="0.35">
      <c r="M1531" s="3" t="str">
        <f t="shared" si="23"/>
        <v/>
      </c>
    </row>
    <row r="1532" spans="13:13" x14ac:dyDescent="0.35">
      <c r="M1532" s="3" t="str">
        <f t="shared" si="23"/>
        <v/>
      </c>
    </row>
    <row r="1533" spans="13:13" x14ac:dyDescent="0.35">
      <c r="M1533" s="3" t="str">
        <f t="shared" si="23"/>
        <v/>
      </c>
    </row>
    <row r="1534" spans="13:13" x14ac:dyDescent="0.35">
      <c r="M1534" s="3" t="str">
        <f t="shared" si="23"/>
        <v/>
      </c>
    </row>
    <row r="1535" spans="13:13" x14ac:dyDescent="0.35">
      <c r="M1535" s="3" t="str">
        <f t="shared" si="23"/>
        <v/>
      </c>
    </row>
    <row r="1536" spans="13:13" x14ac:dyDescent="0.35">
      <c r="M1536" s="3" t="str">
        <f t="shared" si="23"/>
        <v/>
      </c>
    </row>
    <row r="1537" spans="13:13" x14ac:dyDescent="0.35">
      <c r="M1537" s="3" t="str">
        <f t="shared" si="23"/>
        <v/>
      </c>
    </row>
    <row r="1538" spans="13:13" x14ac:dyDescent="0.35">
      <c r="M1538" s="3" t="str">
        <f t="shared" si="23"/>
        <v/>
      </c>
    </row>
    <row r="1539" spans="13:13" x14ac:dyDescent="0.35">
      <c r="M1539" s="3" t="str">
        <f t="shared" ref="M1539:M1602" si="24">IF(H1539="Efectivo",IFERROR((VALUE(RIGHT(I1539,4))-VALUE(RIGHT(E1539,4)))*12+(VALUE(LEFT(I1539,2))-VALUE(LEFT(E1539,2))),""),"")</f>
        <v/>
      </c>
    </row>
    <row r="1540" spans="13:13" x14ac:dyDescent="0.35">
      <c r="M1540" s="3" t="str">
        <f t="shared" si="24"/>
        <v/>
      </c>
    </row>
    <row r="1541" spans="13:13" x14ac:dyDescent="0.35">
      <c r="M1541" s="3" t="str">
        <f t="shared" si="24"/>
        <v/>
      </c>
    </row>
    <row r="1542" spans="13:13" x14ac:dyDescent="0.35">
      <c r="M1542" s="3" t="str">
        <f t="shared" si="24"/>
        <v/>
      </c>
    </row>
    <row r="1543" spans="13:13" x14ac:dyDescent="0.35">
      <c r="M1543" s="3" t="str">
        <f t="shared" si="24"/>
        <v/>
      </c>
    </row>
    <row r="1544" spans="13:13" x14ac:dyDescent="0.35">
      <c r="M1544" s="3" t="str">
        <f t="shared" si="24"/>
        <v/>
      </c>
    </row>
    <row r="1545" spans="13:13" x14ac:dyDescent="0.35">
      <c r="M1545" s="3" t="str">
        <f t="shared" si="24"/>
        <v/>
      </c>
    </row>
    <row r="1546" spans="13:13" x14ac:dyDescent="0.35">
      <c r="M1546" s="3" t="str">
        <f t="shared" si="24"/>
        <v/>
      </c>
    </row>
    <row r="1547" spans="13:13" x14ac:dyDescent="0.35">
      <c r="M1547" s="3" t="str">
        <f t="shared" si="24"/>
        <v/>
      </c>
    </row>
    <row r="1548" spans="13:13" x14ac:dyDescent="0.35">
      <c r="M1548" s="3" t="str">
        <f t="shared" si="24"/>
        <v/>
      </c>
    </row>
    <row r="1549" spans="13:13" x14ac:dyDescent="0.35">
      <c r="M1549" s="3" t="str">
        <f t="shared" si="24"/>
        <v/>
      </c>
    </row>
    <row r="1550" spans="13:13" x14ac:dyDescent="0.35">
      <c r="M1550" s="3" t="str">
        <f t="shared" si="24"/>
        <v/>
      </c>
    </row>
    <row r="1551" spans="13:13" x14ac:dyDescent="0.35">
      <c r="M1551" s="3" t="str">
        <f t="shared" si="24"/>
        <v/>
      </c>
    </row>
    <row r="1552" spans="13:13" x14ac:dyDescent="0.35">
      <c r="M1552" s="3" t="str">
        <f t="shared" si="24"/>
        <v/>
      </c>
    </row>
    <row r="1553" spans="13:13" x14ac:dyDescent="0.35">
      <c r="M1553" s="3" t="str">
        <f t="shared" si="24"/>
        <v/>
      </c>
    </row>
    <row r="1554" spans="13:13" x14ac:dyDescent="0.35">
      <c r="M1554" s="3" t="str">
        <f t="shared" si="24"/>
        <v/>
      </c>
    </row>
    <row r="1555" spans="13:13" x14ac:dyDescent="0.35">
      <c r="M1555" s="3" t="str">
        <f t="shared" si="24"/>
        <v/>
      </c>
    </row>
    <row r="1556" spans="13:13" x14ac:dyDescent="0.35">
      <c r="M1556" s="3" t="str">
        <f t="shared" si="24"/>
        <v/>
      </c>
    </row>
    <row r="1557" spans="13:13" x14ac:dyDescent="0.35">
      <c r="M1557" s="3" t="str">
        <f t="shared" si="24"/>
        <v/>
      </c>
    </row>
    <row r="1558" spans="13:13" x14ac:dyDescent="0.35">
      <c r="M1558" s="3" t="str">
        <f t="shared" si="24"/>
        <v/>
      </c>
    </row>
    <row r="1559" spans="13:13" x14ac:dyDescent="0.35">
      <c r="M1559" s="3" t="str">
        <f t="shared" si="24"/>
        <v/>
      </c>
    </row>
    <row r="1560" spans="13:13" x14ac:dyDescent="0.35">
      <c r="M1560" s="3" t="str">
        <f t="shared" si="24"/>
        <v/>
      </c>
    </row>
    <row r="1561" spans="13:13" x14ac:dyDescent="0.35">
      <c r="M1561" s="3" t="str">
        <f t="shared" si="24"/>
        <v/>
      </c>
    </row>
    <row r="1562" spans="13:13" x14ac:dyDescent="0.35">
      <c r="M1562" s="3" t="str">
        <f t="shared" si="24"/>
        <v/>
      </c>
    </row>
    <row r="1563" spans="13:13" x14ac:dyDescent="0.35">
      <c r="M1563" s="3" t="str">
        <f t="shared" si="24"/>
        <v/>
      </c>
    </row>
    <row r="1564" spans="13:13" x14ac:dyDescent="0.35">
      <c r="M1564" s="3" t="str">
        <f t="shared" si="24"/>
        <v/>
      </c>
    </row>
    <row r="1565" spans="13:13" x14ac:dyDescent="0.35">
      <c r="M1565" s="3" t="str">
        <f t="shared" si="24"/>
        <v/>
      </c>
    </row>
    <row r="1566" spans="13:13" x14ac:dyDescent="0.35">
      <c r="M1566" s="3" t="str">
        <f t="shared" si="24"/>
        <v/>
      </c>
    </row>
    <row r="1567" spans="13:13" x14ac:dyDescent="0.35">
      <c r="M1567" s="3" t="str">
        <f t="shared" si="24"/>
        <v/>
      </c>
    </row>
    <row r="1568" spans="13:13" x14ac:dyDescent="0.35">
      <c r="M1568" s="3" t="str">
        <f t="shared" si="24"/>
        <v/>
      </c>
    </row>
    <row r="1569" spans="13:13" x14ac:dyDescent="0.35">
      <c r="M1569" s="3" t="str">
        <f t="shared" si="24"/>
        <v/>
      </c>
    </row>
    <row r="1570" spans="13:13" x14ac:dyDescent="0.35">
      <c r="M1570" s="3" t="str">
        <f t="shared" si="24"/>
        <v/>
      </c>
    </row>
    <row r="1571" spans="13:13" x14ac:dyDescent="0.35">
      <c r="M1571" s="3" t="str">
        <f t="shared" si="24"/>
        <v/>
      </c>
    </row>
    <row r="1572" spans="13:13" x14ac:dyDescent="0.35">
      <c r="M1572" s="3" t="str">
        <f t="shared" si="24"/>
        <v/>
      </c>
    </row>
    <row r="1573" spans="13:13" x14ac:dyDescent="0.35">
      <c r="M1573" s="3" t="str">
        <f t="shared" si="24"/>
        <v/>
      </c>
    </row>
    <row r="1574" spans="13:13" x14ac:dyDescent="0.35">
      <c r="M1574" s="3" t="str">
        <f t="shared" si="24"/>
        <v/>
      </c>
    </row>
    <row r="1575" spans="13:13" x14ac:dyDescent="0.35">
      <c r="M1575" s="3" t="str">
        <f t="shared" si="24"/>
        <v/>
      </c>
    </row>
    <row r="1576" spans="13:13" x14ac:dyDescent="0.35">
      <c r="M1576" s="3" t="str">
        <f t="shared" si="24"/>
        <v/>
      </c>
    </row>
    <row r="1577" spans="13:13" x14ac:dyDescent="0.35">
      <c r="M1577" s="3" t="str">
        <f t="shared" si="24"/>
        <v/>
      </c>
    </row>
    <row r="1578" spans="13:13" x14ac:dyDescent="0.35">
      <c r="M1578" s="3" t="str">
        <f t="shared" si="24"/>
        <v/>
      </c>
    </row>
    <row r="1579" spans="13:13" x14ac:dyDescent="0.35">
      <c r="M1579" s="3" t="str">
        <f t="shared" si="24"/>
        <v/>
      </c>
    </row>
    <row r="1580" spans="13:13" x14ac:dyDescent="0.35">
      <c r="M1580" s="3" t="str">
        <f t="shared" si="24"/>
        <v/>
      </c>
    </row>
    <row r="1581" spans="13:13" x14ac:dyDescent="0.35">
      <c r="M1581" s="3" t="str">
        <f t="shared" si="24"/>
        <v/>
      </c>
    </row>
    <row r="1582" spans="13:13" x14ac:dyDescent="0.35">
      <c r="M1582" s="3" t="str">
        <f t="shared" si="24"/>
        <v/>
      </c>
    </row>
    <row r="1583" spans="13:13" x14ac:dyDescent="0.35">
      <c r="M1583" s="3" t="str">
        <f t="shared" si="24"/>
        <v/>
      </c>
    </row>
    <row r="1584" spans="13:13" x14ac:dyDescent="0.35">
      <c r="M1584" s="3" t="str">
        <f t="shared" si="24"/>
        <v/>
      </c>
    </row>
    <row r="1585" spans="13:13" x14ac:dyDescent="0.35">
      <c r="M1585" s="3" t="str">
        <f t="shared" si="24"/>
        <v/>
      </c>
    </row>
    <row r="1586" spans="13:13" x14ac:dyDescent="0.35">
      <c r="M1586" s="3" t="str">
        <f t="shared" si="24"/>
        <v/>
      </c>
    </row>
    <row r="1587" spans="13:13" x14ac:dyDescent="0.35">
      <c r="M1587" s="3" t="str">
        <f t="shared" si="24"/>
        <v/>
      </c>
    </row>
    <row r="1588" spans="13:13" x14ac:dyDescent="0.35">
      <c r="M1588" s="3" t="str">
        <f t="shared" si="24"/>
        <v/>
      </c>
    </row>
    <row r="1589" spans="13:13" x14ac:dyDescent="0.35">
      <c r="M1589" s="3" t="str">
        <f t="shared" si="24"/>
        <v/>
      </c>
    </row>
    <row r="1590" spans="13:13" x14ac:dyDescent="0.35">
      <c r="M1590" s="3" t="str">
        <f t="shared" si="24"/>
        <v/>
      </c>
    </row>
    <row r="1591" spans="13:13" x14ac:dyDescent="0.35">
      <c r="M1591" s="3" t="str">
        <f t="shared" si="24"/>
        <v/>
      </c>
    </row>
    <row r="1592" spans="13:13" x14ac:dyDescent="0.35">
      <c r="M1592" s="3" t="str">
        <f t="shared" si="24"/>
        <v/>
      </c>
    </row>
    <row r="1593" spans="13:13" x14ac:dyDescent="0.35">
      <c r="M1593" s="3" t="str">
        <f t="shared" si="24"/>
        <v/>
      </c>
    </row>
    <row r="1594" spans="13:13" x14ac:dyDescent="0.35">
      <c r="M1594" s="3" t="str">
        <f t="shared" si="24"/>
        <v/>
      </c>
    </row>
    <row r="1595" spans="13:13" x14ac:dyDescent="0.35">
      <c r="M1595" s="3" t="str">
        <f t="shared" si="24"/>
        <v/>
      </c>
    </row>
    <row r="1596" spans="13:13" x14ac:dyDescent="0.35">
      <c r="M1596" s="3" t="str">
        <f t="shared" si="24"/>
        <v/>
      </c>
    </row>
    <row r="1597" spans="13:13" x14ac:dyDescent="0.35">
      <c r="M1597" s="3" t="str">
        <f t="shared" si="24"/>
        <v/>
      </c>
    </row>
    <row r="1598" spans="13:13" x14ac:dyDescent="0.35">
      <c r="M1598" s="3" t="str">
        <f t="shared" si="24"/>
        <v/>
      </c>
    </row>
    <row r="1599" spans="13:13" x14ac:dyDescent="0.35">
      <c r="M1599" s="3" t="str">
        <f t="shared" si="24"/>
        <v/>
      </c>
    </row>
    <row r="1600" spans="13:13" x14ac:dyDescent="0.35">
      <c r="M1600" s="3" t="str">
        <f t="shared" si="24"/>
        <v/>
      </c>
    </row>
    <row r="1601" spans="13:13" x14ac:dyDescent="0.35">
      <c r="M1601" s="3" t="str">
        <f t="shared" si="24"/>
        <v/>
      </c>
    </row>
    <row r="1602" spans="13:13" x14ac:dyDescent="0.35">
      <c r="M1602" s="3" t="str">
        <f t="shared" si="24"/>
        <v/>
      </c>
    </row>
    <row r="1603" spans="13:13" x14ac:dyDescent="0.35">
      <c r="M1603" s="3" t="str">
        <f t="shared" ref="M1603:M1666" si="25">IF(H1603="Efectivo",IFERROR((VALUE(RIGHT(I1603,4))-VALUE(RIGHT(E1603,4)))*12+(VALUE(LEFT(I1603,2))-VALUE(LEFT(E1603,2))),""),"")</f>
        <v/>
      </c>
    </row>
    <row r="1604" spans="13:13" x14ac:dyDescent="0.35">
      <c r="M1604" s="3" t="str">
        <f t="shared" si="25"/>
        <v/>
      </c>
    </row>
    <row r="1605" spans="13:13" x14ac:dyDescent="0.35">
      <c r="M1605" s="3" t="str">
        <f t="shared" si="25"/>
        <v/>
      </c>
    </row>
    <row r="1606" spans="13:13" x14ac:dyDescent="0.35">
      <c r="M1606" s="3" t="str">
        <f t="shared" si="25"/>
        <v/>
      </c>
    </row>
    <row r="1607" spans="13:13" x14ac:dyDescent="0.35">
      <c r="M1607" s="3" t="str">
        <f t="shared" si="25"/>
        <v/>
      </c>
    </row>
    <row r="1608" spans="13:13" x14ac:dyDescent="0.35">
      <c r="M1608" s="3" t="str">
        <f t="shared" si="25"/>
        <v/>
      </c>
    </row>
    <row r="1609" spans="13:13" x14ac:dyDescent="0.35">
      <c r="M1609" s="3" t="str">
        <f t="shared" si="25"/>
        <v/>
      </c>
    </row>
    <row r="1610" spans="13:13" x14ac:dyDescent="0.35">
      <c r="M1610" s="3" t="str">
        <f t="shared" si="25"/>
        <v/>
      </c>
    </row>
    <row r="1611" spans="13:13" x14ac:dyDescent="0.35">
      <c r="M1611" s="3" t="str">
        <f t="shared" si="25"/>
        <v/>
      </c>
    </row>
    <row r="1612" spans="13:13" x14ac:dyDescent="0.35">
      <c r="M1612" s="3" t="str">
        <f t="shared" si="25"/>
        <v/>
      </c>
    </row>
    <row r="1613" spans="13:13" x14ac:dyDescent="0.35">
      <c r="M1613" s="3" t="str">
        <f t="shared" si="25"/>
        <v/>
      </c>
    </row>
    <row r="1614" spans="13:13" x14ac:dyDescent="0.35">
      <c r="M1614" s="3" t="str">
        <f t="shared" si="25"/>
        <v/>
      </c>
    </row>
    <row r="1615" spans="13:13" x14ac:dyDescent="0.35">
      <c r="M1615" s="3" t="str">
        <f t="shared" si="25"/>
        <v/>
      </c>
    </row>
    <row r="1616" spans="13:13" x14ac:dyDescent="0.35">
      <c r="M1616" s="3" t="str">
        <f t="shared" si="25"/>
        <v/>
      </c>
    </row>
    <row r="1617" spans="13:13" x14ac:dyDescent="0.35">
      <c r="M1617" s="3" t="str">
        <f t="shared" si="25"/>
        <v/>
      </c>
    </row>
    <row r="1618" spans="13:13" x14ac:dyDescent="0.35">
      <c r="M1618" s="3" t="str">
        <f t="shared" si="25"/>
        <v/>
      </c>
    </row>
    <row r="1619" spans="13:13" x14ac:dyDescent="0.35">
      <c r="M1619" s="3" t="str">
        <f t="shared" si="25"/>
        <v/>
      </c>
    </row>
    <row r="1620" spans="13:13" x14ac:dyDescent="0.35">
      <c r="M1620" s="3" t="str">
        <f t="shared" si="25"/>
        <v/>
      </c>
    </row>
    <row r="1621" spans="13:13" x14ac:dyDescent="0.35">
      <c r="M1621" s="3" t="str">
        <f t="shared" si="25"/>
        <v/>
      </c>
    </row>
    <row r="1622" spans="13:13" x14ac:dyDescent="0.35">
      <c r="M1622" s="3" t="str">
        <f t="shared" si="25"/>
        <v/>
      </c>
    </row>
    <row r="1623" spans="13:13" x14ac:dyDescent="0.35">
      <c r="M1623" s="3" t="str">
        <f t="shared" si="25"/>
        <v/>
      </c>
    </row>
    <row r="1624" spans="13:13" x14ac:dyDescent="0.35">
      <c r="M1624" s="3" t="str">
        <f t="shared" si="25"/>
        <v/>
      </c>
    </row>
    <row r="1625" spans="13:13" x14ac:dyDescent="0.35">
      <c r="M1625" s="3" t="str">
        <f t="shared" si="25"/>
        <v/>
      </c>
    </row>
    <row r="1626" spans="13:13" x14ac:dyDescent="0.35">
      <c r="M1626" s="3" t="str">
        <f t="shared" si="25"/>
        <v/>
      </c>
    </row>
    <row r="1627" spans="13:13" x14ac:dyDescent="0.35">
      <c r="M1627" s="3" t="str">
        <f t="shared" si="25"/>
        <v/>
      </c>
    </row>
    <row r="1628" spans="13:13" x14ac:dyDescent="0.35">
      <c r="M1628" s="3" t="str">
        <f t="shared" si="25"/>
        <v/>
      </c>
    </row>
    <row r="1629" spans="13:13" x14ac:dyDescent="0.35">
      <c r="M1629" s="3" t="str">
        <f t="shared" si="25"/>
        <v/>
      </c>
    </row>
    <row r="1630" spans="13:13" x14ac:dyDescent="0.35">
      <c r="M1630" s="3" t="str">
        <f t="shared" si="25"/>
        <v/>
      </c>
    </row>
    <row r="1631" spans="13:13" x14ac:dyDescent="0.35">
      <c r="M1631" s="3" t="str">
        <f t="shared" si="25"/>
        <v/>
      </c>
    </row>
    <row r="1632" spans="13:13" x14ac:dyDescent="0.35">
      <c r="M1632" s="3" t="str">
        <f t="shared" si="25"/>
        <v/>
      </c>
    </row>
    <row r="1633" spans="13:13" x14ac:dyDescent="0.35">
      <c r="M1633" s="3" t="str">
        <f t="shared" si="25"/>
        <v/>
      </c>
    </row>
    <row r="1634" spans="13:13" x14ac:dyDescent="0.35">
      <c r="M1634" s="3" t="str">
        <f t="shared" si="25"/>
        <v/>
      </c>
    </row>
    <row r="1635" spans="13:13" x14ac:dyDescent="0.35">
      <c r="M1635" s="3" t="str">
        <f t="shared" si="25"/>
        <v/>
      </c>
    </row>
    <row r="1636" spans="13:13" x14ac:dyDescent="0.35">
      <c r="M1636" s="3" t="str">
        <f t="shared" si="25"/>
        <v/>
      </c>
    </row>
    <row r="1637" spans="13:13" x14ac:dyDescent="0.35">
      <c r="M1637" s="3" t="str">
        <f t="shared" si="25"/>
        <v/>
      </c>
    </row>
    <row r="1638" spans="13:13" x14ac:dyDescent="0.35">
      <c r="M1638" s="3" t="str">
        <f t="shared" si="25"/>
        <v/>
      </c>
    </row>
    <row r="1639" spans="13:13" x14ac:dyDescent="0.35">
      <c r="M1639" s="3" t="str">
        <f t="shared" si="25"/>
        <v/>
      </c>
    </row>
    <row r="1640" spans="13:13" x14ac:dyDescent="0.35">
      <c r="M1640" s="3" t="str">
        <f t="shared" si="25"/>
        <v/>
      </c>
    </row>
    <row r="1641" spans="13:13" x14ac:dyDescent="0.35">
      <c r="M1641" s="3" t="str">
        <f t="shared" si="25"/>
        <v/>
      </c>
    </row>
    <row r="1642" spans="13:13" x14ac:dyDescent="0.35">
      <c r="M1642" s="3" t="str">
        <f t="shared" si="25"/>
        <v/>
      </c>
    </row>
    <row r="1643" spans="13:13" x14ac:dyDescent="0.35">
      <c r="M1643" s="3" t="str">
        <f t="shared" si="25"/>
        <v/>
      </c>
    </row>
    <row r="1644" spans="13:13" x14ac:dyDescent="0.35">
      <c r="M1644" s="3" t="str">
        <f t="shared" si="25"/>
        <v/>
      </c>
    </row>
    <row r="1645" spans="13:13" x14ac:dyDescent="0.35">
      <c r="M1645" s="3" t="str">
        <f t="shared" si="25"/>
        <v/>
      </c>
    </row>
    <row r="1646" spans="13:13" x14ac:dyDescent="0.35">
      <c r="M1646" s="3" t="str">
        <f t="shared" si="25"/>
        <v/>
      </c>
    </row>
    <row r="1647" spans="13:13" x14ac:dyDescent="0.35">
      <c r="M1647" s="3" t="str">
        <f t="shared" si="25"/>
        <v/>
      </c>
    </row>
    <row r="1648" spans="13:13" x14ac:dyDescent="0.35">
      <c r="M1648" s="3" t="str">
        <f t="shared" si="25"/>
        <v/>
      </c>
    </row>
    <row r="1649" spans="13:13" x14ac:dyDescent="0.35">
      <c r="M1649" s="3" t="str">
        <f t="shared" si="25"/>
        <v/>
      </c>
    </row>
    <row r="1650" spans="13:13" x14ac:dyDescent="0.35">
      <c r="M1650" s="3" t="str">
        <f t="shared" si="25"/>
        <v/>
      </c>
    </row>
    <row r="1651" spans="13:13" x14ac:dyDescent="0.35">
      <c r="M1651" s="3" t="str">
        <f t="shared" si="25"/>
        <v/>
      </c>
    </row>
    <row r="1652" spans="13:13" x14ac:dyDescent="0.35">
      <c r="M1652" s="3" t="str">
        <f t="shared" si="25"/>
        <v/>
      </c>
    </row>
    <row r="1653" spans="13:13" x14ac:dyDescent="0.35">
      <c r="M1653" s="3" t="str">
        <f t="shared" si="25"/>
        <v/>
      </c>
    </row>
    <row r="1654" spans="13:13" x14ac:dyDescent="0.35">
      <c r="M1654" s="3" t="str">
        <f t="shared" si="25"/>
        <v/>
      </c>
    </row>
    <row r="1655" spans="13:13" x14ac:dyDescent="0.35">
      <c r="M1655" s="3" t="str">
        <f t="shared" si="25"/>
        <v/>
      </c>
    </row>
    <row r="1656" spans="13:13" x14ac:dyDescent="0.35">
      <c r="M1656" s="3" t="str">
        <f t="shared" si="25"/>
        <v/>
      </c>
    </row>
    <row r="1657" spans="13:13" x14ac:dyDescent="0.35">
      <c r="M1657" s="3" t="str">
        <f t="shared" si="25"/>
        <v/>
      </c>
    </row>
    <row r="1658" spans="13:13" x14ac:dyDescent="0.35">
      <c r="M1658" s="3" t="str">
        <f t="shared" si="25"/>
        <v/>
      </c>
    </row>
    <row r="1659" spans="13:13" x14ac:dyDescent="0.35">
      <c r="M1659" s="3" t="str">
        <f t="shared" si="25"/>
        <v/>
      </c>
    </row>
    <row r="1660" spans="13:13" x14ac:dyDescent="0.35">
      <c r="M1660" s="3" t="str">
        <f t="shared" si="25"/>
        <v/>
      </c>
    </row>
    <row r="1661" spans="13:13" x14ac:dyDescent="0.35">
      <c r="M1661" s="3" t="str">
        <f t="shared" si="25"/>
        <v/>
      </c>
    </row>
    <row r="1662" spans="13:13" x14ac:dyDescent="0.35">
      <c r="M1662" s="3" t="str">
        <f t="shared" si="25"/>
        <v/>
      </c>
    </row>
    <row r="1663" spans="13:13" x14ac:dyDescent="0.35">
      <c r="M1663" s="3" t="str">
        <f t="shared" si="25"/>
        <v/>
      </c>
    </row>
    <row r="1664" spans="13:13" x14ac:dyDescent="0.35">
      <c r="M1664" s="3" t="str">
        <f t="shared" si="25"/>
        <v/>
      </c>
    </row>
    <row r="1665" spans="13:13" x14ac:dyDescent="0.35">
      <c r="M1665" s="3" t="str">
        <f t="shared" si="25"/>
        <v/>
      </c>
    </row>
    <row r="1666" spans="13:13" x14ac:dyDescent="0.35">
      <c r="M1666" s="3" t="str">
        <f t="shared" si="25"/>
        <v/>
      </c>
    </row>
    <row r="1667" spans="13:13" x14ac:dyDescent="0.35">
      <c r="M1667" s="3" t="str">
        <f t="shared" ref="M1667:M1730" si="26">IF(H1667="Efectivo",IFERROR((VALUE(RIGHT(I1667,4))-VALUE(RIGHT(E1667,4)))*12+(VALUE(LEFT(I1667,2))-VALUE(LEFT(E1667,2))),""),"")</f>
        <v/>
      </c>
    </row>
    <row r="1668" spans="13:13" x14ac:dyDescent="0.35">
      <c r="M1668" s="3" t="str">
        <f t="shared" si="26"/>
        <v/>
      </c>
    </row>
    <row r="1669" spans="13:13" x14ac:dyDescent="0.35">
      <c r="M1669" s="3" t="str">
        <f t="shared" si="26"/>
        <v/>
      </c>
    </row>
    <row r="1670" spans="13:13" x14ac:dyDescent="0.35">
      <c r="M1670" s="3" t="str">
        <f t="shared" si="26"/>
        <v/>
      </c>
    </row>
    <row r="1671" spans="13:13" x14ac:dyDescent="0.35">
      <c r="M1671" s="3" t="str">
        <f t="shared" si="26"/>
        <v/>
      </c>
    </row>
    <row r="1672" spans="13:13" x14ac:dyDescent="0.35">
      <c r="M1672" s="3" t="str">
        <f t="shared" si="26"/>
        <v/>
      </c>
    </row>
    <row r="1673" spans="13:13" x14ac:dyDescent="0.35">
      <c r="M1673" s="3" t="str">
        <f t="shared" si="26"/>
        <v/>
      </c>
    </row>
    <row r="1674" spans="13:13" x14ac:dyDescent="0.35">
      <c r="M1674" s="3" t="str">
        <f t="shared" si="26"/>
        <v/>
      </c>
    </row>
    <row r="1675" spans="13:13" x14ac:dyDescent="0.35">
      <c r="M1675" s="3" t="str">
        <f t="shared" si="26"/>
        <v/>
      </c>
    </row>
    <row r="1676" spans="13:13" x14ac:dyDescent="0.35">
      <c r="M1676" s="3" t="str">
        <f t="shared" si="26"/>
        <v/>
      </c>
    </row>
    <row r="1677" spans="13:13" x14ac:dyDescent="0.35">
      <c r="M1677" s="3" t="str">
        <f t="shared" si="26"/>
        <v/>
      </c>
    </row>
    <row r="1678" spans="13:13" x14ac:dyDescent="0.35">
      <c r="M1678" s="3" t="str">
        <f t="shared" si="26"/>
        <v/>
      </c>
    </row>
    <row r="1679" spans="13:13" x14ac:dyDescent="0.35">
      <c r="M1679" s="3" t="str">
        <f t="shared" si="26"/>
        <v/>
      </c>
    </row>
    <row r="1680" spans="13:13" x14ac:dyDescent="0.35">
      <c r="M1680" s="3" t="str">
        <f t="shared" si="26"/>
        <v/>
      </c>
    </row>
    <row r="1681" spans="13:13" x14ac:dyDescent="0.35">
      <c r="M1681" s="3" t="str">
        <f t="shared" si="26"/>
        <v/>
      </c>
    </row>
    <row r="1682" spans="13:13" x14ac:dyDescent="0.35">
      <c r="M1682" s="3" t="str">
        <f t="shared" si="26"/>
        <v/>
      </c>
    </row>
    <row r="1683" spans="13:13" x14ac:dyDescent="0.35">
      <c r="M1683" s="3" t="str">
        <f t="shared" si="26"/>
        <v/>
      </c>
    </row>
    <row r="1684" spans="13:13" x14ac:dyDescent="0.35">
      <c r="M1684" s="3" t="str">
        <f t="shared" si="26"/>
        <v/>
      </c>
    </row>
    <row r="1685" spans="13:13" x14ac:dyDescent="0.35">
      <c r="M1685" s="3" t="str">
        <f t="shared" si="26"/>
        <v/>
      </c>
    </row>
    <row r="1686" spans="13:13" x14ac:dyDescent="0.35">
      <c r="M1686" s="3" t="str">
        <f t="shared" si="26"/>
        <v/>
      </c>
    </row>
    <row r="1687" spans="13:13" x14ac:dyDescent="0.35">
      <c r="M1687" s="3" t="str">
        <f t="shared" si="26"/>
        <v/>
      </c>
    </row>
    <row r="1688" spans="13:13" x14ac:dyDescent="0.35">
      <c r="M1688" s="3" t="str">
        <f t="shared" si="26"/>
        <v/>
      </c>
    </row>
    <row r="1689" spans="13:13" x14ac:dyDescent="0.35">
      <c r="M1689" s="3" t="str">
        <f t="shared" si="26"/>
        <v/>
      </c>
    </row>
    <row r="1690" spans="13:13" x14ac:dyDescent="0.35">
      <c r="M1690" s="3" t="str">
        <f t="shared" si="26"/>
        <v/>
      </c>
    </row>
    <row r="1691" spans="13:13" x14ac:dyDescent="0.35">
      <c r="M1691" s="3" t="str">
        <f t="shared" si="26"/>
        <v/>
      </c>
    </row>
    <row r="1692" spans="13:13" x14ac:dyDescent="0.35">
      <c r="M1692" s="3" t="str">
        <f t="shared" si="26"/>
        <v/>
      </c>
    </row>
    <row r="1693" spans="13:13" x14ac:dyDescent="0.35">
      <c r="M1693" s="3" t="str">
        <f t="shared" si="26"/>
        <v/>
      </c>
    </row>
    <row r="1694" spans="13:13" x14ac:dyDescent="0.35">
      <c r="M1694" s="3" t="str">
        <f t="shared" si="26"/>
        <v/>
      </c>
    </row>
    <row r="1695" spans="13:13" x14ac:dyDescent="0.35">
      <c r="M1695" s="3" t="str">
        <f t="shared" si="26"/>
        <v/>
      </c>
    </row>
    <row r="1696" spans="13:13" x14ac:dyDescent="0.35">
      <c r="M1696" s="3" t="str">
        <f t="shared" si="26"/>
        <v/>
      </c>
    </row>
    <row r="1697" spans="13:13" x14ac:dyDescent="0.35">
      <c r="M1697" s="3" t="str">
        <f t="shared" si="26"/>
        <v/>
      </c>
    </row>
    <row r="1698" spans="13:13" x14ac:dyDescent="0.35">
      <c r="M1698" s="3" t="str">
        <f t="shared" si="26"/>
        <v/>
      </c>
    </row>
    <row r="1699" spans="13:13" x14ac:dyDescent="0.35">
      <c r="M1699" s="3" t="str">
        <f t="shared" si="26"/>
        <v/>
      </c>
    </row>
    <row r="1700" spans="13:13" x14ac:dyDescent="0.35">
      <c r="M1700" s="3" t="str">
        <f t="shared" si="26"/>
        <v/>
      </c>
    </row>
    <row r="1701" spans="13:13" x14ac:dyDescent="0.35">
      <c r="M1701" s="3" t="str">
        <f t="shared" si="26"/>
        <v/>
      </c>
    </row>
    <row r="1702" spans="13:13" x14ac:dyDescent="0.35">
      <c r="M1702" s="3" t="str">
        <f t="shared" si="26"/>
        <v/>
      </c>
    </row>
    <row r="1703" spans="13:13" x14ac:dyDescent="0.35">
      <c r="M1703" s="3" t="str">
        <f t="shared" si="26"/>
        <v/>
      </c>
    </row>
    <row r="1704" spans="13:13" x14ac:dyDescent="0.35">
      <c r="M1704" s="3" t="str">
        <f t="shared" si="26"/>
        <v/>
      </c>
    </row>
    <row r="1705" spans="13:13" x14ac:dyDescent="0.35">
      <c r="M1705" s="3" t="str">
        <f t="shared" si="26"/>
        <v/>
      </c>
    </row>
    <row r="1706" spans="13:13" x14ac:dyDescent="0.35">
      <c r="M1706" s="3" t="str">
        <f t="shared" si="26"/>
        <v/>
      </c>
    </row>
    <row r="1707" spans="13:13" x14ac:dyDescent="0.35">
      <c r="M1707" s="3" t="str">
        <f t="shared" si="26"/>
        <v/>
      </c>
    </row>
    <row r="1708" spans="13:13" x14ac:dyDescent="0.35">
      <c r="M1708" s="3" t="str">
        <f t="shared" si="26"/>
        <v/>
      </c>
    </row>
    <row r="1709" spans="13:13" x14ac:dyDescent="0.35">
      <c r="M1709" s="3" t="str">
        <f t="shared" si="26"/>
        <v/>
      </c>
    </row>
    <row r="1710" spans="13:13" x14ac:dyDescent="0.35">
      <c r="M1710" s="3" t="str">
        <f t="shared" si="26"/>
        <v/>
      </c>
    </row>
    <row r="1711" spans="13:13" x14ac:dyDescent="0.35">
      <c r="M1711" s="3" t="str">
        <f t="shared" si="26"/>
        <v/>
      </c>
    </row>
    <row r="1712" spans="13:13" x14ac:dyDescent="0.35">
      <c r="M1712" s="3" t="str">
        <f t="shared" si="26"/>
        <v/>
      </c>
    </row>
    <row r="1713" spans="13:13" x14ac:dyDescent="0.35">
      <c r="M1713" s="3" t="str">
        <f t="shared" si="26"/>
        <v/>
      </c>
    </row>
    <row r="1714" spans="13:13" x14ac:dyDescent="0.35">
      <c r="M1714" s="3" t="str">
        <f t="shared" si="26"/>
        <v/>
      </c>
    </row>
    <row r="1715" spans="13:13" x14ac:dyDescent="0.35">
      <c r="M1715" s="3" t="str">
        <f t="shared" si="26"/>
        <v/>
      </c>
    </row>
    <row r="1716" spans="13:13" x14ac:dyDescent="0.35">
      <c r="M1716" s="3" t="str">
        <f t="shared" si="26"/>
        <v/>
      </c>
    </row>
    <row r="1717" spans="13:13" x14ac:dyDescent="0.35">
      <c r="M1717" s="3" t="str">
        <f t="shared" si="26"/>
        <v/>
      </c>
    </row>
    <row r="1718" spans="13:13" x14ac:dyDescent="0.35">
      <c r="M1718" s="3" t="str">
        <f t="shared" si="26"/>
        <v/>
      </c>
    </row>
    <row r="1719" spans="13:13" x14ac:dyDescent="0.35">
      <c r="M1719" s="3" t="str">
        <f t="shared" si="26"/>
        <v/>
      </c>
    </row>
    <row r="1720" spans="13:13" x14ac:dyDescent="0.35">
      <c r="M1720" s="3" t="str">
        <f t="shared" si="26"/>
        <v/>
      </c>
    </row>
    <row r="1721" spans="13:13" x14ac:dyDescent="0.35">
      <c r="M1721" s="3" t="str">
        <f t="shared" si="26"/>
        <v/>
      </c>
    </row>
    <row r="1722" spans="13:13" x14ac:dyDescent="0.35">
      <c r="M1722" s="3" t="str">
        <f t="shared" si="26"/>
        <v/>
      </c>
    </row>
    <row r="1723" spans="13:13" x14ac:dyDescent="0.35">
      <c r="M1723" s="3" t="str">
        <f t="shared" si="26"/>
        <v/>
      </c>
    </row>
    <row r="1724" spans="13:13" x14ac:dyDescent="0.35">
      <c r="M1724" s="3" t="str">
        <f t="shared" si="26"/>
        <v/>
      </c>
    </row>
    <row r="1725" spans="13:13" x14ac:dyDescent="0.35">
      <c r="M1725" s="3" t="str">
        <f t="shared" si="26"/>
        <v/>
      </c>
    </row>
    <row r="1726" spans="13:13" x14ac:dyDescent="0.35">
      <c r="M1726" s="3" t="str">
        <f t="shared" si="26"/>
        <v/>
      </c>
    </row>
    <row r="1727" spans="13:13" x14ac:dyDescent="0.35">
      <c r="M1727" s="3" t="str">
        <f t="shared" si="26"/>
        <v/>
      </c>
    </row>
    <row r="1728" spans="13:13" x14ac:dyDescent="0.35">
      <c r="M1728" s="3" t="str">
        <f t="shared" si="26"/>
        <v/>
      </c>
    </row>
    <row r="1729" spans="13:13" x14ac:dyDescent="0.35">
      <c r="M1729" s="3" t="str">
        <f t="shared" si="26"/>
        <v/>
      </c>
    </row>
    <row r="1730" spans="13:13" x14ac:dyDescent="0.35">
      <c r="M1730" s="3" t="str">
        <f t="shared" si="26"/>
        <v/>
      </c>
    </row>
    <row r="1731" spans="13:13" x14ac:dyDescent="0.35">
      <c r="M1731" s="3" t="str">
        <f t="shared" ref="M1731:M1794" si="27">IF(H1731="Efectivo",IFERROR((VALUE(RIGHT(I1731,4))-VALUE(RIGHT(E1731,4)))*12+(VALUE(LEFT(I1731,2))-VALUE(LEFT(E1731,2))),""),"")</f>
        <v/>
      </c>
    </row>
    <row r="1732" spans="13:13" x14ac:dyDescent="0.35">
      <c r="M1732" s="3" t="str">
        <f t="shared" si="27"/>
        <v/>
      </c>
    </row>
    <row r="1733" spans="13:13" x14ac:dyDescent="0.35">
      <c r="M1733" s="3" t="str">
        <f t="shared" si="27"/>
        <v/>
      </c>
    </row>
    <row r="1734" spans="13:13" x14ac:dyDescent="0.35">
      <c r="M1734" s="3" t="str">
        <f t="shared" si="27"/>
        <v/>
      </c>
    </row>
    <row r="1735" spans="13:13" x14ac:dyDescent="0.35">
      <c r="M1735" s="3" t="str">
        <f t="shared" si="27"/>
        <v/>
      </c>
    </row>
    <row r="1736" spans="13:13" x14ac:dyDescent="0.35">
      <c r="M1736" s="3" t="str">
        <f t="shared" si="27"/>
        <v/>
      </c>
    </row>
    <row r="1737" spans="13:13" x14ac:dyDescent="0.35">
      <c r="M1737" s="3" t="str">
        <f t="shared" si="27"/>
        <v/>
      </c>
    </row>
    <row r="1738" spans="13:13" x14ac:dyDescent="0.35">
      <c r="M1738" s="3" t="str">
        <f t="shared" si="27"/>
        <v/>
      </c>
    </row>
    <row r="1739" spans="13:13" x14ac:dyDescent="0.35">
      <c r="M1739" s="3" t="str">
        <f t="shared" si="27"/>
        <v/>
      </c>
    </row>
    <row r="1740" spans="13:13" x14ac:dyDescent="0.35">
      <c r="M1740" s="3" t="str">
        <f t="shared" si="27"/>
        <v/>
      </c>
    </row>
    <row r="1741" spans="13:13" x14ac:dyDescent="0.35">
      <c r="M1741" s="3" t="str">
        <f t="shared" si="27"/>
        <v/>
      </c>
    </row>
    <row r="1742" spans="13:13" x14ac:dyDescent="0.35">
      <c r="M1742" s="3" t="str">
        <f t="shared" si="27"/>
        <v/>
      </c>
    </row>
    <row r="1743" spans="13:13" x14ac:dyDescent="0.35">
      <c r="M1743" s="3" t="str">
        <f t="shared" si="27"/>
        <v/>
      </c>
    </row>
    <row r="1744" spans="13:13" x14ac:dyDescent="0.35">
      <c r="M1744" s="3" t="str">
        <f t="shared" si="27"/>
        <v/>
      </c>
    </row>
    <row r="1745" spans="13:13" x14ac:dyDescent="0.35">
      <c r="M1745" s="3" t="str">
        <f t="shared" si="27"/>
        <v/>
      </c>
    </row>
    <row r="1746" spans="13:13" x14ac:dyDescent="0.35">
      <c r="M1746" s="3" t="str">
        <f t="shared" si="27"/>
        <v/>
      </c>
    </row>
    <row r="1747" spans="13:13" x14ac:dyDescent="0.35">
      <c r="M1747" s="3" t="str">
        <f t="shared" si="27"/>
        <v/>
      </c>
    </row>
    <row r="1748" spans="13:13" x14ac:dyDescent="0.35">
      <c r="M1748" s="3" t="str">
        <f t="shared" si="27"/>
        <v/>
      </c>
    </row>
    <row r="1749" spans="13:13" x14ac:dyDescent="0.35">
      <c r="M1749" s="3" t="str">
        <f t="shared" si="27"/>
        <v/>
      </c>
    </row>
    <row r="1750" spans="13:13" x14ac:dyDescent="0.35">
      <c r="M1750" s="3" t="str">
        <f t="shared" si="27"/>
        <v/>
      </c>
    </row>
    <row r="1751" spans="13:13" x14ac:dyDescent="0.35">
      <c r="M1751" s="3" t="str">
        <f t="shared" si="27"/>
        <v/>
      </c>
    </row>
    <row r="1752" spans="13:13" x14ac:dyDescent="0.35">
      <c r="M1752" s="3" t="str">
        <f t="shared" si="27"/>
        <v/>
      </c>
    </row>
    <row r="1753" spans="13:13" x14ac:dyDescent="0.35">
      <c r="M1753" s="3" t="str">
        <f t="shared" si="27"/>
        <v/>
      </c>
    </row>
    <row r="1754" spans="13:13" x14ac:dyDescent="0.35">
      <c r="M1754" s="3" t="str">
        <f t="shared" si="27"/>
        <v/>
      </c>
    </row>
    <row r="1755" spans="13:13" x14ac:dyDescent="0.35">
      <c r="M1755" s="3" t="str">
        <f t="shared" si="27"/>
        <v/>
      </c>
    </row>
    <row r="1756" spans="13:13" x14ac:dyDescent="0.35">
      <c r="M1756" s="3" t="str">
        <f t="shared" si="27"/>
        <v/>
      </c>
    </row>
    <row r="1757" spans="13:13" x14ac:dyDescent="0.35">
      <c r="M1757" s="3" t="str">
        <f t="shared" si="27"/>
        <v/>
      </c>
    </row>
    <row r="1758" spans="13:13" x14ac:dyDescent="0.35">
      <c r="M1758" s="3" t="str">
        <f t="shared" si="27"/>
        <v/>
      </c>
    </row>
    <row r="1759" spans="13:13" x14ac:dyDescent="0.35">
      <c r="M1759" s="3" t="str">
        <f t="shared" si="27"/>
        <v/>
      </c>
    </row>
    <row r="1760" spans="13:13" x14ac:dyDescent="0.35">
      <c r="M1760" s="3" t="str">
        <f t="shared" si="27"/>
        <v/>
      </c>
    </row>
    <row r="1761" spans="13:13" x14ac:dyDescent="0.35">
      <c r="M1761" s="3" t="str">
        <f t="shared" si="27"/>
        <v/>
      </c>
    </row>
    <row r="1762" spans="13:13" x14ac:dyDescent="0.35">
      <c r="M1762" s="3" t="str">
        <f t="shared" si="27"/>
        <v/>
      </c>
    </row>
    <row r="1763" spans="13:13" x14ac:dyDescent="0.35">
      <c r="M1763" s="3" t="str">
        <f t="shared" si="27"/>
        <v/>
      </c>
    </row>
    <row r="1764" spans="13:13" x14ac:dyDescent="0.35">
      <c r="M1764" s="3" t="str">
        <f t="shared" si="27"/>
        <v/>
      </c>
    </row>
    <row r="1765" spans="13:13" x14ac:dyDescent="0.35">
      <c r="M1765" s="3" t="str">
        <f t="shared" si="27"/>
        <v/>
      </c>
    </row>
    <row r="1766" spans="13:13" x14ac:dyDescent="0.35">
      <c r="M1766" s="3" t="str">
        <f t="shared" si="27"/>
        <v/>
      </c>
    </row>
    <row r="1767" spans="13:13" x14ac:dyDescent="0.35">
      <c r="M1767" s="3" t="str">
        <f t="shared" si="27"/>
        <v/>
      </c>
    </row>
    <row r="1768" spans="13:13" x14ac:dyDescent="0.35">
      <c r="M1768" s="3" t="str">
        <f t="shared" si="27"/>
        <v/>
      </c>
    </row>
    <row r="1769" spans="13:13" x14ac:dyDescent="0.35">
      <c r="M1769" s="3" t="str">
        <f t="shared" si="27"/>
        <v/>
      </c>
    </row>
    <row r="1770" spans="13:13" x14ac:dyDescent="0.35">
      <c r="M1770" s="3" t="str">
        <f t="shared" si="27"/>
        <v/>
      </c>
    </row>
    <row r="1771" spans="13:13" x14ac:dyDescent="0.35">
      <c r="M1771" s="3" t="str">
        <f t="shared" si="27"/>
        <v/>
      </c>
    </row>
    <row r="1772" spans="13:13" x14ac:dyDescent="0.35">
      <c r="M1772" s="3" t="str">
        <f t="shared" si="27"/>
        <v/>
      </c>
    </row>
    <row r="1773" spans="13:13" x14ac:dyDescent="0.35">
      <c r="M1773" s="3" t="str">
        <f t="shared" si="27"/>
        <v/>
      </c>
    </row>
    <row r="1774" spans="13:13" x14ac:dyDescent="0.35">
      <c r="M1774" s="3" t="str">
        <f t="shared" si="27"/>
        <v/>
      </c>
    </row>
    <row r="1775" spans="13:13" x14ac:dyDescent="0.35">
      <c r="M1775" s="3" t="str">
        <f t="shared" si="27"/>
        <v/>
      </c>
    </row>
    <row r="1776" spans="13:13" x14ac:dyDescent="0.35">
      <c r="M1776" s="3" t="str">
        <f t="shared" si="27"/>
        <v/>
      </c>
    </row>
    <row r="1777" spans="13:13" x14ac:dyDescent="0.35">
      <c r="M1777" s="3" t="str">
        <f t="shared" si="27"/>
        <v/>
      </c>
    </row>
    <row r="1778" spans="13:13" x14ac:dyDescent="0.35">
      <c r="M1778" s="3" t="str">
        <f t="shared" si="27"/>
        <v/>
      </c>
    </row>
    <row r="1779" spans="13:13" x14ac:dyDescent="0.35">
      <c r="M1779" s="3" t="str">
        <f t="shared" si="27"/>
        <v/>
      </c>
    </row>
    <row r="1780" spans="13:13" x14ac:dyDescent="0.35">
      <c r="M1780" s="3" t="str">
        <f t="shared" si="27"/>
        <v/>
      </c>
    </row>
    <row r="1781" spans="13:13" x14ac:dyDescent="0.35">
      <c r="M1781" s="3" t="str">
        <f t="shared" si="27"/>
        <v/>
      </c>
    </row>
    <row r="1782" spans="13:13" x14ac:dyDescent="0.35">
      <c r="M1782" s="3" t="str">
        <f t="shared" si="27"/>
        <v/>
      </c>
    </row>
    <row r="1783" spans="13:13" x14ac:dyDescent="0.35">
      <c r="M1783" s="3" t="str">
        <f t="shared" si="27"/>
        <v/>
      </c>
    </row>
    <row r="1784" spans="13:13" x14ac:dyDescent="0.35">
      <c r="M1784" s="3" t="str">
        <f t="shared" si="27"/>
        <v/>
      </c>
    </row>
    <row r="1785" spans="13:13" x14ac:dyDescent="0.35">
      <c r="M1785" s="3" t="str">
        <f t="shared" si="27"/>
        <v/>
      </c>
    </row>
    <row r="1786" spans="13:13" x14ac:dyDescent="0.35">
      <c r="M1786" s="3" t="str">
        <f t="shared" si="27"/>
        <v/>
      </c>
    </row>
    <row r="1787" spans="13:13" x14ac:dyDescent="0.35">
      <c r="M1787" s="3" t="str">
        <f t="shared" si="27"/>
        <v/>
      </c>
    </row>
    <row r="1788" spans="13:13" x14ac:dyDescent="0.35">
      <c r="M1788" s="3" t="str">
        <f t="shared" si="27"/>
        <v/>
      </c>
    </row>
    <row r="1789" spans="13:13" x14ac:dyDescent="0.35">
      <c r="M1789" s="3" t="str">
        <f t="shared" si="27"/>
        <v/>
      </c>
    </row>
    <row r="1790" spans="13:13" x14ac:dyDescent="0.35">
      <c r="M1790" s="3" t="str">
        <f t="shared" si="27"/>
        <v/>
      </c>
    </row>
    <row r="1791" spans="13:13" x14ac:dyDescent="0.35">
      <c r="M1791" s="3" t="str">
        <f t="shared" si="27"/>
        <v/>
      </c>
    </row>
    <row r="1792" spans="13:13" x14ac:dyDescent="0.35">
      <c r="M1792" s="3" t="str">
        <f t="shared" si="27"/>
        <v/>
      </c>
    </row>
    <row r="1793" spans="13:13" x14ac:dyDescent="0.35">
      <c r="M1793" s="3" t="str">
        <f t="shared" si="27"/>
        <v/>
      </c>
    </row>
    <row r="1794" spans="13:13" x14ac:dyDescent="0.35">
      <c r="M1794" s="3" t="str">
        <f t="shared" si="27"/>
        <v/>
      </c>
    </row>
    <row r="1795" spans="13:13" x14ac:dyDescent="0.35">
      <c r="M1795" s="3" t="str">
        <f t="shared" ref="M1795:M1858" si="28">IF(H1795="Efectivo",IFERROR((VALUE(RIGHT(I1795,4))-VALUE(RIGHT(E1795,4)))*12+(VALUE(LEFT(I1795,2))-VALUE(LEFT(E1795,2))),""),"")</f>
        <v/>
      </c>
    </row>
    <row r="1796" spans="13:13" x14ac:dyDescent="0.35">
      <c r="M1796" s="3" t="str">
        <f t="shared" si="28"/>
        <v/>
      </c>
    </row>
    <row r="1797" spans="13:13" x14ac:dyDescent="0.35">
      <c r="M1797" s="3" t="str">
        <f t="shared" si="28"/>
        <v/>
      </c>
    </row>
    <row r="1798" spans="13:13" x14ac:dyDescent="0.35">
      <c r="M1798" s="3" t="str">
        <f t="shared" si="28"/>
        <v/>
      </c>
    </row>
    <row r="1799" spans="13:13" x14ac:dyDescent="0.35">
      <c r="M1799" s="3" t="str">
        <f t="shared" si="28"/>
        <v/>
      </c>
    </row>
    <row r="1800" spans="13:13" x14ac:dyDescent="0.35">
      <c r="M1800" s="3" t="str">
        <f t="shared" si="28"/>
        <v/>
      </c>
    </row>
    <row r="1801" spans="13:13" x14ac:dyDescent="0.35">
      <c r="M1801" s="3" t="str">
        <f t="shared" si="28"/>
        <v/>
      </c>
    </row>
    <row r="1802" spans="13:13" x14ac:dyDescent="0.35">
      <c r="M1802" s="3" t="str">
        <f t="shared" si="28"/>
        <v/>
      </c>
    </row>
    <row r="1803" spans="13:13" x14ac:dyDescent="0.35">
      <c r="M1803" s="3" t="str">
        <f t="shared" si="28"/>
        <v/>
      </c>
    </row>
    <row r="1804" spans="13:13" x14ac:dyDescent="0.35">
      <c r="M1804" s="3" t="str">
        <f t="shared" si="28"/>
        <v/>
      </c>
    </row>
    <row r="1805" spans="13:13" x14ac:dyDescent="0.35">
      <c r="M1805" s="3" t="str">
        <f t="shared" si="28"/>
        <v/>
      </c>
    </row>
    <row r="1806" spans="13:13" x14ac:dyDescent="0.35">
      <c r="M1806" s="3" t="str">
        <f t="shared" si="28"/>
        <v/>
      </c>
    </row>
    <row r="1807" spans="13:13" x14ac:dyDescent="0.35">
      <c r="M1807" s="3" t="str">
        <f t="shared" si="28"/>
        <v/>
      </c>
    </row>
    <row r="1808" spans="13:13" x14ac:dyDescent="0.35">
      <c r="M1808" s="3" t="str">
        <f t="shared" si="28"/>
        <v/>
      </c>
    </row>
    <row r="1809" spans="13:13" x14ac:dyDescent="0.35">
      <c r="M1809" s="3" t="str">
        <f t="shared" si="28"/>
        <v/>
      </c>
    </row>
    <row r="1810" spans="13:13" x14ac:dyDescent="0.35">
      <c r="M1810" s="3" t="str">
        <f t="shared" si="28"/>
        <v/>
      </c>
    </row>
    <row r="1811" spans="13:13" x14ac:dyDescent="0.35">
      <c r="M1811" s="3" t="str">
        <f t="shared" si="28"/>
        <v/>
      </c>
    </row>
    <row r="1812" spans="13:13" x14ac:dyDescent="0.35">
      <c r="M1812" s="3" t="str">
        <f t="shared" si="28"/>
        <v/>
      </c>
    </row>
    <row r="1813" spans="13:13" x14ac:dyDescent="0.35">
      <c r="M1813" s="3" t="str">
        <f t="shared" si="28"/>
        <v/>
      </c>
    </row>
    <row r="1814" spans="13:13" x14ac:dyDescent="0.35">
      <c r="M1814" s="3" t="str">
        <f t="shared" si="28"/>
        <v/>
      </c>
    </row>
    <row r="1815" spans="13:13" x14ac:dyDescent="0.35">
      <c r="M1815" s="3" t="str">
        <f t="shared" si="28"/>
        <v/>
      </c>
    </row>
    <row r="1816" spans="13:13" x14ac:dyDescent="0.35">
      <c r="M1816" s="3" t="str">
        <f t="shared" si="28"/>
        <v/>
      </c>
    </row>
    <row r="1817" spans="13:13" x14ac:dyDescent="0.35">
      <c r="M1817" s="3" t="str">
        <f t="shared" si="28"/>
        <v/>
      </c>
    </row>
    <row r="1818" spans="13:13" x14ac:dyDescent="0.35">
      <c r="M1818" s="3" t="str">
        <f t="shared" si="28"/>
        <v/>
      </c>
    </row>
    <row r="1819" spans="13:13" x14ac:dyDescent="0.35">
      <c r="M1819" s="3" t="str">
        <f t="shared" si="28"/>
        <v/>
      </c>
    </row>
    <row r="1820" spans="13:13" x14ac:dyDescent="0.35">
      <c r="M1820" s="3" t="str">
        <f t="shared" si="28"/>
        <v/>
      </c>
    </row>
    <row r="1821" spans="13:13" x14ac:dyDescent="0.35">
      <c r="M1821" s="3" t="str">
        <f t="shared" si="28"/>
        <v/>
      </c>
    </row>
    <row r="1822" spans="13:13" x14ac:dyDescent="0.35">
      <c r="M1822" s="3" t="str">
        <f t="shared" si="28"/>
        <v/>
      </c>
    </row>
    <row r="1823" spans="13:13" x14ac:dyDescent="0.35">
      <c r="M1823" s="3" t="str">
        <f t="shared" si="28"/>
        <v/>
      </c>
    </row>
    <row r="1824" spans="13:13" x14ac:dyDescent="0.35">
      <c r="M1824" s="3" t="str">
        <f t="shared" si="28"/>
        <v/>
      </c>
    </row>
    <row r="1825" spans="13:13" x14ac:dyDescent="0.35">
      <c r="M1825" s="3" t="str">
        <f t="shared" si="28"/>
        <v/>
      </c>
    </row>
    <row r="1826" spans="13:13" x14ac:dyDescent="0.35">
      <c r="M1826" s="3" t="str">
        <f t="shared" si="28"/>
        <v/>
      </c>
    </row>
    <row r="1827" spans="13:13" x14ac:dyDescent="0.35">
      <c r="M1827" s="3" t="str">
        <f t="shared" si="28"/>
        <v/>
      </c>
    </row>
    <row r="1828" spans="13:13" x14ac:dyDescent="0.35">
      <c r="M1828" s="3" t="str">
        <f t="shared" si="28"/>
        <v/>
      </c>
    </row>
    <row r="1829" spans="13:13" x14ac:dyDescent="0.35">
      <c r="M1829" s="3" t="str">
        <f t="shared" si="28"/>
        <v/>
      </c>
    </row>
    <row r="1830" spans="13:13" x14ac:dyDescent="0.35">
      <c r="M1830" s="3" t="str">
        <f t="shared" si="28"/>
        <v/>
      </c>
    </row>
    <row r="1831" spans="13:13" x14ac:dyDescent="0.35">
      <c r="M1831" s="3" t="str">
        <f t="shared" si="28"/>
        <v/>
      </c>
    </row>
    <row r="1832" spans="13:13" x14ac:dyDescent="0.35">
      <c r="M1832" s="3" t="str">
        <f t="shared" si="28"/>
        <v/>
      </c>
    </row>
    <row r="1833" spans="13:13" x14ac:dyDescent="0.35">
      <c r="M1833" s="3" t="str">
        <f t="shared" si="28"/>
        <v/>
      </c>
    </row>
    <row r="1834" spans="13:13" x14ac:dyDescent="0.35">
      <c r="M1834" s="3" t="str">
        <f t="shared" si="28"/>
        <v/>
      </c>
    </row>
    <row r="1835" spans="13:13" x14ac:dyDescent="0.35">
      <c r="M1835" s="3" t="str">
        <f t="shared" si="28"/>
        <v/>
      </c>
    </row>
    <row r="1836" spans="13:13" x14ac:dyDescent="0.35">
      <c r="M1836" s="3" t="str">
        <f t="shared" si="28"/>
        <v/>
      </c>
    </row>
    <row r="1837" spans="13:13" x14ac:dyDescent="0.35">
      <c r="M1837" s="3" t="str">
        <f t="shared" si="28"/>
        <v/>
      </c>
    </row>
    <row r="1838" spans="13:13" x14ac:dyDescent="0.35">
      <c r="M1838" s="3" t="str">
        <f t="shared" si="28"/>
        <v/>
      </c>
    </row>
    <row r="1839" spans="13:13" x14ac:dyDescent="0.35">
      <c r="M1839" s="3" t="str">
        <f t="shared" si="28"/>
        <v/>
      </c>
    </row>
    <row r="1840" spans="13:13" x14ac:dyDescent="0.35">
      <c r="M1840" s="3" t="str">
        <f t="shared" si="28"/>
        <v/>
      </c>
    </row>
    <row r="1841" spans="13:13" x14ac:dyDescent="0.35">
      <c r="M1841" s="3" t="str">
        <f t="shared" si="28"/>
        <v/>
      </c>
    </row>
    <row r="1842" spans="13:13" x14ac:dyDescent="0.35">
      <c r="M1842" s="3" t="str">
        <f t="shared" si="28"/>
        <v/>
      </c>
    </row>
    <row r="1843" spans="13:13" x14ac:dyDescent="0.35">
      <c r="M1843" s="3" t="str">
        <f t="shared" si="28"/>
        <v/>
      </c>
    </row>
    <row r="1844" spans="13:13" x14ac:dyDescent="0.35">
      <c r="M1844" s="3" t="str">
        <f t="shared" si="28"/>
        <v/>
      </c>
    </row>
    <row r="1845" spans="13:13" x14ac:dyDescent="0.35">
      <c r="M1845" s="3" t="str">
        <f t="shared" si="28"/>
        <v/>
      </c>
    </row>
    <row r="1846" spans="13:13" x14ac:dyDescent="0.35">
      <c r="M1846" s="3" t="str">
        <f t="shared" si="28"/>
        <v/>
      </c>
    </row>
    <row r="1847" spans="13:13" x14ac:dyDescent="0.35">
      <c r="M1847" s="3" t="str">
        <f t="shared" si="28"/>
        <v/>
      </c>
    </row>
    <row r="1848" spans="13:13" x14ac:dyDescent="0.35">
      <c r="M1848" s="3" t="str">
        <f t="shared" si="28"/>
        <v/>
      </c>
    </row>
    <row r="1849" spans="13:13" x14ac:dyDescent="0.35">
      <c r="M1849" s="3" t="str">
        <f t="shared" si="28"/>
        <v/>
      </c>
    </row>
    <row r="1850" spans="13:13" x14ac:dyDescent="0.35">
      <c r="M1850" s="3" t="str">
        <f t="shared" si="28"/>
        <v/>
      </c>
    </row>
    <row r="1851" spans="13:13" x14ac:dyDescent="0.35">
      <c r="M1851" s="3" t="str">
        <f t="shared" si="28"/>
        <v/>
      </c>
    </row>
    <row r="1852" spans="13:13" x14ac:dyDescent="0.35">
      <c r="M1852" s="3" t="str">
        <f t="shared" si="28"/>
        <v/>
      </c>
    </row>
    <row r="1853" spans="13:13" x14ac:dyDescent="0.35">
      <c r="M1853" s="3" t="str">
        <f t="shared" si="28"/>
        <v/>
      </c>
    </row>
    <row r="1854" spans="13:13" x14ac:dyDescent="0.35">
      <c r="M1854" s="3" t="str">
        <f t="shared" si="28"/>
        <v/>
      </c>
    </row>
    <row r="1855" spans="13:13" x14ac:dyDescent="0.35">
      <c r="M1855" s="3" t="str">
        <f t="shared" si="28"/>
        <v/>
      </c>
    </row>
    <row r="1856" spans="13:13" x14ac:dyDescent="0.35">
      <c r="M1856" s="3" t="str">
        <f t="shared" si="28"/>
        <v/>
      </c>
    </row>
    <row r="1857" spans="13:13" x14ac:dyDescent="0.35">
      <c r="M1857" s="3" t="str">
        <f t="shared" si="28"/>
        <v/>
      </c>
    </row>
    <row r="1858" spans="13:13" x14ac:dyDescent="0.35">
      <c r="M1858" s="3" t="str">
        <f t="shared" si="28"/>
        <v/>
      </c>
    </row>
    <row r="1859" spans="13:13" x14ac:dyDescent="0.35">
      <c r="M1859" s="3" t="str">
        <f t="shared" ref="M1859:M1922" si="29">IF(H1859="Efectivo",IFERROR((VALUE(RIGHT(I1859,4))-VALUE(RIGHT(E1859,4)))*12+(VALUE(LEFT(I1859,2))-VALUE(LEFT(E1859,2))),""),"")</f>
        <v/>
      </c>
    </row>
    <row r="1860" spans="13:13" x14ac:dyDescent="0.35">
      <c r="M1860" s="3" t="str">
        <f t="shared" si="29"/>
        <v/>
      </c>
    </row>
    <row r="1861" spans="13:13" x14ac:dyDescent="0.35">
      <c r="M1861" s="3" t="str">
        <f t="shared" si="29"/>
        <v/>
      </c>
    </row>
    <row r="1862" spans="13:13" x14ac:dyDescent="0.35">
      <c r="M1862" s="3" t="str">
        <f t="shared" si="29"/>
        <v/>
      </c>
    </row>
    <row r="1863" spans="13:13" x14ac:dyDescent="0.35">
      <c r="M1863" s="3" t="str">
        <f t="shared" si="29"/>
        <v/>
      </c>
    </row>
    <row r="1864" spans="13:13" x14ac:dyDescent="0.35">
      <c r="M1864" s="3" t="str">
        <f t="shared" si="29"/>
        <v/>
      </c>
    </row>
    <row r="1865" spans="13:13" x14ac:dyDescent="0.35">
      <c r="M1865" s="3" t="str">
        <f t="shared" si="29"/>
        <v/>
      </c>
    </row>
    <row r="1866" spans="13:13" x14ac:dyDescent="0.35">
      <c r="M1866" s="3" t="str">
        <f t="shared" si="29"/>
        <v/>
      </c>
    </row>
    <row r="1867" spans="13:13" x14ac:dyDescent="0.35">
      <c r="M1867" s="3" t="str">
        <f t="shared" si="29"/>
        <v/>
      </c>
    </row>
    <row r="1868" spans="13:13" x14ac:dyDescent="0.35">
      <c r="M1868" s="3" t="str">
        <f t="shared" si="29"/>
        <v/>
      </c>
    </row>
    <row r="1869" spans="13:13" x14ac:dyDescent="0.35">
      <c r="M1869" s="3" t="str">
        <f t="shared" si="29"/>
        <v/>
      </c>
    </row>
    <row r="1870" spans="13:13" x14ac:dyDescent="0.35">
      <c r="M1870" s="3" t="str">
        <f t="shared" si="29"/>
        <v/>
      </c>
    </row>
    <row r="1871" spans="13:13" x14ac:dyDescent="0.35">
      <c r="M1871" s="3" t="str">
        <f t="shared" si="29"/>
        <v/>
      </c>
    </row>
    <row r="1872" spans="13:13" x14ac:dyDescent="0.35">
      <c r="M1872" s="3" t="str">
        <f t="shared" si="29"/>
        <v/>
      </c>
    </row>
    <row r="1873" spans="13:13" x14ac:dyDescent="0.35">
      <c r="M1873" s="3" t="str">
        <f t="shared" si="29"/>
        <v/>
      </c>
    </row>
    <row r="1874" spans="13:13" x14ac:dyDescent="0.35">
      <c r="M1874" s="3" t="str">
        <f t="shared" si="29"/>
        <v/>
      </c>
    </row>
    <row r="1875" spans="13:13" x14ac:dyDescent="0.35">
      <c r="M1875" s="3" t="str">
        <f t="shared" si="29"/>
        <v/>
      </c>
    </row>
    <row r="1876" spans="13:13" x14ac:dyDescent="0.35">
      <c r="M1876" s="3" t="str">
        <f t="shared" si="29"/>
        <v/>
      </c>
    </row>
    <row r="1877" spans="13:13" x14ac:dyDescent="0.35">
      <c r="M1877" s="3" t="str">
        <f t="shared" si="29"/>
        <v/>
      </c>
    </row>
    <row r="1878" spans="13:13" x14ac:dyDescent="0.35">
      <c r="M1878" s="3" t="str">
        <f t="shared" si="29"/>
        <v/>
      </c>
    </row>
    <row r="1879" spans="13:13" x14ac:dyDescent="0.35">
      <c r="M1879" s="3" t="str">
        <f t="shared" si="29"/>
        <v/>
      </c>
    </row>
    <row r="1880" spans="13:13" x14ac:dyDescent="0.35">
      <c r="M1880" s="3" t="str">
        <f t="shared" si="29"/>
        <v/>
      </c>
    </row>
    <row r="1881" spans="13:13" x14ac:dyDescent="0.35">
      <c r="M1881" s="3" t="str">
        <f t="shared" si="29"/>
        <v/>
      </c>
    </row>
    <row r="1882" spans="13:13" x14ac:dyDescent="0.35">
      <c r="M1882" s="3" t="str">
        <f t="shared" si="29"/>
        <v/>
      </c>
    </row>
    <row r="1883" spans="13:13" x14ac:dyDescent="0.35">
      <c r="M1883" s="3" t="str">
        <f t="shared" si="29"/>
        <v/>
      </c>
    </row>
    <row r="1884" spans="13:13" x14ac:dyDescent="0.35">
      <c r="M1884" s="3" t="str">
        <f t="shared" si="29"/>
        <v/>
      </c>
    </row>
    <row r="1885" spans="13:13" x14ac:dyDescent="0.35">
      <c r="M1885" s="3" t="str">
        <f t="shared" si="29"/>
        <v/>
      </c>
    </row>
    <row r="1886" spans="13:13" x14ac:dyDescent="0.35">
      <c r="M1886" s="3" t="str">
        <f t="shared" si="29"/>
        <v/>
      </c>
    </row>
    <row r="1887" spans="13:13" x14ac:dyDescent="0.35">
      <c r="M1887" s="3" t="str">
        <f t="shared" si="29"/>
        <v/>
      </c>
    </row>
    <row r="1888" spans="13:13" x14ac:dyDescent="0.35">
      <c r="M1888" s="3" t="str">
        <f t="shared" si="29"/>
        <v/>
      </c>
    </row>
    <row r="1889" spans="13:13" x14ac:dyDescent="0.35">
      <c r="M1889" s="3" t="str">
        <f t="shared" si="29"/>
        <v/>
      </c>
    </row>
    <row r="1890" spans="13:13" x14ac:dyDescent="0.35">
      <c r="M1890" s="3" t="str">
        <f t="shared" si="29"/>
        <v/>
      </c>
    </row>
    <row r="1891" spans="13:13" x14ac:dyDescent="0.35">
      <c r="M1891" s="3" t="str">
        <f t="shared" si="29"/>
        <v/>
      </c>
    </row>
    <row r="1892" spans="13:13" x14ac:dyDescent="0.35">
      <c r="M1892" s="3" t="str">
        <f t="shared" si="29"/>
        <v/>
      </c>
    </row>
    <row r="1893" spans="13:13" x14ac:dyDescent="0.35">
      <c r="M1893" s="3" t="str">
        <f t="shared" si="29"/>
        <v/>
      </c>
    </row>
    <row r="1894" spans="13:13" x14ac:dyDescent="0.35">
      <c r="M1894" s="3" t="str">
        <f t="shared" si="29"/>
        <v/>
      </c>
    </row>
    <row r="1895" spans="13:13" x14ac:dyDescent="0.35">
      <c r="M1895" s="3" t="str">
        <f t="shared" si="29"/>
        <v/>
      </c>
    </row>
    <row r="1896" spans="13:13" x14ac:dyDescent="0.35">
      <c r="M1896" s="3" t="str">
        <f t="shared" si="29"/>
        <v/>
      </c>
    </row>
    <row r="1897" spans="13:13" x14ac:dyDescent="0.35">
      <c r="M1897" s="3" t="str">
        <f t="shared" si="29"/>
        <v/>
      </c>
    </row>
    <row r="1898" spans="13:13" x14ac:dyDescent="0.35">
      <c r="M1898" s="3" t="str">
        <f t="shared" si="29"/>
        <v/>
      </c>
    </row>
    <row r="1899" spans="13:13" x14ac:dyDescent="0.35">
      <c r="M1899" s="3" t="str">
        <f t="shared" si="29"/>
        <v/>
      </c>
    </row>
    <row r="1900" spans="13:13" x14ac:dyDescent="0.35">
      <c r="M1900" s="3" t="str">
        <f t="shared" si="29"/>
        <v/>
      </c>
    </row>
    <row r="1901" spans="13:13" x14ac:dyDescent="0.35">
      <c r="M1901" s="3" t="str">
        <f t="shared" si="29"/>
        <v/>
      </c>
    </row>
    <row r="1902" spans="13:13" x14ac:dyDescent="0.35">
      <c r="M1902" s="3" t="str">
        <f t="shared" si="29"/>
        <v/>
      </c>
    </row>
    <row r="1903" spans="13:13" x14ac:dyDescent="0.35">
      <c r="M1903" s="3" t="str">
        <f t="shared" si="29"/>
        <v/>
      </c>
    </row>
    <row r="1904" spans="13:13" x14ac:dyDescent="0.35">
      <c r="M1904" s="3" t="str">
        <f t="shared" si="29"/>
        <v/>
      </c>
    </row>
    <row r="1905" spans="13:13" x14ac:dyDescent="0.35">
      <c r="M1905" s="3" t="str">
        <f t="shared" si="29"/>
        <v/>
      </c>
    </row>
    <row r="1906" spans="13:13" x14ac:dyDescent="0.35">
      <c r="M1906" s="3" t="str">
        <f t="shared" si="29"/>
        <v/>
      </c>
    </row>
    <row r="1907" spans="13:13" x14ac:dyDescent="0.35">
      <c r="M1907" s="3" t="str">
        <f t="shared" si="29"/>
        <v/>
      </c>
    </row>
    <row r="1908" spans="13:13" x14ac:dyDescent="0.35">
      <c r="M1908" s="3" t="str">
        <f t="shared" si="29"/>
        <v/>
      </c>
    </row>
    <row r="1909" spans="13:13" x14ac:dyDescent="0.35">
      <c r="M1909" s="3" t="str">
        <f t="shared" si="29"/>
        <v/>
      </c>
    </row>
    <row r="1910" spans="13:13" x14ac:dyDescent="0.35">
      <c r="M1910" s="3" t="str">
        <f t="shared" si="29"/>
        <v/>
      </c>
    </row>
    <row r="1911" spans="13:13" x14ac:dyDescent="0.35">
      <c r="M1911" s="3" t="str">
        <f t="shared" si="29"/>
        <v/>
      </c>
    </row>
    <row r="1912" spans="13:13" x14ac:dyDescent="0.35">
      <c r="M1912" s="3" t="str">
        <f t="shared" si="29"/>
        <v/>
      </c>
    </row>
    <row r="1913" spans="13:13" x14ac:dyDescent="0.35">
      <c r="M1913" s="3" t="str">
        <f t="shared" si="29"/>
        <v/>
      </c>
    </row>
    <row r="1914" spans="13:13" x14ac:dyDescent="0.35">
      <c r="M1914" s="3" t="str">
        <f t="shared" si="29"/>
        <v/>
      </c>
    </row>
    <row r="1915" spans="13:13" x14ac:dyDescent="0.35">
      <c r="M1915" s="3" t="str">
        <f t="shared" si="29"/>
        <v/>
      </c>
    </row>
    <row r="1916" spans="13:13" x14ac:dyDescent="0.35">
      <c r="M1916" s="3" t="str">
        <f t="shared" si="29"/>
        <v/>
      </c>
    </row>
    <row r="1917" spans="13:13" x14ac:dyDescent="0.35">
      <c r="M1917" s="3" t="str">
        <f t="shared" si="29"/>
        <v/>
      </c>
    </row>
    <row r="1918" spans="13:13" x14ac:dyDescent="0.35">
      <c r="M1918" s="3" t="str">
        <f t="shared" si="29"/>
        <v/>
      </c>
    </row>
    <row r="1919" spans="13:13" x14ac:dyDescent="0.35">
      <c r="M1919" s="3" t="str">
        <f t="shared" si="29"/>
        <v/>
      </c>
    </row>
    <row r="1920" spans="13:13" x14ac:dyDescent="0.35">
      <c r="M1920" s="3" t="str">
        <f t="shared" si="29"/>
        <v/>
      </c>
    </row>
    <row r="1921" spans="13:13" x14ac:dyDescent="0.35">
      <c r="M1921" s="3" t="str">
        <f t="shared" si="29"/>
        <v/>
      </c>
    </row>
    <row r="1922" spans="13:13" x14ac:dyDescent="0.35">
      <c r="M1922" s="3" t="str">
        <f t="shared" si="29"/>
        <v/>
      </c>
    </row>
    <row r="1923" spans="13:13" x14ac:dyDescent="0.35">
      <c r="M1923" s="3" t="str">
        <f t="shared" ref="M1923:M1986" si="30">IF(H1923="Efectivo",IFERROR((VALUE(RIGHT(I1923,4))-VALUE(RIGHT(E1923,4)))*12+(VALUE(LEFT(I1923,2))-VALUE(LEFT(E1923,2))),""),"")</f>
        <v/>
      </c>
    </row>
    <row r="1924" spans="13:13" x14ac:dyDescent="0.35">
      <c r="M1924" s="3" t="str">
        <f t="shared" si="30"/>
        <v/>
      </c>
    </row>
    <row r="1925" spans="13:13" x14ac:dyDescent="0.35">
      <c r="M1925" s="3" t="str">
        <f t="shared" si="30"/>
        <v/>
      </c>
    </row>
    <row r="1926" spans="13:13" x14ac:dyDescent="0.35">
      <c r="M1926" s="3" t="str">
        <f t="shared" si="30"/>
        <v/>
      </c>
    </row>
    <row r="1927" spans="13:13" x14ac:dyDescent="0.35">
      <c r="M1927" s="3" t="str">
        <f t="shared" si="30"/>
        <v/>
      </c>
    </row>
    <row r="1928" spans="13:13" x14ac:dyDescent="0.35">
      <c r="M1928" s="3" t="str">
        <f t="shared" si="30"/>
        <v/>
      </c>
    </row>
    <row r="1929" spans="13:13" x14ac:dyDescent="0.35">
      <c r="M1929" s="3" t="str">
        <f t="shared" si="30"/>
        <v/>
      </c>
    </row>
    <row r="1930" spans="13:13" x14ac:dyDescent="0.35">
      <c r="M1930" s="3" t="str">
        <f t="shared" si="30"/>
        <v/>
      </c>
    </row>
    <row r="1931" spans="13:13" x14ac:dyDescent="0.35">
      <c r="M1931" s="3" t="str">
        <f t="shared" si="30"/>
        <v/>
      </c>
    </row>
    <row r="1932" spans="13:13" x14ac:dyDescent="0.35">
      <c r="M1932" s="3" t="str">
        <f t="shared" si="30"/>
        <v/>
      </c>
    </row>
    <row r="1933" spans="13:13" x14ac:dyDescent="0.35">
      <c r="M1933" s="3" t="str">
        <f t="shared" si="30"/>
        <v/>
      </c>
    </row>
    <row r="1934" spans="13:13" x14ac:dyDescent="0.35">
      <c r="M1934" s="3" t="str">
        <f t="shared" si="30"/>
        <v/>
      </c>
    </row>
    <row r="1935" spans="13:13" x14ac:dyDescent="0.35">
      <c r="M1935" s="3" t="str">
        <f t="shared" si="30"/>
        <v/>
      </c>
    </row>
    <row r="1936" spans="13:13" x14ac:dyDescent="0.35">
      <c r="M1936" s="3" t="str">
        <f t="shared" si="30"/>
        <v/>
      </c>
    </row>
    <row r="1937" spans="13:13" x14ac:dyDescent="0.35">
      <c r="M1937" s="3" t="str">
        <f t="shared" si="30"/>
        <v/>
      </c>
    </row>
    <row r="1938" spans="13:13" x14ac:dyDescent="0.35">
      <c r="M1938" s="3" t="str">
        <f t="shared" si="30"/>
        <v/>
      </c>
    </row>
    <row r="1939" spans="13:13" x14ac:dyDescent="0.35">
      <c r="M1939" s="3" t="str">
        <f t="shared" si="30"/>
        <v/>
      </c>
    </row>
    <row r="1940" spans="13:13" x14ac:dyDescent="0.35">
      <c r="M1940" s="3" t="str">
        <f t="shared" si="30"/>
        <v/>
      </c>
    </row>
    <row r="1941" spans="13:13" x14ac:dyDescent="0.35">
      <c r="M1941" s="3" t="str">
        <f t="shared" si="30"/>
        <v/>
      </c>
    </row>
    <row r="1942" spans="13:13" x14ac:dyDescent="0.35">
      <c r="M1942" s="3" t="str">
        <f t="shared" si="30"/>
        <v/>
      </c>
    </row>
    <row r="1943" spans="13:13" x14ac:dyDescent="0.35">
      <c r="M1943" s="3" t="str">
        <f t="shared" si="30"/>
        <v/>
      </c>
    </row>
    <row r="1944" spans="13:13" x14ac:dyDescent="0.35">
      <c r="M1944" s="3" t="str">
        <f t="shared" si="30"/>
        <v/>
      </c>
    </row>
    <row r="1945" spans="13:13" x14ac:dyDescent="0.35">
      <c r="M1945" s="3" t="str">
        <f t="shared" si="30"/>
        <v/>
      </c>
    </row>
    <row r="1946" spans="13:13" x14ac:dyDescent="0.35">
      <c r="M1946" s="3" t="str">
        <f t="shared" si="30"/>
        <v/>
      </c>
    </row>
    <row r="1947" spans="13:13" x14ac:dyDescent="0.35">
      <c r="M1947" s="3" t="str">
        <f t="shared" si="30"/>
        <v/>
      </c>
    </row>
    <row r="1948" spans="13:13" x14ac:dyDescent="0.35">
      <c r="M1948" s="3" t="str">
        <f t="shared" si="30"/>
        <v/>
      </c>
    </row>
    <row r="1949" spans="13:13" x14ac:dyDescent="0.35">
      <c r="M1949" s="3" t="str">
        <f t="shared" si="30"/>
        <v/>
      </c>
    </row>
    <row r="1950" spans="13:13" x14ac:dyDescent="0.35">
      <c r="M1950" s="3" t="str">
        <f t="shared" si="30"/>
        <v/>
      </c>
    </row>
    <row r="1951" spans="13:13" x14ac:dyDescent="0.35">
      <c r="M1951" s="3" t="str">
        <f t="shared" si="30"/>
        <v/>
      </c>
    </row>
    <row r="1952" spans="13:13" x14ac:dyDescent="0.35">
      <c r="M1952" s="3" t="str">
        <f t="shared" si="30"/>
        <v/>
      </c>
    </row>
    <row r="1953" spans="13:13" x14ac:dyDescent="0.35">
      <c r="M1953" s="3" t="str">
        <f t="shared" si="30"/>
        <v/>
      </c>
    </row>
    <row r="1954" spans="13:13" x14ac:dyDescent="0.35">
      <c r="M1954" s="3" t="str">
        <f t="shared" si="30"/>
        <v/>
      </c>
    </row>
    <row r="1955" spans="13:13" x14ac:dyDescent="0.35">
      <c r="M1955" s="3" t="str">
        <f t="shared" si="30"/>
        <v/>
      </c>
    </row>
    <row r="1956" spans="13:13" x14ac:dyDescent="0.35">
      <c r="M1956" s="3" t="str">
        <f t="shared" si="30"/>
        <v/>
      </c>
    </row>
    <row r="1957" spans="13:13" x14ac:dyDescent="0.35">
      <c r="M1957" s="3" t="str">
        <f t="shared" si="30"/>
        <v/>
      </c>
    </row>
    <row r="1958" spans="13:13" x14ac:dyDescent="0.35">
      <c r="M1958" s="3" t="str">
        <f t="shared" si="30"/>
        <v/>
      </c>
    </row>
    <row r="1959" spans="13:13" x14ac:dyDescent="0.35">
      <c r="M1959" s="3" t="str">
        <f t="shared" si="30"/>
        <v/>
      </c>
    </row>
    <row r="1960" spans="13:13" x14ac:dyDescent="0.35">
      <c r="M1960" s="3" t="str">
        <f t="shared" si="30"/>
        <v/>
      </c>
    </row>
    <row r="1961" spans="13:13" x14ac:dyDescent="0.35">
      <c r="M1961" s="3" t="str">
        <f t="shared" si="30"/>
        <v/>
      </c>
    </row>
    <row r="1962" spans="13:13" x14ac:dyDescent="0.35">
      <c r="M1962" s="3" t="str">
        <f t="shared" si="30"/>
        <v/>
      </c>
    </row>
    <row r="1963" spans="13:13" x14ac:dyDescent="0.35">
      <c r="M1963" s="3" t="str">
        <f t="shared" si="30"/>
        <v/>
      </c>
    </row>
    <row r="1964" spans="13:13" x14ac:dyDescent="0.35">
      <c r="M1964" s="3" t="str">
        <f t="shared" si="30"/>
        <v/>
      </c>
    </row>
    <row r="1965" spans="13:13" x14ac:dyDescent="0.35">
      <c r="M1965" s="3" t="str">
        <f t="shared" si="30"/>
        <v/>
      </c>
    </row>
    <row r="1966" spans="13:13" x14ac:dyDescent="0.35">
      <c r="M1966" s="3" t="str">
        <f t="shared" si="30"/>
        <v/>
      </c>
    </row>
    <row r="1967" spans="13:13" x14ac:dyDescent="0.35">
      <c r="M1967" s="3" t="str">
        <f t="shared" si="30"/>
        <v/>
      </c>
    </row>
    <row r="1968" spans="13:13" x14ac:dyDescent="0.35">
      <c r="M1968" s="3" t="str">
        <f t="shared" si="30"/>
        <v/>
      </c>
    </row>
    <row r="1969" spans="13:13" x14ac:dyDescent="0.35">
      <c r="M1969" s="3" t="str">
        <f t="shared" si="30"/>
        <v/>
      </c>
    </row>
    <row r="1970" spans="13:13" x14ac:dyDescent="0.35">
      <c r="M1970" s="3" t="str">
        <f t="shared" si="30"/>
        <v/>
      </c>
    </row>
    <row r="1971" spans="13:13" x14ac:dyDescent="0.35">
      <c r="M1971" s="3" t="str">
        <f t="shared" si="30"/>
        <v/>
      </c>
    </row>
    <row r="1972" spans="13:13" x14ac:dyDescent="0.35">
      <c r="M1972" s="3" t="str">
        <f t="shared" si="30"/>
        <v/>
      </c>
    </row>
    <row r="1973" spans="13:13" x14ac:dyDescent="0.35">
      <c r="M1973" s="3" t="str">
        <f t="shared" si="30"/>
        <v/>
      </c>
    </row>
    <row r="1974" spans="13:13" x14ac:dyDescent="0.35">
      <c r="M1974" s="3" t="str">
        <f t="shared" si="30"/>
        <v/>
      </c>
    </row>
    <row r="1975" spans="13:13" x14ac:dyDescent="0.35">
      <c r="M1975" s="3" t="str">
        <f t="shared" si="30"/>
        <v/>
      </c>
    </row>
    <row r="1976" spans="13:13" x14ac:dyDescent="0.35">
      <c r="M1976" s="3" t="str">
        <f t="shared" si="30"/>
        <v/>
      </c>
    </row>
    <row r="1977" spans="13:13" x14ac:dyDescent="0.35">
      <c r="M1977" s="3" t="str">
        <f t="shared" si="30"/>
        <v/>
      </c>
    </row>
    <row r="1978" spans="13:13" x14ac:dyDescent="0.35">
      <c r="M1978" s="3" t="str">
        <f t="shared" si="30"/>
        <v/>
      </c>
    </row>
    <row r="1979" spans="13:13" x14ac:dyDescent="0.35">
      <c r="M1979" s="3" t="str">
        <f t="shared" si="30"/>
        <v/>
      </c>
    </row>
    <row r="1980" spans="13:13" x14ac:dyDescent="0.35">
      <c r="M1980" s="3" t="str">
        <f t="shared" si="30"/>
        <v/>
      </c>
    </row>
    <row r="1981" spans="13:13" x14ac:dyDescent="0.35">
      <c r="M1981" s="3" t="str">
        <f t="shared" si="30"/>
        <v/>
      </c>
    </row>
    <row r="1982" spans="13:13" x14ac:dyDescent="0.35">
      <c r="M1982" s="3" t="str">
        <f t="shared" si="30"/>
        <v/>
      </c>
    </row>
    <row r="1983" spans="13:13" x14ac:dyDescent="0.35">
      <c r="M1983" s="3" t="str">
        <f t="shared" si="30"/>
        <v/>
      </c>
    </row>
    <row r="1984" spans="13:13" x14ac:dyDescent="0.35">
      <c r="M1984" s="3" t="str">
        <f t="shared" si="30"/>
        <v/>
      </c>
    </row>
    <row r="1985" spans="13:13" x14ac:dyDescent="0.35">
      <c r="M1985" s="3" t="str">
        <f t="shared" si="30"/>
        <v/>
      </c>
    </row>
    <row r="1986" spans="13:13" x14ac:dyDescent="0.35">
      <c r="M1986" s="3" t="str">
        <f t="shared" si="30"/>
        <v/>
      </c>
    </row>
    <row r="1987" spans="13:13" x14ac:dyDescent="0.35">
      <c r="M1987" s="3" t="str">
        <f t="shared" ref="M1987:M2001" si="31">IF(H1987="Efectivo",IFERROR((VALUE(RIGHT(I1987,4))-VALUE(RIGHT(E1987,4)))*12+(VALUE(LEFT(I1987,2))-VALUE(LEFT(E1987,2))),""),"")</f>
        <v/>
      </c>
    </row>
    <row r="1988" spans="13:13" x14ac:dyDescent="0.35">
      <c r="M1988" s="3" t="str">
        <f t="shared" si="31"/>
        <v/>
      </c>
    </row>
    <row r="1989" spans="13:13" x14ac:dyDescent="0.35">
      <c r="M1989" s="3" t="str">
        <f t="shared" si="31"/>
        <v/>
      </c>
    </row>
    <row r="1990" spans="13:13" x14ac:dyDescent="0.35">
      <c r="M1990" s="3" t="str">
        <f t="shared" si="31"/>
        <v/>
      </c>
    </row>
    <row r="1991" spans="13:13" x14ac:dyDescent="0.35">
      <c r="M1991" s="3" t="str">
        <f t="shared" si="31"/>
        <v/>
      </c>
    </row>
    <row r="1992" spans="13:13" x14ac:dyDescent="0.35">
      <c r="M1992" s="3" t="str">
        <f t="shared" si="31"/>
        <v/>
      </c>
    </row>
    <row r="1993" spans="13:13" x14ac:dyDescent="0.35">
      <c r="M1993" s="3" t="str">
        <f t="shared" si="31"/>
        <v/>
      </c>
    </row>
    <row r="1994" spans="13:13" x14ac:dyDescent="0.35">
      <c r="M1994" s="3" t="str">
        <f t="shared" si="31"/>
        <v/>
      </c>
    </row>
    <row r="1995" spans="13:13" x14ac:dyDescent="0.35">
      <c r="M1995" s="3" t="str">
        <f t="shared" si="31"/>
        <v/>
      </c>
    </row>
    <row r="1996" spans="13:13" x14ac:dyDescent="0.35">
      <c r="M1996" s="3" t="str">
        <f t="shared" si="31"/>
        <v/>
      </c>
    </row>
    <row r="1997" spans="13:13" x14ac:dyDescent="0.35">
      <c r="M1997" s="3" t="str">
        <f t="shared" si="31"/>
        <v/>
      </c>
    </row>
    <row r="1998" spans="13:13" x14ac:dyDescent="0.35">
      <c r="M1998" s="3" t="str">
        <f t="shared" si="31"/>
        <v/>
      </c>
    </row>
    <row r="1999" spans="13:13" x14ac:dyDescent="0.35">
      <c r="M1999" s="3" t="str">
        <f t="shared" si="31"/>
        <v/>
      </c>
    </row>
    <row r="2000" spans="13:13" x14ac:dyDescent="0.35">
      <c r="M2000" s="3" t="str">
        <f t="shared" si="31"/>
        <v/>
      </c>
    </row>
    <row r="2001" spans="13:13" x14ac:dyDescent="0.35">
      <c r="M2001" s="3" t="str">
        <f t="shared" si="31"/>
        <v/>
      </c>
    </row>
  </sheetData>
  <mergeCells count="1">
    <mergeCell ref="A1:M1"/>
  </mergeCells>
  <dataValidations count="2">
    <dataValidation type="list" allowBlank="1" sqref="H3:H2001" xr:uid="{00000000-0002-0000-0000-000000000000}">
      <formula1>"Efectivo,Pendiente,Cancelado"</formula1>
    </dataValidation>
    <dataValidation type="list" allowBlank="1" sqref="L3:L2001" xr:uid="{00000000-0002-0000-0000-000001000000}">
      <formula1>"UBER,DIDI"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556"/>
  </sheetPr>
  <dimension ref="A1:D62"/>
  <sheetViews>
    <sheetView workbookViewId="0">
      <pane ySplit="2" topLeftCell="A32" activePane="bottomLeft" state="frozen"/>
      <selection pane="bottomLeft" sqref="A1:D1048576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4" width="30" customWidth="1"/>
    <col min="5" max="5" width="8.54296875" customWidth="1"/>
  </cols>
  <sheetData>
    <row r="1" spans="1:4" ht="22" customHeight="1" x14ac:dyDescent="0.35">
      <c r="A1" s="63" t="s">
        <v>14</v>
      </c>
      <c r="B1" s="63"/>
      <c r="C1" s="63"/>
      <c r="D1" s="63"/>
    </row>
    <row r="2" spans="1:4" ht="28" customHeight="1" x14ac:dyDescent="0.35">
      <c r="A2" s="1" t="s">
        <v>5</v>
      </c>
      <c r="B2" s="1" t="s">
        <v>15</v>
      </c>
      <c r="C2" s="1" t="s">
        <v>180</v>
      </c>
      <c r="D2" s="57" t="s">
        <v>184</v>
      </c>
    </row>
    <row r="3" spans="1:4" x14ac:dyDescent="0.35">
      <c r="A3" s="4" t="s">
        <v>16</v>
      </c>
      <c r="B3" s="5">
        <v>36</v>
      </c>
      <c r="C3" s="6">
        <v>36</v>
      </c>
      <c r="D3" s="58">
        <v>0</v>
      </c>
    </row>
    <row r="4" spans="1:4" x14ac:dyDescent="0.35">
      <c r="A4" s="4" t="s">
        <v>17</v>
      </c>
      <c r="B4" s="5">
        <v>31</v>
      </c>
      <c r="C4" s="6">
        <v>31</v>
      </c>
      <c r="D4" s="58">
        <v>0</v>
      </c>
    </row>
    <row r="5" spans="1:4" x14ac:dyDescent="0.35">
      <c r="A5" s="4" t="s">
        <v>18</v>
      </c>
      <c r="B5" s="5">
        <v>30</v>
      </c>
      <c r="C5" s="6">
        <v>30</v>
      </c>
      <c r="D5" s="58">
        <v>0</v>
      </c>
    </row>
    <row r="6" spans="1:4" x14ac:dyDescent="0.35">
      <c r="A6" s="4" t="s">
        <v>19</v>
      </c>
      <c r="B6" s="5">
        <v>27</v>
      </c>
      <c r="C6" s="6">
        <v>27</v>
      </c>
      <c r="D6" s="58">
        <v>0</v>
      </c>
    </row>
    <row r="7" spans="1:4" x14ac:dyDescent="0.35">
      <c r="A7" s="4" t="s">
        <v>20</v>
      </c>
      <c r="B7" s="5">
        <v>28</v>
      </c>
      <c r="C7" s="6">
        <v>28</v>
      </c>
      <c r="D7" s="58">
        <v>0</v>
      </c>
    </row>
    <row r="8" spans="1:4" x14ac:dyDescent="0.35">
      <c r="A8" s="4" t="s">
        <v>21</v>
      </c>
      <c r="B8" s="5">
        <v>44</v>
      </c>
      <c r="C8" s="6">
        <v>44</v>
      </c>
      <c r="D8" s="58">
        <v>0</v>
      </c>
    </row>
    <row r="9" spans="1:4" x14ac:dyDescent="0.35">
      <c r="A9" s="4" t="s">
        <v>22</v>
      </c>
      <c r="B9" s="5">
        <v>43</v>
      </c>
      <c r="C9" s="6">
        <v>43</v>
      </c>
      <c r="D9" s="58">
        <v>0</v>
      </c>
    </row>
    <row r="10" spans="1:4" x14ac:dyDescent="0.35">
      <c r="A10" s="4" t="s">
        <v>23</v>
      </c>
      <c r="B10" s="5">
        <v>50</v>
      </c>
      <c r="C10" s="6">
        <v>50</v>
      </c>
      <c r="D10" s="58">
        <v>0</v>
      </c>
    </row>
    <row r="11" spans="1:4" x14ac:dyDescent="0.35">
      <c r="A11" s="4" t="s">
        <v>24</v>
      </c>
      <c r="B11" s="5">
        <v>55</v>
      </c>
      <c r="C11" s="6">
        <v>55</v>
      </c>
      <c r="D11" s="58">
        <v>0</v>
      </c>
    </row>
    <row r="12" spans="1:4" x14ac:dyDescent="0.35">
      <c r="A12" s="4" t="s">
        <v>25</v>
      </c>
      <c r="B12" s="5">
        <v>51</v>
      </c>
      <c r="C12" s="6">
        <v>51</v>
      </c>
      <c r="D12" s="58">
        <v>0</v>
      </c>
    </row>
    <row r="13" spans="1:4" x14ac:dyDescent="0.35">
      <c r="A13" s="4" t="s">
        <v>26</v>
      </c>
      <c r="B13" s="5">
        <v>58</v>
      </c>
      <c r="C13" s="6">
        <v>58</v>
      </c>
      <c r="D13" s="58">
        <v>0</v>
      </c>
    </row>
    <row r="14" spans="1:4" x14ac:dyDescent="0.35">
      <c r="A14" s="4" t="s">
        <v>27</v>
      </c>
      <c r="B14" s="5">
        <v>36</v>
      </c>
      <c r="C14" s="6">
        <v>36</v>
      </c>
      <c r="D14" s="58">
        <v>0</v>
      </c>
    </row>
    <row r="15" spans="1:4" x14ac:dyDescent="0.35">
      <c r="A15" s="7" t="s">
        <v>28</v>
      </c>
      <c r="B15" s="8">
        <v>63</v>
      </c>
      <c r="C15" s="9">
        <v>63</v>
      </c>
      <c r="D15" s="59">
        <v>0</v>
      </c>
    </row>
    <row r="16" spans="1:4" x14ac:dyDescent="0.35">
      <c r="A16" s="7" t="s">
        <v>29</v>
      </c>
      <c r="B16" s="8">
        <v>68</v>
      </c>
      <c r="C16" s="9">
        <v>68</v>
      </c>
      <c r="D16" s="59">
        <v>0</v>
      </c>
    </row>
    <row r="17" spans="1:4" x14ac:dyDescent="0.35">
      <c r="A17" s="7" t="s">
        <v>30</v>
      </c>
      <c r="B17" s="8">
        <v>60</v>
      </c>
      <c r="C17" s="9">
        <v>59</v>
      </c>
      <c r="D17" s="59">
        <v>0</v>
      </c>
    </row>
    <row r="18" spans="1:4" x14ac:dyDescent="0.35">
      <c r="A18" s="7" t="s">
        <v>31</v>
      </c>
      <c r="B18" s="8">
        <v>73</v>
      </c>
      <c r="C18" s="9">
        <v>72</v>
      </c>
      <c r="D18" s="59">
        <v>0</v>
      </c>
    </row>
    <row r="19" spans="1:4" x14ac:dyDescent="0.35">
      <c r="A19" s="7" t="s">
        <v>32</v>
      </c>
      <c r="B19" s="8">
        <v>94</v>
      </c>
      <c r="C19" s="9">
        <v>93</v>
      </c>
      <c r="D19" s="59">
        <v>0</v>
      </c>
    </row>
    <row r="20" spans="1:4" x14ac:dyDescent="0.35">
      <c r="A20" s="7" t="s">
        <v>33</v>
      </c>
      <c r="B20" s="8">
        <v>103</v>
      </c>
      <c r="C20" s="9">
        <v>103</v>
      </c>
      <c r="D20" s="59">
        <v>0</v>
      </c>
    </row>
    <row r="21" spans="1:4" x14ac:dyDescent="0.35">
      <c r="A21" s="7" t="s">
        <v>34</v>
      </c>
      <c r="B21" s="8">
        <v>119</v>
      </c>
      <c r="C21" s="9">
        <v>117</v>
      </c>
      <c r="D21" s="59">
        <v>0</v>
      </c>
    </row>
    <row r="22" spans="1:4" x14ac:dyDescent="0.35">
      <c r="A22" s="7" t="s">
        <v>35</v>
      </c>
      <c r="B22" s="8">
        <v>114</v>
      </c>
      <c r="C22" s="9">
        <v>98</v>
      </c>
      <c r="D22" s="59">
        <v>0</v>
      </c>
    </row>
    <row r="23" spans="1:4" x14ac:dyDescent="0.35">
      <c r="A23" s="7" t="s">
        <v>36</v>
      </c>
      <c r="B23" s="8">
        <v>112</v>
      </c>
      <c r="C23" s="9">
        <v>93</v>
      </c>
      <c r="D23" s="59">
        <v>0</v>
      </c>
    </row>
    <row r="24" spans="1:4" x14ac:dyDescent="0.35">
      <c r="A24" s="7" t="s">
        <v>37</v>
      </c>
      <c r="B24" s="8">
        <v>120</v>
      </c>
      <c r="C24" s="9">
        <v>100</v>
      </c>
      <c r="D24" s="59">
        <v>0</v>
      </c>
    </row>
    <row r="25" spans="1:4" x14ac:dyDescent="0.35">
      <c r="A25" s="7" t="s">
        <v>38</v>
      </c>
      <c r="B25" s="8">
        <v>95</v>
      </c>
      <c r="C25" s="9">
        <v>78</v>
      </c>
      <c r="D25" s="59">
        <v>0</v>
      </c>
    </row>
    <row r="26" spans="1:4" x14ac:dyDescent="0.35">
      <c r="A26" s="7" t="s">
        <v>39</v>
      </c>
      <c r="B26" s="8">
        <v>105</v>
      </c>
      <c r="C26" s="9">
        <v>89</v>
      </c>
      <c r="D26" s="59">
        <v>16</v>
      </c>
    </row>
    <row r="27" spans="1:4" x14ac:dyDescent="0.35">
      <c r="A27" s="10" t="s">
        <v>40</v>
      </c>
      <c r="B27" s="11">
        <v>97</v>
      </c>
      <c r="C27" s="12">
        <v>74</v>
      </c>
      <c r="D27" s="60">
        <v>23</v>
      </c>
    </row>
    <row r="28" spans="1:4" x14ac:dyDescent="0.35">
      <c r="A28" s="10" t="s">
        <v>41</v>
      </c>
      <c r="B28" s="11">
        <v>99</v>
      </c>
      <c r="C28" s="12">
        <v>75</v>
      </c>
      <c r="D28" s="60">
        <v>24</v>
      </c>
    </row>
    <row r="29" spans="1:4" x14ac:dyDescent="0.35">
      <c r="A29" s="10" t="s">
        <v>42</v>
      </c>
      <c r="B29" s="11">
        <v>136</v>
      </c>
      <c r="C29" s="12">
        <v>121</v>
      </c>
      <c r="D29" s="60">
        <v>15</v>
      </c>
    </row>
    <row r="30" spans="1:4" x14ac:dyDescent="0.35">
      <c r="A30" s="10" t="s">
        <v>43</v>
      </c>
      <c r="B30" s="11">
        <v>161</v>
      </c>
      <c r="C30" s="12">
        <v>124</v>
      </c>
      <c r="D30" s="60">
        <v>37</v>
      </c>
    </row>
    <row r="31" spans="1:4" x14ac:dyDescent="0.35">
      <c r="A31" s="10" t="s">
        <v>44</v>
      </c>
      <c r="B31" s="11">
        <v>157</v>
      </c>
      <c r="C31" s="12">
        <v>97</v>
      </c>
      <c r="D31" s="60">
        <v>60</v>
      </c>
    </row>
    <row r="32" spans="1:4" x14ac:dyDescent="0.35">
      <c r="A32" s="10" t="s">
        <v>45</v>
      </c>
      <c r="B32" s="11">
        <v>195</v>
      </c>
      <c r="C32" s="12">
        <v>153</v>
      </c>
      <c r="D32" s="60">
        <v>42</v>
      </c>
    </row>
    <row r="33" spans="1:4" x14ac:dyDescent="0.35">
      <c r="A33" s="10" t="s">
        <v>46</v>
      </c>
      <c r="B33" s="11">
        <v>199</v>
      </c>
      <c r="C33" s="12">
        <v>147</v>
      </c>
      <c r="D33" s="60">
        <v>52</v>
      </c>
    </row>
    <row r="34" spans="1:4" x14ac:dyDescent="0.35">
      <c r="A34" s="10" t="s">
        <v>47</v>
      </c>
      <c r="B34" s="11">
        <v>166</v>
      </c>
      <c r="C34" s="12">
        <v>133</v>
      </c>
      <c r="D34" s="60">
        <v>33</v>
      </c>
    </row>
    <row r="35" spans="1:4" x14ac:dyDescent="0.35">
      <c r="A35" s="10" t="s">
        <v>48</v>
      </c>
      <c r="B35" s="11">
        <v>180</v>
      </c>
      <c r="C35" s="12">
        <v>134</v>
      </c>
      <c r="D35" s="60">
        <v>46</v>
      </c>
    </row>
    <row r="36" spans="1:4" x14ac:dyDescent="0.35">
      <c r="A36" s="10" t="s">
        <v>49</v>
      </c>
      <c r="B36" s="11">
        <v>206</v>
      </c>
      <c r="C36" s="12">
        <v>154</v>
      </c>
      <c r="D36" s="60">
        <v>52</v>
      </c>
    </row>
    <row r="37" spans="1:4" x14ac:dyDescent="0.35">
      <c r="A37" s="10" t="s">
        <v>50</v>
      </c>
      <c r="B37" s="11">
        <v>211</v>
      </c>
      <c r="C37" s="12">
        <v>161</v>
      </c>
      <c r="D37" s="60">
        <v>50</v>
      </c>
    </row>
    <row r="38" spans="1:4" x14ac:dyDescent="0.35">
      <c r="A38" s="10" t="s">
        <v>51</v>
      </c>
      <c r="B38" s="11">
        <v>215</v>
      </c>
      <c r="C38" s="12">
        <v>166</v>
      </c>
      <c r="D38" s="60">
        <v>49</v>
      </c>
    </row>
    <row r="39" spans="1:4" x14ac:dyDescent="0.35">
      <c r="A39" s="13" t="s">
        <v>52</v>
      </c>
      <c r="B39" s="14">
        <v>175</v>
      </c>
      <c r="C39" s="15">
        <v>121</v>
      </c>
      <c r="D39" s="61">
        <v>54</v>
      </c>
    </row>
    <row r="40" spans="1:4" x14ac:dyDescent="0.35">
      <c r="A40" s="13" t="s">
        <v>53</v>
      </c>
      <c r="B40" s="14">
        <v>201</v>
      </c>
      <c r="C40" s="15">
        <v>157</v>
      </c>
      <c r="D40" s="61">
        <v>44</v>
      </c>
    </row>
    <row r="41" spans="1:4" x14ac:dyDescent="0.35">
      <c r="A41" s="13" t="s">
        <v>54</v>
      </c>
      <c r="B41" s="14">
        <v>177</v>
      </c>
      <c r="C41" s="15">
        <v>124</v>
      </c>
      <c r="D41" s="61">
        <v>53</v>
      </c>
    </row>
    <row r="42" spans="1:4" x14ac:dyDescent="0.35">
      <c r="A42" s="13" t="s">
        <v>55</v>
      </c>
      <c r="B42" s="14">
        <v>218</v>
      </c>
      <c r="C42" s="15">
        <v>165</v>
      </c>
      <c r="D42" s="61">
        <v>53</v>
      </c>
    </row>
    <row r="43" spans="1:4" x14ac:dyDescent="0.35">
      <c r="A43" s="13" t="s">
        <v>56</v>
      </c>
      <c r="B43" s="16"/>
      <c r="C43" s="15"/>
      <c r="D43" s="61"/>
    </row>
    <row r="44" spans="1:4" x14ac:dyDescent="0.35">
      <c r="A44" s="13" t="s">
        <v>57</v>
      </c>
      <c r="B44" s="16"/>
      <c r="C44" s="15"/>
      <c r="D44" s="61"/>
    </row>
    <row r="45" spans="1:4" x14ac:dyDescent="0.35">
      <c r="A45" s="13" t="s">
        <v>58</v>
      </c>
      <c r="B45" s="16"/>
      <c r="C45" s="15"/>
      <c r="D45" s="61"/>
    </row>
    <row r="46" spans="1:4" x14ac:dyDescent="0.35">
      <c r="A46" s="13" t="s">
        <v>59</v>
      </c>
      <c r="B46" s="16"/>
      <c r="C46" s="15"/>
      <c r="D46" s="61"/>
    </row>
    <row r="47" spans="1:4" x14ac:dyDescent="0.35">
      <c r="A47" s="13" t="s">
        <v>60</v>
      </c>
      <c r="B47" s="16"/>
      <c r="C47" s="15"/>
      <c r="D47" s="61"/>
    </row>
    <row r="48" spans="1:4" x14ac:dyDescent="0.35">
      <c r="A48" s="13" t="s">
        <v>61</v>
      </c>
      <c r="B48" s="16"/>
      <c r="C48" s="15"/>
      <c r="D48" s="61"/>
    </row>
    <row r="49" spans="1:4" x14ac:dyDescent="0.35">
      <c r="A49" s="13" t="s">
        <v>62</v>
      </c>
      <c r="B49" s="16"/>
      <c r="C49" s="15"/>
      <c r="D49" s="61"/>
    </row>
    <row r="50" spans="1:4" x14ac:dyDescent="0.35">
      <c r="A50" s="13" t="s">
        <v>63</v>
      </c>
      <c r="B50" s="16"/>
      <c r="C50" s="15"/>
      <c r="D50" s="61"/>
    </row>
    <row r="51" spans="1:4" x14ac:dyDescent="0.35">
      <c r="A51" s="17"/>
      <c r="B51" s="18"/>
      <c r="C51" s="18"/>
      <c r="D51" s="62"/>
    </row>
    <row r="52" spans="1:4" x14ac:dyDescent="0.35">
      <c r="A52" s="17"/>
      <c r="B52" s="18"/>
      <c r="C52" s="18"/>
      <c r="D52" s="62"/>
    </row>
    <row r="53" spans="1:4" x14ac:dyDescent="0.35">
      <c r="A53" s="17"/>
      <c r="B53" s="18"/>
      <c r="C53" s="18"/>
      <c r="D53" s="62"/>
    </row>
    <row r="54" spans="1:4" x14ac:dyDescent="0.35">
      <c r="A54" s="17"/>
      <c r="B54" s="18"/>
      <c r="C54" s="18"/>
      <c r="D54" s="62"/>
    </row>
    <row r="55" spans="1:4" x14ac:dyDescent="0.35">
      <c r="A55" s="17"/>
      <c r="B55" s="18"/>
      <c r="C55" s="18"/>
      <c r="D55" s="62"/>
    </row>
    <row r="56" spans="1:4" x14ac:dyDescent="0.35">
      <c r="A56" s="17"/>
      <c r="B56" s="18"/>
      <c r="C56" s="18"/>
      <c r="D56" s="62"/>
    </row>
    <row r="57" spans="1:4" x14ac:dyDescent="0.35">
      <c r="A57" s="17"/>
      <c r="B57" s="18"/>
      <c r="C57" s="18"/>
      <c r="D57" s="62"/>
    </row>
    <row r="58" spans="1:4" x14ac:dyDescent="0.35">
      <c r="A58" s="17"/>
      <c r="B58" s="18"/>
      <c r="C58" s="18"/>
      <c r="D58" s="62"/>
    </row>
    <row r="59" spans="1:4" x14ac:dyDescent="0.35">
      <c r="A59" s="17"/>
      <c r="B59" s="18"/>
      <c r="C59" s="18"/>
      <c r="D59" s="62"/>
    </row>
    <row r="60" spans="1:4" x14ac:dyDescent="0.35">
      <c r="A60" s="17"/>
      <c r="B60" s="18"/>
      <c r="C60" s="18"/>
      <c r="D60" s="62"/>
    </row>
    <row r="61" spans="1:4" x14ac:dyDescent="0.35">
      <c r="A61" s="17"/>
      <c r="B61" s="18"/>
      <c r="C61" s="18"/>
      <c r="D61" s="62"/>
    </row>
    <row r="62" spans="1:4" x14ac:dyDescent="0.35">
      <c r="A62" s="17"/>
      <c r="B62" s="18"/>
      <c r="C62" s="18"/>
      <c r="D62" s="62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0C78-BDD9-4C70-9F7D-33AE44B98296}">
  <sheetPr>
    <tabColor rgb="FF00B050"/>
  </sheetPr>
  <dimension ref="A1:B62"/>
  <sheetViews>
    <sheetView tabSelected="1" topLeftCell="A9" workbookViewId="0">
      <selection activeCell="D14" sqref="D14"/>
    </sheetView>
  </sheetViews>
  <sheetFormatPr baseColWidth="10" defaultRowHeight="14.5" x14ac:dyDescent="0.35"/>
  <cols>
    <col min="1" max="1" width="16" customWidth="1"/>
    <col min="2" max="2" width="18" customWidth="1"/>
  </cols>
  <sheetData>
    <row r="1" spans="1:2" x14ac:dyDescent="0.35">
      <c r="A1" s="63" t="s">
        <v>3906</v>
      </c>
      <c r="B1" s="63"/>
    </row>
    <row r="2" spans="1:2" ht="26" x14ac:dyDescent="0.35">
      <c r="A2" s="1" t="s">
        <v>5</v>
      </c>
      <c r="B2" s="1" t="s">
        <v>3905</v>
      </c>
    </row>
    <row r="3" spans="1:2" x14ac:dyDescent="0.35">
      <c r="A3" s="4" t="s">
        <v>16</v>
      </c>
      <c r="B3" s="5">
        <v>1339</v>
      </c>
    </row>
    <row r="4" spans="1:2" x14ac:dyDescent="0.35">
      <c r="A4" s="4" t="s">
        <v>17</v>
      </c>
      <c r="B4" s="5">
        <v>1345</v>
      </c>
    </row>
    <row r="5" spans="1:2" x14ac:dyDescent="0.35">
      <c r="A5" s="4" t="s">
        <v>18</v>
      </c>
      <c r="B5" s="5">
        <v>1337</v>
      </c>
    </row>
    <row r="6" spans="1:2" x14ac:dyDescent="0.35">
      <c r="A6" s="4" t="s">
        <v>19</v>
      </c>
      <c r="B6" s="5">
        <v>1331</v>
      </c>
    </row>
    <row r="7" spans="1:2" x14ac:dyDescent="0.35">
      <c r="A7" s="4" t="s">
        <v>20</v>
      </c>
      <c r="B7" s="5">
        <v>1307</v>
      </c>
    </row>
    <row r="8" spans="1:2" x14ac:dyDescent="0.35">
      <c r="A8" s="4" t="s">
        <v>21</v>
      </c>
      <c r="B8" s="5">
        <v>1302</v>
      </c>
    </row>
    <row r="9" spans="1:2" x14ac:dyDescent="0.35">
      <c r="A9" s="4" t="s">
        <v>22</v>
      </c>
      <c r="B9" s="5">
        <v>1313</v>
      </c>
    </row>
    <row r="10" spans="1:2" x14ac:dyDescent="0.35">
      <c r="A10" s="4" t="s">
        <v>23</v>
      </c>
      <c r="B10" s="5">
        <v>1311</v>
      </c>
    </row>
    <row r="11" spans="1:2" x14ac:dyDescent="0.35">
      <c r="A11" s="4" t="s">
        <v>24</v>
      </c>
      <c r="B11" s="5">
        <v>1322</v>
      </c>
    </row>
    <row r="12" spans="1:2" x14ac:dyDescent="0.35">
      <c r="A12" s="4" t="s">
        <v>25</v>
      </c>
      <c r="B12" s="5">
        <v>1321</v>
      </c>
    </row>
    <row r="13" spans="1:2" x14ac:dyDescent="0.35">
      <c r="A13" s="4" t="s">
        <v>26</v>
      </c>
      <c r="B13" s="5">
        <v>1336</v>
      </c>
    </row>
    <row r="14" spans="1:2" x14ac:dyDescent="0.35">
      <c r="A14" s="4" t="s">
        <v>27</v>
      </c>
      <c r="B14" s="5">
        <v>1327</v>
      </c>
    </row>
    <row r="15" spans="1:2" x14ac:dyDescent="0.35">
      <c r="A15" s="7" t="s">
        <v>28</v>
      </c>
      <c r="B15" s="8">
        <v>1363</v>
      </c>
    </row>
    <row r="16" spans="1:2" x14ac:dyDescent="0.35">
      <c r="A16" s="7" t="s">
        <v>29</v>
      </c>
      <c r="B16" s="8">
        <v>1312</v>
      </c>
    </row>
    <row r="17" spans="1:2" x14ac:dyDescent="0.35">
      <c r="A17" s="7" t="s">
        <v>30</v>
      </c>
      <c r="B17" s="8">
        <v>1349</v>
      </c>
    </row>
    <row r="18" spans="1:2" x14ac:dyDescent="0.35">
      <c r="A18" s="7" t="s">
        <v>31</v>
      </c>
      <c r="B18" s="8">
        <v>1372</v>
      </c>
    </row>
    <row r="19" spans="1:2" x14ac:dyDescent="0.35">
      <c r="A19" s="7" t="s">
        <v>32</v>
      </c>
      <c r="B19" s="8">
        <v>1401</v>
      </c>
    </row>
    <row r="20" spans="1:2" x14ac:dyDescent="0.35">
      <c r="A20" s="7" t="s">
        <v>33</v>
      </c>
      <c r="B20" s="8">
        <v>1436</v>
      </c>
    </row>
    <row r="21" spans="1:2" x14ac:dyDescent="0.35">
      <c r="A21" s="7" t="s">
        <v>34</v>
      </c>
      <c r="B21" s="8">
        <v>1497</v>
      </c>
    </row>
    <row r="22" spans="1:2" x14ac:dyDescent="0.35">
      <c r="A22" s="7" t="s">
        <v>35</v>
      </c>
      <c r="B22" s="8">
        <v>1580</v>
      </c>
    </row>
    <row r="23" spans="1:2" x14ac:dyDescent="0.35">
      <c r="A23" s="7" t="s">
        <v>36</v>
      </c>
      <c r="B23" s="8">
        <v>1633</v>
      </c>
    </row>
    <row r="24" spans="1:2" x14ac:dyDescent="0.35">
      <c r="A24" s="7" t="s">
        <v>37</v>
      </c>
      <c r="B24" s="8">
        <v>1663</v>
      </c>
    </row>
    <row r="25" spans="1:2" x14ac:dyDescent="0.35">
      <c r="A25" s="7" t="s">
        <v>38</v>
      </c>
      <c r="B25" s="8">
        <v>1740</v>
      </c>
    </row>
    <row r="26" spans="1:2" x14ac:dyDescent="0.35">
      <c r="A26" s="7" t="s">
        <v>39</v>
      </c>
      <c r="B26" s="8">
        <v>1820</v>
      </c>
    </row>
    <row r="27" spans="1:2" x14ac:dyDescent="0.35">
      <c r="A27" s="10" t="s">
        <v>40</v>
      </c>
      <c r="B27" s="11">
        <v>1878</v>
      </c>
    </row>
    <row r="28" spans="1:2" x14ac:dyDescent="0.35">
      <c r="A28" s="10" t="s">
        <v>41</v>
      </c>
      <c r="B28" s="11">
        <v>1942</v>
      </c>
    </row>
    <row r="29" spans="1:2" x14ac:dyDescent="0.35">
      <c r="A29" s="10" t="s">
        <v>42</v>
      </c>
      <c r="B29" s="11">
        <v>2030</v>
      </c>
    </row>
    <row r="30" spans="1:2" x14ac:dyDescent="0.35">
      <c r="A30" s="10" t="s">
        <v>43</v>
      </c>
      <c r="B30" s="11">
        <v>2165</v>
      </c>
    </row>
    <row r="31" spans="1:2" x14ac:dyDescent="0.35">
      <c r="A31" s="10" t="s">
        <v>44</v>
      </c>
      <c r="B31" s="11">
        <v>2254</v>
      </c>
    </row>
    <row r="32" spans="1:2" x14ac:dyDescent="0.35">
      <c r="A32" s="10" t="s">
        <v>45</v>
      </c>
      <c r="B32" s="11">
        <v>2375</v>
      </c>
    </row>
    <row r="33" spans="1:2" x14ac:dyDescent="0.35">
      <c r="A33" s="10" t="s">
        <v>46</v>
      </c>
      <c r="B33" s="11">
        <v>2504</v>
      </c>
    </row>
    <row r="34" spans="1:2" x14ac:dyDescent="0.35">
      <c r="A34" s="10" t="s">
        <v>47</v>
      </c>
      <c r="B34" s="11">
        <v>2623</v>
      </c>
    </row>
    <row r="35" spans="1:2" x14ac:dyDescent="0.35">
      <c r="A35" s="10" t="s">
        <v>48</v>
      </c>
      <c r="B35" s="11">
        <v>2730</v>
      </c>
    </row>
    <row r="36" spans="1:2" x14ac:dyDescent="0.35">
      <c r="A36" s="10" t="s">
        <v>49</v>
      </c>
      <c r="B36" s="11">
        <v>2802</v>
      </c>
    </row>
    <row r="37" spans="1:2" x14ac:dyDescent="0.35">
      <c r="A37" s="10" t="s">
        <v>50</v>
      </c>
      <c r="B37" s="11">
        <v>2966</v>
      </c>
    </row>
    <row r="38" spans="1:2" x14ac:dyDescent="0.35">
      <c r="A38" s="10" t="s">
        <v>51</v>
      </c>
      <c r="B38" s="11">
        <v>3051</v>
      </c>
    </row>
    <row r="39" spans="1:2" x14ac:dyDescent="0.35">
      <c r="A39" s="13" t="s">
        <v>52</v>
      </c>
      <c r="B39" s="14">
        <v>3111</v>
      </c>
    </row>
    <row r="40" spans="1:2" x14ac:dyDescent="0.35">
      <c r="A40" s="13" t="s">
        <v>53</v>
      </c>
      <c r="B40" s="14">
        <v>3215</v>
      </c>
    </row>
    <row r="41" spans="1:2" x14ac:dyDescent="0.35">
      <c r="A41" s="13" t="s">
        <v>54</v>
      </c>
      <c r="B41" s="14">
        <v>3300</v>
      </c>
    </row>
    <row r="42" spans="1:2" x14ac:dyDescent="0.35">
      <c r="A42" s="13" t="s">
        <v>55</v>
      </c>
      <c r="B42" s="14">
        <v>3384</v>
      </c>
    </row>
    <row r="43" spans="1:2" x14ac:dyDescent="0.35">
      <c r="A43" s="13" t="s">
        <v>56</v>
      </c>
      <c r="B43" s="16"/>
    </row>
    <row r="44" spans="1:2" x14ac:dyDescent="0.35">
      <c r="A44" s="13" t="s">
        <v>57</v>
      </c>
      <c r="B44" s="16"/>
    </row>
    <row r="45" spans="1:2" x14ac:dyDescent="0.35">
      <c r="A45" s="13" t="s">
        <v>58</v>
      </c>
      <c r="B45" s="16"/>
    </row>
    <row r="46" spans="1:2" x14ac:dyDescent="0.35">
      <c r="A46" s="13" t="s">
        <v>59</v>
      </c>
      <c r="B46" s="16"/>
    </row>
    <row r="47" spans="1:2" x14ac:dyDescent="0.35">
      <c r="A47" s="13" t="s">
        <v>60</v>
      </c>
      <c r="B47" s="16"/>
    </row>
    <row r="48" spans="1:2" x14ac:dyDescent="0.35">
      <c r="A48" s="13" t="s">
        <v>61</v>
      </c>
      <c r="B48" s="16"/>
    </row>
    <row r="49" spans="1:2" x14ac:dyDescent="0.35">
      <c r="A49" s="13" t="s">
        <v>62</v>
      </c>
      <c r="B49" s="16"/>
    </row>
    <row r="50" spans="1:2" x14ac:dyDescent="0.35">
      <c r="A50" s="13" t="s">
        <v>63</v>
      </c>
      <c r="B50" s="16"/>
    </row>
    <row r="51" spans="1:2" x14ac:dyDescent="0.35">
      <c r="A51" s="17"/>
      <c r="B51" s="18"/>
    </row>
    <row r="52" spans="1:2" x14ac:dyDescent="0.35">
      <c r="A52" s="17"/>
      <c r="B52" s="18"/>
    </row>
    <row r="53" spans="1:2" x14ac:dyDescent="0.35">
      <c r="A53" s="17"/>
      <c r="B53" s="18"/>
    </row>
    <row r="54" spans="1:2" x14ac:dyDescent="0.35">
      <c r="A54" s="17"/>
      <c r="B54" s="18"/>
    </row>
    <row r="55" spans="1:2" x14ac:dyDescent="0.35">
      <c r="A55" s="17"/>
      <c r="B55" s="18"/>
    </row>
    <row r="56" spans="1:2" x14ac:dyDescent="0.35">
      <c r="A56" s="17"/>
      <c r="B56" s="18"/>
    </row>
    <row r="57" spans="1:2" x14ac:dyDescent="0.35">
      <c r="A57" s="17"/>
      <c r="B57" s="18"/>
    </row>
    <row r="58" spans="1:2" x14ac:dyDescent="0.35">
      <c r="A58" s="17"/>
      <c r="B58" s="18"/>
    </row>
    <row r="59" spans="1:2" x14ac:dyDescent="0.35">
      <c r="A59" s="17"/>
      <c r="B59" s="18"/>
    </row>
    <row r="60" spans="1:2" x14ac:dyDescent="0.35">
      <c r="A60" s="17"/>
      <c r="B60" s="18"/>
    </row>
    <row r="61" spans="1:2" x14ac:dyDescent="0.35">
      <c r="A61" s="17"/>
      <c r="B61" s="18"/>
    </row>
    <row r="62" spans="1:2" x14ac:dyDescent="0.35">
      <c r="A62" s="17"/>
      <c r="B62" s="18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D10"/>
  <sheetViews>
    <sheetView workbookViewId="0">
      <selection activeCell="B3" sqref="B3:B10"/>
    </sheetView>
  </sheetViews>
  <sheetFormatPr baseColWidth="10" defaultColWidth="8.7265625" defaultRowHeight="14.5" x14ac:dyDescent="0.35"/>
  <cols>
    <col min="1" max="1" width="30" customWidth="1"/>
    <col min="2" max="2" width="18" customWidth="1"/>
    <col min="3" max="3" width="30" customWidth="1"/>
    <col min="4" max="4" width="18" customWidth="1"/>
  </cols>
  <sheetData>
    <row r="1" spans="1:4" ht="22" customHeight="1" x14ac:dyDescent="0.35">
      <c r="A1" s="64" t="s">
        <v>64</v>
      </c>
      <c r="B1" s="65"/>
      <c r="C1" s="65"/>
      <c r="D1" s="65"/>
    </row>
    <row r="2" spans="1:4" ht="26" customHeight="1" x14ac:dyDescent="0.35">
      <c r="A2" s="1" t="s">
        <v>65</v>
      </c>
      <c r="B2" s="1" t="s">
        <v>66</v>
      </c>
      <c r="C2" s="1" t="s">
        <v>67</v>
      </c>
    </row>
    <row r="3" spans="1:4" x14ac:dyDescent="0.35">
      <c r="A3" s="19" t="s">
        <v>68</v>
      </c>
      <c r="B3" s="20">
        <f>COUNTA(Export!C3:C4000)</f>
        <v>1289</v>
      </c>
      <c r="C3" s="21" t="s">
        <v>69</v>
      </c>
    </row>
    <row r="4" spans="1:4" x14ac:dyDescent="0.35">
      <c r="A4" s="22" t="s">
        <v>70</v>
      </c>
      <c r="B4" s="20">
        <f>COUNTIF(Export!H3:H4000,"Efectivo")</f>
        <v>978</v>
      </c>
      <c r="C4" s="23" t="s">
        <v>71</v>
      </c>
    </row>
    <row r="5" spans="1:4" x14ac:dyDescent="0.35">
      <c r="A5" s="24" t="s">
        <v>72</v>
      </c>
      <c r="B5" s="20">
        <f>COUNTIF(Export!H3:H4000,"Pendiente")</f>
        <v>206</v>
      </c>
      <c r="C5" s="25" t="s">
        <v>73</v>
      </c>
    </row>
    <row r="6" spans="1:4" x14ac:dyDescent="0.35">
      <c r="A6" s="26" t="s">
        <v>74</v>
      </c>
      <c r="B6" s="20">
        <f>COUNTIF(Export!H3:H4000,"Cancelado")</f>
        <v>105</v>
      </c>
      <c r="C6" s="27" t="s">
        <v>75</v>
      </c>
    </row>
    <row r="7" spans="1:4" x14ac:dyDescent="0.35">
      <c r="A7" s="19" t="s">
        <v>76</v>
      </c>
      <c r="B7" s="28">
        <f>IFERROR(COUNTIF(Export!H3:H4000,"Efectivo")/COUNTA(Export!C3:C4000)*100,0)</f>
        <v>75.872769588828547</v>
      </c>
      <c r="C7" s="21" t="s">
        <v>77</v>
      </c>
    </row>
    <row r="8" spans="1:4" x14ac:dyDescent="0.35">
      <c r="A8" s="29" t="s">
        <v>78</v>
      </c>
      <c r="B8" s="20">
        <f>COUNTIF(Export!L3:L4000,"UBER")</f>
        <v>988</v>
      </c>
      <c r="C8" s="30" t="s">
        <v>79</v>
      </c>
    </row>
    <row r="9" spans="1:4" x14ac:dyDescent="0.35">
      <c r="A9" s="29" t="s">
        <v>80</v>
      </c>
      <c r="B9" s="20">
        <f>COUNTIF(Export!L3:L4000,"DIDI")</f>
        <v>301</v>
      </c>
      <c r="C9" s="30" t="s">
        <v>81</v>
      </c>
    </row>
    <row r="10" spans="1:4" x14ac:dyDescent="0.35">
      <c r="A10" s="31" t="s">
        <v>82</v>
      </c>
      <c r="B10" s="20" t="e" cm="1">
        <f t="array" ref="B10">SUMPRODUCT((LEN(Export!E3:E4000)&gt;0)*(--ISNUMBER(VALUE(RIGHT(Export!E3:E4000,4))))*(VALUE(RIGHT(Export!E3:E4000,4))&gt;=2024)/1)</f>
        <v>#VALUE!</v>
      </c>
      <c r="C10" s="32" t="s">
        <v>83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I51"/>
  <sheetViews>
    <sheetView workbookViewId="0">
      <pane ySplit="2" topLeftCell="A3" activePane="bottomLeft" state="frozen"/>
      <selection pane="bottomLeft" sqref="A1:I1"/>
    </sheetView>
  </sheetViews>
  <sheetFormatPr baseColWidth="10" defaultColWidth="8.7265625" defaultRowHeight="14.5" x14ac:dyDescent="0.35"/>
  <cols>
    <col min="1" max="2" width="14" customWidth="1"/>
    <col min="3" max="3" width="16" customWidth="1"/>
    <col min="4" max="4" width="14" customWidth="1"/>
    <col min="5" max="5" width="12" customWidth="1"/>
    <col min="6" max="8" width="15" customWidth="1"/>
    <col min="9" max="9" width="12" customWidth="1"/>
  </cols>
  <sheetData>
    <row r="1" spans="1:9" ht="22" customHeight="1" x14ac:dyDescent="0.35">
      <c r="A1" s="66" t="s">
        <v>84</v>
      </c>
      <c r="B1" s="65"/>
      <c r="C1" s="65"/>
      <c r="D1" s="65"/>
      <c r="E1" s="65"/>
      <c r="F1" s="65"/>
      <c r="G1" s="65"/>
      <c r="H1" s="65"/>
      <c r="I1" s="65"/>
    </row>
    <row r="2" spans="1:9" ht="28" customHeight="1" x14ac:dyDescent="0.35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</row>
    <row r="3" spans="1:9" x14ac:dyDescent="0.35">
      <c r="A3" s="7" t="s">
        <v>28</v>
      </c>
      <c r="B3" s="33">
        <f>IFERROR(VLOOKUP(A3,Originaciones!$A:$B,2,0),"")</f>
        <v>63</v>
      </c>
      <c r="C3" s="34">
        <f>IFERROR(COUNTIF(Export!$E:$E,A3),0)</f>
        <v>8</v>
      </c>
      <c r="D3" s="35">
        <f>IFERROR(COUNTIFS(Export!$E:$E,A3,Export!$H:$H,"Efectivo"),0)</f>
        <v>3</v>
      </c>
      <c r="E3" s="36">
        <f>IFERROR(COUNTIFS(Export!$E:$E,A3,Export!$H:$H,"Pendiente"),0)</f>
        <v>1</v>
      </c>
      <c r="F3" s="37">
        <f t="shared" ref="F3:F34" si="0">IFERROR(D3/C3,"")</f>
        <v>0.375</v>
      </c>
      <c r="G3" s="38">
        <f t="shared" ref="G3:G34" si="1">IFERROR(C3/B3,"")</f>
        <v>0.12698412698412698</v>
      </c>
      <c r="H3" s="38">
        <f t="shared" ref="H3:H34" si="2">IFERROR(D3/B3,"")</f>
        <v>4.7619047619047616E-2</v>
      </c>
      <c r="I3" s="39">
        <f>IFERROR(COUNTIFS(Export!$E:$E,A3,Export!$H:$H,"Cancelado"),0)</f>
        <v>4</v>
      </c>
    </row>
    <row r="4" spans="1:9" x14ac:dyDescent="0.35">
      <c r="A4" s="7" t="s">
        <v>29</v>
      </c>
      <c r="B4" s="33">
        <f>IFERROR(VLOOKUP(A4,Originaciones!$A:$B,2,0),"")</f>
        <v>68</v>
      </c>
      <c r="C4" s="34">
        <f>IFERROR(COUNTIF(Export!$E:$E,A4),0)</f>
        <v>18</v>
      </c>
      <c r="D4" s="35">
        <f>IFERROR(COUNTIFS(Export!$E:$E,A4,Export!$H:$H,"Efectivo"),0)</f>
        <v>11</v>
      </c>
      <c r="E4" s="36">
        <f>IFERROR(COUNTIFS(Export!$E:$E,A4,Export!$H:$H,"Pendiente"),0)</f>
        <v>4</v>
      </c>
      <c r="F4" s="37">
        <f t="shared" si="0"/>
        <v>0.61111111111111116</v>
      </c>
      <c r="G4" s="38">
        <f t="shared" si="1"/>
        <v>0.26470588235294118</v>
      </c>
      <c r="H4" s="38">
        <f t="shared" si="2"/>
        <v>0.16176470588235295</v>
      </c>
      <c r="I4" s="39">
        <f>IFERROR(COUNTIFS(Export!$E:$E,A4,Export!$H:$H,"Cancelado"),0)</f>
        <v>3</v>
      </c>
    </row>
    <row r="5" spans="1:9" x14ac:dyDescent="0.35">
      <c r="A5" s="7" t="s">
        <v>30</v>
      </c>
      <c r="B5" s="33">
        <f>IFERROR(VLOOKUP(A5,Originaciones!$A:$B,2,0),"")</f>
        <v>60</v>
      </c>
      <c r="C5" s="34">
        <f>IFERROR(COUNTIF(Export!$E:$E,A5),0)</f>
        <v>16</v>
      </c>
      <c r="D5" s="35">
        <f>IFERROR(COUNTIFS(Export!$E:$E,A5,Export!$H:$H,"Efectivo"),0)</f>
        <v>15</v>
      </c>
      <c r="E5" s="36">
        <f>IFERROR(COUNTIFS(Export!$E:$E,A5,Export!$H:$H,"Pendiente"),0)</f>
        <v>0</v>
      </c>
      <c r="F5" s="37">
        <f t="shared" si="0"/>
        <v>0.9375</v>
      </c>
      <c r="G5" s="38">
        <f t="shared" si="1"/>
        <v>0.26666666666666666</v>
      </c>
      <c r="H5" s="38">
        <f t="shared" si="2"/>
        <v>0.25</v>
      </c>
      <c r="I5" s="39">
        <f>IFERROR(COUNTIFS(Export!$E:$E,A5,Export!$H:$H,"Cancelado"),0)</f>
        <v>1</v>
      </c>
    </row>
    <row r="6" spans="1:9" x14ac:dyDescent="0.35">
      <c r="A6" s="7" t="s">
        <v>31</v>
      </c>
      <c r="B6" s="33">
        <f>IFERROR(VLOOKUP(A6,Originaciones!$A:$B,2,0),"")</f>
        <v>73</v>
      </c>
      <c r="C6" s="34">
        <f>IFERROR(COUNTIF(Export!$E:$E,A6),0)</f>
        <v>18</v>
      </c>
      <c r="D6" s="35">
        <f>IFERROR(COUNTIFS(Export!$E:$E,A6,Export!$H:$H,"Efectivo"),0)</f>
        <v>11</v>
      </c>
      <c r="E6" s="36">
        <f>IFERROR(COUNTIFS(Export!$E:$E,A6,Export!$H:$H,"Pendiente"),0)</f>
        <v>5</v>
      </c>
      <c r="F6" s="37">
        <f t="shared" si="0"/>
        <v>0.61111111111111116</v>
      </c>
      <c r="G6" s="38">
        <f t="shared" si="1"/>
        <v>0.24657534246575341</v>
      </c>
      <c r="H6" s="38">
        <f t="shared" si="2"/>
        <v>0.15068493150684931</v>
      </c>
      <c r="I6" s="39">
        <f>IFERROR(COUNTIFS(Export!$E:$E,A6,Export!$H:$H,"Cancelado"),0)</f>
        <v>2</v>
      </c>
    </row>
    <row r="7" spans="1:9" x14ac:dyDescent="0.35">
      <c r="A7" s="7" t="s">
        <v>32</v>
      </c>
      <c r="B7" s="33">
        <f>IFERROR(VLOOKUP(A7,Originaciones!$A:$B,2,0),"")</f>
        <v>94</v>
      </c>
      <c r="C7" s="34">
        <f>IFERROR(COUNTIF(Export!$E:$E,A7),0)</f>
        <v>21</v>
      </c>
      <c r="D7" s="35">
        <f>IFERROR(COUNTIFS(Export!$E:$E,A7,Export!$H:$H,"Efectivo"),0)</f>
        <v>15</v>
      </c>
      <c r="E7" s="36">
        <f>IFERROR(COUNTIFS(Export!$E:$E,A7,Export!$H:$H,"Pendiente"),0)</f>
        <v>3</v>
      </c>
      <c r="F7" s="37">
        <f t="shared" si="0"/>
        <v>0.7142857142857143</v>
      </c>
      <c r="G7" s="38">
        <f t="shared" si="1"/>
        <v>0.22340425531914893</v>
      </c>
      <c r="H7" s="38">
        <f t="shared" si="2"/>
        <v>0.15957446808510639</v>
      </c>
      <c r="I7" s="39">
        <f>IFERROR(COUNTIFS(Export!$E:$E,A7,Export!$H:$H,"Cancelado"),0)</f>
        <v>3</v>
      </c>
    </row>
    <row r="8" spans="1:9" x14ac:dyDescent="0.35">
      <c r="A8" s="7" t="s">
        <v>33</v>
      </c>
      <c r="B8" s="33">
        <f>IFERROR(VLOOKUP(A8,Originaciones!$A:$B,2,0),"")</f>
        <v>103</v>
      </c>
      <c r="C8" s="34">
        <f>IFERROR(COUNTIF(Export!$E:$E,A8),0)</f>
        <v>20</v>
      </c>
      <c r="D8" s="35">
        <f>IFERROR(COUNTIFS(Export!$E:$E,A8,Export!$H:$H,"Efectivo"),0)</f>
        <v>18</v>
      </c>
      <c r="E8" s="36">
        <f>IFERROR(COUNTIFS(Export!$E:$E,A8,Export!$H:$H,"Pendiente"),0)</f>
        <v>1</v>
      </c>
      <c r="F8" s="37">
        <f t="shared" si="0"/>
        <v>0.9</v>
      </c>
      <c r="G8" s="38">
        <f t="shared" si="1"/>
        <v>0.1941747572815534</v>
      </c>
      <c r="H8" s="38">
        <f t="shared" si="2"/>
        <v>0.17475728155339806</v>
      </c>
      <c r="I8" s="39">
        <f>IFERROR(COUNTIFS(Export!$E:$E,A8,Export!$H:$H,"Cancelado"),0)</f>
        <v>1</v>
      </c>
    </row>
    <row r="9" spans="1:9" x14ac:dyDescent="0.35">
      <c r="A9" s="7" t="s">
        <v>34</v>
      </c>
      <c r="B9" s="33">
        <f>IFERROR(VLOOKUP(A9,Originaciones!$A:$B,2,0),"")</f>
        <v>119</v>
      </c>
      <c r="C9" s="34">
        <f>IFERROR(COUNTIF(Export!$E:$E,A9),0)</f>
        <v>39</v>
      </c>
      <c r="D9" s="35">
        <f>IFERROR(COUNTIFS(Export!$E:$E,A9,Export!$H:$H,"Efectivo"),0)</f>
        <v>28</v>
      </c>
      <c r="E9" s="36">
        <f>IFERROR(COUNTIFS(Export!$E:$E,A9,Export!$H:$H,"Pendiente"),0)</f>
        <v>5</v>
      </c>
      <c r="F9" s="37">
        <f t="shared" si="0"/>
        <v>0.71794871794871795</v>
      </c>
      <c r="G9" s="38">
        <f t="shared" si="1"/>
        <v>0.32773109243697479</v>
      </c>
      <c r="H9" s="38">
        <f t="shared" si="2"/>
        <v>0.23529411764705882</v>
      </c>
      <c r="I9" s="39">
        <f>IFERROR(COUNTIFS(Export!$E:$E,A9,Export!$H:$H,"Cancelado"),0)</f>
        <v>6</v>
      </c>
    </row>
    <row r="10" spans="1:9" x14ac:dyDescent="0.35">
      <c r="A10" s="7" t="s">
        <v>35</v>
      </c>
      <c r="B10" s="33">
        <f>IFERROR(VLOOKUP(A10,Originaciones!$A:$B,2,0),"")</f>
        <v>114</v>
      </c>
      <c r="C10" s="34">
        <f>IFERROR(COUNTIF(Export!$E:$E,A10),0)</f>
        <v>41</v>
      </c>
      <c r="D10" s="35">
        <f>IFERROR(COUNTIFS(Export!$E:$E,A10,Export!$H:$H,"Efectivo"),0)</f>
        <v>34</v>
      </c>
      <c r="E10" s="36">
        <f>IFERROR(COUNTIFS(Export!$E:$E,A10,Export!$H:$H,"Pendiente"),0)</f>
        <v>2</v>
      </c>
      <c r="F10" s="37">
        <f t="shared" si="0"/>
        <v>0.82926829268292679</v>
      </c>
      <c r="G10" s="38">
        <f t="shared" si="1"/>
        <v>0.35964912280701755</v>
      </c>
      <c r="H10" s="38">
        <f t="shared" si="2"/>
        <v>0.2982456140350877</v>
      </c>
      <c r="I10" s="39">
        <f>IFERROR(COUNTIFS(Export!$E:$E,A10,Export!$H:$H,"Cancelado"),0)</f>
        <v>5</v>
      </c>
    </row>
    <row r="11" spans="1:9" x14ac:dyDescent="0.35">
      <c r="A11" s="7" t="s">
        <v>36</v>
      </c>
      <c r="B11" s="33">
        <f>IFERROR(VLOOKUP(A11,Originaciones!$A:$B,2,0),"")</f>
        <v>112</v>
      </c>
      <c r="C11" s="34">
        <f>IFERROR(COUNTIF(Export!$E:$E,A11),0)</f>
        <v>28</v>
      </c>
      <c r="D11" s="35">
        <f>IFERROR(COUNTIFS(Export!$E:$E,A11,Export!$H:$H,"Efectivo"),0)</f>
        <v>27</v>
      </c>
      <c r="E11" s="36">
        <f>IFERROR(COUNTIFS(Export!$E:$E,A11,Export!$H:$H,"Pendiente"),0)</f>
        <v>1</v>
      </c>
      <c r="F11" s="37">
        <f t="shared" si="0"/>
        <v>0.9642857142857143</v>
      </c>
      <c r="G11" s="38">
        <f t="shared" si="1"/>
        <v>0.25</v>
      </c>
      <c r="H11" s="38">
        <f t="shared" si="2"/>
        <v>0.24107142857142858</v>
      </c>
      <c r="I11" s="39">
        <f>IFERROR(COUNTIFS(Export!$E:$E,A11,Export!$H:$H,"Cancelado"),0)</f>
        <v>0</v>
      </c>
    </row>
    <row r="12" spans="1:9" x14ac:dyDescent="0.35">
      <c r="A12" s="7" t="s">
        <v>37</v>
      </c>
      <c r="B12" s="33">
        <f>IFERROR(VLOOKUP(A12,Originaciones!$A:$B,2,0),"")</f>
        <v>120</v>
      </c>
      <c r="C12" s="34">
        <f>IFERROR(COUNTIF(Export!$E:$E,A12),0)</f>
        <v>43</v>
      </c>
      <c r="D12" s="35">
        <f>IFERROR(COUNTIFS(Export!$E:$E,A12,Export!$H:$H,"Efectivo"),0)</f>
        <v>36</v>
      </c>
      <c r="E12" s="36">
        <f>IFERROR(COUNTIFS(Export!$E:$E,A12,Export!$H:$H,"Pendiente"),0)</f>
        <v>2</v>
      </c>
      <c r="F12" s="37">
        <f t="shared" si="0"/>
        <v>0.83720930232558144</v>
      </c>
      <c r="G12" s="38">
        <f t="shared" si="1"/>
        <v>0.35833333333333334</v>
      </c>
      <c r="H12" s="38">
        <f t="shared" si="2"/>
        <v>0.3</v>
      </c>
      <c r="I12" s="39">
        <f>IFERROR(COUNTIFS(Export!$E:$E,A12,Export!$H:$H,"Cancelado"),0)</f>
        <v>5</v>
      </c>
    </row>
    <row r="13" spans="1:9" x14ac:dyDescent="0.35">
      <c r="A13" s="7" t="s">
        <v>38</v>
      </c>
      <c r="B13" s="33">
        <f>IFERROR(VLOOKUP(A13,Originaciones!$A:$B,2,0),"")</f>
        <v>95</v>
      </c>
      <c r="C13" s="34">
        <f>IFERROR(COUNTIF(Export!$E:$E,A13),0)</f>
        <v>42</v>
      </c>
      <c r="D13" s="35">
        <f>IFERROR(COUNTIFS(Export!$E:$E,A13,Export!$H:$H,"Efectivo"),0)</f>
        <v>34</v>
      </c>
      <c r="E13" s="36">
        <f>IFERROR(COUNTIFS(Export!$E:$E,A13,Export!$H:$H,"Pendiente"),0)</f>
        <v>5</v>
      </c>
      <c r="F13" s="37">
        <f t="shared" si="0"/>
        <v>0.80952380952380953</v>
      </c>
      <c r="G13" s="38">
        <f t="shared" si="1"/>
        <v>0.44210526315789472</v>
      </c>
      <c r="H13" s="38">
        <f t="shared" si="2"/>
        <v>0.35789473684210527</v>
      </c>
      <c r="I13" s="39">
        <f>IFERROR(COUNTIFS(Export!$E:$E,A13,Export!$H:$H,"Cancelado"),0)</f>
        <v>3</v>
      </c>
    </row>
    <row r="14" spans="1:9" x14ac:dyDescent="0.35">
      <c r="A14" s="7" t="s">
        <v>39</v>
      </c>
      <c r="B14" s="33">
        <f>IFERROR(VLOOKUP(A14,Originaciones!$A:$B,2,0),"")</f>
        <v>105</v>
      </c>
      <c r="C14" s="34">
        <f>IFERROR(COUNTIF(Export!$E:$E,A14),0)</f>
        <v>60</v>
      </c>
      <c r="D14" s="35">
        <f>IFERROR(COUNTIFS(Export!$E:$E,A14,Export!$H:$H,"Efectivo"),0)</f>
        <v>55</v>
      </c>
      <c r="E14" s="36">
        <f>IFERROR(COUNTIFS(Export!$E:$E,A14,Export!$H:$H,"Pendiente"),0)</f>
        <v>3</v>
      </c>
      <c r="F14" s="37">
        <f t="shared" si="0"/>
        <v>0.91666666666666663</v>
      </c>
      <c r="G14" s="38">
        <f t="shared" si="1"/>
        <v>0.5714285714285714</v>
      </c>
      <c r="H14" s="38">
        <f t="shared" si="2"/>
        <v>0.52380952380952384</v>
      </c>
      <c r="I14" s="39">
        <f>IFERROR(COUNTIFS(Export!$E:$E,A14,Export!$H:$H,"Cancelado"),0)</f>
        <v>2</v>
      </c>
    </row>
    <row r="15" spans="1:9" x14ac:dyDescent="0.35">
      <c r="A15" s="10" t="s">
        <v>40</v>
      </c>
      <c r="B15" s="33">
        <f>IFERROR(VLOOKUP(A15,Originaciones!$A:$B,2,0),"")</f>
        <v>97</v>
      </c>
      <c r="C15" s="34">
        <f>IFERROR(COUNTIF(Export!$E:$E,A15),0)</f>
        <v>58</v>
      </c>
      <c r="D15" s="35">
        <f>IFERROR(COUNTIFS(Export!$E:$E,A15,Export!$H:$H,"Efectivo"),0)</f>
        <v>44</v>
      </c>
      <c r="E15" s="36">
        <f>IFERROR(COUNTIFS(Export!$E:$E,A15,Export!$H:$H,"Pendiente"),0)</f>
        <v>9</v>
      </c>
      <c r="F15" s="37">
        <f t="shared" si="0"/>
        <v>0.75862068965517238</v>
      </c>
      <c r="G15" s="38">
        <f t="shared" si="1"/>
        <v>0.59793814432989689</v>
      </c>
      <c r="H15" s="38">
        <f t="shared" si="2"/>
        <v>0.45360824742268041</v>
      </c>
      <c r="I15" s="39">
        <f>IFERROR(COUNTIFS(Export!$E:$E,A15,Export!$H:$H,"Cancelado"),0)</f>
        <v>5</v>
      </c>
    </row>
    <row r="16" spans="1:9" x14ac:dyDescent="0.35">
      <c r="A16" s="10" t="s">
        <v>41</v>
      </c>
      <c r="B16" s="33">
        <f>IFERROR(VLOOKUP(A16,Originaciones!$A:$B,2,0),"")</f>
        <v>99</v>
      </c>
      <c r="C16" s="34">
        <f>IFERROR(COUNTIF(Export!$E:$E,A16),0)</f>
        <v>64</v>
      </c>
      <c r="D16" s="35">
        <f>IFERROR(COUNTIFS(Export!$E:$E,A16,Export!$H:$H,"Efectivo"),0)</f>
        <v>51</v>
      </c>
      <c r="E16" s="36">
        <f>IFERROR(COUNTIFS(Export!$E:$E,A16,Export!$H:$H,"Pendiente"),0)</f>
        <v>6</v>
      </c>
      <c r="F16" s="37">
        <f t="shared" si="0"/>
        <v>0.796875</v>
      </c>
      <c r="G16" s="38">
        <f t="shared" si="1"/>
        <v>0.64646464646464652</v>
      </c>
      <c r="H16" s="38">
        <f t="shared" si="2"/>
        <v>0.51515151515151514</v>
      </c>
      <c r="I16" s="39">
        <f>IFERROR(COUNTIFS(Export!$E:$E,A16,Export!$H:$H,"Cancelado"),0)</f>
        <v>7</v>
      </c>
    </row>
    <row r="17" spans="1:9" x14ac:dyDescent="0.35">
      <c r="A17" s="10" t="s">
        <v>42</v>
      </c>
      <c r="B17" s="33">
        <f>IFERROR(VLOOKUP(A17,Originaciones!$A:$B,2,0),"")</f>
        <v>136</v>
      </c>
      <c r="C17" s="34">
        <f>IFERROR(COUNTIF(Export!$E:$E,A17),0)</f>
        <v>62</v>
      </c>
      <c r="D17" s="35">
        <f>IFERROR(COUNTIFS(Export!$E:$E,A17,Export!$H:$H,"Efectivo"),0)</f>
        <v>49</v>
      </c>
      <c r="E17" s="36">
        <f>IFERROR(COUNTIFS(Export!$E:$E,A17,Export!$H:$H,"Pendiente"),0)</f>
        <v>10</v>
      </c>
      <c r="F17" s="37">
        <f t="shared" si="0"/>
        <v>0.79032258064516125</v>
      </c>
      <c r="G17" s="38">
        <f t="shared" si="1"/>
        <v>0.45588235294117646</v>
      </c>
      <c r="H17" s="38">
        <f t="shared" si="2"/>
        <v>0.36029411764705882</v>
      </c>
      <c r="I17" s="39">
        <f>IFERROR(COUNTIFS(Export!$E:$E,A17,Export!$H:$H,"Cancelado"),0)</f>
        <v>3</v>
      </c>
    </row>
    <row r="18" spans="1:9" x14ac:dyDescent="0.35">
      <c r="A18" s="10" t="s">
        <v>43</v>
      </c>
      <c r="B18" s="33">
        <f>IFERROR(VLOOKUP(A18,Originaciones!$A:$B,2,0),"")</f>
        <v>161</v>
      </c>
      <c r="C18" s="34">
        <f>IFERROR(COUNTIF(Export!$E:$E,A18),0)</f>
        <v>86</v>
      </c>
      <c r="D18" s="35">
        <f>IFERROR(COUNTIFS(Export!$E:$E,A18,Export!$H:$H,"Efectivo"),0)</f>
        <v>57</v>
      </c>
      <c r="E18" s="36">
        <f>IFERROR(COUNTIFS(Export!$E:$E,A18,Export!$H:$H,"Pendiente"),0)</f>
        <v>20</v>
      </c>
      <c r="F18" s="37">
        <f t="shared" si="0"/>
        <v>0.66279069767441856</v>
      </c>
      <c r="G18" s="38">
        <f t="shared" si="1"/>
        <v>0.53416149068322982</v>
      </c>
      <c r="H18" s="38">
        <f t="shared" si="2"/>
        <v>0.35403726708074534</v>
      </c>
      <c r="I18" s="39">
        <f>IFERROR(COUNTIFS(Export!$E:$E,A18,Export!$H:$H,"Cancelado"),0)</f>
        <v>9</v>
      </c>
    </row>
    <row r="19" spans="1:9" x14ac:dyDescent="0.35">
      <c r="A19" s="10" t="s">
        <v>44</v>
      </c>
      <c r="B19" s="33">
        <f>IFERROR(VLOOKUP(A19,Originaciones!$A:$B,2,0),"")</f>
        <v>157</v>
      </c>
      <c r="C19" s="34">
        <f>IFERROR(COUNTIF(Export!$E:$E,A19),0)</f>
        <v>74</v>
      </c>
      <c r="D19" s="35">
        <f>IFERROR(COUNTIFS(Export!$E:$E,A19,Export!$H:$H,"Efectivo"),0)</f>
        <v>60</v>
      </c>
      <c r="E19" s="36">
        <f>IFERROR(COUNTIFS(Export!$E:$E,A19,Export!$H:$H,"Pendiente"),0)</f>
        <v>11</v>
      </c>
      <c r="F19" s="37">
        <f t="shared" si="0"/>
        <v>0.81081081081081086</v>
      </c>
      <c r="G19" s="38">
        <f t="shared" si="1"/>
        <v>0.4713375796178344</v>
      </c>
      <c r="H19" s="38">
        <f t="shared" si="2"/>
        <v>0.38216560509554143</v>
      </c>
      <c r="I19" s="39">
        <f>IFERROR(COUNTIFS(Export!$E:$E,A19,Export!$H:$H,"Cancelado"),0)</f>
        <v>3</v>
      </c>
    </row>
    <row r="20" spans="1:9" x14ac:dyDescent="0.35">
      <c r="A20" s="10" t="s">
        <v>45</v>
      </c>
      <c r="B20" s="33">
        <f>IFERROR(VLOOKUP(A20,Originaciones!$A:$B,2,0),"")</f>
        <v>195</v>
      </c>
      <c r="C20" s="34">
        <f>IFERROR(COUNTIF(Export!$E:$E,A20),0)</f>
        <v>91</v>
      </c>
      <c r="D20" s="35">
        <f>IFERROR(COUNTIFS(Export!$E:$E,A20,Export!$H:$H,"Efectivo"),0)</f>
        <v>62</v>
      </c>
      <c r="E20" s="36">
        <f>IFERROR(COUNTIFS(Export!$E:$E,A20,Export!$H:$H,"Pendiente"),0)</f>
        <v>22</v>
      </c>
      <c r="F20" s="37">
        <f t="shared" si="0"/>
        <v>0.68131868131868134</v>
      </c>
      <c r="G20" s="38">
        <f t="shared" si="1"/>
        <v>0.46666666666666667</v>
      </c>
      <c r="H20" s="38">
        <f t="shared" si="2"/>
        <v>0.31794871794871793</v>
      </c>
      <c r="I20" s="39">
        <f>IFERROR(COUNTIFS(Export!$E:$E,A20,Export!$H:$H,"Cancelado"),0)</f>
        <v>7</v>
      </c>
    </row>
    <row r="21" spans="1:9" x14ac:dyDescent="0.35">
      <c r="A21" s="10" t="s">
        <v>46</v>
      </c>
      <c r="B21" s="33">
        <f>IFERROR(VLOOKUP(A21,Originaciones!$A:$B,2,0),"")</f>
        <v>199</v>
      </c>
      <c r="C21" s="34">
        <f>IFERROR(COUNTIF(Export!$E:$E,A21),0)</f>
        <v>98</v>
      </c>
      <c r="D21" s="35">
        <f>IFERROR(COUNTIFS(Export!$E:$E,A21,Export!$H:$H,"Efectivo"),0)</f>
        <v>67</v>
      </c>
      <c r="E21" s="36">
        <f>IFERROR(COUNTIFS(Export!$E:$E,A21,Export!$H:$H,"Pendiente"),0)</f>
        <v>23</v>
      </c>
      <c r="F21" s="37">
        <f t="shared" si="0"/>
        <v>0.68367346938775508</v>
      </c>
      <c r="G21" s="38">
        <f t="shared" si="1"/>
        <v>0.49246231155778897</v>
      </c>
      <c r="H21" s="38">
        <f t="shared" si="2"/>
        <v>0.33668341708542715</v>
      </c>
      <c r="I21" s="39">
        <f>IFERROR(COUNTIFS(Export!$E:$E,A21,Export!$H:$H,"Cancelado"),0)</f>
        <v>8</v>
      </c>
    </row>
    <row r="22" spans="1:9" x14ac:dyDescent="0.35">
      <c r="A22" s="10" t="s">
        <v>47</v>
      </c>
      <c r="B22" s="33">
        <f>IFERROR(VLOOKUP(A22,Originaciones!$A:$B,2,0),"")</f>
        <v>166</v>
      </c>
      <c r="C22" s="34">
        <f>IFERROR(COUNTIF(Export!$E:$E,A22),0)</f>
        <v>72</v>
      </c>
      <c r="D22" s="35">
        <f>IFERROR(COUNTIFS(Export!$E:$E,A22,Export!$H:$H,"Efectivo"),0)</f>
        <v>56</v>
      </c>
      <c r="E22" s="36">
        <f>IFERROR(COUNTIFS(Export!$E:$E,A22,Export!$H:$H,"Pendiente"),0)</f>
        <v>12</v>
      </c>
      <c r="F22" s="37">
        <f t="shared" si="0"/>
        <v>0.77777777777777779</v>
      </c>
      <c r="G22" s="38">
        <f t="shared" si="1"/>
        <v>0.43373493975903615</v>
      </c>
      <c r="H22" s="38">
        <f t="shared" si="2"/>
        <v>0.33734939759036142</v>
      </c>
      <c r="I22" s="39">
        <f>IFERROR(COUNTIFS(Export!$E:$E,A22,Export!$H:$H,"Cancelado"),0)</f>
        <v>4</v>
      </c>
    </row>
    <row r="23" spans="1:9" x14ac:dyDescent="0.35">
      <c r="A23" s="10" t="s">
        <v>48</v>
      </c>
      <c r="B23" s="33">
        <f>IFERROR(VLOOKUP(A23,Originaciones!$A:$B,2,0),"")</f>
        <v>180</v>
      </c>
      <c r="C23" s="34">
        <f>IFERROR(COUNTIF(Export!$E:$E,A23),0)</f>
        <v>63</v>
      </c>
      <c r="D23" s="35">
        <f>IFERROR(COUNTIFS(Export!$E:$E,A23,Export!$H:$H,"Efectivo"),0)</f>
        <v>51</v>
      </c>
      <c r="E23" s="36">
        <f>IFERROR(COUNTIFS(Export!$E:$E,A23,Export!$H:$H,"Pendiente"),0)</f>
        <v>9</v>
      </c>
      <c r="F23" s="37">
        <f t="shared" si="0"/>
        <v>0.80952380952380953</v>
      </c>
      <c r="G23" s="38">
        <f t="shared" si="1"/>
        <v>0.35</v>
      </c>
      <c r="H23" s="38">
        <f t="shared" si="2"/>
        <v>0.28333333333333333</v>
      </c>
      <c r="I23" s="39">
        <f>IFERROR(COUNTIFS(Export!$E:$E,A23,Export!$H:$H,"Cancelado"),0)</f>
        <v>3</v>
      </c>
    </row>
    <row r="24" spans="1:9" x14ac:dyDescent="0.35">
      <c r="A24" s="10" t="s">
        <v>49</v>
      </c>
      <c r="B24" s="33">
        <f>IFERROR(VLOOKUP(A24,Originaciones!$A:$B,2,0),"")</f>
        <v>206</v>
      </c>
      <c r="C24" s="34">
        <f>IFERROR(COUNTIF(Export!$E:$E,A24),0)</f>
        <v>68</v>
      </c>
      <c r="D24" s="35">
        <f>IFERROR(COUNTIFS(Export!$E:$E,A24,Export!$H:$H,"Efectivo"),0)</f>
        <v>55</v>
      </c>
      <c r="E24" s="36">
        <f>IFERROR(COUNTIFS(Export!$E:$E,A24,Export!$H:$H,"Pendiente"),0)</f>
        <v>10</v>
      </c>
      <c r="F24" s="37">
        <f t="shared" si="0"/>
        <v>0.80882352941176472</v>
      </c>
      <c r="G24" s="38">
        <f t="shared" si="1"/>
        <v>0.3300970873786408</v>
      </c>
      <c r="H24" s="38">
        <f t="shared" si="2"/>
        <v>0.26699029126213591</v>
      </c>
      <c r="I24" s="39">
        <f>IFERROR(COUNTIFS(Export!$E:$E,A24,Export!$H:$H,"Cancelado"),0)</f>
        <v>3</v>
      </c>
    </row>
    <row r="25" spans="1:9" x14ac:dyDescent="0.35">
      <c r="A25" s="10" t="s">
        <v>50</v>
      </c>
      <c r="B25" s="33">
        <f>IFERROR(VLOOKUP(A25,Originaciones!$A:$B,2,0),"")</f>
        <v>211</v>
      </c>
      <c r="C25" s="34">
        <f>IFERROR(COUNTIF(Export!$E:$E,A25),0)</f>
        <v>56</v>
      </c>
      <c r="D25" s="35">
        <f>IFERROR(COUNTIFS(Export!$E:$E,A25,Export!$H:$H,"Efectivo"),0)</f>
        <v>43</v>
      </c>
      <c r="E25" s="36">
        <f>IFERROR(COUNTIFS(Export!$E:$E,A25,Export!$H:$H,"Pendiente"),0)</f>
        <v>11</v>
      </c>
      <c r="F25" s="37">
        <f t="shared" si="0"/>
        <v>0.7678571428571429</v>
      </c>
      <c r="G25" s="38">
        <f t="shared" si="1"/>
        <v>0.26540284360189575</v>
      </c>
      <c r="H25" s="38">
        <f t="shared" si="2"/>
        <v>0.20379146919431279</v>
      </c>
      <c r="I25" s="39">
        <f>IFERROR(COUNTIFS(Export!$E:$E,A25,Export!$H:$H,"Cancelado"),0)</f>
        <v>2</v>
      </c>
    </row>
    <row r="26" spans="1:9" x14ac:dyDescent="0.35">
      <c r="A26" s="10" t="s">
        <v>51</v>
      </c>
      <c r="B26" s="33">
        <f>IFERROR(VLOOKUP(A26,Originaciones!$A:$B,2,0),"")</f>
        <v>215</v>
      </c>
      <c r="C26" s="34">
        <f>IFERROR(COUNTIF(Export!$E:$E,A26),0)</f>
        <v>28</v>
      </c>
      <c r="D26" s="35">
        <f>IFERROR(COUNTIFS(Export!$E:$E,A26,Export!$H:$H,"Efectivo"),0)</f>
        <v>17</v>
      </c>
      <c r="E26" s="36">
        <f>IFERROR(COUNTIFS(Export!$E:$E,A26,Export!$H:$H,"Pendiente"),0)</f>
        <v>11</v>
      </c>
      <c r="F26" s="37">
        <f t="shared" si="0"/>
        <v>0.6071428571428571</v>
      </c>
      <c r="G26" s="38">
        <f t="shared" si="1"/>
        <v>0.13023255813953488</v>
      </c>
      <c r="H26" s="38">
        <f t="shared" si="2"/>
        <v>7.9069767441860464E-2</v>
      </c>
      <c r="I26" s="39">
        <f>IFERROR(COUNTIFS(Export!$E:$E,A26,Export!$H:$H,"Cancelado"),0)</f>
        <v>0</v>
      </c>
    </row>
    <row r="27" spans="1:9" x14ac:dyDescent="0.35">
      <c r="A27" s="13" t="s">
        <v>52</v>
      </c>
      <c r="B27" s="33">
        <f>IFERROR(VLOOKUP(A27,Originaciones!$A:$B,2,0),"")</f>
        <v>175</v>
      </c>
      <c r="C27" s="34">
        <f>IFERROR(COUNTIF(Export!$E:$E,A27),0)</f>
        <v>22</v>
      </c>
      <c r="D27" s="35">
        <f>IFERROR(COUNTIFS(Export!$E:$E,A27,Export!$H:$H,"Efectivo"),0)</f>
        <v>16</v>
      </c>
      <c r="E27" s="36">
        <f>IFERROR(COUNTIFS(Export!$E:$E,A27,Export!$H:$H,"Pendiente"),0)</f>
        <v>6</v>
      </c>
      <c r="F27" s="37">
        <f t="shared" si="0"/>
        <v>0.72727272727272729</v>
      </c>
      <c r="G27" s="38">
        <f t="shared" si="1"/>
        <v>0.12571428571428572</v>
      </c>
      <c r="H27" s="38">
        <f t="shared" si="2"/>
        <v>9.1428571428571428E-2</v>
      </c>
      <c r="I27" s="39">
        <f>IFERROR(COUNTIFS(Export!$E:$E,A27,Export!$H:$H,"Cancelado"),0)</f>
        <v>0</v>
      </c>
    </row>
    <row r="28" spans="1:9" x14ac:dyDescent="0.35">
      <c r="A28" s="13" t="s">
        <v>53</v>
      </c>
      <c r="B28" s="33">
        <f>IFERROR(VLOOKUP(A28,Originaciones!$A:$B,2,0),"")</f>
        <v>201</v>
      </c>
      <c r="C28" s="34">
        <f>IFERROR(COUNTIF(Export!$E:$E,A28),0)</f>
        <v>2</v>
      </c>
      <c r="D28" s="35">
        <f>IFERROR(COUNTIFS(Export!$E:$E,A28,Export!$H:$H,"Efectivo"),0)</f>
        <v>1</v>
      </c>
      <c r="E28" s="36">
        <f>IFERROR(COUNTIFS(Export!$E:$E,A28,Export!$H:$H,"Pendiente"),0)</f>
        <v>1</v>
      </c>
      <c r="F28" s="37">
        <f t="shared" si="0"/>
        <v>0.5</v>
      </c>
      <c r="G28" s="38">
        <f t="shared" si="1"/>
        <v>9.9502487562189053E-3</v>
      </c>
      <c r="H28" s="38">
        <f t="shared" si="2"/>
        <v>4.9751243781094526E-3</v>
      </c>
      <c r="I28" s="39">
        <f>IFERROR(COUNTIFS(Export!$E:$E,A28,Export!$H:$H,"Cancelado"),0)</f>
        <v>0</v>
      </c>
    </row>
    <row r="29" spans="1:9" x14ac:dyDescent="0.35">
      <c r="A29" s="13" t="s">
        <v>54</v>
      </c>
      <c r="B29" s="33">
        <f>IFERROR(VLOOKUP(A29,Originaciones!$A:$B,2,0),"")</f>
        <v>177</v>
      </c>
      <c r="C29" s="34">
        <f>IFERROR(COUNTIF(Export!$E:$E,A29),0)</f>
        <v>2</v>
      </c>
      <c r="D29" s="35">
        <f>IFERROR(COUNTIFS(Export!$E:$E,A29,Export!$H:$H,"Efectivo"),0)</f>
        <v>2</v>
      </c>
      <c r="E29" s="36">
        <f>IFERROR(COUNTIFS(Export!$E:$E,A29,Export!$H:$H,"Pendiente"),0)</f>
        <v>0</v>
      </c>
      <c r="F29" s="37">
        <f t="shared" si="0"/>
        <v>1</v>
      </c>
      <c r="G29" s="38">
        <f t="shared" si="1"/>
        <v>1.1299435028248588E-2</v>
      </c>
      <c r="H29" s="38">
        <f t="shared" si="2"/>
        <v>1.1299435028248588E-2</v>
      </c>
      <c r="I29" s="39">
        <f>IFERROR(COUNTIFS(Export!$E:$E,A29,Export!$H:$H,"Cancelado"),0)</f>
        <v>0</v>
      </c>
    </row>
    <row r="30" spans="1:9" x14ac:dyDescent="0.35">
      <c r="A30" s="13" t="s">
        <v>55</v>
      </c>
      <c r="B30" s="33">
        <f>IFERROR(VLOOKUP(A30,Originaciones!$A:$B,2,0),"")</f>
        <v>218</v>
      </c>
      <c r="C30" s="34">
        <f>IFERROR(COUNTIF(Export!$E:$E,A30),0)</f>
        <v>0</v>
      </c>
      <c r="D30" s="35">
        <f>IFERROR(COUNTIFS(Export!$E:$E,A30,Export!$H:$H,"Efectivo"),0)</f>
        <v>0</v>
      </c>
      <c r="E30" s="36">
        <f>IFERROR(COUNTIFS(Export!$E:$E,A30,Export!$H:$H,"Pendiente"),0)</f>
        <v>0</v>
      </c>
      <c r="F30" s="37" t="str">
        <f t="shared" si="0"/>
        <v/>
      </c>
      <c r="G30" s="38">
        <f t="shared" si="1"/>
        <v>0</v>
      </c>
      <c r="H30" s="38">
        <f t="shared" si="2"/>
        <v>0</v>
      </c>
      <c r="I30" s="39">
        <f>IFERROR(COUNTIFS(Export!$E:$E,A30,Export!$H:$H,"Cancelado"),0)</f>
        <v>0</v>
      </c>
    </row>
    <row r="31" spans="1:9" x14ac:dyDescent="0.35">
      <c r="A31" s="13" t="s">
        <v>56</v>
      </c>
      <c r="B31" s="33">
        <f>IFERROR(VLOOKUP(A31,Originaciones!$A:$B,2,0),"")</f>
        <v>0</v>
      </c>
      <c r="C31" s="34">
        <f>IFERROR(COUNTIF(Export!$E:$E,A31),0)</f>
        <v>0</v>
      </c>
      <c r="D31" s="35">
        <f>IFERROR(COUNTIFS(Export!$E:$E,A31,Export!$H:$H,"Efectivo"),0)</f>
        <v>0</v>
      </c>
      <c r="E31" s="36">
        <f>IFERROR(COUNTIFS(Export!$E:$E,A31,Export!$H:$H,"Pendiente"),0)</f>
        <v>0</v>
      </c>
      <c r="F31" s="37" t="str">
        <f t="shared" si="0"/>
        <v/>
      </c>
      <c r="G31" s="38" t="str">
        <f t="shared" si="1"/>
        <v/>
      </c>
      <c r="H31" s="38" t="str">
        <f t="shared" si="2"/>
        <v/>
      </c>
      <c r="I31" s="39">
        <f>IFERROR(COUNTIFS(Export!$E:$E,A31,Export!$H:$H,"Cancelado"),0)</f>
        <v>0</v>
      </c>
    </row>
    <row r="32" spans="1:9" x14ac:dyDescent="0.35">
      <c r="A32" s="13" t="s">
        <v>57</v>
      </c>
      <c r="B32" s="33">
        <f>IFERROR(VLOOKUP(A32,Originaciones!$A:$B,2,0),"")</f>
        <v>0</v>
      </c>
      <c r="C32" s="34">
        <f>IFERROR(COUNTIF(Export!$E:$E,A32),0)</f>
        <v>0</v>
      </c>
      <c r="D32" s="35">
        <f>IFERROR(COUNTIFS(Export!$E:$E,A32,Export!$H:$H,"Efectivo"),0)</f>
        <v>0</v>
      </c>
      <c r="E32" s="36">
        <f>IFERROR(COUNTIFS(Export!$E:$E,A32,Export!$H:$H,"Pendiente"),0)</f>
        <v>0</v>
      </c>
      <c r="F32" s="37" t="str">
        <f t="shared" si="0"/>
        <v/>
      </c>
      <c r="G32" s="38" t="str">
        <f t="shared" si="1"/>
        <v/>
      </c>
      <c r="H32" s="38" t="str">
        <f t="shared" si="2"/>
        <v/>
      </c>
      <c r="I32" s="39">
        <f>IFERROR(COUNTIFS(Export!$E:$E,A32,Export!$H:$H,"Cancelado"),0)</f>
        <v>0</v>
      </c>
    </row>
    <row r="33" spans="1:9" x14ac:dyDescent="0.35">
      <c r="A33" s="13" t="s">
        <v>58</v>
      </c>
      <c r="B33" s="33">
        <f>IFERROR(VLOOKUP(A33,Originaciones!$A:$B,2,0),"")</f>
        <v>0</v>
      </c>
      <c r="C33" s="34">
        <f>IFERROR(COUNTIF(Export!$E:$E,A33),0)</f>
        <v>0</v>
      </c>
      <c r="D33" s="35">
        <f>IFERROR(COUNTIFS(Export!$E:$E,A33,Export!$H:$H,"Efectivo"),0)</f>
        <v>0</v>
      </c>
      <c r="E33" s="36">
        <f>IFERROR(COUNTIFS(Export!$E:$E,A33,Export!$H:$H,"Pendiente"),0)</f>
        <v>0</v>
      </c>
      <c r="F33" s="37" t="str">
        <f t="shared" si="0"/>
        <v/>
      </c>
      <c r="G33" s="38" t="str">
        <f t="shared" si="1"/>
        <v/>
      </c>
      <c r="H33" s="38" t="str">
        <f t="shared" si="2"/>
        <v/>
      </c>
      <c r="I33" s="39">
        <f>IFERROR(COUNTIFS(Export!$E:$E,A33,Export!$H:$H,"Cancelado"),0)</f>
        <v>0</v>
      </c>
    </row>
    <row r="34" spans="1:9" x14ac:dyDescent="0.35">
      <c r="A34" s="13" t="s">
        <v>59</v>
      </c>
      <c r="B34" s="33">
        <f>IFERROR(VLOOKUP(A34,Originaciones!$A:$B,2,0),"")</f>
        <v>0</v>
      </c>
      <c r="C34" s="34">
        <f>IFERROR(COUNTIF(Export!$E:$E,A34),0)</f>
        <v>0</v>
      </c>
      <c r="D34" s="35">
        <f>IFERROR(COUNTIFS(Export!$E:$E,A34,Export!$H:$H,"Efectivo"),0)</f>
        <v>0</v>
      </c>
      <c r="E34" s="36">
        <f>IFERROR(COUNTIFS(Export!$E:$E,A34,Export!$H:$H,"Pendiente"),0)</f>
        <v>0</v>
      </c>
      <c r="F34" s="37" t="str">
        <f t="shared" si="0"/>
        <v/>
      </c>
      <c r="G34" s="38" t="str">
        <f t="shared" si="1"/>
        <v/>
      </c>
      <c r="H34" s="38" t="str">
        <f t="shared" si="2"/>
        <v/>
      </c>
      <c r="I34" s="39">
        <f>IFERROR(COUNTIFS(Export!$E:$E,A34,Export!$H:$H,"Cancelado"),0)</f>
        <v>0</v>
      </c>
    </row>
    <row r="35" spans="1:9" x14ac:dyDescent="0.35">
      <c r="A35" s="13" t="s">
        <v>60</v>
      </c>
      <c r="B35" s="33">
        <f>IFERROR(VLOOKUP(A35,Originaciones!$A:$B,2,0),"")</f>
        <v>0</v>
      </c>
      <c r="C35" s="34">
        <f>IFERROR(COUNTIF(Export!$E:$E,A35),0)</f>
        <v>0</v>
      </c>
      <c r="D35" s="35">
        <f>IFERROR(COUNTIFS(Export!$E:$E,A35,Export!$H:$H,"Efectivo"),0)</f>
        <v>0</v>
      </c>
      <c r="E35" s="36">
        <f>IFERROR(COUNTIFS(Export!$E:$E,A35,Export!$H:$H,"Pendiente"),0)</f>
        <v>0</v>
      </c>
      <c r="F35" s="37" t="str">
        <f t="shared" ref="F35:F51" si="3">IFERROR(D35/C35,"")</f>
        <v/>
      </c>
      <c r="G35" s="38" t="str">
        <f t="shared" ref="G35:G51" si="4">IFERROR(C35/B35,"")</f>
        <v/>
      </c>
      <c r="H35" s="38" t="str">
        <f t="shared" ref="H35:H51" si="5">IFERROR(D35/B35,"")</f>
        <v/>
      </c>
      <c r="I35" s="39">
        <f>IFERROR(COUNTIFS(Export!$E:$E,A35,Export!$H:$H,"Cancelado"),0)</f>
        <v>0</v>
      </c>
    </row>
    <row r="36" spans="1:9" x14ac:dyDescent="0.35">
      <c r="A36" s="13" t="s">
        <v>61</v>
      </c>
      <c r="B36" s="33">
        <f>IFERROR(VLOOKUP(A36,Originaciones!$A:$B,2,0),"")</f>
        <v>0</v>
      </c>
      <c r="C36" s="34">
        <f>IFERROR(COUNTIF(Export!$E:$E,A36),0)</f>
        <v>0</v>
      </c>
      <c r="D36" s="35">
        <f>IFERROR(COUNTIFS(Export!$E:$E,A36,Export!$H:$H,"Efectivo"),0)</f>
        <v>0</v>
      </c>
      <c r="E36" s="36">
        <f>IFERROR(COUNTIFS(Export!$E:$E,A36,Export!$H:$H,"Pendiente"),0)</f>
        <v>0</v>
      </c>
      <c r="F36" s="37" t="str">
        <f t="shared" si="3"/>
        <v/>
      </c>
      <c r="G36" s="38" t="str">
        <f t="shared" si="4"/>
        <v/>
      </c>
      <c r="H36" s="38" t="str">
        <f t="shared" si="5"/>
        <v/>
      </c>
      <c r="I36" s="39">
        <f>IFERROR(COUNTIFS(Export!$E:$E,A36,Export!$H:$H,"Cancelado"),0)</f>
        <v>0</v>
      </c>
    </row>
    <row r="37" spans="1:9" x14ac:dyDescent="0.35">
      <c r="A37" s="13" t="s">
        <v>62</v>
      </c>
      <c r="B37" s="33">
        <f>IFERROR(VLOOKUP(A37,Originaciones!$A:$B,2,0),"")</f>
        <v>0</v>
      </c>
      <c r="C37" s="34">
        <f>IFERROR(COUNTIF(Export!$E:$E,A37),0)</f>
        <v>0</v>
      </c>
      <c r="D37" s="35">
        <f>IFERROR(COUNTIFS(Export!$E:$E,A37,Export!$H:$H,"Efectivo"),0)</f>
        <v>0</v>
      </c>
      <c r="E37" s="36">
        <f>IFERROR(COUNTIFS(Export!$E:$E,A37,Export!$H:$H,"Pendiente"),0)</f>
        <v>0</v>
      </c>
      <c r="F37" s="37" t="str">
        <f t="shared" si="3"/>
        <v/>
      </c>
      <c r="G37" s="38" t="str">
        <f t="shared" si="4"/>
        <v/>
      </c>
      <c r="H37" s="38" t="str">
        <f t="shared" si="5"/>
        <v/>
      </c>
      <c r="I37" s="39">
        <f>IFERROR(COUNTIFS(Export!$E:$E,A37,Export!$H:$H,"Cancelado"),0)</f>
        <v>0</v>
      </c>
    </row>
    <row r="38" spans="1:9" x14ac:dyDescent="0.35">
      <c r="A38" s="13" t="s">
        <v>63</v>
      </c>
      <c r="B38" s="33">
        <f>IFERROR(VLOOKUP(A38,Originaciones!$A:$B,2,0),"")</f>
        <v>0</v>
      </c>
      <c r="C38" s="34">
        <f>IFERROR(COUNTIF(Export!$E:$E,A38),0)</f>
        <v>0</v>
      </c>
      <c r="D38" s="35">
        <f>IFERROR(COUNTIFS(Export!$E:$E,A38,Export!$H:$H,"Efectivo"),0)</f>
        <v>0</v>
      </c>
      <c r="E38" s="36">
        <f>IFERROR(COUNTIFS(Export!$E:$E,A38,Export!$H:$H,"Pendiente"),0)</f>
        <v>0</v>
      </c>
      <c r="F38" s="37" t="str">
        <f t="shared" si="3"/>
        <v/>
      </c>
      <c r="G38" s="38" t="str">
        <f t="shared" si="4"/>
        <v/>
      </c>
      <c r="H38" s="38" t="str">
        <f t="shared" si="5"/>
        <v/>
      </c>
      <c r="I38" s="39">
        <f>IFERROR(COUNTIFS(Export!$E:$E,A38,Export!$H:$H,"Cancelado"),0)</f>
        <v>0</v>
      </c>
    </row>
    <row r="39" spans="1:9" x14ac:dyDescent="0.35">
      <c r="A39" s="4" t="s">
        <v>94</v>
      </c>
      <c r="B39" s="33" t="str">
        <f>IFERROR(VLOOKUP(A39,Originaciones!$A:$B,2,0),"")</f>
        <v/>
      </c>
      <c r="C39" s="34">
        <f>IFERROR(COUNTIF(Export!$E:$E,A39),0)</f>
        <v>0</v>
      </c>
      <c r="D39" s="35">
        <f>IFERROR(COUNTIFS(Export!$E:$E,A39,Export!$H:$H,"Efectivo"),0)</f>
        <v>0</v>
      </c>
      <c r="E39" s="36">
        <f>IFERROR(COUNTIFS(Export!$E:$E,A39,Export!$H:$H,"Pendiente"),0)</f>
        <v>0</v>
      </c>
      <c r="F39" s="37" t="str">
        <f t="shared" si="3"/>
        <v/>
      </c>
      <c r="G39" s="38" t="str">
        <f t="shared" si="4"/>
        <v/>
      </c>
      <c r="H39" s="38" t="str">
        <f t="shared" si="5"/>
        <v/>
      </c>
      <c r="I39" s="39">
        <f>IFERROR(COUNTIFS(Export!$E:$E,A39,Export!$H:$H,"Cancelado"),0)</f>
        <v>0</v>
      </c>
    </row>
    <row r="40" spans="1:9" x14ac:dyDescent="0.35">
      <c r="A40" s="4" t="s">
        <v>95</v>
      </c>
      <c r="B40" s="33" t="str">
        <f>IFERROR(VLOOKUP(A40,Originaciones!$A:$B,2,0),"")</f>
        <v/>
      </c>
      <c r="C40" s="34">
        <f>IFERROR(COUNTIF(Export!$E:$E,A40),0)</f>
        <v>0</v>
      </c>
      <c r="D40" s="35">
        <f>IFERROR(COUNTIFS(Export!$E:$E,A40,Export!$H:$H,"Efectivo"),0)</f>
        <v>0</v>
      </c>
      <c r="E40" s="36">
        <f>IFERROR(COUNTIFS(Export!$E:$E,A40,Export!$H:$H,"Pendiente"),0)</f>
        <v>0</v>
      </c>
      <c r="F40" s="37" t="str">
        <f t="shared" si="3"/>
        <v/>
      </c>
      <c r="G40" s="38" t="str">
        <f t="shared" si="4"/>
        <v/>
      </c>
      <c r="H40" s="38" t="str">
        <f t="shared" si="5"/>
        <v/>
      </c>
      <c r="I40" s="39">
        <f>IFERROR(COUNTIFS(Export!$E:$E,A40,Export!$H:$H,"Cancelado"),0)</f>
        <v>0</v>
      </c>
    </row>
    <row r="41" spans="1:9" x14ac:dyDescent="0.35">
      <c r="A41" s="4" t="s">
        <v>96</v>
      </c>
      <c r="B41" s="33" t="str">
        <f>IFERROR(VLOOKUP(A41,Originaciones!$A:$B,2,0),"")</f>
        <v/>
      </c>
      <c r="C41" s="34">
        <f>IFERROR(COUNTIF(Export!$E:$E,A41),0)</f>
        <v>0</v>
      </c>
      <c r="D41" s="35">
        <f>IFERROR(COUNTIFS(Export!$E:$E,A41,Export!$H:$H,"Efectivo"),0)</f>
        <v>0</v>
      </c>
      <c r="E41" s="36">
        <f>IFERROR(COUNTIFS(Export!$E:$E,A41,Export!$H:$H,"Pendiente"),0)</f>
        <v>0</v>
      </c>
      <c r="F41" s="37" t="str">
        <f t="shared" si="3"/>
        <v/>
      </c>
      <c r="G41" s="38" t="str">
        <f t="shared" si="4"/>
        <v/>
      </c>
      <c r="H41" s="38" t="str">
        <f t="shared" si="5"/>
        <v/>
      </c>
      <c r="I41" s="39">
        <f>IFERROR(COUNTIFS(Export!$E:$E,A41,Export!$H:$H,"Cancelado"),0)</f>
        <v>0</v>
      </c>
    </row>
    <row r="42" spans="1:9" x14ac:dyDescent="0.35">
      <c r="A42" s="4" t="s">
        <v>97</v>
      </c>
      <c r="B42" s="33" t="str">
        <f>IFERROR(VLOOKUP(A42,Originaciones!$A:$B,2,0),"")</f>
        <v/>
      </c>
      <c r="C42" s="34">
        <f>IFERROR(COUNTIF(Export!$E:$E,A42),0)</f>
        <v>0</v>
      </c>
      <c r="D42" s="35">
        <f>IFERROR(COUNTIFS(Export!$E:$E,A42,Export!$H:$H,"Efectivo"),0)</f>
        <v>0</v>
      </c>
      <c r="E42" s="36">
        <f>IFERROR(COUNTIFS(Export!$E:$E,A42,Export!$H:$H,"Pendiente"),0)</f>
        <v>0</v>
      </c>
      <c r="F42" s="37" t="str">
        <f t="shared" si="3"/>
        <v/>
      </c>
      <c r="G42" s="38" t="str">
        <f t="shared" si="4"/>
        <v/>
      </c>
      <c r="H42" s="38" t="str">
        <f t="shared" si="5"/>
        <v/>
      </c>
      <c r="I42" s="39">
        <f>IFERROR(COUNTIFS(Export!$E:$E,A42,Export!$H:$H,"Cancelado"),0)</f>
        <v>0</v>
      </c>
    </row>
    <row r="43" spans="1:9" x14ac:dyDescent="0.35">
      <c r="A43" s="4" t="s">
        <v>98</v>
      </c>
      <c r="B43" s="33" t="str">
        <f>IFERROR(VLOOKUP(A43,Originaciones!$A:$B,2,0),"")</f>
        <v/>
      </c>
      <c r="C43" s="34">
        <f>IFERROR(COUNTIF(Export!$E:$E,A43),0)</f>
        <v>0</v>
      </c>
      <c r="D43" s="35">
        <f>IFERROR(COUNTIFS(Export!$E:$E,A43,Export!$H:$H,"Efectivo"),0)</f>
        <v>0</v>
      </c>
      <c r="E43" s="36">
        <f>IFERROR(COUNTIFS(Export!$E:$E,A43,Export!$H:$H,"Pendiente"),0)</f>
        <v>0</v>
      </c>
      <c r="F43" s="37" t="str">
        <f t="shared" si="3"/>
        <v/>
      </c>
      <c r="G43" s="38" t="str">
        <f t="shared" si="4"/>
        <v/>
      </c>
      <c r="H43" s="38" t="str">
        <f t="shared" si="5"/>
        <v/>
      </c>
      <c r="I43" s="39">
        <f>IFERROR(COUNTIFS(Export!$E:$E,A43,Export!$H:$H,"Cancelado"),0)</f>
        <v>0</v>
      </c>
    </row>
    <row r="44" spans="1:9" x14ac:dyDescent="0.35">
      <c r="A44" s="4" t="s">
        <v>99</v>
      </c>
      <c r="B44" s="33" t="str">
        <f>IFERROR(VLOOKUP(A44,Originaciones!$A:$B,2,0),"")</f>
        <v/>
      </c>
      <c r="C44" s="34">
        <f>IFERROR(COUNTIF(Export!$E:$E,A44),0)</f>
        <v>0</v>
      </c>
      <c r="D44" s="35">
        <f>IFERROR(COUNTIFS(Export!$E:$E,A44,Export!$H:$H,"Efectivo"),0)</f>
        <v>0</v>
      </c>
      <c r="E44" s="36">
        <f>IFERROR(COUNTIFS(Export!$E:$E,A44,Export!$H:$H,"Pendiente"),0)</f>
        <v>0</v>
      </c>
      <c r="F44" s="37" t="str">
        <f t="shared" si="3"/>
        <v/>
      </c>
      <c r="G44" s="38" t="str">
        <f t="shared" si="4"/>
        <v/>
      </c>
      <c r="H44" s="38" t="str">
        <f t="shared" si="5"/>
        <v/>
      </c>
      <c r="I44" s="39">
        <f>IFERROR(COUNTIFS(Export!$E:$E,A44,Export!$H:$H,"Cancelado"),0)</f>
        <v>0</v>
      </c>
    </row>
    <row r="45" spans="1:9" x14ac:dyDescent="0.35">
      <c r="A45" s="4" t="s">
        <v>100</v>
      </c>
      <c r="B45" s="33" t="str">
        <f>IFERROR(VLOOKUP(A45,Originaciones!$A:$B,2,0),"")</f>
        <v/>
      </c>
      <c r="C45" s="34">
        <f>IFERROR(COUNTIF(Export!$E:$E,A45),0)</f>
        <v>0</v>
      </c>
      <c r="D45" s="35">
        <f>IFERROR(COUNTIFS(Export!$E:$E,A45,Export!$H:$H,"Efectivo"),0)</f>
        <v>0</v>
      </c>
      <c r="E45" s="36">
        <f>IFERROR(COUNTIFS(Export!$E:$E,A45,Export!$H:$H,"Pendiente"),0)</f>
        <v>0</v>
      </c>
      <c r="F45" s="37" t="str">
        <f t="shared" si="3"/>
        <v/>
      </c>
      <c r="G45" s="38" t="str">
        <f t="shared" si="4"/>
        <v/>
      </c>
      <c r="H45" s="38" t="str">
        <f t="shared" si="5"/>
        <v/>
      </c>
      <c r="I45" s="39">
        <f>IFERROR(COUNTIFS(Export!$E:$E,A45,Export!$H:$H,"Cancelado"),0)</f>
        <v>0</v>
      </c>
    </row>
    <row r="46" spans="1:9" x14ac:dyDescent="0.35">
      <c r="A46" s="4" t="s">
        <v>101</v>
      </c>
      <c r="B46" s="33" t="str">
        <f>IFERROR(VLOOKUP(A46,Originaciones!$A:$B,2,0),"")</f>
        <v/>
      </c>
      <c r="C46" s="34">
        <f>IFERROR(COUNTIF(Export!$E:$E,A46),0)</f>
        <v>0</v>
      </c>
      <c r="D46" s="35">
        <f>IFERROR(COUNTIFS(Export!$E:$E,A46,Export!$H:$H,"Efectivo"),0)</f>
        <v>0</v>
      </c>
      <c r="E46" s="36">
        <f>IFERROR(COUNTIFS(Export!$E:$E,A46,Export!$H:$H,"Pendiente"),0)</f>
        <v>0</v>
      </c>
      <c r="F46" s="37" t="str">
        <f t="shared" si="3"/>
        <v/>
      </c>
      <c r="G46" s="38" t="str">
        <f t="shared" si="4"/>
        <v/>
      </c>
      <c r="H46" s="38" t="str">
        <f t="shared" si="5"/>
        <v/>
      </c>
      <c r="I46" s="39">
        <f>IFERROR(COUNTIFS(Export!$E:$E,A46,Export!$H:$H,"Cancelado"),0)</f>
        <v>0</v>
      </c>
    </row>
    <row r="47" spans="1:9" x14ac:dyDescent="0.35">
      <c r="A47" s="4" t="s">
        <v>102</v>
      </c>
      <c r="B47" s="33" t="str">
        <f>IFERROR(VLOOKUP(A47,Originaciones!$A:$B,2,0),"")</f>
        <v/>
      </c>
      <c r="C47" s="34">
        <f>IFERROR(COUNTIF(Export!$E:$E,A47),0)</f>
        <v>0</v>
      </c>
      <c r="D47" s="35">
        <f>IFERROR(COUNTIFS(Export!$E:$E,A47,Export!$H:$H,"Efectivo"),0)</f>
        <v>0</v>
      </c>
      <c r="E47" s="36">
        <f>IFERROR(COUNTIFS(Export!$E:$E,A47,Export!$H:$H,"Pendiente"),0)</f>
        <v>0</v>
      </c>
      <c r="F47" s="37" t="str">
        <f t="shared" si="3"/>
        <v/>
      </c>
      <c r="G47" s="38" t="str">
        <f t="shared" si="4"/>
        <v/>
      </c>
      <c r="H47" s="38" t="str">
        <f t="shared" si="5"/>
        <v/>
      </c>
      <c r="I47" s="39">
        <f>IFERROR(COUNTIFS(Export!$E:$E,A47,Export!$H:$H,"Cancelado"),0)</f>
        <v>0</v>
      </c>
    </row>
    <row r="48" spans="1:9" x14ac:dyDescent="0.35">
      <c r="A48" s="4" t="s">
        <v>103</v>
      </c>
      <c r="B48" s="33" t="str">
        <f>IFERROR(VLOOKUP(A48,Originaciones!$A:$B,2,0),"")</f>
        <v/>
      </c>
      <c r="C48" s="34">
        <f>IFERROR(COUNTIF(Export!$E:$E,A48),0)</f>
        <v>0</v>
      </c>
      <c r="D48" s="35">
        <f>IFERROR(COUNTIFS(Export!$E:$E,A48,Export!$H:$H,"Efectivo"),0)</f>
        <v>0</v>
      </c>
      <c r="E48" s="36">
        <f>IFERROR(COUNTIFS(Export!$E:$E,A48,Export!$H:$H,"Pendiente"),0)</f>
        <v>0</v>
      </c>
      <c r="F48" s="37" t="str">
        <f t="shared" si="3"/>
        <v/>
      </c>
      <c r="G48" s="38" t="str">
        <f t="shared" si="4"/>
        <v/>
      </c>
      <c r="H48" s="38" t="str">
        <f t="shared" si="5"/>
        <v/>
      </c>
      <c r="I48" s="39">
        <f>IFERROR(COUNTIFS(Export!$E:$E,A48,Export!$H:$H,"Cancelado"),0)</f>
        <v>0</v>
      </c>
    </row>
    <row r="49" spans="1:9" x14ac:dyDescent="0.35">
      <c r="A49" s="4" t="s">
        <v>104</v>
      </c>
      <c r="B49" s="33" t="str">
        <f>IFERROR(VLOOKUP(A49,Originaciones!$A:$B,2,0),"")</f>
        <v/>
      </c>
      <c r="C49" s="34">
        <f>IFERROR(COUNTIF(Export!$E:$E,A49),0)</f>
        <v>0</v>
      </c>
      <c r="D49" s="35">
        <f>IFERROR(COUNTIFS(Export!$E:$E,A49,Export!$H:$H,"Efectivo"),0)</f>
        <v>0</v>
      </c>
      <c r="E49" s="36">
        <f>IFERROR(COUNTIFS(Export!$E:$E,A49,Export!$H:$H,"Pendiente"),0)</f>
        <v>0</v>
      </c>
      <c r="F49" s="37" t="str">
        <f t="shared" si="3"/>
        <v/>
      </c>
      <c r="G49" s="38" t="str">
        <f t="shared" si="4"/>
        <v/>
      </c>
      <c r="H49" s="38" t="str">
        <f t="shared" si="5"/>
        <v/>
      </c>
      <c r="I49" s="39">
        <f>IFERROR(COUNTIFS(Export!$E:$E,A49,Export!$H:$H,"Cancelado"),0)</f>
        <v>0</v>
      </c>
    </row>
    <row r="50" spans="1:9" x14ac:dyDescent="0.35">
      <c r="A50" s="4" t="s">
        <v>105</v>
      </c>
      <c r="B50" s="33" t="str">
        <f>IFERROR(VLOOKUP(A50,Originaciones!$A:$B,2,0),"")</f>
        <v/>
      </c>
      <c r="C50" s="34">
        <f>IFERROR(COUNTIF(Export!$E:$E,A50),0)</f>
        <v>0</v>
      </c>
      <c r="D50" s="35">
        <f>IFERROR(COUNTIFS(Export!$E:$E,A50,Export!$H:$H,"Efectivo"),0)</f>
        <v>0</v>
      </c>
      <c r="E50" s="36">
        <f>IFERROR(COUNTIFS(Export!$E:$E,A50,Export!$H:$H,"Pendiente"),0)</f>
        <v>0</v>
      </c>
      <c r="F50" s="37" t="str">
        <f t="shared" si="3"/>
        <v/>
      </c>
      <c r="G50" s="38" t="str">
        <f t="shared" si="4"/>
        <v/>
      </c>
      <c r="H50" s="38" t="str">
        <f t="shared" si="5"/>
        <v/>
      </c>
      <c r="I50" s="39">
        <f>IFERROR(COUNTIFS(Export!$E:$E,A50,Export!$H:$H,"Cancelado"),0)</f>
        <v>0</v>
      </c>
    </row>
    <row r="51" spans="1:9" x14ac:dyDescent="0.35">
      <c r="A51" s="40" t="s">
        <v>106</v>
      </c>
      <c r="B51" s="40">
        <f>SUM(B3:B50)</f>
        <v>3919</v>
      </c>
      <c r="C51" s="40">
        <f>SUM(C3:C50)</f>
        <v>1200</v>
      </c>
      <c r="D51" s="40">
        <f>SUM(D3:D50)</f>
        <v>918</v>
      </c>
      <c r="E51" s="40">
        <f>SUM(E3:E50)</f>
        <v>193</v>
      </c>
      <c r="F51" s="41">
        <f t="shared" si="3"/>
        <v>0.76500000000000001</v>
      </c>
      <c r="G51" s="41">
        <f t="shared" si="4"/>
        <v>0.30620056136769586</v>
      </c>
      <c r="H51" s="41">
        <f t="shared" si="5"/>
        <v>0.23424342944628732</v>
      </c>
      <c r="I51" s="40">
        <f>SUM(I3:I50)</f>
        <v>89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AP50"/>
  <sheetViews>
    <sheetView workbookViewId="0">
      <pane xSplit="3" ySplit="2" topLeftCell="D3" activePane="bottomRight" state="frozen"/>
      <selection pane="topRight"/>
      <selection pane="bottomLeft"/>
      <selection pane="bottomRight" sqref="A1:AP1"/>
    </sheetView>
  </sheetViews>
  <sheetFormatPr baseColWidth="10" defaultColWidth="8.7265625" defaultRowHeight="14.5" x14ac:dyDescent="0.35"/>
  <cols>
    <col min="1" max="1" width="12" customWidth="1"/>
    <col min="2" max="3" width="9" customWidth="1"/>
    <col min="4" max="40" width="7" customWidth="1"/>
  </cols>
  <sheetData>
    <row r="1" spans="1:42" ht="22" customHeight="1" x14ac:dyDescent="0.35">
      <c r="A1" s="64" t="s">
        <v>107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</row>
    <row r="2" spans="1:42" ht="24" customHeight="1" x14ac:dyDescent="0.35">
      <c r="A2" s="1" t="s">
        <v>85</v>
      </c>
      <c r="B2" s="1" t="s">
        <v>108</v>
      </c>
      <c r="C2" s="1" t="s">
        <v>86</v>
      </c>
      <c r="D2" s="42" t="s">
        <v>109</v>
      </c>
      <c r="E2" s="42" t="s">
        <v>110</v>
      </c>
      <c r="F2" s="42" t="s">
        <v>111</v>
      </c>
      <c r="G2" s="42" t="s">
        <v>112</v>
      </c>
      <c r="H2" s="42" t="s">
        <v>113</v>
      </c>
      <c r="I2" s="42" t="s">
        <v>114</v>
      </c>
      <c r="J2" s="42" t="s">
        <v>115</v>
      </c>
      <c r="K2" s="42" t="s">
        <v>116</v>
      </c>
      <c r="L2" s="42" t="s">
        <v>117</v>
      </c>
      <c r="M2" s="42" t="s">
        <v>118</v>
      </c>
      <c r="N2" s="42" t="s">
        <v>119</v>
      </c>
      <c r="O2" s="42" t="s">
        <v>120</v>
      </c>
      <c r="P2" s="42" t="s">
        <v>121</v>
      </c>
      <c r="Q2" s="42" t="s">
        <v>122</v>
      </c>
      <c r="R2" s="42" t="s">
        <v>123</v>
      </c>
      <c r="S2" s="42" t="s">
        <v>124</v>
      </c>
      <c r="T2" s="42" t="s">
        <v>125</v>
      </c>
      <c r="U2" s="42" t="s">
        <v>126</v>
      </c>
      <c r="V2" s="42" t="s">
        <v>127</v>
      </c>
      <c r="W2" s="42" t="s">
        <v>128</v>
      </c>
      <c r="X2" s="42" t="s">
        <v>129</v>
      </c>
      <c r="Y2" s="42" t="s">
        <v>130</v>
      </c>
      <c r="Z2" s="42" t="s">
        <v>131</v>
      </c>
      <c r="AA2" s="42" t="s">
        <v>132</v>
      </c>
      <c r="AB2" s="42" t="s">
        <v>133</v>
      </c>
      <c r="AC2" s="42" t="s">
        <v>134</v>
      </c>
      <c r="AD2" s="42" t="s">
        <v>135</v>
      </c>
      <c r="AE2" s="42" t="s">
        <v>136</v>
      </c>
      <c r="AF2" s="42" t="s">
        <v>137</v>
      </c>
      <c r="AG2" s="42" t="s">
        <v>138</v>
      </c>
      <c r="AH2" s="42" t="s">
        <v>139</v>
      </c>
      <c r="AI2" s="42" t="s">
        <v>140</v>
      </c>
      <c r="AJ2" s="42" t="s">
        <v>141</v>
      </c>
      <c r="AK2" s="42" t="s">
        <v>142</v>
      </c>
      <c r="AL2" s="42" t="s">
        <v>143</v>
      </c>
      <c r="AM2" s="42" t="s">
        <v>144</v>
      </c>
      <c r="AN2" s="42" t="s">
        <v>145</v>
      </c>
    </row>
    <row r="3" spans="1:42" x14ac:dyDescent="0.35">
      <c r="A3" s="43" t="s">
        <v>28</v>
      </c>
      <c r="B3" s="44">
        <f>IFERROR(COUNTIF(Export!$E:$E,A3),0)</f>
        <v>8</v>
      </c>
      <c r="C3" s="45">
        <f>IFERROR(VLOOKUP(A3,Originaciones!$A:$B,2,0),"")</f>
        <v>63</v>
      </c>
      <c r="D3" s="46">
        <f>IF(B3=0,"",IFERROR(COUNTIFS(Export!$E:$E,A3,Export!$H:$H,"Efectivo",Export!$M:$M,"&lt;="&amp;0)/B3*100,0))</f>
        <v>0</v>
      </c>
      <c r="E3" s="46">
        <f>IF(B3=0,"",IFERROR(COUNTIFS(Export!$E:$E,A3,Export!$H:$H,"Efectivo",Export!$M:$M,"&lt;="&amp;1)/B3*100,0))</f>
        <v>0</v>
      </c>
      <c r="F3" s="46">
        <f>IF(B3=0,"",IFERROR(COUNTIFS(Export!$E:$E,A3,Export!$H:$H,"Efectivo",Export!$M:$M,"&lt;="&amp;2)/B3*100,0))</f>
        <v>0</v>
      </c>
      <c r="G3" s="46">
        <f>IF(B3=0,"",IFERROR(COUNTIFS(Export!$E:$E,A3,Export!$H:$H,"Efectivo",Export!$M:$M,"&lt;="&amp;3)/B3*100,0))</f>
        <v>0</v>
      </c>
      <c r="H3" s="46">
        <f>IF(B3=0,"",IFERROR(COUNTIFS(Export!$E:$E,A3,Export!$H:$H,"Efectivo",Export!$M:$M,"&lt;="&amp;4)/B3*100,0))</f>
        <v>0</v>
      </c>
      <c r="I3" s="46">
        <f>IF(B3=0,"",IFERROR(COUNTIFS(Export!$E:$E,A3,Export!$H:$H,"Efectivo",Export!$M:$M,"&lt;="&amp;5)/B3*100,0))</f>
        <v>0</v>
      </c>
      <c r="J3" s="46">
        <f>IF(B3=0,"",IFERROR(COUNTIFS(Export!$E:$E,A3,Export!$H:$H,"Efectivo",Export!$M:$M,"&lt;="&amp;6)/B3*100,0))</f>
        <v>0</v>
      </c>
      <c r="K3" s="46">
        <f>IF(B3=0,"",IFERROR(COUNTIFS(Export!$E:$E,A3,Export!$H:$H,"Efectivo",Export!$M:$M,"&lt;="&amp;7)/B3*100,0))</f>
        <v>0</v>
      </c>
      <c r="L3" s="46">
        <f>IF(B3=0,"",IFERROR(COUNTIFS(Export!$E:$E,A3,Export!$H:$H,"Efectivo",Export!$M:$M,"&lt;="&amp;8)/B3*100,0))</f>
        <v>0</v>
      </c>
      <c r="M3" s="46">
        <f>IF(B3=0,"",IFERROR(COUNTIFS(Export!$E:$E,A3,Export!$H:$H,"Efectivo",Export!$M:$M,"&lt;="&amp;9)/B3*100,0))</f>
        <v>0</v>
      </c>
      <c r="N3" s="46">
        <f>IF(B3=0,"",IFERROR(COUNTIFS(Export!$E:$E,A3,Export!$H:$H,"Efectivo",Export!$M:$M,"&lt;="&amp;10)/B3*100,0))</f>
        <v>0</v>
      </c>
      <c r="O3" s="46">
        <f>IF(B3=0,"",IFERROR(COUNTIFS(Export!$E:$E,A3,Export!$H:$H,"Efectivo",Export!$M:$M,"&lt;="&amp;11)/B3*100,0))</f>
        <v>0</v>
      </c>
      <c r="P3" s="46">
        <f>IF(B3=0,"",IFERROR(COUNTIFS(Export!$E:$E,A3,Export!$H:$H,"Efectivo",Export!$M:$M,"&lt;="&amp;12)/B3*100,0))</f>
        <v>0</v>
      </c>
      <c r="Q3" s="46">
        <f>IF(B3=0,"",IFERROR(COUNTIFS(Export!$E:$E,A3,Export!$H:$H,"Efectivo",Export!$M:$M,"&lt;="&amp;13)/B3*100,0))</f>
        <v>0</v>
      </c>
      <c r="R3" s="46">
        <f>IF(B3=0,"",IFERROR(COUNTIFS(Export!$E:$E,A3,Export!$H:$H,"Efectivo",Export!$M:$M,"&lt;="&amp;14)/B3*100,0))</f>
        <v>12.5</v>
      </c>
      <c r="S3" s="46">
        <f>IF(B3=0,"",IFERROR(COUNTIFS(Export!$E:$E,A3,Export!$H:$H,"Efectivo",Export!$M:$M,"&lt;="&amp;15)/B3*100,0))</f>
        <v>12.5</v>
      </c>
      <c r="T3" s="46">
        <f>IF(B3=0,"",IFERROR(COUNTIFS(Export!$E:$E,A3,Export!$H:$H,"Efectivo",Export!$M:$M,"&lt;="&amp;16)/B3*100,0))</f>
        <v>12.5</v>
      </c>
      <c r="U3" s="46">
        <f>IF(B3=0,"",IFERROR(COUNTIFS(Export!$E:$E,A3,Export!$H:$H,"Efectivo",Export!$M:$M,"&lt;="&amp;17)/B3*100,0))</f>
        <v>12.5</v>
      </c>
      <c r="V3" s="46">
        <f>IF(B3=0,"",IFERROR(COUNTIFS(Export!$E:$E,A3,Export!$H:$H,"Efectivo",Export!$M:$M,"&lt;="&amp;18)/B3*100,0))</f>
        <v>12.5</v>
      </c>
      <c r="W3" s="46">
        <f>IF(B3=0,"",IFERROR(COUNTIFS(Export!$E:$E,A3,Export!$H:$H,"Efectivo",Export!$M:$M,"&lt;="&amp;19)/B3*100,0))</f>
        <v>12.5</v>
      </c>
      <c r="X3" s="46">
        <f>IF(B3=0,"",IFERROR(COUNTIFS(Export!$E:$E,A3,Export!$H:$H,"Efectivo",Export!$M:$M,"&lt;="&amp;20)/B3*100,0))</f>
        <v>12.5</v>
      </c>
      <c r="Y3" s="46">
        <f>IF(B3=0,"",IFERROR(COUNTIFS(Export!$E:$E,A3,Export!$H:$H,"Efectivo",Export!$M:$M,"&lt;="&amp;21)/B3*100,0))</f>
        <v>12.5</v>
      </c>
      <c r="Z3" s="46">
        <f>IF(B3=0,"",IFERROR(COUNTIFS(Export!$E:$E,A3,Export!$H:$H,"Efectivo",Export!$M:$M,"&lt;="&amp;22)/B3*100,0))</f>
        <v>12.5</v>
      </c>
      <c r="AA3" s="46">
        <f>IF(B3=0,"",IFERROR(COUNTIFS(Export!$E:$E,A3,Export!$H:$H,"Efectivo",Export!$M:$M,"&lt;="&amp;23)/B3*100,0))</f>
        <v>12.5</v>
      </c>
      <c r="AB3" s="46">
        <f>IF(B3=0,"",IFERROR(COUNTIFS(Export!$E:$E,A3,Export!$H:$H,"Efectivo",Export!$M:$M,"&lt;="&amp;24)/B3*100,0))</f>
        <v>12.5</v>
      </c>
      <c r="AC3" s="46">
        <f>IF(B3=0,"",IFERROR(COUNTIFS(Export!$E:$E,A3,Export!$H:$H,"Efectivo",Export!$M:$M,"&lt;="&amp;25)/B3*100,0))</f>
        <v>25</v>
      </c>
      <c r="AD3" s="46">
        <f>IF(B3=0,"",IFERROR(COUNTIFS(Export!$E:$E,A3,Export!$H:$H,"Efectivo",Export!$M:$M,"&lt;="&amp;26)/B3*100,0))</f>
        <v>37.5</v>
      </c>
      <c r="AE3" s="46">
        <f>IF(B3=0,"",IFERROR(COUNTIFS(Export!$E:$E,A3,Export!$H:$H,"Efectivo",Export!$M:$M,"&lt;="&amp;27)/B3*100,0))</f>
        <v>37.5</v>
      </c>
      <c r="AF3" s="46">
        <f>IF(B3=0,"",IFERROR(COUNTIFS(Export!$E:$E,A3,Export!$H:$H,"Efectivo",Export!$M:$M,"&lt;="&amp;28)/B3*100,0))</f>
        <v>37.5</v>
      </c>
      <c r="AG3" s="46">
        <f>IF(B3=0,"",IFERROR(COUNTIFS(Export!$E:$E,A3,Export!$H:$H,"Efectivo",Export!$M:$M,"&lt;="&amp;29)/B3*100,0))</f>
        <v>37.5</v>
      </c>
      <c r="AH3" s="46">
        <f>IF(B3=0,"",IFERROR(COUNTIFS(Export!$E:$E,A3,Export!$H:$H,"Efectivo",Export!$M:$M,"&lt;="&amp;30)/B3*100,0))</f>
        <v>37.5</v>
      </c>
      <c r="AI3" s="46">
        <f>IF(B3=0,"",IFERROR(COUNTIFS(Export!$E:$E,A3,Export!$H:$H,"Efectivo",Export!$M:$M,"&lt;="&amp;31)/B3*100,0))</f>
        <v>37.5</v>
      </c>
      <c r="AJ3" s="46">
        <f>IF(B3=0,"",IFERROR(COUNTIFS(Export!$E:$E,A3,Export!$H:$H,"Efectivo",Export!$M:$M,"&lt;="&amp;32)/B3*100,0))</f>
        <v>37.5</v>
      </c>
      <c r="AK3" s="46">
        <f>IF(B3=0,"",IFERROR(COUNTIFS(Export!$E:$E,A3,Export!$H:$H,"Efectivo",Export!$M:$M,"&lt;="&amp;33)/B3*100,0))</f>
        <v>37.5</v>
      </c>
      <c r="AL3" s="46">
        <f>IF(B3=0,"",IFERROR(COUNTIFS(Export!$E:$E,A3,Export!$H:$H,"Efectivo",Export!$M:$M,"&lt;="&amp;34)/B3*100,0))</f>
        <v>37.5</v>
      </c>
      <c r="AM3" s="46">
        <f>IF(B3=0,"",IFERROR(COUNTIFS(Export!$E:$E,A3,Export!$H:$H,"Efectivo",Export!$M:$M,"&lt;="&amp;35)/B3*100,0))</f>
        <v>37.5</v>
      </c>
      <c r="AN3" s="46">
        <f>IF(B3=0,"",IFERROR(COUNTIFS(Export!$E:$E,A3,Export!$H:$H,"Efectivo",Export!$M:$M,"&lt;="&amp;36)/B3*100,0))</f>
        <v>37.5</v>
      </c>
    </row>
    <row r="4" spans="1:42" x14ac:dyDescent="0.35">
      <c r="A4" s="43" t="s">
        <v>29</v>
      </c>
      <c r="B4" s="44">
        <f>IFERROR(COUNTIF(Export!$E:$E,A4),0)</f>
        <v>18</v>
      </c>
      <c r="C4" s="45">
        <f>IFERROR(VLOOKUP(A4,Originaciones!$A:$B,2,0),"")</f>
        <v>68</v>
      </c>
      <c r="D4" s="46">
        <f>IF(B4=0,"",IFERROR(COUNTIFS(Export!$E:$E,A4,Export!$H:$H,"Efectivo",Export!$M:$M,"&lt;="&amp;0)/B4*100,0))</f>
        <v>0</v>
      </c>
      <c r="E4" s="46">
        <f>IF(B4=0,"",IFERROR(COUNTIFS(Export!$E:$E,A4,Export!$H:$H,"Efectivo",Export!$M:$M,"&lt;="&amp;1)/B4*100,0))</f>
        <v>0</v>
      </c>
      <c r="F4" s="46">
        <f>IF(B4=0,"",IFERROR(COUNTIFS(Export!$E:$E,A4,Export!$H:$H,"Efectivo",Export!$M:$M,"&lt;="&amp;2)/B4*100,0))</f>
        <v>0</v>
      </c>
      <c r="G4" s="46">
        <f>IF(B4=0,"",IFERROR(COUNTIFS(Export!$E:$E,A4,Export!$H:$H,"Efectivo",Export!$M:$M,"&lt;="&amp;3)/B4*100,0))</f>
        <v>0</v>
      </c>
      <c r="H4" s="46">
        <f>IF(B4=0,"",IFERROR(COUNTIFS(Export!$E:$E,A4,Export!$H:$H,"Efectivo",Export!$M:$M,"&lt;="&amp;4)/B4*100,0))</f>
        <v>0</v>
      </c>
      <c r="I4" s="46">
        <f>IF(B4=0,"",IFERROR(COUNTIFS(Export!$E:$E,A4,Export!$H:$H,"Efectivo",Export!$M:$M,"&lt;="&amp;5)/B4*100,0))</f>
        <v>0</v>
      </c>
      <c r="J4" s="46">
        <f>IF(B4=0,"",IFERROR(COUNTIFS(Export!$E:$E,A4,Export!$H:$H,"Efectivo",Export!$M:$M,"&lt;="&amp;6)/B4*100,0))</f>
        <v>0</v>
      </c>
      <c r="K4" s="46">
        <f>IF(B4=0,"",IFERROR(COUNTIFS(Export!$E:$E,A4,Export!$H:$H,"Efectivo",Export!$M:$M,"&lt;="&amp;7)/B4*100,0))</f>
        <v>0</v>
      </c>
      <c r="L4" s="46">
        <f>IF(B4=0,"",IFERROR(COUNTIFS(Export!$E:$E,A4,Export!$H:$H,"Efectivo",Export!$M:$M,"&lt;="&amp;8)/B4*100,0))</f>
        <v>0</v>
      </c>
      <c r="M4" s="46">
        <f>IF(B4=0,"",IFERROR(COUNTIFS(Export!$E:$E,A4,Export!$H:$H,"Efectivo",Export!$M:$M,"&lt;="&amp;9)/B4*100,0))</f>
        <v>0</v>
      </c>
      <c r="N4" s="46">
        <f>IF(B4=0,"",IFERROR(COUNTIFS(Export!$E:$E,A4,Export!$H:$H,"Efectivo",Export!$M:$M,"&lt;="&amp;10)/B4*100,0))</f>
        <v>0</v>
      </c>
      <c r="O4" s="46">
        <f>IF(B4=0,"",IFERROR(COUNTIFS(Export!$E:$E,A4,Export!$H:$H,"Efectivo",Export!$M:$M,"&lt;="&amp;11)/B4*100,0))</f>
        <v>0</v>
      </c>
      <c r="P4" s="46">
        <f>IF(B4=0,"",IFERROR(COUNTIFS(Export!$E:$E,A4,Export!$H:$H,"Efectivo",Export!$M:$M,"&lt;="&amp;12)/B4*100,0))</f>
        <v>0</v>
      </c>
      <c r="Q4" s="46">
        <f>IF(B4=0,"",IFERROR(COUNTIFS(Export!$E:$E,A4,Export!$H:$H,"Efectivo",Export!$M:$M,"&lt;="&amp;13)/B4*100,0))</f>
        <v>11.111111111111111</v>
      </c>
      <c r="R4" s="46">
        <f>IF(B4=0,"",IFERROR(COUNTIFS(Export!$E:$E,A4,Export!$H:$H,"Efectivo",Export!$M:$M,"&lt;="&amp;14)/B4*100,0))</f>
        <v>11.111111111111111</v>
      </c>
      <c r="S4" s="46">
        <f>IF(B4=0,"",IFERROR(COUNTIFS(Export!$E:$E,A4,Export!$H:$H,"Efectivo",Export!$M:$M,"&lt;="&amp;15)/B4*100,0))</f>
        <v>22.222222222222221</v>
      </c>
      <c r="T4" s="46">
        <f>IF(B4=0,"",IFERROR(COUNTIFS(Export!$E:$E,A4,Export!$H:$H,"Efectivo",Export!$M:$M,"&lt;="&amp;16)/B4*100,0))</f>
        <v>22.222222222222221</v>
      </c>
      <c r="U4" s="46">
        <f>IF(B4=0,"",IFERROR(COUNTIFS(Export!$E:$E,A4,Export!$H:$H,"Efectivo",Export!$M:$M,"&lt;="&amp;17)/B4*100,0))</f>
        <v>22.222222222222221</v>
      </c>
      <c r="V4" s="46">
        <f>IF(B4=0,"",IFERROR(COUNTIFS(Export!$E:$E,A4,Export!$H:$H,"Efectivo",Export!$M:$M,"&lt;="&amp;18)/B4*100,0))</f>
        <v>22.222222222222221</v>
      </c>
      <c r="W4" s="46">
        <f>IF(B4=0,"",IFERROR(COUNTIFS(Export!$E:$E,A4,Export!$H:$H,"Efectivo",Export!$M:$M,"&lt;="&amp;19)/B4*100,0))</f>
        <v>27.777777777777779</v>
      </c>
      <c r="X4" s="46">
        <f>IF(B4=0,"",IFERROR(COUNTIFS(Export!$E:$E,A4,Export!$H:$H,"Efectivo",Export!$M:$M,"&lt;="&amp;20)/B4*100,0))</f>
        <v>38.888888888888893</v>
      </c>
      <c r="Y4" s="46">
        <f>IF(B4=0,"",IFERROR(COUNTIFS(Export!$E:$E,A4,Export!$H:$H,"Efectivo",Export!$M:$M,"&lt;="&amp;21)/B4*100,0))</f>
        <v>38.888888888888893</v>
      </c>
      <c r="Z4" s="46">
        <f>IF(B4=0,"",IFERROR(COUNTIFS(Export!$E:$E,A4,Export!$H:$H,"Efectivo",Export!$M:$M,"&lt;="&amp;22)/B4*100,0))</f>
        <v>38.888888888888893</v>
      </c>
      <c r="AA4" s="46">
        <f>IF(B4=0,"",IFERROR(COUNTIFS(Export!$E:$E,A4,Export!$H:$H,"Efectivo",Export!$M:$M,"&lt;="&amp;23)/B4*100,0))</f>
        <v>44.444444444444443</v>
      </c>
      <c r="AB4" s="46">
        <f>IF(B4=0,"",IFERROR(COUNTIFS(Export!$E:$E,A4,Export!$H:$H,"Efectivo",Export!$M:$M,"&lt;="&amp;24)/B4*100,0))</f>
        <v>55.555555555555557</v>
      </c>
      <c r="AC4" s="46">
        <f>IF(B4=0,"",IFERROR(COUNTIFS(Export!$E:$E,A4,Export!$H:$H,"Efectivo",Export!$M:$M,"&lt;="&amp;25)/B4*100,0))</f>
        <v>55.555555555555557</v>
      </c>
      <c r="AD4" s="46">
        <f>IF(B4=0,"",IFERROR(COUNTIFS(Export!$E:$E,A4,Export!$H:$H,"Efectivo",Export!$M:$M,"&lt;="&amp;26)/B4*100,0))</f>
        <v>55.555555555555557</v>
      </c>
      <c r="AE4" s="46">
        <f>IF(B4=0,"",IFERROR(COUNTIFS(Export!$E:$E,A4,Export!$H:$H,"Efectivo",Export!$M:$M,"&lt;="&amp;27)/B4*100,0))</f>
        <v>61.111111111111114</v>
      </c>
      <c r="AF4" s="46">
        <f>IF(B4=0,"",IFERROR(COUNTIFS(Export!$E:$E,A4,Export!$H:$H,"Efectivo",Export!$M:$M,"&lt;="&amp;28)/B4*100,0))</f>
        <v>61.111111111111114</v>
      </c>
      <c r="AG4" s="46">
        <f>IF(B4=0,"",IFERROR(COUNTIFS(Export!$E:$E,A4,Export!$H:$H,"Efectivo",Export!$M:$M,"&lt;="&amp;29)/B4*100,0))</f>
        <v>61.111111111111114</v>
      </c>
      <c r="AH4" s="46">
        <f>IF(B4=0,"",IFERROR(COUNTIFS(Export!$E:$E,A4,Export!$H:$H,"Efectivo",Export!$M:$M,"&lt;="&amp;30)/B4*100,0))</f>
        <v>61.111111111111114</v>
      </c>
      <c r="AI4" s="46">
        <f>IF(B4=0,"",IFERROR(COUNTIFS(Export!$E:$E,A4,Export!$H:$H,"Efectivo",Export!$M:$M,"&lt;="&amp;31)/B4*100,0))</f>
        <v>61.111111111111114</v>
      </c>
      <c r="AJ4" s="46">
        <f>IF(B4=0,"",IFERROR(COUNTIFS(Export!$E:$E,A4,Export!$H:$H,"Efectivo",Export!$M:$M,"&lt;="&amp;32)/B4*100,0))</f>
        <v>61.111111111111114</v>
      </c>
      <c r="AK4" s="46">
        <f>IF(B4=0,"",IFERROR(COUNTIFS(Export!$E:$E,A4,Export!$H:$H,"Efectivo",Export!$M:$M,"&lt;="&amp;33)/B4*100,0))</f>
        <v>61.111111111111114</v>
      </c>
      <c r="AL4" s="46">
        <f>IF(B4=0,"",IFERROR(COUNTIFS(Export!$E:$E,A4,Export!$H:$H,"Efectivo",Export!$M:$M,"&lt;="&amp;34)/B4*100,0))</f>
        <v>61.111111111111114</v>
      </c>
      <c r="AM4" s="46">
        <f>IF(B4=0,"",IFERROR(COUNTIFS(Export!$E:$E,A4,Export!$H:$H,"Efectivo",Export!$M:$M,"&lt;="&amp;35)/B4*100,0))</f>
        <v>61.111111111111114</v>
      </c>
      <c r="AN4" s="46">
        <f>IF(B4=0,"",IFERROR(COUNTIFS(Export!$E:$E,A4,Export!$H:$H,"Efectivo",Export!$M:$M,"&lt;="&amp;36)/B4*100,0))</f>
        <v>61.111111111111114</v>
      </c>
    </row>
    <row r="5" spans="1:42" x14ac:dyDescent="0.35">
      <c r="A5" s="43" t="s">
        <v>30</v>
      </c>
      <c r="B5" s="44">
        <f>IFERROR(COUNTIF(Export!$E:$E,A5),0)</f>
        <v>16</v>
      </c>
      <c r="C5" s="45">
        <f>IFERROR(VLOOKUP(A5,Originaciones!$A:$B,2,0),"")</f>
        <v>60</v>
      </c>
      <c r="D5" s="46">
        <f>IF(B5=0,"",IFERROR(COUNTIFS(Export!$E:$E,A5,Export!$H:$H,"Efectivo",Export!$M:$M,"&lt;="&amp;0)/B5*100,0))</f>
        <v>0</v>
      </c>
      <c r="E5" s="46">
        <f>IF(B5=0,"",IFERROR(COUNTIFS(Export!$E:$E,A5,Export!$H:$H,"Efectivo",Export!$M:$M,"&lt;="&amp;1)/B5*100,0))</f>
        <v>0</v>
      </c>
      <c r="F5" s="46">
        <f>IF(B5=0,"",IFERROR(COUNTIFS(Export!$E:$E,A5,Export!$H:$H,"Efectivo",Export!$M:$M,"&lt;="&amp;2)/B5*100,0))</f>
        <v>0</v>
      </c>
      <c r="G5" s="46">
        <f>IF(B5=0,"",IFERROR(COUNTIFS(Export!$E:$E,A5,Export!$H:$H,"Efectivo",Export!$M:$M,"&lt;="&amp;3)/B5*100,0))</f>
        <v>0</v>
      </c>
      <c r="H5" s="46">
        <f>IF(B5=0,"",IFERROR(COUNTIFS(Export!$E:$E,A5,Export!$H:$H,"Efectivo",Export!$M:$M,"&lt;="&amp;4)/B5*100,0))</f>
        <v>0</v>
      </c>
      <c r="I5" s="46">
        <f>IF(B5=0,"",IFERROR(COUNTIFS(Export!$E:$E,A5,Export!$H:$H,"Efectivo",Export!$M:$M,"&lt;="&amp;5)/B5*100,0))</f>
        <v>0</v>
      </c>
      <c r="J5" s="46">
        <f>IF(B5=0,"",IFERROR(COUNTIFS(Export!$E:$E,A5,Export!$H:$H,"Efectivo",Export!$M:$M,"&lt;="&amp;6)/B5*100,0))</f>
        <v>0</v>
      </c>
      <c r="K5" s="46">
        <f>IF(B5=0,"",IFERROR(COUNTIFS(Export!$E:$E,A5,Export!$H:$H,"Efectivo",Export!$M:$M,"&lt;="&amp;7)/B5*100,0))</f>
        <v>0</v>
      </c>
      <c r="L5" s="46">
        <f>IF(B5=0,"",IFERROR(COUNTIFS(Export!$E:$E,A5,Export!$H:$H,"Efectivo",Export!$M:$M,"&lt;="&amp;8)/B5*100,0))</f>
        <v>0</v>
      </c>
      <c r="M5" s="46">
        <f>IF(B5=0,"",IFERROR(COUNTIFS(Export!$E:$E,A5,Export!$H:$H,"Efectivo",Export!$M:$M,"&lt;="&amp;9)/B5*100,0))</f>
        <v>0</v>
      </c>
      <c r="N5" s="46">
        <f>IF(B5=0,"",IFERROR(COUNTIFS(Export!$E:$E,A5,Export!$H:$H,"Efectivo",Export!$M:$M,"&lt;="&amp;10)/B5*100,0))</f>
        <v>12.5</v>
      </c>
      <c r="O5" s="46">
        <f>IF(B5=0,"",IFERROR(COUNTIFS(Export!$E:$E,A5,Export!$H:$H,"Efectivo",Export!$M:$M,"&lt;="&amp;11)/B5*100,0))</f>
        <v>12.5</v>
      </c>
      <c r="P5" s="46">
        <f>IF(B5=0,"",IFERROR(COUNTIFS(Export!$E:$E,A5,Export!$H:$H,"Efectivo",Export!$M:$M,"&lt;="&amp;12)/B5*100,0))</f>
        <v>12.5</v>
      </c>
      <c r="Q5" s="46">
        <f>IF(B5=0,"",IFERROR(COUNTIFS(Export!$E:$E,A5,Export!$H:$H,"Efectivo",Export!$M:$M,"&lt;="&amp;13)/B5*100,0))</f>
        <v>25</v>
      </c>
      <c r="R5" s="46">
        <f>IF(B5=0,"",IFERROR(COUNTIFS(Export!$E:$E,A5,Export!$H:$H,"Efectivo",Export!$M:$M,"&lt;="&amp;14)/B5*100,0))</f>
        <v>25</v>
      </c>
      <c r="S5" s="46">
        <f>IF(B5=0,"",IFERROR(COUNTIFS(Export!$E:$E,A5,Export!$H:$H,"Efectivo",Export!$M:$M,"&lt;="&amp;15)/B5*100,0))</f>
        <v>31.25</v>
      </c>
      <c r="T5" s="46">
        <f>IF(B5=0,"",IFERROR(COUNTIFS(Export!$E:$E,A5,Export!$H:$H,"Efectivo",Export!$M:$M,"&lt;="&amp;16)/B5*100,0))</f>
        <v>37.5</v>
      </c>
      <c r="U5" s="46">
        <f>IF(B5=0,"",IFERROR(COUNTIFS(Export!$E:$E,A5,Export!$H:$H,"Efectivo",Export!$M:$M,"&lt;="&amp;17)/B5*100,0))</f>
        <v>37.5</v>
      </c>
      <c r="V5" s="46">
        <f>IF(B5=0,"",IFERROR(COUNTIFS(Export!$E:$E,A5,Export!$H:$H,"Efectivo",Export!$M:$M,"&lt;="&amp;18)/B5*100,0))</f>
        <v>37.5</v>
      </c>
      <c r="W5" s="46">
        <f>IF(B5=0,"",IFERROR(COUNTIFS(Export!$E:$E,A5,Export!$H:$H,"Efectivo",Export!$M:$M,"&lt;="&amp;19)/B5*100,0))</f>
        <v>37.5</v>
      </c>
      <c r="X5" s="46">
        <f>IF(B5=0,"",IFERROR(COUNTIFS(Export!$E:$E,A5,Export!$H:$H,"Efectivo",Export!$M:$M,"&lt;="&amp;20)/B5*100,0))</f>
        <v>37.5</v>
      </c>
      <c r="Y5" s="46">
        <f>IF(B5=0,"",IFERROR(COUNTIFS(Export!$E:$E,A5,Export!$H:$H,"Efectivo",Export!$M:$M,"&lt;="&amp;21)/B5*100,0))</f>
        <v>37.5</v>
      </c>
      <c r="Z5" s="46">
        <f>IF(B5=0,"",IFERROR(COUNTIFS(Export!$E:$E,A5,Export!$H:$H,"Efectivo",Export!$M:$M,"&lt;="&amp;22)/B5*100,0))</f>
        <v>62.5</v>
      </c>
      <c r="AA5" s="46">
        <f>IF(B5=0,"",IFERROR(COUNTIFS(Export!$E:$E,A5,Export!$H:$H,"Efectivo",Export!$M:$M,"&lt;="&amp;23)/B5*100,0))</f>
        <v>62.5</v>
      </c>
      <c r="AB5" s="46">
        <f>IF(B5=0,"",IFERROR(COUNTIFS(Export!$E:$E,A5,Export!$H:$H,"Efectivo",Export!$M:$M,"&lt;="&amp;24)/B5*100,0))</f>
        <v>75</v>
      </c>
      <c r="AC5" s="46">
        <f>IF(B5=0,"",IFERROR(COUNTIFS(Export!$E:$E,A5,Export!$H:$H,"Efectivo",Export!$M:$M,"&lt;="&amp;25)/B5*100,0))</f>
        <v>87.5</v>
      </c>
      <c r="AD5" s="46">
        <f>IF(B5=0,"",IFERROR(COUNTIFS(Export!$E:$E,A5,Export!$H:$H,"Efectivo",Export!$M:$M,"&lt;="&amp;26)/B5*100,0))</f>
        <v>93.75</v>
      </c>
      <c r="AE5" s="46">
        <f>IF(B5=0,"",IFERROR(COUNTIFS(Export!$E:$E,A5,Export!$H:$H,"Efectivo",Export!$M:$M,"&lt;="&amp;27)/B5*100,0))</f>
        <v>93.75</v>
      </c>
      <c r="AF5" s="46">
        <f>IF(B5=0,"",IFERROR(COUNTIFS(Export!$E:$E,A5,Export!$H:$H,"Efectivo",Export!$M:$M,"&lt;="&amp;28)/B5*100,0))</f>
        <v>93.75</v>
      </c>
      <c r="AG5" s="46">
        <f>IF(B5=0,"",IFERROR(COUNTIFS(Export!$E:$E,A5,Export!$H:$H,"Efectivo",Export!$M:$M,"&lt;="&amp;29)/B5*100,0))</f>
        <v>93.75</v>
      </c>
      <c r="AH5" s="46">
        <f>IF(B5=0,"",IFERROR(COUNTIFS(Export!$E:$E,A5,Export!$H:$H,"Efectivo",Export!$M:$M,"&lt;="&amp;30)/B5*100,0))</f>
        <v>93.75</v>
      </c>
      <c r="AI5" s="46">
        <f>IF(B5=0,"",IFERROR(COUNTIFS(Export!$E:$E,A5,Export!$H:$H,"Efectivo",Export!$M:$M,"&lt;="&amp;31)/B5*100,0))</f>
        <v>93.75</v>
      </c>
      <c r="AJ5" s="46">
        <f>IF(B5=0,"",IFERROR(COUNTIFS(Export!$E:$E,A5,Export!$H:$H,"Efectivo",Export!$M:$M,"&lt;="&amp;32)/B5*100,0))</f>
        <v>93.75</v>
      </c>
      <c r="AK5" s="46">
        <f>IF(B5=0,"",IFERROR(COUNTIFS(Export!$E:$E,A5,Export!$H:$H,"Efectivo",Export!$M:$M,"&lt;="&amp;33)/B5*100,0))</f>
        <v>93.75</v>
      </c>
      <c r="AL5" s="46">
        <f>IF(B5=0,"",IFERROR(COUNTIFS(Export!$E:$E,A5,Export!$H:$H,"Efectivo",Export!$M:$M,"&lt;="&amp;34)/B5*100,0))</f>
        <v>93.75</v>
      </c>
      <c r="AM5" s="46">
        <f>IF(B5=0,"",IFERROR(COUNTIFS(Export!$E:$E,A5,Export!$H:$H,"Efectivo",Export!$M:$M,"&lt;="&amp;35)/B5*100,0))</f>
        <v>93.75</v>
      </c>
      <c r="AN5" s="46">
        <f>IF(B5=0,"",IFERROR(COUNTIFS(Export!$E:$E,A5,Export!$H:$H,"Efectivo",Export!$M:$M,"&lt;="&amp;36)/B5*100,0))</f>
        <v>93.75</v>
      </c>
    </row>
    <row r="6" spans="1:42" x14ac:dyDescent="0.35">
      <c r="A6" s="43" t="s">
        <v>31</v>
      </c>
      <c r="B6" s="44">
        <f>IFERROR(COUNTIF(Export!$E:$E,A6),0)</f>
        <v>18</v>
      </c>
      <c r="C6" s="45">
        <f>IFERROR(VLOOKUP(A6,Originaciones!$A:$B,2,0),"")</f>
        <v>73</v>
      </c>
      <c r="D6" s="46">
        <f>IF(B6=0,"",IFERROR(COUNTIFS(Export!$E:$E,A6,Export!$H:$H,"Efectivo",Export!$M:$M,"&lt;="&amp;0)/B6*100,0))</f>
        <v>0</v>
      </c>
      <c r="E6" s="46">
        <f>IF(B6=0,"",IFERROR(COUNTIFS(Export!$E:$E,A6,Export!$H:$H,"Efectivo",Export!$M:$M,"&lt;="&amp;1)/B6*100,0))</f>
        <v>0</v>
      </c>
      <c r="F6" s="46">
        <f>IF(B6=0,"",IFERROR(COUNTIFS(Export!$E:$E,A6,Export!$H:$H,"Efectivo",Export!$M:$M,"&lt;="&amp;2)/B6*100,0))</f>
        <v>0</v>
      </c>
      <c r="G6" s="46">
        <f>IF(B6=0,"",IFERROR(COUNTIFS(Export!$E:$E,A6,Export!$H:$H,"Efectivo",Export!$M:$M,"&lt;="&amp;3)/B6*100,0))</f>
        <v>0</v>
      </c>
      <c r="H6" s="46">
        <f>IF(B6=0,"",IFERROR(COUNTIFS(Export!$E:$E,A6,Export!$H:$H,"Efectivo",Export!$M:$M,"&lt;="&amp;4)/B6*100,0))</f>
        <v>0</v>
      </c>
      <c r="I6" s="46">
        <f>IF(B6=0,"",IFERROR(COUNTIFS(Export!$E:$E,A6,Export!$H:$H,"Efectivo",Export!$M:$M,"&lt;="&amp;5)/B6*100,0))</f>
        <v>0</v>
      </c>
      <c r="J6" s="46">
        <f>IF(B6=0,"",IFERROR(COUNTIFS(Export!$E:$E,A6,Export!$H:$H,"Efectivo",Export!$M:$M,"&lt;="&amp;6)/B6*100,0))</f>
        <v>0</v>
      </c>
      <c r="K6" s="46">
        <f>IF(B6=0,"",IFERROR(COUNTIFS(Export!$E:$E,A6,Export!$H:$H,"Efectivo",Export!$M:$M,"&lt;="&amp;7)/B6*100,0))</f>
        <v>0</v>
      </c>
      <c r="L6" s="46">
        <f>IF(B6=0,"",IFERROR(COUNTIFS(Export!$E:$E,A6,Export!$H:$H,"Efectivo",Export!$M:$M,"&lt;="&amp;8)/B6*100,0))</f>
        <v>0</v>
      </c>
      <c r="M6" s="46">
        <f>IF(B6=0,"",IFERROR(COUNTIFS(Export!$E:$E,A6,Export!$H:$H,"Efectivo",Export!$M:$M,"&lt;="&amp;9)/B6*100,0))</f>
        <v>11.111111111111111</v>
      </c>
      <c r="N6" s="46">
        <f>IF(B6=0,"",IFERROR(COUNTIFS(Export!$E:$E,A6,Export!$H:$H,"Efectivo",Export!$M:$M,"&lt;="&amp;10)/B6*100,0))</f>
        <v>16.666666666666664</v>
      </c>
      <c r="O6" s="46">
        <f>IF(B6=0,"",IFERROR(COUNTIFS(Export!$E:$E,A6,Export!$H:$H,"Efectivo",Export!$M:$M,"&lt;="&amp;11)/B6*100,0))</f>
        <v>16.666666666666664</v>
      </c>
      <c r="P6" s="46">
        <f>IF(B6=0,"",IFERROR(COUNTIFS(Export!$E:$E,A6,Export!$H:$H,"Efectivo",Export!$M:$M,"&lt;="&amp;12)/B6*100,0))</f>
        <v>16.666666666666664</v>
      </c>
      <c r="Q6" s="46">
        <f>IF(B6=0,"",IFERROR(COUNTIFS(Export!$E:$E,A6,Export!$H:$H,"Efectivo",Export!$M:$M,"&lt;="&amp;13)/B6*100,0))</f>
        <v>22.222222222222221</v>
      </c>
      <c r="R6" s="46">
        <f>IF(B6=0,"",IFERROR(COUNTIFS(Export!$E:$E,A6,Export!$H:$H,"Efectivo",Export!$M:$M,"&lt;="&amp;14)/B6*100,0))</f>
        <v>22.222222222222221</v>
      </c>
      <c r="S6" s="46">
        <f>IF(B6=0,"",IFERROR(COUNTIFS(Export!$E:$E,A6,Export!$H:$H,"Efectivo",Export!$M:$M,"&lt;="&amp;15)/B6*100,0))</f>
        <v>33.333333333333329</v>
      </c>
      <c r="T6" s="46">
        <f>IF(B6=0,"",IFERROR(COUNTIFS(Export!$E:$E,A6,Export!$H:$H,"Efectivo",Export!$M:$M,"&lt;="&amp;16)/B6*100,0))</f>
        <v>33.333333333333329</v>
      </c>
      <c r="U6" s="46">
        <f>IF(B6=0,"",IFERROR(COUNTIFS(Export!$E:$E,A6,Export!$H:$H,"Efectivo",Export!$M:$M,"&lt;="&amp;17)/B6*100,0))</f>
        <v>33.333333333333329</v>
      </c>
      <c r="V6" s="46">
        <f>IF(B6=0,"",IFERROR(COUNTIFS(Export!$E:$E,A6,Export!$H:$H,"Efectivo",Export!$M:$M,"&lt;="&amp;18)/B6*100,0))</f>
        <v>33.333333333333329</v>
      </c>
      <c r="W6" s="46">
        <f>IF(B6=0,"",IFERROR(COUNTIFS(Export!$E:$E,A6,Export!$H:$H,"Efectivo",Export!$M:$M,"&lt;="&amp;19)/B6*100,0))</f>
        <v>38.888888888888893</v>
      </c>
      <c r="X6" s="46">
        <f>IF(B6=0,"",IFERROR(COUNTIFS(Export!$E:$E,A6,Export!$H:$H,"Efectivo",Export!$M:$M,"&lt;="&amp;20)/B6*100,0))</f>
        <v>38.888888888888893</v>
      </c>
      <c r="Y6" s="46">
        <f>IF(B6=0,"",IFERROR(COUNTIFS(Export!$E:$E,A6,Export!$H:$H,"Efectivo",Export!$M:$M,"&lt;="&amp;21)/B6*100,0))</f>
        <v>38.888888888888893</v>
      </c>
      <c r="Z6" s="46">
        <f>IF(B6=0,"",IFERROR(COUNTIFS(Export!$E:$E,A6,Export!$H:$H,"Efectivo",Export!$M:$M,"&lt;="&amp;22)/B6*100,0))</f>
        <v>50</v>
      </c>
      <c r="AA6" s="46">
        <f>IF(B6=0,"",IFERROR(COUNTIFS(Export!$E:$E,A6,Export!$H:$H,"Efectivo",Export!$M:$M,"&lt;="&amp;23)/B6*100,0))</f>
        <v>61.111111111111114</v>
      </c>
      <c r="AB6" s="46">
        <f>IF(B6=0,"",IFERROR(COUNTIFS(Export!$E:$E,A6,Export!$H:$H,"Efectivo",Export!$M:$M,"&lt;="&amp;24)/B6*100,0))</f>
        <v>61.111111111111114</v>
      </c>
      <c r="AC6" s="46">
        <f>IF(B6=0,"",IFERROR(COUNTIFS(Export!$E:$E,A6,Export!$H:$H,"Efectivo",Export!$M:$M,"&lt;="&amp;25)/B6*100,0))</f>
        <v>61.111111111111114</v>
      </c>
      <c r="AD6" s="46">
        <f>IF(B6=0,"",IFERROR(COUNTIFS(Export!$E:$E,A6,Export!$H:$H,"Efectivo",Export!$M:$M,"&lt;="&amp;26)/B6*100,0))</f>
        <v>61.111111111111114</v>
      </c>
      <c r="AE6" s="46">
        <f>IF(B6=0,"",IFERROR(COUNTIFS(Export!$E:$E,A6,Export!$H:$H,"Efectivo",Export!$M:$M,"&lt;="&amp;27)/B6*100,0))</f>
        <v>61.111111111111114</v>
      </c>
      <c r="AF6" s="46">
        <f>IF(B6=0,"",IFERROR(COUNTIFS(Export!$E:$E,A6,Export!$H:$H,"Efectivo",Export!$M:$M,"&lt;="&amp;28)/B6*100,0))</f>
        <v>61.111111111111114</v>
      </c>
      <c r="AG6" s="46">
        <f>IF(B6=0,"",IFERROR(COUNTIFS(Export!$E:$E,A6,Export!$H:$H,"Efectivo",Export!$M:$M,"&lt;="&amp;29)/B6*100,0))</f>
        <v>61.111111111111114</v>
      </c>
      <c r="AH6" s="46">
        <f>IF(B6=0,"",IFERROR(COUNTIFS(Export!$E:$E,A6,Export!$H:$H,"Efectivo",Export!$M:$M,"&lt;="&amp;30)/B6*100,0))</f>
        <v>61.111111111111114</v>
      </c>
      <c r="AI6" s="46">
        <f>IF(B6=0,"",IFERROR(COUNTIFS(Export!$E:$E,A6,Export!$H:$H,"Efectivo",Export!$M:$M,"&lt;="&amp;31)/B6*100,0))</f>
        <v>61.111111111111114</v>
      </c>
      <c r="AJ6" s="46">
        <f>IF(B6=0,"",IFERROR(COUNTIFS(Export!$E:$E,A6,Export!$H:$H,"Efectivo",Export!$M:$M,"&lt;="&amp;32)/B6*100,0))</f>
        <v>61.111111111111114</v>
      </c>
      <c r="AK6" s="46">
        <f>IF(B6=0,"",IFERROR(COUNTIFS(Export!$E:$E,A6,Export!$H:$H,"Efectivo",Export!$M:$M,"&lt;="&amp;33)/B6*100,0))</f>
        <v>61.111111111111114</v>
      </c>
      <c r="AL6" s="46">
        <f>IF(B6=0,"",IFERROR(COUNTIFS(Export!$E:$E,A6,Export!$H:$H,"Efectivo",Export!$M:$M,"&lt;="&amp;34)/B6*100,0))</f>
        <v>61.111111111111114</v>
      </c>
      <c r="AM6" s="46">
        <f>IF(B6=0,"",IFERROR(COUNTIFS(Export!$E:$E,A6,Export!$H:$H,"Efectivo",Export!$M:$M,"&lt;="&amp;35)/B6*100,0))</f>
        <v>61.111111111111114</v>
      </c>
      <c r="AN6" s="46">
        <f>IF(B6=0,"",IFERROR(COUNTIFS(Export!$E:$E,A6,Export!$H:$H,"Efectivo",Export!$M:$M,"&lt;="&amp;36)/B6*100,0))</f>
        <v>61.111111111111114</v>
      </c>
    </row>
    <row r="7" spans="1:42" x14ac:dyDescent="0.35">
      <c r="A7" s="43" t="s">
        <v>32</v>
      </c>
      <c r="B7" s="44">
        <f>IFERROR(COUNTIF(Export!$E:$E,A7),0)</f>
        <v>21</v>
      </c>
      <c r="C7" s="45">
        <f>IFERROR(VLOOKUP(A7,Originaciones!$A:$B,2,0),"")</f>
        <v>94</v>
      </c>
      <c r="D7" s="46">
        <f>IF(B7=0,"",IFERROR(COUNTIFS(Export!$E:$E,A7,Export!$H:$H,"Efectivo",Export!$M:$M,"&lt;="&amp;0)/B7*100,0))</f>
        <v>0</v>
      </c>
      <c r="E7" s="46">
        <f>IF(B7=0,"",IFERROR(COUNTIFS(Export!$E:$E,A7,Export!$H:$H,"Efectivo",Export!$M:$M,"&lt;="&amp;1)/B7*100,0))</f>
        <v>0</v>
      </c>
      <c r="F7" s="46">
        <f>IF(B7=0,"",IFERROR(COUNTIFS(Export!$E:$E,A7,Export!$H:$H,"Efectivo",Export!$M:$M,"&lt;="&amp;2)/B7*100,0))</f>
        <v>0</v>
      </c>
      <c r="G7" s="46">
        <f>IF(B7=0,"",IFERROR(COUNTIFS(Export!$E:$E,A7,Export!$H:$H,"Efectivo",Export!$M:$M,"&lt;="&amp;3)/B7*100,0))</f>
        <v>0</v>
      </c>
      <c r="H7" s="46">
        <f>IF(B7=0,"",IFERROR(COUNTIFS(Export!$E:$E,A7,Export!$H:$H,"Efectivo",Export!$M:$M,"&lt;="&amp;4)/B7*100,0))</f>
        <v>0</v>
      </c>
      <c r="I7" s="46">
        <f>IF(B7=0,"",IFERROR(COUNTIFS(Export!$E:$E,A7,Export!$H:$H,"Efectivo",Export!$M:$M,"&lt;="&amp;5)/B7*100,0))</f>
        <v>0</v>
      </c>
      <c r="J7" s="46">
        <f>IF(B7=0,"",IFERROR(COUNTIFS(Export!$E:$E,A7,Export!$H:$H,"Efectivo",Export!$M:$M,"&lt;="&amp;6)/B7*100,0))</f>
        <v>0</v>
      </c>
      <c r="K7" s="46">
        <f>IF(B7=0,"",IFERROR(COUNTIFS(Export!$E:$E,A7,Export!$H:$H,"Efectivo",Export!$M:$M,"&lt;="&amp;7)/B7*100,0))</f>
        <v>0</v>
      </c>
      <c r="L7" s="46">
        <f>IF(B7=0,"",IFERROR(COUNTIFS(Export!$E:$E,A7,Export!$H:$H,"Efectivo",Export!$M:$M,"&lt;="&amp;8)/B7*100,0))</f>
        <v>0</v>
      </c>
      <c r="M7" s="46">
        <f>IF(B7=0,"",IFERROR(COUNTIFS(Export!$E:$E,A7,Export!$H:$H,"Efectivo",Export!$M:$M,"&lt;="&amp;9)/B7*100,0))</f>
        <v>0</v>
      </c>
      <c r="N7" s="46">
        <f>IF(B7=0,"",IFERROR(COUNTIFS(Export!$E:$E,A7,Export!$H:$H,"Efectivo",Export!$M:$M,"&lt;="&amp;10)/B7*100,0))</f>
        <v>0</v>
      </c>
      <c r="O7" s="46">
        <f>IF(B7=0,"",IFERROR(COUNTIFS(Export!$E:$E,A7,Export!$H:$H,"Efectivo",Export!$M:$M,"&lt;="&amp;11)/B7*100,0))</f>
        <v>9.5238095238095237</v>
      </c>
      <c r="P7" s="46">
        <f>IF(B7=0,"",IFERROR(COUNTIFS(Export!$E:$E,A7,Export!$H:$H,"Efectivo",Export!$M:$M,"&lt;="&amp;12)/B7*100,0))</f>
        <v>9.5238095238095237</v>
      </c>
      <c r="Q7" s="46">
        <f>IF(B7=0,"",IFERROR(COUNTIFS(Export!$E:$E,A7,Export!$H:$H,"Efectivo",Export!$M:$M,"&lt;="&amp;13)/B7*100,0))</f>
        <v>14.285714285714285</v>
      </c>
      <c r="R7" s="46">
        <f>IF(B7=0,"",IFERROR(COUNTIFS(Export!$E:$E,A7,Export!$H:$H,"Efectivo",Export!$M:$M,"&lt;="&amp;14)/B7*100,0))</f>
        <v>19.047619047619047</v>
      </c>
      <c r="S7" s="46">
        <f>IF(B7=0,"",IFERROR(COUNTIFS(Export!$E:$E,A7,Export!$H:$H,"Efectivo",Export!$M:$M,"&lt;="&amp;15)/B7*100,0))</f>
        <v>23.809523809523807</v>
      </c>
      <c r="T7" s="46">
        <f>IF(B7=0,"",IFERROR(COUNTIFS(Export!$E:$E,A7,Export!$H:$H,"Efectivo",Export!$M:$M,"&lt;="&amp;16)/B7*100,0))</f>
        <v>23.809523809523807</v>
      </c>
      <c r="U7" s="46">
        <f>IF(B7=0,"",IFERROR(COUNTIFS(Export!$E:$E,A7,Export!$H:$H,"Efectivo",Export!$M:$M,"&lt;="&amp;17)/B7*100,0))</f>
        <v>28.571428571428569</v>
      </c>
      <c r="V7" s="46">
        <f>IF(B7=0,"",IFERROR(COUNTIFS(Export!$E:$E,A7,Export!$H:$H,"Efectivo",Export!$M:$M,"&lt;="&amp;18)/B7*100,0))</f>
        <v>28.571428571428569</v>
      </c>
      <c r="W7" s="46">
        <f>IF(B7=0,"",IFERROR(COUNTIFS(Export!$E:$E,A7,Export!$H:$H,"Efectivo",Export!$M:$M,"&lt;="&amp;19)/B7*100,0))</f>
        <v>28.571428571428569</v>
      </c>
      <c r="X7" s="46">
        <f>IF(B7=0,"",IFERROR(COUNTIFS(Export!$E:$E,A7,Export!$H:$H,"Efectivo",Export!$M:$M,"&lt;="&amp;20)/B7*100,0))</f>
        <v>38.095238095238095</v>
      </c>
      <c r="Y7" s="46">
        <f>IF(B7=0,"",IFERROR(COUNTIFS(Export!$E:$E,A7,Export!$H:$H,"Efectivo",Export!$M:$M,"&lt;="&amp;21)/B7*100,0))</f>
        <v>52.380952380952387</v>
      </c>
      <c r="Z7" s="46">
        <f>IF(B7=0,"",IFERROR(COUNTIFS(Export!$E:$E,A7,Export!$H:$H,"Efectivo",Export!$M:$M,"&lt;="&amp;22)/B7*100,0))</f>
        <v>61.904761904761905</v>
      </c>
      <c r="AA7" s="46">
        <f>IF(B7=0,"",IFERROR(COUNTIFS(Export!$E:$E,A7,Export!$H:$H,"Efectivo",Export!$M:$M,"&lt;="&amp;23)/B7*100,0))</f>
        <v>71.428571428571431</v>
      </c>
      <c r="AB7" s="46">
        <f>IF(B7=0,"",IFERROR(COUNTIFS(Export!$E:$E,A7,Export!$H:$H,"Efectivo",Export!$M:$M,"&lt;="&amp;24)/B7*100,0))</f>
        <v>71.428571428571431</v>
      </c>
      <c r="AC7" s="46">
        <f>IF(B7=0,"",IFERROR(COUNTIFS(Export!$E:$E,A7,Export!$H:$H,"Efectivo",Export!$M:$M,"&lt;="&amp;25)/B7*100,0))</f>
        <v>71.428571428571431</v>
      </c>
      <c r="AD7" s="46">
        <f>IF(B7=0,"",IFERROR(COUNTIFS(Export!$E:$E,A7,Export!$H:$H,"Efectivo",Export!$M:$M,"&lt;="&amp;26)/B7*100,0))</f>
        <v>71.428571428571431</v>
      </c>
      <c r="AE7" s="46">
        <f>IF(B7=0,"",IFERROR(COUNTIFS(Export!$E:$E,A7,Export!$H:$H,"Efectivo",Export!$M:$M,"&lt;="&amp;27)/B7*100,0))</f>
        <v>71.428571428571431</v>
      </c>
      <c r="AF7" s="46">
        <f>IF(B7=0,"",IFERROR(COUNTIFS(Export!$E:$E,A7,Export!$H:$H,"Efectivo",Export!$M:$M,"&lt;="&amp;28)/B7*100,0))</f>
        <v>71.428571428571431</v>
      </c>
      <c r="AG7" s="46">
        <f>IF(B7=0,"",IFERROR(COUNTIFS(Export!$E:$E,A7,Export!$H:$H,"Efectivo",Export!$M:$M,"&lt;="&amp;29)/B7*100,0))</f>
        <v>71.428571428571431</v>
      </c>
      <c r="AH7" s="46">
        <f>IF(B7=0,"",IFERROR(COUNTIFS(Export!$E:$E,A7,Export!$H:$H,"Efectivo",Export!$M:$M,"&lt;="&amp;30)/B7*100,0))</f>
        <v>71.428571428571431</v>
      </c>
      <c r="AI7" s="46">
        <f>IF(B7=0,"",IFERROR(COUNTIFS(Export!$E:$E,A7,Export!$H:$H,"Efectivo",Export!$M:$M,"&lt;="&amp;31)/B7*100,0))</f>
        <v>71.428571428571431</v>
      </c>
      <c r="AJ7" s="46">
        <f>IF(B7=0,"",IFERROR(COUNTIFS(Export!$E:$E,A7,Export!$H:$H,"Efectivo",Export!$M:$M,"&lt;="&amp;32)/B7*100,0))</f>
        <v>71.428571428571431</v>
      </c>
      <c r="AK7" s="46">
        <f>IF(B7=0,"",IFERROR(COUNTIFS(Export!$E:$E,A7,Export!$H:$H,"Efectivo",Export!$M:$M,"&lt;="&amp;33)/B7*100,0))</f>
        <v>71.428571428571431</v>
      </c>
      <c r="AL7" s="46">
        <f>IF(B7=0,"",IFERROR(COUNTIFS(Export!$E:$E,A7,Export!$H:$H,"Efectivo",Export!$M:$M,"&lt;="&amp;34)/B7*100,0))</f>
        <v>71.428571428571431</v>
      </c>
      <c r="AM7" s="46">
        <f>IF(B7=0,"",IFERROR(COUNTIFS(Export!$E:$E,A7,Export!$H:$H,"Efectivo",Export!$M:$M,"&lt;="&amp;35)/B7*100,0))</f>
        <v>71.428571428571431</v>
      </c>
      <c r="AN7" s="46">
        <f>IF(B7=0,"",IFERROR(COUNTIFS(Export!$E:$E,A7,Export!$H:$H,"Efectivo",Export!$M:$M,"&lt;="&amp;36)/B7*100,0))</f>
        <v>71.428571428571431</v>
      </c>
    </row>
    <row r="8" spans="1:42" x14ac:dyDescent="0.35">
      <c r="A8" s="43" t="s">
        <v>33</v>
      </c>
      <c r="B8" s="44">
        <f>IFERROR(COUNTIF(Export!$E:$E,A8),0)</f>
        <v>20</v>
      </c>
      <c r="C8" s="45">
        <f>IFERROR(VLOOKUP(A8,Originaciones!$A:$B,2,0),"")</f>
        <v>103</v>
      </c>
      <c r="D8" s="46">
        <f>IF(B8=0,"",IFERROR(COUNTIFS(Export!$E:$E,A8,Export!$H:$H,"Efectivo",Export!$M:$M,"&lt;="&amp;0)/B8*100,0))</f>
        <v>0</v>
      </c>
      <c r="E8" s="46">
        <f>IF(B8=0,"",IFERROR(COUNTIFS(Export!$E:$E,A8,Export!$H:$H,"Efectivo",Export!$M:$M,"&lt;="&amp;1)/B8*100,0))</f>
        <v>0</v>
      </c>
      <c r="F8" s="46">
        <f>IF(B8=0,"",IFERROR(COUNTIFS(Export!$E:$E,A8,Export!$H:$H,"Efectivo",Export!$M:$M,"&lt;="&amp;2)/B8*100,0))</f>
        <v>0</v>
      </c>
      <c r="G8" s="46">
        <f>IF(B8=0,"",IFERROR(COUNTIFS(Export!$E:$E,A8,Export!$H:$H,"Efectivo",Export!$M:$M,"&lt;="&amp;3)/B8*100,0))</f>
        <v>0</v>
      </c>
      <c r="H8" s="46">
        <f>IF(B8=0,"",IFERROR(COUNTIFS(Export!$E:$E,A8,Export!$H:$H,"Efectivo",Export!$M:$M,"&lt;="&amp;4)/B8*100,0))</f>
        <v>0</v>
      </c>
      <c r="I8" s="46">
        <f>IF(B8=0,"",IFERROR(COUNTIFS(Export!$E:$E,A8,Export!$H:$H,"Efectivo",Export!$M:$M,"&lt;="&amp;5)/B8*100,0))</f>
        <v>0</v>
      </c>
      <c r="J8" s="46">
        <f>IF(B8=0,"",IFERROR(COUNTIFS(Export!$E:$E,A8,Export!$H:$H,"Efectivo",Export!$M:$M,"&lt;="&amp;6)/B8*100,0))</f>
        <v>0</v>
      </c>
      <c r="K8" s="46">
        <f>IF(B8=0,"",IFERROR(COUNTIFS(Export!$E:$E,A8,Export!$H:$H,"Efectivo",Export!$M:$M,"&lt;="&amp;7)/B8*100,0))</f>
        <v>0</v>
      </c>
      <c r="L8" s="46">
        <f>IF(B8=0,"",IFERROR(COUNTIFS(Export!$E:$E,A8,Export!$H:$H,"Efectivo",Export!$M:$M,"&lt;="&amp;8)/B8*100,0))</f>
        <v>0</v>
      </c>
      <c r="M8" s="46">
        <f>IF(B8=0,"",IFERROR(COUNTIFS(Export!$E:$E,A8,Export!$H:$H,"Efectivo",Export!$M:$M,"&lt;="&amp;9)/B8*100,0))</f>
        <v>15</v>
      </c>
      <c r="N8" s="46">
        <f>IF(B8=0,"",IFERROR(COUNTIFS(Export!$E:$E,A8,Export!$H:$H,"Efectivo",Export!$M:$M,"&lt;="&amp;10)/B8*100,0))</f>
        <v>25</v>
      </c>
      <c r="O8" s="46">
        <f>IF(B8=0,"",IFERROR(COUNTIFS(Export!$E:$E,A8,Export!$H:$H,"Efectivo",Export!$M:$M,"&lt;="&amp;11)/B8*100,0))</f>
        <v>30</v>
      </c>
      <c r="P8" s="46">
        <f>IF(B8=0,"",IFERROR(COUNTIFS(Export!$E:$E,A8,Export!$H:$H,"Efectivo",Export!$M:$M,"&lt;="&amp;12)/B8*100,0))</f>
        <v>35</v>
      </c>
      <c r="Q8" s="46">
        <f>IF(B8=0,"",IFERROR(COUNTIFS(Export!$E:$E,A8,Export!$H:$H,"Efectivo",Export!$M:$M,"&lt;="&amp;13)/B8*100,0))</f>
        <v>40</v>
      </c>
      <c r="R8" s="46">
        <f>IF(B8=0,"",IFERROR(COUNTIFS(Export!$E:$E,A8,Export!$H:$H,"Efectivo",Export!$M:$M,"&lt;="&amp;14)/B8*100,0))</f>
        <v>55.000000000000007</v>
      </c>
      <c r="S8" s="46">
        <f>IF(B8=0,"",IFERROR(COUNTIFS(Export!$E:$E,A8,Export!$H:$H,"Efectivo",Export!$M:$M,"&lt;="&amp;15)/B8*100,0))</f>
        <v>55.000000000000007</v>
      </c>
      <c r="T8" s="46">
        <f>IF(B8=0,"",IFERROR(COUNTIFS(Export!$E:$E,A8,Export!$H:$H,"Efectivo",Export!$M:$M,"&lt;="&amp;16)/B8*100,0))</f>
        <v>55.000000000000007</v>
      </c>
      <c r="U8" s="46">
        <f>IF(B8=0,"",IFERROR(COUNTIFS(Export!$E:$E,A8,Export!$H:$H,"Efectivo",Export!$M:$M,"&lt;="&amp;17)/B8*100,0))</f>
        <v>55.000000000000007</v>
      </c>
      <c r="V8" s="46">
        <f>IF(B8=0,"",IFERROR(COUNTIFS(Export!$E:$E,A8,Export!$H:$H,"Efectivo",Export!$M:$M,"&lt;="&amp;18)/B8*100,0))</f>
        <v>60</v>
      </c>
      <c r="W8" s="46">
        <f>IF(B8=0,"",IFERROR(COUNTIFS(Export!$E:$E,A8,Export!$H:$H,"Efectivo",Export!$M:$M,"&lt;="&amp;19)/B8*100,0))</f>
        <v>60</v>
      </c>
      <c r="X8" s="46">
        <f>IF(B8=0,"",IFERROR(COUNTIFS(Export!$E:$E,A8,Export!$H:$H,"Efectivo",Export!$M:$M,"&lt;="&amp;20)/B8*100,0))</f>
        <v>70</v>
      </c>
      <c r="Y8" s="46">
        <f>IF(B8=0,"",IFERROR(COUNTIFS(Export!$E:$E,A8,Export!$H:$H,"Efectivo",Export!$M:$M,"&lt;="&amp;21)/B8*100,0))</f>
        <v>75</v>
      </c>
      <c r="Z8" s="46">
        <f>IF(B8=0,"",IFERROR(COUNTIFS(Export!$E:$E,A8,Export!$H:$H,"Efectivo",Export!$M:$M,"&lt;="&amp;22)/B8*100,0))</f>
        <v>85</v>
      </c>
      <c r="AA8" s="46">
        <f>IF(B8=0,"",IFERROR(COUNTIFS(Export!$E:$E,A8,Export!$H:$H,"Efectivo",Export!$M:$M,"&lt;="&amp;23)/B8*100,0))</f>
        <v>90</v>
      </c>
      <c r="AB8" s="46">
        <f>IF(B8=0,"",IFERROR(COUNTIFS(Export!$E:$E,A8,Export!$H:$H,"Efectivo",Export!$M:$M,"&lt;="&amp;24)/B8*100,0))</f>
        <v>90</v>
      </c>
      <c r="AC8" s="46">
        <f>IF(B8=0,"",IFERROR(COUNTIFS(Export!$E:$E,A8,Export!$H:$H,"Efectivo",Export!$M:$M,"&lt;="&amp;25)/B8*100,0))</f>
        <v>90</v>
      </c>
      <c r="AD8" s="46">
        <f>IF(B8=0,"",IFERROR(COUNTIFS(Export!$E:$E,A8,Export!$H:$H,"Efectivo",Export!$M:$M,"&lt;="&amp;26)/B8*100,0))</f>
        <v>90</v>
      </c>
      <c r="AE8" s="46">
        <f>IF(B8=0,"",IFERROR(COUNTIFS(Export!$E:$E,A8,Export!$H:$H,"Efectivo",Export!$M:$M,"&lt;="&amp;27)/B8*100,0))</f>
        <v>90</v>
      </c>
      <c r="AF8" s="46">
        <f>IF(B8=0,"",IFERROR(COUNTIFS(Export!$E:$E,A8,Export!$H:$H,"Efectivo",Export!$M:$M,"&lt;="&amp;28)/B8*100,0))</f>
        <v>90</v>
      </c>
      <c r="AG8" s="46">
        <f>IF(B8=0,"",IFERROR(COUNTIFS(Export!$E:$E,A8,Export!$H:$H,"Efectivo",Export!$M:$M,"&lt;="&amp;29)/B8*100,0))</f>
        <v>90</v>
      </c>
      <c r="AH8" s="46">
        <f>IF(B8=0,"",IFERROR(COUNTIFS(Export!$E:$E,A8,Export!$H:$H,"Efectivo",Export!$M:$M,"&lt;="&amp;30)/B8*100,0))</f>
        <v>90</v>
      </c>
      <c r="AI8" s="46">
        <f>IF(B8=0,"",IFERROR(COUNTIFS(Export!$E:$E,A8,Export!$H:$H,"Efectivo",Export!$M:$M,"&lt;="&amp;31)/B8*100,0))</f>
        <v>90</v>
      </c>
      <c r="AJ8" s="46">
        <f>IF(B8=0,"",IFERROR(COUNTIFS(Export!$E:$E,A8,Export!$H:$H,"Efectivo",Export!$M:$M,"&lt;="&amp;32)/B8*100,0))</f>
        <v>90</v>
      </c>
      <c r="AK8" s="46">
        <f>IF(B8=0,"",IFERROR(COUNTIFS(Export!$E:$E,A8,Export!$H:$H,"Efectivo",Export!$M:$M,"&lt;="&amp;33)/B8*100,0))</f>
        <v>90</v>
      </c>
      <c r="AL8" s="46">
        <f>IF(B8=0,"",IFERROR(COUNTIFS(Export!$E:$E,A8,Export!$H:$H,"Efectivo",Export!$M:$M,"&lt;="&amp;34)/B8*100,0))</f>
        <v>90</v>
      </c>
      <c r="AM8" s="46">
        <f>IF(B8=0,"",IFERROR(COUNTIFS(Export!$E:$E,A8,Export!$H:$H,"Efectivo",Export!$M:$M,"&lt;="&amp;35)/B8*100,0))</f>
        <v>90</v>
      </c>
      <c r="AN8" s="46">
        <f>IF(B8=0,"",IFERROR(COUNTIFS(Export!$E:$E,A8,Export!$H:$H,"Efectivo",Export!$M:$M,"&lt;="&amp;36)/B8*100,0))</f>
        <v>90</v>
      </c>
    </row>
    <row r="9" spans="1:42" x14ac:dyDescent="0.35">
      <c r="A9" s="43" t="s">
        <v>34</v>
      </c>
      <c r="B9" s="44">
        <f>IFERROR(COUNTIF(Export!$E:$E,A9),0)</f>
        <v>39</v>
      </c>
      <c r="C9" s="45">
        <f>IFERROR(VLOOKUP(A9,Originaciones!$A:$B,2,0),"")</f>
        <v>119</v>
      </c>
      <c r="D9" s="46">
        <f>IF(B9=0,"",IFERROR(COUNTIFS(Export!$E:$E,A9,Export!$H:$H,"Efectivo",Export!$M:$M,"&lt;="&amp;0)/B9*100,0))</f>
        <v>0</v>
      </c>
      <c r="E9" s="46">
        <f>IF(B9=0,"",IFERROR(COUNTIFS(Export!$E:$E,A9,Export!$H:$H,"Efectivo",Export!$M:$M,"&lt;="&amp;1)/B9*100,0))</f>
        <v>0</v>
      </c>
      <c r="F9" s="46">
        <f>IF(B9=0,"",IFERROR(COUNTIFS(Export!$E:$E,A9,Export!$H:$H,"Efectivo",Export!$M:$M,"&lt;="&amp;2)/B9*100,0))</f>
        <v>0</v>
      </c>
      <c r="G9" s="46">
        <f>IF(B9=0,"",IFERROR(COUNTIFS(Export!$E:$E,A9,Export!$H:$H,"Efectivo",Export!$M:$M,"&lt;="&amp;3)/B9*100,0))</f>
        <v>0</v>
      </c>
      <c r="H9" s="46">
        <f>IF(B9=0,"",IFERROR(COUNTIFS(Export!$E:$E,A9,Export!$H:$H,"Efectivo",Export!$M:$M,"&lt;="&amp;4)/B9*100,0))</f>
        <v>0</v>
      </c>
      <c r="I9" s="46">
        <f>IF(B9=0,"",IFERROR(COUNTIFS(Export!$E:$E,A9,Export!$H:$H,"Efectivo",Export!$M:$M,"&lt;="&amp;5)/B9*100,0))</f>
        <v>0</v>
      </c>
      <c r="J9" s="46">
        <f>IF(B9=0,"",IFERROR(COUNTIFS(Export!$E:$E,A9,Export!$H:$H,"Efectivo",Export!$M:$M,"&lt;="&amp;6)/B9*100,0))</f>
        <v>10.256410256410255</v>
      </c>
      <c r="K9" s="46">
        <f>IF(B9=0,"",IFERROR(COUNTIFS(Export!$E:$E,A9,Export!$H:$H,"Efectivo",Export!$M:$M,"&lt;="&amp;7)/B9*100,0))</f>
        <v>10.256410256410255</v>
      </c>
      <c r="L9" s="46">
        <f>IF(B9=0,"",IFERROR(COUNTIFS(Export!$E:$E,A9,Export!$H:$H,"Efectivo",Export!$M:$M,"&lt;="&amp;8)/B9*100,0))</f>
        <v>17.948717948717949</v>
      </c>
      <c r="M9" s="46">
        <f>IF(B9=0,"",IFERROR(COUNTIFS(Export!$E:$E,A9,Export!$H:$H,"Efectivo",Export!$M:$M,"&lt;="&amp;9)/B9*100,0))</f>
        <v>23.076923076923077</v>
      </c>
      <c r="N9" s="46">
        <f>IF(B9=0,"",IFERROR(COUNTIFS(Export!$E:$E,A9,Export!$H:$H,"Efectivo",Export!$M:$M,"&lt;="&amp;10)/B9*100,0))</f>
        <v>30.76923076923077</v>
      </c>
      <c r="O9" s="46">
        <f>IF(B9=0,"",IFERROR(COUNTIFS(Export!$E:$E,A9,Export!$H:$H,"Efectivo",Export!$M:$M,"&lt;="&amp;11)/B9*100,0))</f>
        <v>33.333333333333329</v>
      </c>
      <c r="P9" s="46">
        <f>IF(B9=0,"",IFERROR(COUNTIFS(Export!$E:$E,A9,Export!$H:$H,"Efectivo",Export!$M:$M,"&lt;="&amp;12)/B9*100,0))</f>
        <v>43.589743589743591</v>
      </c>
      <c r="Q9" s="46">
        <f>IF(B9=0,"",IFERROR(COUNTIFS(Export!$E:$E,A9,Export!$H:$H,"Efectivo",Export!$M:$M,"&lt;="&amp;13)/B9*100,0))</f>
        <v>46.153846153846153</v>
      </c>
      <c r="R9" s="46">
        <f>IF(B9=0,"",IFERROR(COUNTIFS(Export!$E:$E,A9,Export!$H:$H,"Efectivo",Export!$M:$M,"&lt;="&amp;14)/B9*100,0))</f>
        <v>46.153846153846153</v>
      </c>
      <c r="S9" s="46">
        <f>IF(B9=0,"",IFERROR(COUNTIFS(Export!$E:$E,A9,Export!$H:$H,"Efectivo",Export!$M:$M,"&lt;="&amp;15)/B9*100,0))</f>
        <v>46.153846153846153</v>
      </c>
      <c r="T9" s="46">
        <f>IF(B9=0,"",IFERROR(COUNTIFS(Export!$E:$E,A9,Export!$H:$H,"Efectivo",Export!$M:$M,"&lt;="&amp;16)/B9*100,0))</f>
        <v>48.717948717948715</v>
      </c>
      <c r="U9" s="46">
        <f>IF(B9=0,"",IFERROR(COUNTIFS(Export!$E:$E,A9,Export!$H:$H,"Efectivo",Export!$M:$M,"&lt;="&amp;17)/B9*100,0))</f>
        <v>51.282051282051277</v>
      </c>
      <c r="V9" s="46">
        <f>IF(B9=0,"",IFERROR(COUNTIFS(Export!$E:$E,A9,Export!$H:$H,"Efectivo",Export!$M:$M,"&lt;="&amp;18)/B9*100,0))</f>
        <v>56.410256410256409</v>
      </c>
      <c r="W9" s="46">
        <f>IF(B9=0,"",IFERROR(COUNTIFS(Export!$E:$E,A9,Export!$H:$H,"Efectivo",Export!$M:$M,"&lt;="&amp;19)/B9*100,0))</f>
        <v>61.53846153846154</v>
      </c>
      <c r="X9" s="46">
        <f>IF(B9=0,"",IFERROR(COUNTIFS(Export!$E:$E,A9,Export!$H:$H,"Efectivo",Export!$M:$M,"&lt;="&amp;20)/B9*100,0))</f>
        <v>64.102564102564102</v>
      </c>
      <c r="Y9" s="46">
        <f>IF(B9=0,"",IFERROR(COUNTIFS(Export!$E:$E,A9,Export!$H:$H,"Efectivo",Export!$M:$M,"&lt;="&amp;21)/B9*100,0))</f>
        <v>71.794871794871796</v>
      </c>
      <c r="Z9" s="46">
        <f>IF(B9=0,"",IFERROR(COUNTIFS(Export!$E:$E,A9,Export!$H:$H,"Efectivo",Export!$M:$M,"&lt;="&amp;22)/B9*100,0))</f>
        <v>71.794871794871796</v>
      </c>
      <c r="AA9" s="46">
        <f>IF(B9=0,"",IFERROR(COUNTIFS(Export!$E:$E,A9,Export!$H:$H,"Efectivo",Export!$M:$M,"&lt;="&amp;23)/B9*100,0))</f>
        <v>71.794871794871796</v>
      </c>
      <c r="AB9" s="46">
        <f>IF(B9=0,"",IFERROR(COUNTIFS(Export!$E:$E,A9,Export!$H:$H,"Efectivo",Export!$M:$M,"&lt;="&amp;24)/B9*100,0))</f>
        <v>71.794871794871796</v>
      </c>
      <c r="AC9" s="46">
        <f>IF(B9=0,"",IFERROR(COUNTIFS(Export!$E:$E,A9,Export!$H:$H,"Efectivo",Export!$M:$M,"&lt;="&amp;25)/B9*100,0))</f>
        <v>71.794871794871796</v>
      </c>
      <c r="AD9" s="46">
        <f>IF(B9=0,"",IFERROR(COUNTIFS(Export!$E:$E,A9,Export!$H:$H,"Efectivo",Export!$M:$M,"&lt;="&amp;26)/B9*100,0))</f>
        <v>71.794871794871796</v>
      </c>
      <c r="AE9" s="46">
        <f>IF(B9=0,"",IFERROR(COUNTIFS(Export!$E:$E,A9,Export!$H:$H,"Efectivo",Export!$M:$M,"&lt;="&amp;27)/B9*100,0))</f>
        <v>71.794871794871796</v>
      </c>
      <c r="AF9" s="46">
        <f>IF(B9=0,"",IFERROR(COUNTIFS(Export!$E:$E,A9,Export!$H:$H,"Efectivo",Export!$M:$M,"&lt;="&amp;28)/B9*100,0))</f>
        <v>71.794871794871796</v>
      </c>
      <c r="AG9" s="46">
        <f>IF(B9=0,"",IFERROR(COUNTIFS(Export!$E:$E,A9,Export!$H:$H,"Efectivo",Export!$M:$M,"&lt;="&amp;29)/B9*100,0))</f>
        <v>71.794871794871796</v>
      </c>
      <c r="AH9" s="46">
        <f>IF(B9=0,"",IFERROR(COUNTIFS(Export!$E:$E,A9,Export!$H:$H,"Efectivo",Export!$M:$M,"&lt;="&amp;30)/B9*100,0))</f>
        <v>71.794871794871796</v>
      </c>
      <c r="AI9" s="46">
        <f>IF(B9=0,"",IFERROR(COUNTIFS(Export!$E:$E,A9,Export!$H:$H,"Efectivo",Export!$M:$M,"&lt;="&amp;31)/B9*100,0))</f>
        <v>71.794871794871796</v>
      </c>
      <c r="AJ9" s="46">
        <f>IF(B9=0,"",IFERROR(COUNTIFS(Export!$E:$E,A9,Export!$H:$H,"Efectivo",Export!$M:$M,"&lt;="&amp;32)/B9*100,0))</f>
        <v>71.794871794871796</v>
      </c>
      <c r="AK9" s="46">
        <f>IF(B9=0,"",IFERROR(COUNTIFS(Export!$E:$E,A9,Export!$H:$H,"Efectivo",Export!$M:$M,"&lt;="&amp;33)/B9*100,0))</f>
        <v>71.794871794871796</v>
      </c>
      <c r="AL9" s="46">
        <f>IF(B9=0,"",IFERROR(COUNTIFS(Export!$E:$E,A9,Export!$H:$H,"Efectivo",Export!$M:$M,"&lt;="&amp;34)/B9*100,0))</f>
        <v>71.794871794871796</v>
      </c>
      <c r="AM9" s="46">
        <f>IF(B9=0,"",IFERROR(COUNTIFS(Export!$E:$E,A9,Export!$H:$H,"Efectivo",Export!$M:$M,"&lt;="&amp;35)/B9*100,0))</f>
        <v>71.794871794871796</v>
      </c>
      <c r="AN9" s="46">
        <f>IF(B9=0,"",IFERROR(COUNTIFS(Export!$E:$E,A9,Export!$H:$H,"Efectivo",Export!$M:$M,"&lt;="&amp;36)/B9*100,0))</f>
        <v>71.794871794871796</v>
      </c>
    </row>
    <row r="10" spans="1:42" x14ac:dyDescent="0.35">
      <c r="A10" s="43" t="s">
        <v>35</v>
      </c>
      <c r="B10" s="44">
        <f>IFERROR(COUNTIF(Export!$E:$E,A10),0)</f>
        <v>41</v>
      </c>
      <c r="C10" s="45">
        <f>IFERROR(VLOOKUP(A10,Originaciones!$A:$B,2,0),"")</f>
        <v>114</v>
      </c>
      <c r="D10" s="46">
        <f>IF(B10=0,"",IFERROR(COUNTIFS(Export!$E:$E,A10,Export!$H:$H,"Efectivo",Export!$M:$M,"&lt;="&amp;0)/B10*100,0))</f>
        <v>0</v>
      </c>
      <c r="E10" s="46">
        <f>IF(B10=0,"",IFERROR(COUNTIFS(Export!$E:$E,A10,Export!$H:$H,"Efectivo",Export!$M:$M,"&lt;="&amp;1)/B10*100,0))</f>
        <v>0</v>
      </c>
      <c r="F10" s="46">
        <f>IF(B10=0,"",IFERROR(COUNTIFS(Export!$E:$E,A10,Export!$H:$H,"Efectivo",Export!$M:$M,"&lt;="&amp;2)/B10*100,0))</f>
        <v>0</v>
      </c>
      <c r="G10" s="46">
        <f>IF(B10=0,"",IFERROR(COUNTIFS(Export!$E:$E,A10,Export!$H:$H,"Efectivo",Export!$M:$M,"&lt;="&amp;3)/B10*100,0))</f>
        <v>0</v>
      </c>
      <c r="H10" s="46">
        <f>IF(B10=0,"",IFERROR(COUNTIFS(Export!$E:$E,A10,Export!$H:$H,"Efectivo",Export!$M:$M,"&lt;="&amp;4)/B10*100,0))</f>
        <v>0</v>
      </c>
      <c r="I10" s="46">
        <f>IF(B10=0,"",IFERROR(COUNTIFS(Export!$E:$E,A10,Export!$H:$H,"Efectivo",Export!$M:$M,"&lt;="&amp;5)/B10*100,0))</f>
        <v>4.8780487804878048</v>
      </c>
      <c r="J10" s="46">
        <f>IF(B10=0,"",IFERROR(COUNTIFS(Export!$E:$E,A10,Export!$H:$H,"Efectivo",Export!$M:$M,"&lt;="&amp;6)/B10*100,0))</f>
        <v>4.8780487804878048</v>
      </c>
      <c r="K10" s="46">
        <f>IF(B10=0,"",IFERROR(COUNTIFS(Export!$E:$E,A10,Export!$H:$H,"Efectivo",Export!$M:$M,"&lt;="&amp;7)/B10*100,0))</f>
        <v>14.634146341463413</v>
      </c>
      <c r="L10" s="46">
        <f>IF(B10=0,"",IFERROR(COUNTIFS(Export!$E:$E,A10,Export!$H:$H,"Efectivo",Export!$M:$M,"&lt;="&amp;8)/B10*100,0))</f>
        <v>24.390243902439025</v>
      </c>
      <c r="M10" s="46">
        <f>IF(B10=0,"",IFERROR(COUNTIFS(Export!$E:$E,A10,Export!$H:$H,"Efectivo",Export!$M:$M,"&lt;="&amp;9)/B10*100,0))</f>
        <v>31.707317073170731</v>
      </c>
      <c r="N10" s="46">
        <f>IF(B10=0,"",IFERROR(COUNTIFS(Export!$E:$E,A10,Export!$H:$H,"Efectivo",Export!$M:$M,"&lt;="&amp;10)/B10*100,0))</f>
        <v>43.902439024390247</v>
      </c>
      <c r="O10" s="46">
        <f>IF(B10=0,"",IFERROR(COUNTIFS(Export!$E:$E,A10,Export!$H:$H,"Efectivo",Export!$M:$M,"&lt;="&amp;11)/B10*100,0))</f>
        <v>51.219512195121951</v>
      </c>
      <c r="P10" s="46">
        <f>IF(B10=0,"",IFERROR(COUNTIFS(Export!$E:$E,A10,Export!$H:$H,"Efectivo",Export!$M:$M,"&lt;="&amp;12)/B10*100,0))</f>
        <v>56.09756097560976</v>
      </c>
      <c r="Q10" s="46">
        <f>IF(B10=0,"",IFERROR(COUNTIFS(Export!$E:$E,A10,Export!$H:$H,"Efectivo",Export!$M:$M,"&lt;="&amp;13)/B10*100,0))</f>
        <v>60.975609756097562</v>
      </c>
      <c r="R10" s="46">
        <f>IF(B10=0,"",IFERROR(COUNTIFS(Export!$E:$E,A10,Export!$H:$H,"Efectivo",Export!$M:$M,"&lt;="&amp;14)/B10*100,0))</f>
        <v>63.414634146341463</v>
      </c>
      <c r="S10" s="46">
        <f>IF(B10=0,"",IFERROR(COUNTIFS(Export!$E:$E,A10,Export!$H:$H,"Efectivo",Export!$M:$M,"&lt;="&amp;15)/B10*100,0))</f>
        <v>63.414634146341463</v>
      </c>
      <c r="T10" s="46">
        <f>IF(B10=0,"",IFERROR(COUNTIFS(Export!$E:$E,A10,Export!$H:$H,"Efectivo",Export!$M:$M,"&lt;="&amp;16)/B10*100,0))</f>
        <v>65.853658536585371</v>
      </c>
      <c r="U10" s="46">
        <f>IF(B10=0,"",IFERROR(COUNTIFS(Export!$E:$E,A10,Export!$H:$H,"Efectivo",Export!$M:$M,"&lt;="&amp;17)/B10*100,0))</f>
        <v>65.853658536585371</v>
      </c>
      <c r="V10" s="46">
        <f>IF(B10=0,"",IFERROR(COUNTIFS(Export!$E:$E,A10,Export!$H:$H,"Efectivo",Export!$M:$M,"&lt;="&amp;18)/B10*100,0))</f>
        <v>73.170731707317074</v>
      </c>
      <c r="W10" s="46">
        <f>IF(B10=0,"",IFERROR(COUNTIFS(Export!$E:$E,A10,Export!$H:$H,"Efectivo",Export!$M:$M,"&lt;="&amp;19)/B10*100,0))</f>
        <v>78.048780487804876</v>
      </c>
      <c r="X10" s="46">
        <f>IF(B10=0,"",IFERROR(COUNTIFS(Export!$E:$E,A10,Export!$H:$H,"Efectivo",Export!$M:$M,"&lt;="&amp;20)/B10*100,0))</f>
        <v>82.926829268292678</v>
      </c>
      <c r="Y10" s="46">
        <f>IF(B10=0,"",IFERROR(COUNTIFS(Export!$E:$E,A10,Export!$H:$H,"Efectivo",Export!$M:$M,"&lt;="&amp;21)/B10*100,0))</f>
        <v>82.926829268292678</v>
      </c>
      <c r="Z10" s="46">
        <f>IF(B10=0,"",IFERROR(COUNTIFS(Export!$E:$E,A10,Export!$H:$H,"Efectivo",Export!$M:$M,"&lt;="&amp;22)/B10*100,0))</f>
        <v>82.926829268292678</v>
      </c>
      <c r="AA10" s="46">
        <f>IF(B10=0,"",IFERROR(COUNTIFS(Export!$E:$E,A10,Export!$H:$H,"Efectivo",Export!$M:$M,"&lt;="&amp;23)/B10*100,0))</f>
        <v>82.926829268292678</v>
      </c>
      <c r="AB10" s="46">
        <f>IF(B10=0,"",IFERROR(COUNTIFS(Export!$E:$E,A10,Export!$H:$H,"Efectivo",Export!$M:$M,"&lt;="&amp;24)/B10*100,0))</f>
        <v>82.926829268292678</v>
      </c>
      <c r="AC10" s="46">
        <f>IF(B10=0,"",IFERROR(COUNTIFS(Export!$E:$E,A10,Export!$H:$H,"Efectivo",Export!$M:$M,"&lt;="&amp;25)/B10*100,0))</f>
        <v>82.926829268292678</v>
      </c>
      <c r="AD10" s="46">
        <f>IF(B10=0,"",IFERROR(COUNTIFS(Export!$E:$E,A10,Export!$H:$H,"Efectivo",Export!$M:$M,"&lt;="&amp;26)/B10*100,0))</f>
        <v>82.926829268292678</v>
      </c>
      <c r="AE10" s="46">
        <f>IF(B10=0,"",IFERROR(COUNTIFS(Export!$E:$E,A10,Export!$H:$H,"Efectivo",Export!$M:$M,"&lt;="&amp;27)/B10*100,0))</f>
        <v>82.926829268292678</v>
      </c>
      <c r="AF10" s="46">
        <f>IF(B10=0,"",IFERROR(COUNTIFS(Export!$E:$E,A10,Export!$H:$H,"Efectivo",Export!$M:$M,"&lt;="&amp;28)/B10*100,0))</f>
        <v>82.926829268292678</v>
      </c>
      <c r="AG10" s="46">
        <f>IF(B10=0,"",IFERROR(COUNTIFS(Export!$E:$E,A10,Export!$H:$H,"Efectivo",Export!$M:$M,"&lt;="&amp;29)/B10*100,0))</f>
        <v>82.926829268292678</v>
      </c>
      <c r="AH10" s="46">
        <f>IF(B10=0,"",IFERROR(COUNTIFS(Export!$E:$E,A10,Export!$H:$H,"Efectivo",Export!$M:$M,"&lt;="&amp;30)/B10*100,0))</f>
        <v>82.926829268292678</v>
      </c>
      <c r="AI10" s="46">
        <f>IF(B10=0,"",IFERROR(COUNTIFS(Export!$E:$E,A10,Export!$H:$H,"Efectivo",Export!$M:$M,"&lt;="&amp;31)/B10*100,0))</f>
        <v>82.926829268292678</v>
      </c>
      <c r="AJ10" s="46">
        <f>IF(B10=0,"",IFERROR(COUNTIFS(Export!$E:$E,A10,Export!$H:$H,"Efectivo",Export!$M:$M,"&lt;="&amp;32)/B10*100,0))</f>
        <v>82.926829268292678</v>
      </c>
      <c r="AK10" s="46">
        <f>IF(B10=0,"",IFERROR(COUNTIFS(Export!$E:$E,A10,Export!$H:$H,"Efectivo",Export!$M:$M,"&lt;="&amp;33)/B10*100,0))</f>
        <v>82.926829268292678</v>
      </c>
      <c r="AL10" s="46">
        <f>IF(B10=0,"",IFERROR(COUNTIFS(Export!$E:$E,A10,Export!$H:$H,"Efectivo",Export!$M:$M,"&lt;="&amp;34)/B10*100,0))</f>
        <v>82.926829268292678</v>
      </c>
      <c r="AM10" s="46">
        <f>IF(B10=0,"",IFERROR(COUNTIFS(Export!$E:$E,A10,Export!$H:$H,"Efectivo",Export!$M:$M,"&lt;="&amp;35)/B10*100,0))</f>
        <v>82.926829268292678</v>
      </c>
      <c r="AN10" s="46">
        <f>IF(B10=0,"",IFERROR(COUNTIFS(Export!$E:$E,A10,Export!$H:$H,"Efectivo",Export!$M:$M,"&lt;="&amp;36)/B10*100,0))</f>
        <v>82.926829268292678</v>
      </c>
    </row>
    <row r="11" spans="1:42" x14ac:dyDescent="0.35">
      <c r="A11" s="43" t="s">
        <v>36</v>
      </c>
      <c r="B11" s="44">
        <f>IFERROR(COUNTIF(Export!$E:$E,A11),0)</f>
        <v>28</v>
      </c>
      <c r="C11" s="45">
        <f>IFERROR(VLOOKUP(A11,Originaciones!$A:$B,2,0),"")</f>
        <v>112</v>
      </c>
      <c r="D11" s="46">
        <f>IF(B11=0,"",IFERROR(COUNTIFS(Export!$E:$E,A11,Export!$H:$H,"Efectivo",Export!$M:$M,"&lt;="&amp;0)/B11*100,0))</f>
        <v>0</v>
      </c>
      <c r="E11" s="46">
        <f>IF(B11=0,"",IFERROR(COUNTIFS(Export!$E:$E,A11,Export!$H:$H,"Efectivo",Export!$M:$M,"&lt;="&amp;1)/B11*100,0))</f>
        <v>0</v>
      </c>
      <c r="F11" s="46">
        <f>IF(B11=0,"",IFERROR(COUNTIFS(Export!$E:$E,A11,Export!$H:$H,"Efectivo",Export!$M:$M,"&lt;="&amp;2)/B11*100,0))</f>
        <v>0</v>
      </c>
      <c r="G11" s="46">
        <f>IF(B11=0,"",IFERROR(COUNTIFS(Export!$E:$E,A11,Export!$H:$H,"Efectivo",Export!$M:$M,"&lt;="&amp;3)/B11*100,0))</f>
        <v>0</v>
      </c>
      <c r="H11" s="46">
        <f>IF(B11=0,"",IFERROR(COUNTIFS(Export!$E:$E,A11,Export!$H:$H,"Efectivo",Export!$M:$M,"&lt;="&amp;4)/B11*100,0))</f>
        <v>0</v>
      </c>
      <c r="I11" s="46">
        <f>IF(B11=0,"",IFERROR(COUNTIFS(Export!$E:$E,A11,Export!$H:$H,"Efectivo",Export!$M:$M,"&lt;="&amp;5)/B11*100,0))</f>
        <v>7.1428571428571423</v>
      </c>
      <c r="J11" s="46">
        <f>IF(B11=0,"",IFERROR(COUNTIFS(Export!$E:$E,A11,Export!$H:$H,"Efectivo",Export!$M:$M,"&lt;="&amp;6)/B11*100,0))</f>
        <v>7.1428571428571423</v>
      </c>
      <c r="K11" s="46">
        <f>IF(B11=0,"",IFERROR(COUNTIFS(Export!$E:$E,A11,Export!$H:$H,"Efectivo",Export!$M:$M,"&lt;="&amp;7)/B11*100,0))</f>
        <v>10.714285714285714</v>
      </c>
      <c r="L11" s="46">
        <f>IF(B11=0,"",IFERROR(COUNTIFS(Export!$E:$E,A11,Export!$H:$H,"Efectivo",Export!$M:$M,"&lt;="&amp;8)/B11*100,0))</f>
        <v>25</v>
      </c>
      <c r="M11" s="46">
        <f>IF(B11=0,"",IFERROR(COUNTIFS(Export!$E:$E,A11,Export!$H:$H,"Efectivo",Export!$M:$M,"&lt;="&amp;9)/B11*100,0))</f>
        <v>39.285714285714285</v>
      </c>
      <c r="N11" s="46">
        <f>IF(B11=0,"",IFERROR(COUNTIFS(Export!$E:$E,A11,Export!$H:$H,"Efectivo",Export!$M:$M,"&lt;="&amp;10)/B11*100,0))</f>
        <v>46.428571428571431</v>
      </c>
      <c r="O11" s="46">
        <f>IF(B11=0,"",IFERROR(COUNTIFS(Export!$E:$E,A11,Export!$H:$H,"Efectivo",Export!$M:$M,"&lt;="&amp;11)/B11*100,0))</f>
        <v>53.571428571428569</v>
      </c>
      <c r="P11" s="46">
        <f>IF(B11=0,"",IFERROR(COUNTIFS(Export!$E:$E,A11,Export!$H:$H,"Efectivo",Export!$M:$M,"&lt;="&amp;12)/B11*100,0))</f>
        <v>57.142857142857139</v>
      </c>
      <c r="Q11" s="46">
        <f>IF(B11=0,"",IFERROR(COUNTIFS(Export!$E:$E,A11,Export!$H:$H,"Efectivo",Export!$M:$M,"&lt;="&amp;13)/B11*100,0))</f>
        <v>64.285714285714292</v>
      </c>
      <c r="R11" s="46">
        <f>IF(B11=0,"",IFERROR(COUNTIFS(Export!$E:$E,A11,Export!$H:$H,"Efectivo",Export!$M:$M,"&lt;="&amp;14)/B11*100,0))</f>
        <v>64.285714285714292</v>
      </c>
      <c r="S11" s="46">
        <f>IF(B11=0,"",IFERROR(COUNTIFS(Export!$E:$E,A11,Export!$H:$H,"Efectivo",Export!$M:$M,"&lt;="&amp;15)/B11*100,0))</f>
        <v>67.857142857142861</v>
      </c>
      <c r="T11" s="46">
        <f>IF(B11=0,"",IFERROR(COUNTIFS(Export!$E:$E,A11,Export!$H:$H,"Efectivo",Export!$M:$M,"&lt;="&amp;16)/B11*100,0))</f>
        <v>75</v>
      </c>
      <c r="U11" s="46">
        <f>IF(B11=0,"",IFERROR(COUNTIFS(Export!$E:$E,A11,Export!$H:$H,"Efectivo",Export!$M:$M,"&lt;="&amp;17)/B11*100,0))</f>
        <v>78.571428571428569</v>
      </c>
      <c r="V11" s="46">
        <f>IF(B11=0,"",IFERROR(COUNTIFS(Export!$E:$E,A11,Export!$H:$H,"Efectivo",Export!$M:$M,"&lt;="&amp;18)/B11*100,0))</f>
        <v>89.285714285714292</v>
      </c>
      <c r="W11" s="46">
        <f>IF(B11=0,"",IFERROR(COUNTIFS(Export!$E:$E,A11,Export!$H:$H,"Efectivo",Export!$M:$M,"&lt;="&amp;19)/B11*100,0))</f>
        <v>89.285714285714292</v>
      </c>
      <c r="X11" s="46">
        <f>IF(B11=0,"",IFERROR(COUNTIFS(Export!$E:$E,A11,Export!$H:$H,"Efectivo",Export!$M:$M,"&lt;="&amp;20)/B11*100,0))</f>
        <v>96.428571428571431</v>
      </c>
      <c r="Y11" s="46">
        <f>IF(B11=0,"",IFERROR(COUNTIFS(Export!$E:$E,A11,Export!$H:$H,"Efectivo",Export!$M:$M,"&lt;="&amp;21)/B11*100,0))</f>
        <v>96.428571428571431</v>
      </c>
      <c r="Z11" s="46">
        <f>IF(B11=0,"",IFERROR(COUNTIFS(Export!$E:$E,A11,Export!$H:$H,"Efectivo",Export!$M:$M,"&lt;="&amp;22)/B11*100,0))</f>
        <v>96.428571428571431</v>
      </c>
      <c r="AA11" s="46">
        <f>IF(B11=0,"",IFERROR(COUNTIFS(Export!$E:$E,A11,Export!$H:$H,"Efectivo",Export!$M:$M,"&lt;="&amp;23)/B11*100,0))</f>
        <v>96.428571428571431</v>
      </c>
      <c r="AB11" s="46">
        <f>IF(B11=0,"",IFERROR(COUNTIFS(Export!$E:$E,A11,Export!$H:$H,"Efectivo",Export!$M:$M,"&lt;="&amp;24)/B11*100,0))</f>
        <v>96.428571428571431</v>
      </c>
      <c r="AC11" s="46">
        <f>IF(B11=0,"",IFERROR(COUNTIFS(Export!$E:$E,A11,Export!$H:$H,"Efectivo",Export!$M:$M,"&lt;="&amp;25)/B11*100,0))</f>
        <v>96.428571428571431</v>
      </c>
      <c r="AD11" s="46">
        <f>IF(B11=0,"",IFERROR(COUNTIFS(Export!$E:$E,A11,Export!$H:$H,"Efectivo",Export!$M:$M,"&lt;="&amp;26)/B11*100,0))</f>
        <v>96.428571428571431</v>
      </c>
      <c r="AE11" s="46">
        <f>IF(B11=0,"",IFERROR(COUNTIFS(Export!$E:$E,A11,Export!$H:$H,"Efectivo",Export!$M:$M,"&lt;="&amp;27)/B11*100,0))</f>
        <v>96.428571428571431</v>
      </c>
      <c r="AF11" s="46">
        <f>IF(B11=0,"",IFERROR(COUNTIFS(Export!$E:$E,A11,Export!$H:$H,"Efectivo",Export!$M:$M,"&lt;="&amp;28)/B11*100,0))</f>
        <v>96.428571428571431</v>
      </c>
      <c r="AG11" s="46">
        <f>IF(B11=0,"",IFERROR(COUNTIFS(Export!$E:$E,A11,Export!$H:$H,"Efectivo",Export!$M:$M,"&lt;="&amp;29)/B11*100,0))</f>
        <v>96.428571428571431</v>
      </c>
      <c r="AH11" s="46">
        <f>IF(B11=0,"",IFERROR(COUNTIFS(Export!$E:$E,A11,Export!$H:$H,"Efectivo",Export!$M:$M,"&lt;="&amp;30)/B11*100,0))</f>
        <v>96.428571428571431</v>
      </c>
      <c r="AI11" s="46">
        <f>IF(B11=0,"",IFERROR(COUNTIFS(Export!$E:$E,A11,Export!$H:$H,"Efectivo",Export!$M:$M,"&lt;="&amp;31)/B11*100,0))</f>
        <v>96.428571428571431</v>
      </c>
      <c r="AJ11" s="46">
        <f>IF(B11=0,"",IFERROR(COUNTIFS(Export!$E:$E,A11,Export!$H:$H,"Efectivo",Export!$M:$M,"&lt;="&amp;32)/B11*100,0))</f>
        <v>96.428571428571431</v>
      </c>
      <c r="AK11" s="46">
        <f>IF(B11=0,"",IFERROR(COUNTIFS(Export!$E:$E,A11,Export!$H:$H,"Efectivo",Export!$M:$M,"&lt;="&amp;33)/B11*100,0))</f>
        <v>96.428571428571431</v>
      </c>
      <c r="AL11" s="46">
        <f>IF(B11=0,"",IFERROR(COUNTIFS(Export!$E:$E,A11,Export!$H:$H,"Efectivo",Export!$M:$M,"&lt;="&amp;34)/B11*100,0))</f>
        <v>96.428571428571431</v>
      </c>
      <c r="AM11" s="46">
        <f>IF(B11=0,"",IFERROR(COUNTIFS(Export!$E:$E,A11,Export!$H:$H,"Efectivo",Export!$M:$M,"&lt;="&amp;35)/B11*100,0))</f>
        <v>96.428571428571431</v>
      </c>
      <c r="AN11" s="46">
        <f>IF(B11=0,"",IFERROR(COUNTIFS(Export!$E:$E,A11,Export!$H:$H,"Efectivo",Export!$M:$M,"&lt;="&amp;36)/B11*100,0))</f>
        <v>96.428571428571431</v>
      </c>
    </row>
    <row r="12" spans="1:42" x14ac:dyDescent="0.35">
      <c r="A12" s="43" t="s">
        <v>37</v>
      </c>
      <c r="B12" s="44">
        <f>IFERROR(COUNTIF(Export!$E:$E,A12),0)</f>
        <v>43</v>
      </c>
      <c r="C12" s="45">
        <f>IFERROR(VLOOKUP(A12,Originaciones!$A:$B,2,0),"")</f>
        <v>120</v>
      </c>
      <c r="D12" s="46">
        <f>IF(B12=0,"",IFERROR(COUNTIFS(Export!$E:$E,A12,Export!$H:$H,"Efectivo",Export!$M:$M,"&lt;="&amp;0)/B12*100,0))</f>
        <v>0</v>
      </c>
      <c r="E12" s="46">
        <f>IF(B12=0,"",IFERROR(COUNTIFS(Export!$E:$E,A12,Export!$H:$H,"Efectivo",Export!$M:$M,"&lt;="&amp;1)/B12*100,0))</f>
        <v>0</v>
      </c>
      <c r="F12" s="46">
        <f>IF(B12=0,"",IFERROR(COUNTIFS(Export!$E:$E,A12,Export!$H:$H,"Efectivo",Export!$M:$M,"&lt;="&amp;2)/B12*100,0))</f>
        <v>0</v>
      </c>
      <c r="G12" s="46">
        <f>IF(B12=0,"",IFERROR(COUNTIFS(Export!$E:$E,A12,Export!$H:$H,"Efectivo",Export!$M:$M,"&lt;="&amp;3)/B12*100,0))</f>
        <v>2.3255813953488373</v>
      </c>
      <c r="H12" s="46">
        <f>IF(B12=0,"",IFERROR(COUNTIFS(Export!$E:$E,A12,Export!$H:$H,"Efectivo",Export!$M:$M,"&lt;="&amp;4)/B12*100,0))</f>
        <v>4.6511627906976747</v>
      </c>
      <c r="I12" s="46">
        <f>IF(B12=0,"",IFERROR(COUNTIFS(Export!$E:$E,A12,Export!$H:$H,"Efectivo",Export!$M:$M,"&lt;="&amp;5)/B12*100,0))</f>
        <v>9.3023255813953494</v>
      </c>
      <c r="J12" s="46">
        <f>IF(B12=0,"",IFERROR(COUNTIFS(Export!$E:$E,A12,Export!$H:$H,"Efectivo",Export!$M:$M,"&lt;="&amp;6)/B12*100,0))</f>
        <v>13.953488372093023</v>
      </c>
      <c r="K12" s="46">
        <f>IF(B12=0,"",IFERROR(COUNTIFS(Export!$E:$E,A12,Export!$H:$H,"Efectivo",Export!$M:$M,"&lt;="&amp;7)/B12*100,0))</f>
        <v>20.930232558139537</v>
      </c>
      <c r="L12" s="46">
        <f>IF(B12=0,"",IFERROR(COUNTIFS(Export!$E:$E,A12,Export!$H:$H,"Efectivo",Export!$M:$M,"&lt;="&amp;8)/B12*100,0))</f>
        <v>25.581395348837212</v>
      </c>
      <c r="M12" s="46">
        <f>IF(B12=0,"",IFERROR(COUNTIFS(Export!$E:$E,A12,Export!$H:$H,"Efectivo",Export!$M:$M,"&lt;="&amp;9)/B12*100,0))</f>
        <v>32.558139534883722</v>
      </c>
      <c r="N12" s="46">
        <f>IF(B12=0,"",IFERROR(COUNTIFS(Export!$E:$E,A12,Export!$H:$H,"Efectivo",Export!$M:$M,"&lt;="&amp;10)/B12*100,0))</f>
        <v>34.883720930232556</v>
      </c>
      <c r="O12" s="46">
        <f>IF(B12=0,"",IFERROR(COUNTIFS(Export!$E:$E,A12,Export!$H:$H,"Efectivo",Export!$M:$M,"&lt;="&amp;11)/B12*100,0))</f>
        <v>39.534883720930232</v>
      </c>
      <c r="P12" s="46">
        <f>IF(B12=0,"",IFERROR(COUNTIFS(Export!$E:$E,A12,Export!$H:$H,"Efectivo",Export!$M:$M,"&lt;="&amp;12)/B12*100,0))</f>
        <v>41.860465116279073</v>
      </c>
      <c r="Q12" s="46">
        <f>IF(B12=0,"",IFERROR(COUNTIFS(Export!$E:$E,A12,Export!$H:$H,"Efectivo",Export!$M:$M,"&lt;="&amp;13)/B12*100,0))</f>
        <v>44.186046511627907</v>
      </c>
      <c r="R12" s="46">
        <f>IF(B12=0,"",IFERROR(COUNTIFS(Export!$E:$E,A12,Export!$H:$H,"Efectivo",Export!$M:$M,"&lt;="&amp;14)/B12*100,0))</f>
        <v>44.186046511627907</v>
      </c>
      <c r="S12" s="46">
        <f>IF(B12=0,"",IFERROR(COUNTIFS(Export!$E:$E,A12,Export!$H:$H,"Efectivo",Export!$M:$M,"&lt;="&amp;15)/B12*100,0))</f>
        <v>53.488372093023251</v>
      </c>
      <c r="T12" s="46">
        <f>IF(B12=0,"",IFERROR(COUNTIFS(Export!$E:$E,A12,Export!$H:$H,"Efectivo",Export!$M:$M,"&lt;="&amp;16)/B12*100,0))</f>
        <v>67.441860465116278</v>
      </c>
      <c r="U12" s="46">
        <f>IF(B12=0,"",IFERROR(COUNTIFS(Export!$E:$E,A12,Export!$H:$H,"Efectivo",Export!$M:$M,"&lt;="&amp;17)/B12*100,0))</f>
        <v>69.767441860465112</v>
      </c>
      <c r="V12" s="46">
        <f>IF(B12=0,"",IFERROR(COUNTIFS(Export!$E:$E,A12,Export!$H:$H,"Efectivo",Export!$M:$M,"&lt;="&amp;18)/B12*100,0))</f>
        <v>83.720930232558146</v>
      </c>
      <c r="W12" s="46">
        <f>IF(B12=0,"",IFERROR(COUNTIFS(Export!$E:$E,A12,Export!$H:$H,"Efectivo",Export!$M:$M,"&lt;="&amp;19)/B12*100,0))</f>
        <v>83.720930232558146</v>
      </c>
      <c r="X12" s="46">
        <f>IF(B12=0,"",IFERROR(COUNTIFS(Export!$E:$E,A12,Export!$H:$H,"Efectivo",Export!$M:$M,"&lt;="&amp;20)/B12*100,0))</f>
        <v>83.720930232558146</v>
      </c>
      <c r="Y12" s="46">
        <f>IF(B12=0,"",IFERROR(COUNTIFS(Export!$E:$E,A12,Export!$H:$H,"Efectivo",Export!$M:$M,"&lt;="&amp;21)/B12*100,0))</f>
        <v>83.720930232558146</v>
      </c>
      <c r="Z12" s="46">
        <f>IF(B12=0,"",IFERROR(COUNTIFS(Export!$E:$E,A12,Export!$H:$H,"Efectivo",Export!$M:$M,"&lt;="&amp;22)/B12*100,0))</f>
        <v>83.720930232558146</v>
      </c>
      <c r="AA12" s="46">
        <f>IF(B12=0,"",IFERROR(COUNTIFS(Export!$E:$E,A12,Export!$H:$H,"Efectivo",Export!$M:$M,"&lt;="&amp;23)/B12*100,0))</f>
        <v>83.720930232558146</v>
      </c>
      <c r="AB12" s="46">
        <f>IF(B12=0,"",IFERROR(COUNTIFS(Export!$E:$E,A12,Export!$H:$H,"Efectivo",Export!$M:$M,"&lt;="&amp;24)/B12*100,0))</f>
        <v>83.720930232558146</v>
      </c>
      <c r="AC12" s="46">
        <f>IF(B12=0,"",IFERROR(COUNTIFS(Export!$E:$E,A12,Export!$H:$H,"Efectivo",Export!$M:$M,"&lt;="&amp;25)/B12*100,0))</f>
        <v>83.720930232558146</v>
      </c>
      <c r="AD12" s="46">
        <f>IF(B12=0,"",IFERROR(COUNTIFS(Export!$E:$E,A12,Export!$H:$H,"Efectivo",Export!$M:$M,"&lt;="&amp;26)/B12*100,0))</f>
        <v>83.720930232558146</v>
      </c>
      <c r="AE12" s="46">
        <f>IF(B12=0,"",IFERROR(COUNTIFS(Export!$E:$E,A12,Export!$H:$H,"Efectivo",Export!$M:$M,"&lt;="&amp;27)/B12*100,0))</f>
        <v>83.720930232558146</v>
      </c>
      <c r="AF12" s="46">
        <f>IF(B12=0,"",IFERROR(COUNTIFS(Export!$E:$E,A12,Export!$H:$H,"Efectivo",Export!$M:$M,"&lt;="&amp;28)/B12*100,0))</f>
        <v>83.720930232558146</v>
      </c>
      <c r="AG12" s="46">
        <f>IF(B12=0,"",IFERROR(COUNTIFS(Export!$E:$E,A12,Export!$H:$H,"Efectivo",Export!$M:$M,"&lt;="&amp;29)/B12*100,0))</f>
        <v>83.720930232558146</v>
      </c>
      <c r="AH12" s="46">
        <f>IF(B12=0,"",IFERROR(COUNTIFS(Export!$E:$E,A12,Export!$H:$H,"Efectivo",Export!$M:$M,"&lt;="&amp;30)/B12*100,0))</f>
        <v>83.720930232558146</v>
      </c>
      <c r="AI12" s="46">
        <f>IF(B12=0,"",IFERROR(COUNTIFS(Export!$E:$E,A12,Export!$H:$H,"Efectivo",Export!$M:$M,"&lt;="&amp;31)/B12*100,0))</f>
        <v>83.720930232558146</v>
      </c>
      <c r="AJ12" s="46">
        <f>IF(B12=0,"",IFERROR(COUNTIFS(Export!$E:$E,A12,Export!$H:$H,"Efectivo",Export!$M:$M,"&lt;="&amp;32)/B12*100,0))</f>
        <v>83.720930232558146</v>
      </c>
      <c r="AK12" s="46">
        <f>IF(B12=0,"",IFERROR(COUNTIFS(Export!$E:$E,A12,Export!$H:$H,"Efectivo",Export!$M:$M,"&lt;="&amp;33)/B12*100,0))</f>
        <v>83.720930232558146</v>
      </c>
      <c r="AL12" s="46">
        <f>IF(B12=0,"",IFERROR(COUNTIFS(Export!$E:$E,A12,Export!$H:$H,"Efectivo",Export!$M:$M,"&lt;="&amp;34)/B12*100,0))</f>
        <v>83.720930232558146</v>
      </c>
      <c r="AM12" s="46">
        <f>IF(B12=0,"",IFERROR(COUNTIFS(Export!$E:$E,A12,Export!$H:$H,"Efectivo",Export!$M:$M,"&lt;="&amp;35)/B12*100,0))</f>
        <v>83.720930232558146</v>
      </c>
      <c r="AN12" s="46">
        <f>IF(B12=0,"",IFERROR(COUNTIFS(Export!$E:$E,A12,Export!$H:$H,"Efectivo",Export!$M:$M,"&lt;="&amp;36)/B12*100,0))</f>
        <v>83.720930232558146</v>
      </c>
    </row>
    <row r="13" spans="1:42" x14ac:dyDescent="0.35">
      <c r="A13" s="43" t="s">
        <v>38</v>
      </c>
      <c r="B13" s="44">
        <f>IFERROR(COUNTIF(Export!$E:$E,A13),0)</f>
        <v>42</v>
      </c>
      <c r="C13" s="45">
        <f>IFERROR(VLOOKUP(A13,Originaciones!$A:$B,2,0),"")</f>
        <v>95</v>
      </c>
      <c r="D13" s="46">
        <f>IF(B13=0,"",IFERROR(COUNTIFS(Export!$E:$E,A13,Export!$H:$H,"Efectivo",Export!$M:$M,"&lt;="&amp;0)/B13*100,0))</f>
        <v>0</v>
      </c>
      <c r="E13" s="46">
        <f>IF(B13=0,"",IFERROR(COUNTIFS(Export!$E:$E,A13,Export!$H:$H,"Efectivo",Export!$M:$M,"&lt;="&amp;1)/B13*100,0))</f>
        <v>0</v>
      </c>
      <c r="F13" s="46">
        <f>IF(B13=0,"",IFERROR(COUNTIFS(Export!$E:$E,A13,Export!$H:$H,"Efectivo",Export!$M:$M,"&lt;="&amp;2)/B13*100,0))</f>
        <v>0</v>
      </c>
      <c r="G13" s="46">
        <f>IF(B13=0,"",IFERROR(COUNTIFS(Export!$E:$E,A13,Export!$H:$H,"Efectivo",Export!$M:$M,"&lt;="&amp;3)/B13*100,0))</f>
        <v>2.3809523809523809</v>
      </c>
      <c r="H13" s="46">
        <f>IF(B13=0,"",IFERROR(COUNTIFS(Export!$E:$E,A13,Export!$H:$H,"Efectivo",Export!$M:$M,"&lt;="&amp;4)/B13*100,0))</f>
        <v>11.904761904761903</v>
      </c>
      <c r="I13" s="46">
        <f>IF(B13=0,"",IFERROR(COUNTIFS(Export!$E:$E,A13,Export!$H:$H,"Efectivo",Export!$M:$M,"&lt;="&amp;5)/B13*100,0))</f>
        <v>23.809523809523807</v>
      </c>
      <c r="J13" s="46">
        <f>IF(B13=0,"",IFERROR(COUNTIFS(Export!$E:$E,A13,Export!$H:$H,"Efectivo",Export!$M:$M,"&lt;="&amp;6)/B13*100,0))</f>
        <v>30.952380952380953</v>
      </c>
      <c r="K13" s="46">
        <f>IF(B13=0,"",IFERROR(COUNTIFS(Export!$E:$E,A13,Export!$H:$H,"Efectivo",Export!$M:$M,"&lt;="&amp;7)/B13*100,0))</f>
        <v>38.095238095238095</v>
      </c>
      <c r="L13" s="46">
        <f>IF(B13=0,"",IFERROR(COUNTIFS(Export!$E:$E,A13,Export!$H:$H,"Efectivo",Export!$M:$M,"&lt;="&amp;8)/B13*100,0))</f>
        <v>40.476190476190474</v>
      </c>
      <c r="M13" s="46">
        <f>IF(B13=0,"",IFERROR(COUNTIFS(Export!$E:$E,A13,Export!$H:$H,"Efectivo",Export!$M:$M,"&lt;="&amp;9)/B13*100,0))</f>
        <v>47.619047619047613</v>
      </c>
      <c r="N13" s="46">
        <f>IF(B13=0,"",IFERROR(COUNTIFS(Export!$E:$E,A13,Export!$H:$H,"Efectivo",Export!$M:$M,"&lt;="&amp;10)/B13*100,0))</f>
        <v>52.380952380952387</v>
      </c>
      <c r="O13" s="46">
        <f>IF(B13=0,"",IFERROR(COUNTIFS(Export!$E:$E,A13,Export!$H:$H,"Efectivo",Export!$M:$M,"&lt;="&amp;11)/B13*100,0))</f>
        <v>54.761904761904766</v>
      </c>
      <c r="P13" s="46">
        <f>IF(B13=0,"",IFERROR(COUNTIFS(Export!$E:$E,A13,Export!$H:$H,"Efectivo",Export!$M:$M,"&lt;="&amp;12)/B13*100,0))</f>
        <v>54.761904761904766</v>
      </c>
      <c r="Q13" s="46">
        <f>IF(B13=0,"",IFERROR(COUNTIFS(Export!$E:$E,A13,Export!$H:$H,"Efectivo",Export!$M:$M,"&lt;="&amp;13)/B13*100,0))</f>
        <v>54.761904761904766</v>
      </c>
      <c r="R13" s="46">
        <f>IF(B13=0,"",IFERROR(COUNTIFS(Export!$E:$E,A13,Export!$H:$H,"Efectivo",Export!$M:$M,"&lt;="&amp;14)/B13*100,0))</f>
        <v>61.904761904761905</v>
      </c>
      <c r="S13" s="46">
        <f>IF(B13=0,"",IFERROR(COUNTIFS(Export!$E:$E,A13,Export!$H:$H,"Efectivo",Export!$M:$M,"&lt;="&amp;15)/B13*100,0))</f>
        <v>64.285714285714292</v>
      </c>
      <c r="T13" s="46">
        <f>IF(B13=0,"",IFERROR(COUNTIFS(Export!$E:$E,A13,Export!$H:$H,"Efectivo",Export!$M:$M,"&lt;="&amp;16)/B13*100,0))</f>
        <v>71.428571428571431</v>
      </c>
      <c r="U13" s="46">
        <f>IF(B13=0,"",IFERROR(COUNTIFS(Export!$E:$E,A13,Export!$H:$H,"Efectivo",Export!$M:$M,"&lt;="&amp;17)/B13*100,0))</f>
        <v>78.571428571428569</v>
      </c>
      <c r="V13" s="46">
        <f>IF(B13=0,"",IFERROR(COUNTIFS(Export!$E:$E,A13,Export!$H:$H,"Efectivo",Export!$M:$M,"&lt;="&amp;18)/B13*100,0))</f>
        <v>80.952380952380949</v>
      </c>
      <c r="W13" s="46">
        <f>IF(B13=0,"",IFERROR(COUNTIFS(Export!$E:$E,A13,Export!$H:$H,"Efectivo",Export!$M:$M,"&lt;="&amp;19)/B13*100,0))</f>
        <v>80.952380952380949</v>
      </c>
      <c r="X13" s="46">
        <f>IF(B13=0,"",IFERROR(COUNTIFS(Export!$E:$E,A13,Export!$H:$H,"Efectivo",Export!$M:$M,"&lt;="&amp;20)/B13*100,0))</f>
        <v>80.952380952380949</v>
      </c>
      <c r="Y13" s="46">
        <f>IF(B13=0,"",IFERROR(COUNTIFS(Export!$E:$E,A13,Export!$H:$H,"Efectivo",Export!$M:$M,"&lt;="&amp;21)/B13*100,0))</f>
        <v>80.952380952380949</v>
      </c>
      <c r="Z13" s="46">
        <f>IF(B13=0,"",IFERROR(COUNTIFS(Export!$E:$E,A13,Export!$H:$H,"Efectivo",Export!$M:$M,"&lt;="&amp;22)/B13*100,0))</f>
        <v>80.952380952380949</v>
      </c>
      <c r="AA13" s="46">
        <f>IF(B13=0,"",IFERROR(COUNTIFS(Export!$E:$E,A13,Export!$H:$H,"Efectivo",Export!$M:$M,"&lt;="&amp;23)/B13*100,0))</f>
        <v>80.952380952380949</v>
      </c>
      <c r="AB13" s="46">
        <f>IF(B13=0,"",IFERROR(COUNTIFS(Export!$E:$E,A13,Export!$H:$H,"Efectivo",Export!$M:$M,"&lt;="&amp;24)/B13*100,0))</f>
        <v>80.952380952380949</v>
      </c>
      <c r="AC13" s="46">
        <f>IF(B13=0,"",IFERROR(COUNTIFS(Export!$E:$E,A13,Export!$H:$H,"Efectivo",Export!$M:$M,"&lt;="&amp;25)/B13*100,0))</f>
        <v>80.952380952380949</v>
      </c>
      <c r="AD13" s="46">
        <f>IF(B13=0,"",IFERROR(COUNTIFS(Export!$E:$E,A13,Export!$H:$H,"Efectivo",Export!$M:$M,"&lt;="&amp;26)/B13*100,0))</f>
        <v>80.952380952380949</v>
      </c>
      <c r="AE13" s="46">
        <f>IF(B13=0,"",IFERROR(COUNTIFS(Export!$E:$E,A13,Export!$H:$H,"Efectivo",Export!$M:$M,"&lt;="&amp;27)/B13*100,0))</f>
        <v>80.952380952380949</v>
      </c>
      <c r="AF13" s="46">
        <f>IF(B13=0,"",IFERROR(COUNTIFS(Export!$E:$E,A13,Export!$H:$H,"Efectivo",Export!$M:$M,"&lt;="&amp;28)/B13*100,0))</f>
        <v>80.952380952380949</v>
      </c>
      <c r="AG13" s="46">
        <f>IF(B13=0,"",IFERROR(COUNTIFS(Export!$E:$E,A13,Export!$H:$H,"Efectivo",Export!$M:$M,"&lt;="&amp;29)/B13*100,0))</f>
        <v>80.952380952380949</v>
      </c>
      <c r="AH13" s="46">
        <f>IF(B13=0,"",IFERROR(COUNTIFS(Export!$E:$E,A13,Export!$H:$H,"Efectivo",Export!$M:$M,"&lt;="&amp;30)/B13*100,0))</f>
        <v>80.952380952380949</v>
      </c>
      <c r="AI13" s="46">
        <f>IF(B13=0,"",IFERROR(COUNTIFS(Export!$E:$E,A13,Export!$H:$H,"Efectivo",Export!$M:$M,"&lt;="&amp;31)/B13*100,0))</f>
        <v>80.952380952380949</v>
      </c>
      <c r="AJ13" s="46">
        <f>IF(B13=0,"",IFERROR(COUNTIFS(Export!$E:$E,A13,Export!$H:$H,"Efectivo",Export!$M:$M,"&lt;="&amp;32)/B13*100,0))</f>
        <v>80.952380952380949</v>
      </c>
      <c r="AK13" s="46">
        <f>IF(B13=0,"",IFERROR(COUNTIFS(Export!$E:$E,A13,Export!$H:$H,"Efectivo",Export!$M:$M,"&lt;="&amp;33)/B13*100,0))</f>
        <v>80.952380952380949</v>
      </c>
      <c r="AL13" s="46">
        <f>IF(B13=0,"",IFERROR(COUNTIFS(Export!$E:$E,A13,Export!$H:$H,"Efectivo",Export!$M:$M,"&lt;="&amp;34)/B13*100,0))</f>
        <v>80.952380952380949</v>
      </c>
      <c r="AM13" s="46">
        <f>IF(B13=0,"",IFERROR(COUNTIFS(Export!$E:$E,A13,Export!$H:$H,"Efectivo",Export!$M:$M,"&lt;="&amp;35)/B13*100,0))</f>
        <v>80.952380952380949</v>
      </c>
      <c r="AN13" s="46">
        <f>IF(B13=0,"",IFERROR(COUNTIFS(Export!$E:$E,A13,Export!$H:$H,"Efectivo",Export!$M:$M,"&lt;="&amp;36)/B13*100,0))</f>
        <v>80.952380952380949</v>
      </c>
    </row>
    <row r="14" spans="1:42" x14ac:dyDescent="0.35">
      <c r="A14" s="43" t="s">
        <v>39</v>
      </c>
      <c r="B14" s="44">
        <f>IFERROR(COUNTIF(Export!$E:$E,A14),0)</f>
        <v>60</v>
      </c>
      <c r="C14" s="45">
        <f>IFERROR(VLOOKUP(A14,Originaciones!$A:$B,2,0),"")</f>
        <v>105</v>
      </c>
      <c r="D14" s="46">
        <f>IF(B14=0,"",IFERROR(COUNTIFS(Export!$E:$E,A14,Export!$H:$H,"Efectivo",Export!$M:$M,"&lt;="&amp;0)/B14*100,0))</f>
        <v>0</v>
      </c>
      <c r="E14" s="46">
        <f>IF(B14=0,"",IFERROR(COUNTIFS(Export!$E:$E,A14,Export!$H:$H,"Efectivo",Export!$M:$M,"&lt;="&amp;1)/B14*100,0))</f>
        <v>1.6666666666666667</v>
      </c>
      <c r="F14" s="46">
        <f>IF(B14=0,"",IFERROR(COUNTIFS(Export!$E:$E,A14,Export!$H:$H,"Efectivo",Export!$M:$M,"&lt;="&amp;2)/B14*100,0))</f>
        <v>3.3333333333333335</v>
      </c>
      <c r="G14" s="46">
        <f>IF(B14=0,"",IFERROR(COUNTIFS(Export!$E:$E,A14,Export!$H:$H,"Efectivo",Export!$M:$M,"&lt;="&amp;3)/B14*100,0))</f>
        <v>16.666666666666664</v>
      </c>
      <c r="H14" s="46">
        <f>IF(B14=0,"",IFERROR(COUNTIFS(Export!$E:$E,A14,Export!$H:$H,"Efectivo",Export!$M:$M,"&lt;="&amp;4)/B14*100,0))</f>
        <v>21.666666666666668</v>
      </c>
      <c r="I14" s="46">
        <f>IF(B14=0,"",IFERROR(COUNTIFS(Export!$E:$E,A14,Export!$H:$H,"Efectivo",Export!$M:$M,"&lt;="&amp;5)/B14*100,0))</f>
        <v>31.666666666666664</v>
      </c>
      <c r="J14" s="46">
        <f>IF(B14=0,"",IFERROR(COUNTIFS(Export!$E:$E,A14,Export!$H:$H,"Efectivo",Export!$M:$M,"&lt;="&amp;6)/B14*100,0))</f>
        <v>38.333333333333336</v>
      </c>
      <c r="K14" s="46">
        <f>IF(B14=0,"",IFERROR(COUNTIFS(Export!$E:$E,A14,Export!$H:$H,"Efectivo",Export!$M:$M,"&lt;="&amp;7)/B14*100,0))</f>
        <v>46.666666666666664</v>
      </c>
      <c r="L14" s="46">
        <f>IF(B14=0,"",IFERROR(COUNTIFS(Export!$E:$E,A14,Export!$H:$H,"Efectivo",Export!$M:$M,"&lt;="&amp;8)/B14*100,0))</f>
        <v>55.000000000000007</v>
      </c>
      <c r="M14" s="46">
        <f>IF(B14=0,"",IFERROR(COUNTIFS(Export!$E:$E,A14,Export!$H:$H,"Efectivo",Export!$M:$M,"&lt;="&amp;9)/B14*100,0))</f>
        <v>63.333333333333329</v>
      </c>
      <c r="N14" s="46">
        <f>IF(B14=0,"",IFERROR(COUNTIFS(Export!$E:$E,A14,Export!$H:$H,"Efectivo",Export!$M:$M,"&lt;="&amp;10)/B14*100,0))</f>
        <v>66.666666666666657</v>
      </c>
      <c r="O14" s="46">
        <f>IF(B14=0,"",IFERROR(COUNTIFS(Export!$E:$E,A14,Export!$H:$H,"Efectivo",Export!$M:$M,"&lt;="&amp;11)/B14*100,0))</f>
        <v>66.666666666666657</v>
      </c>
      <c r="P14" s="46">
        <f>IF(B14=0,"",IFERROR(COUNTIFS(Export!$E:$E,A14,Export!$H:$H,"Efectivo",Export!$M:$M,"&lt;="&amp;12)/B14*100,0))</f>
        <v>66.666666666666657</v>
      </c>
      <c r="Q14" s="46">
        <f>IF(B14=0,"",IFERROR(COUNTIFS(Export!$E:$E,A14,Export!$H:$H,"Efectivo",Export!$M:$M,"&lt;="&amp;13)/B14*100,0))</f>
        <v>70</v>
      </c>
      <c r="R14" s="46">
        <f>IF(B14=0,"",IFERROR(COUNTIFS(Export!$E:$E,A14,Export!$H:$H,"Efectivo",Export!$M:$M,"&lt;="&amp;14)/B14*100,0))</f>
        <v>73.333333333333329</v>
      </c>
      <c r="S14" s="46">
        <f>IF(B14=0,"",IFERROR(COUNTIFS(Export!$E:$E,A14,Export!$H:$H,"Efectivo",Export!$M:$M,"&lt;="&amp;15)/B14*100,0))</f>
        <v>78.333333333333329</v>
      </c>
      <c r="T14" s="46">
        <f>IF(B14=0,"",IFERROR(COUNTIFS(Export!$E:$E,A14,Export!$H:$H,"Efectivo",Export!$M:$M,"&lt;="&amp;16)/B14*100,0))</f>
        <v>90</v>
      </c>
      <c r="U14" s="46">
        <f>IF(B14=0,"",IFERROR(COUNTIFS(Export!$E:$E,A14,Export!$H:$H,"Efectivo",Export!$M:$M,"&lt;="&amp;17)/B14*100,0))</f>
        <v>91.666666666666657</v>
      </c>
      <c r="V14" s="46">
        <f>IF(B14=0,"",IFERROR(COUNTIFS(Export!$E:$E,A14,Export!$H:$H,"Efectivo",Export!$M:$M,"&lt;="&amp;18)/B14*100,0))</f>
        <v>91.666666666666657</v>
      </c>
      <c r="W14" s="46">
        <f>IF(B14=0,"",IFERROR(COUNTIFS(Export!$E:$E,A14,Export!$H:$H,"Efectivo",Export!$M:$M,"&lt;="&amp;19)/B14*100,0))</f>
        <v>91.666666666666657</v>
      </c>
      <c r="X14" s="46">
        <f>IF(B14=0,"",IFERROR(COUNTIFS(Export!$E:$E,A14,Export!$H:$H,"Efectivo",Export!$M:$M,"&lt;="&amp;20)/B14*100,0))</f>
        <v>91.666666666666657</v>
      </c>
      <c r="Y14" s="46">
        <f>IF(B14=0,"",IFERROR(COUNTIFS(Export!$E:$E,A14,Export!$H:$H,"Efectivo",Export!$M:$M,"&lt;="&amp;21)/B14*100,0))</f>
        <v>91.666666666666657</v>
      </c>
      <c r="Z14" s="46">
        <f>IF(B14=0,"",IFERROR(COUNTIFS(Export!$E:$E,A14,Export!$H:$H,"Efectivo",Export!$M:$M,"&lt;="&amp;22)/B14*100,0))</f>
        <v>91.666666666666657</v>
      </c>
      <c r="AA14" s="46">
        <f>IF(B14=0,"",IFERROR(COUNTIFS(Export!$E:$E,A14,Export!$H:$H,"Efectivo",Export!$M:$M,"&lt;="&amp;23)/B14*100,0))</f>
        <v>91.666666666666657</v>
      </c>
      <c r="AB14" s="46">
        <f>IF(B14=0,"",IFERROR(COUNTIFS(Export!$E:$E,A14,Export!$H:$H,"Efectivo",Export!$M:$M,"&lt;="&amp;24)/B14*100,0))</f>
        <v>91.666666666666657</v>
      </c>
      <c r="AC14" s="46">
        <f>IF(B14=0,"",IFERROR(COUNTIFS(Export!$E:$E,A14,Export!$H:$H,"Efectivo",Export!$M:$M,"&lt;="&amp;25)/B14*100,0))</f>
        <v>91.666666666666657</v>
      </c>
      <c r="AD14" s="46">
        <f>IF(B14=0,"",IFERROR(COUNTIFS(Export!$E:$E,A14,Export!$H:$H,"Efectivo",Export!$M:$M,"&lt;="&amp;26)/B14*100,0))</f>
        <v>91.666666666666657</v>
      </c>
      <c r="AE14" s="46">
        <f>IF(B14=0,"",IFERROR(COUNTIFS(Export!$E:$E,A14,Export!$H:$H,"Efectivo",Export!$M:$M,"&lt;="&amp;27)/B14*100,0))</f>
        <v>91.666666666666657</v>
      </c>
      <c r="AF14" s="46">
        <f>IF(B14=0,"",IFERROR(COUNTIFS(Export!$E:$E,A14,Export!$H:$H,"Efectivo",Export!$M:$M,"&lt;="&amp;28)/B14*100,0))</f>
        <v>91.666666666666657</v>
      </c>
      <c r="AG14" s="46">
        <f>IF(B14=0,"",IFERROR(COUNTIFS(Export!$E:$E,A14,Export!$H:$H,"Efectivo",Export!$M:$M,"&lt;="&amp;29)/B14*100,0))</f>
        <v>91.666666666666657</v>
      </c>
      <c r="AH14" s="46">
        <f>IF(B14=0,"",IFERROR(COUNTIFS(Export!$E:$E,A14,Export!$H:$H,"Efectivo",Export!$M:$M,"&lt;="&amp;30)/B14*100,0))</f>
        <v>91.666666666666657</v>
      </c>
      <c r="AI14" s="46">
        <f>IF(B14=0,"",IFERROR(COUNTIFS(Export!$E:$E,A14,Export!$H:$H,"Efectivo",Export!$M:$M,"&lt;="&amp;31)/B14*100,0))</f>
        <v>91.666666666666657</v>
      </c>
      <c r="AJ14" s="46">
        <f>IF(B14=0,"",IFERROR(COUNTIFS(Export!$E:$E,A14,Export!$H:$H,"Efectivo",Export!$M:$M,"&lt;="&amp;32)/B14*100,0))</f>
        <v>91.666666666666657</v>
      </c>
      <c r="AK14" s="46">
        <f>IF(B14=0,"",IFERROR(COUNTIFS(Export!$E:$E,A14,Export!$H:$H,"Efectivo",Export!$M:$M,"&lt;="&amp;33)/B14*100,0))</f>
        <v>91.666666666666657</v>
      </c>
      <c r="AL14" s="46">
        <f>IF(B14=0,"",IFERROR(COUNTIFS(Export!$E:$E,A14,Export!$H:$H,"Efectivo",Export!$M:$M,"&lt;="&amp;34)/B14*100,0))</f>
        <v>91.666666666666657</v>
      </c>
      <c r="AM14" s="46">
        <f>IF(B14=0,"",IFERROR(COUNTIFS(Export!$E:$E,A14,Export!$H:$H,"Efectivo",Export!$M:$M,"&lt;="&amp;35)/B14*100,0))</f>
        <v>91.666666666666657</v>
      </c>
      <c r="AN14" s="46">
        <f>IF(B14=0,"",IFERROR(COUNTIFS(Export!$E:$E,A14,Export!$H:$H,"Efectivo",Export!$M:$M,"&lt;="&amp;36)/B14*100,0))</f>
        <v>91.666666666666657</v>
      </c>
    </row>
    <row r="15" spans="1:42" x14ac:dyDescent="0.35">
      <c r="A15" s="47" t="s">
        <v>40</v>
      </c>
      <c r="B15" s="44">
        <f>IFERROR(COUNTIF(Export!$E:$E,A15),0)</f>
        <v>58</v>
      </c>
      <c r="C15" s="45">
        <f>IFERROR(VLOOKUP(A15,Originaciones!$A:$B,2,0),"")</f>
        <v>97</v>
      </c>
      <c r="D15" s="46">
        <f>IF(B15=0,"",IFERROR(COUNTIFS(Export!$E:$E,A15,Export!$H:$H,"Efectivo",Export!$M:$M,"&lt;="&amp;0)/B15*100,0))</f>
        <v>0</v>
      </c>
      <c r="E15" s="46">
        <f>IF(B15=0,"",IFERROR(COUNTIFS(Export!$E:$E,A15,Export!$H:$H,"Efectivo",Export!$M:$M,"&lt;="&amp;1)/B15*100,0))</f>
        <v>0</v>
      </c>
      <c r="F15" s="46">
        <f>IF(B15=0,"",IFERROR(COUNTIFS(Export!$E:$E,A15,Export!$H:$H,"Efectivo",Export!$M:$M,"&lt;="&amp;2)/B15*100,0))</f>
        <v>3.4482758620689653</v>
      </c>
      <c r="G15" s="46">
        <f>IF(B15=0,"",IFERROR(COUNTIFS(Export!$E:$E,A15,Export!$H:$H,"Efectivo",Export!$M:$M,"&lt;="&amp;3)/B15*100,0))</f>
        <v>12.068965517241379</v>
      </c>
      <c r="H15" s="46">
        <f>IF(B15=0,"",IFERROR(COUNTIFS(Export!$E:$E,A15,Export!$H:$H,"Efectivo",Export!$M:$M,"&lt;="&amp;4)/B15*100,0))</f>
        <v>20.689655172413794</v>
      </c>
      <c r="I15" s="46">
        <f>IF(B15=0,"",IFERROR(COUNTIFS(Export!$E:$E,A15,Export!$H:$H,"Efectivo",Export!$M:$M,"&lt;="&amp;5)/B15*100,0))</f>
        <v>36.206896551724135</v>
      </c>
      <c r="J15" s="46">
        <f>IF(B15=0,"",IFERROR(COUNTIFS(Export!$E:$E,A15,Export!$H:$H,"Efectivo",Export!$M:$M,"&lt;="&amp;6)/B15*100,0))</f>
        <v>46.551724137931032</v>
      </c>
      <c r="K15" s="46">
        <f>IF(B15=0,"",IFERROR(COUNTIFS(Export!$E:$E,A15,Export!$H:$H,"Efectivo",Export!$M:$M,"&lt;="&amp;7)/B15*100,0))</f>
        <v>51.724137931034484</v>
      </c>
      <c r="L15" s="46">
        <f>IF(B15=0,"",IFERROR(COUNTIFS(Export!$E:$E,A15,Export!$H:$H,"Efectivo",Export!$M:$M,"&lt;="&amp;8)/B15*100,0))</f>
        <v>56.896551724137936</v>
      </c>
      <c r="M15" s="46">
        <f>IF(B15=0,"",IFERROR(COUNTIFS(Export!$E:$E,A15,Export!$H:$H,"Efectivo",Export!$M:$M,"&lt;="&amp;9)/B15*100,0))</f>
        <v>60.344827586206897</v>
      </c>
      <c r="N15" s="46">
        <f>IF(B15=0,"",IFERROR(COUNTIFS(Export!$E:$E,A15,Export!$H:$H,"Efectivo",Export!$M:$M,"&lt;="&amp;10)/B15*100,0))</f>
        <v>62.068965517241381</v>
      </c>
      <c r="O15" s="46">
        <f>IF(B15=0,"",IFERROR(COUNTIFS(Export!$E:$E,A15,Export!$H:$H,"Efectivo",Export!$M:$M,"&lt;="&amp;11)/B15*100,0))</f>
        <v>62.068965517241381</v>
      </c>
      <c r="P15" s="46">
        <f>IF(B15=0,"",IFERROR(COUNTIFS(Export!$E:$E,A15,Export!$H:$H,"Efectivo",Export!$M:$M,"&lt;="&amp;12)/B15*100,0))</f>
        <v>62.068965517241381</v>
      </c>
      <c r="Q15" s="46">
        <f>IF(B15=0,"",IFERROR(COUNTIFS(Export!$E:$E,A15,Export!$H:$H,"Efectivo",Export!$M:$M,"&lt;="&amp;13)/B15*100,0))</f>
        <v>65.517241379310349</v>
      </c>
      <c r="R15" s="46">
        <f>IF(B15=0,"",IFERROR(COUNTIFS(Export!$E:$E,A15,Export!$H:$H,"Efectivo",Export!$M:$M,"&lt;="&amp;14)/B15*100,0))</f>
        <v>74.137931034482762</v>
      </c>
      <c r="S15" s="46">
        <f>IF(B15=0,"",IFERROR(COUNTIFS(Export!$E:$E,A15,Export!$H:$H,"Efectivo",Export!$M:$M,"&lt;="&amp;15)/B15*100,0))</f>
        <v>74.137931034482762</v>
      </c>
      <c r="T15" s="46">
        <f>IF(B15=0,"",IFERROR(COUNTIFS(Export!$E:$E,A15,Export!$H:$H,"Efectivo",Export!$M:$M,"&lt;="&amp;16)/B15*100,0))</f>
        <v>75.862068965517238</v>
      </c>
      <c r="U15" s="46">
        <f>IF(B15=0,"",IFERROR(COUNTIFS(Export!$E:$E,A15,Export!$H:$H,"Efectivo",Export!$M:$M,"&lt;="&amp;17)/B15*100,0))</f>
        <v>75.862068965517238</v>
      </c>
      <c r="V15" s="46">
        <f>IF(B15=0,"",IFERROR(COUNTIFS(Export!$E:$E,A15,Export!$H:$H,"Efectivo",Export!$M:$M,"&lt;="&amp;18)/B15*100,0))</f>
        <v>75.862068965517238</v>
      </c>
      <c r="W15" s="46">
        <f>IF(B15=0,"",IFERROR(COUNTIFS(Export!$E:$E,A15,Export!$H:$H,"Efectivo",Export!$M:$M,"&lt;="&amp;19)/B15*100,0))</f>
        <v>75.862068965517238</v>
      </c>
      <c r="X15" s="46">
        <f>IF(B15=0,"",IFERROR(COUNTIFS(Export!$E:$E,A15,Export!$H:$H,"Efectivo",Export!$M:$M,"&lt;="&amp;20)/B15*100,0))</f>
        <v>75.862068965517238</v>
      </c>
      <c r="Y15" s="46">
        <f>IF(B15=0,"",IFERROR(COUNTIFS(Export!$E:$E,A15,Export!$H:$H,"Efectivo",Export!$M:$M,"&lt;="&amp;21)/B15*100,0))</f>
        <v>75.862068965517238</v>
      </c>
      <c r="Z15" s="46">
        <f>IF(B15=0,"",IFERROR(COUNTIFS(Export!$E:$E,A15,Export!$H:$H,"Efectivo",Export!$M:$M,"&lt;="&amp;22)/B15*100,0))</f>
        <v>75.862068965517238</v>
      </c>
      <c r="AA15" s="46">
        <f>IF(B15=0,"",IFERROR(COUNTIFS(Export!$E:$E,A15,Export!$H:$H,"Efectivo",Export!$M:$M,"&lt;="&amp;23)/B15*100,0))</f>
        <v>75.862068965517238</v>
      </c>
      <c r="AB15" s="46">
        <f>IF(B15=0,"",IFERROR(COUNTIFS(Export!$E:$E,A15,Export!$H:$H,"Efectivo",Export!$M:$M,"&lt;="&amp;24)/B15*100,0))</f>
        <v>75.862068965517238</v>
      </c>
      <c r="AC15" s="46">
        <f>IF(B15=0,"",IFERROR(COUNTIFS(Export!$E:$E,A15,Export!$H:$H,"Efectivo",Export!$M:$M,"&lt;="&amp;25)/B15*100,0))</f>
        <v>75.862068965517238</v>
      </c>
      <c r="AD15" s="46">
        <f>IF(B15=0,"",IFERROR(COUNTIFS(Export!$E:$E,A15,Export!$H:$H,"Efectivo",Export!$M:$M,"&lt;="&amp;26)/B15*100,0))</f>
        <v>75.862068965517238</v>
      </c>
      <c r="AE15" s="46">
        <f>IF(B15=0,"",IFERROR(COUNTIFS(Export!$E:$E,A15,Export!$H:$H,"Efectivo",Export!$M:$M,"&lt;="&amp;27)/B15*100,0))</f>
        <v>75.862068965517238</v>
      </c>
      <c r="AF15" s="46">
        <f>IF(B15=0,"",IFERROR(COUNTIFS(Export!$E:$E,A15,Export!$H:$H,"Efectivo",Export!$M:$M,"&lt;="&amp;28)/B15*100,0))</f>
        <v>75.862068965517238</v>
      </c>
      <c r="AG15" s="46">
        <f>IF(B15=0,"",IFERROR(COUNTIFS(Export!$E:$E,A15,Export!$H:$H,"Efectivo",Export!$M:$M,"&lt;="&amp;29)/B15*100,0))</f>
        <v>75.862068965517238</v>
      </c>
      <c r="AH15" s="46">
        <f>IF(B15=0,"",IFERROR(COUNTIFS(Export!$E:$E,A15,Export!$H:$H,"Efectivo",Export!$M:$M,"&lt;="&amp;30)/B15*100,0))</f>
        <v>75.862068965517238</v>
      </c>
      <c r="AI15" s="46">
        <f>IF(B15=0,"",IFERROR(COUNTIFS(Export!$E:$E,A15,Export!$H:$H,"Efectivo",Export!$M:$M,"&lt;="&amp;31)/B15*100,0))</f>
        <v>75.862068965517238</v>
      </c>
      <c r="AJ15" s="46">
        <f>IF(B15=0,"",IFERROR(COUNTIFS(Export!$E:$E,A15,Export!$H:$H,"Efectivo",Export!$M:$M,"&lt;="&amp;32)/B15*100,0))</f>
        <v>75.862068965517238</v>
      </c>
      <c r="AK15" s="46">
        <f>IF(B15=0,"",IFERROR(COUNTIFS(Export!$E:$E,A15,Export!$H:$H,"Efectivo",Export!$M:$M,"&lt;="&amp;33)/B15*100,0))</f>
        <v>75.862068965517238</v>
      </c>
      <c r="AL15" s="46">
        <f>IF(B15=0,"",IFERROR(COUNTIFS(Export!$E:$E,A15,Export!$H:$H,"Efectivo",Export!$M:$M,"&lt;="&amp;34)/B15*100,0))</f>
        <v>75.862068965517238</v>
      </c>
      <c r="AM15" s="46">
        <f>IF(B15=0,"",IFERROR(COUNTIFS(Export!$E:$E,A15,Export!$H:$H,"Efectivo",Export!$M:$M,"&lt;="&amp;35)/B15*100,0))</f>
        <v>75.862068965517238</v>
      </c>
      <c r="AN15" s="46">
        <f>IF(B15=0,"",IFERROR(COUNTIFS(Export!$E:$E,A15,Export!$H:$H,"Efectivo",Export!$M:$M,"&lt;="&amp;36)/B15*100,0))</f>
        <v>75.862068965517238</v>
      </c>
    </row>
    <row r="16" spans="1:42" x14ac:dyDescent="0.35">
      <c r="A16" s="47" t="s">
        <v>41</v>
      </c>
      <c r="B16" s="44">
        <f>IFERROR(COUNTIF(Export!$E:$E,A16),0)</f>
        <v>64</v>
      </c>
      <c r="C16" s="45">
        <f>IFERROR(VLOOKUP(A16,Originaciones!$A:$B,2,0),"")</f>
        <v>99</v>
      </c>
      <c r="D16" s="46">
        <f>IF(B16=0,"",IFERROR(COUNTIFS(Export!$E:$E,A16,Export!$H:$H,"Efectivo",Export!$M:$M,"&lt;="&amp;0)/B16*100,0))</f>
        <v>0</v>
      </c>
      <c r="E16" s="46">
        <f>IF(B16=0,"",IFERROR(COUNTIFS(Export!$E:$E,A16,Export!$H:$H,"Efectivo",Export!$M:$M,"&lt;="&amp;1)/B16*100,0))</f>
        <v>0</v>
      </c>
      <c r="F16" s="46">
        <f>IF(B16=0,"",IFERROR(COUNTIFS(Export!$E:$E,A16,Export!$H:$H,"Efectivo",Export!$M:$M,"&lt;="&amp;2)/B16*100,0))</f>
        <v>1.5625</v>
      </c>
      <c r="G16" s="46">
        <f>IF(B16=0,"",IFERROR(COUNTIFS(Export!$E:$E,A16,Export!$H:$H,"Efectivo",Export!$M:$M,"&lt;="&amp;3)/B16*100,0))</f>
        <v>12.5</v>
      </c>
      <c r="H16" s="46">
        <f>IF(B16=0,"",IFERROR(COUNTIFS(Export!$E:$E,A16,Export!$H:$H,"Efectivo",Export!$M:$M,"&lt;="&amp;4)/B16*100,0))</f>
        <v>26.5625</v>
      </c>
      <c r="I16" s="46">
        <f>IF(B16=0,"",IFERROR(COUNTIFS(Export!$E:$E,A16,Export!$H:$H,"Efectivo",Export!$M:$M,"&lt;="&amp;5)/B16*100,0))</f>
        <v>32.8125</v>
      </c>
      <c r="J16" s="46">
        <f>IF(B16=0,"",IFERROR(COUNTIFS(Export!$E:$E,A16,Export!$H:$H,"Efectivo",Export!$M:$M,"&lt;="&amp;6)/B16*100,0))</f>
        <v>35.9375</v>
      </c>
      <c r="K16" s="46">
        <f>IF(B16=0,"",IFERROR(COUNTIFS(Export!$E:$E,A16,Export!$H:$H,"Efectivo",Export!$M:$M,"&lt;="&amp;7)/B16*100,0))</f>
        <v>45.3125</v>
      </c>
      <c r="L16" s="46">
        <f>IF(B16=0,"",IFERROR(COUNTIFS(Export!$E:$E,A16,Export!$H:$H,"Efectivo",Export!$M:$M,"&lt;="&amp;8)/B16*100,0))</f>
        <v>48.4375</v>
      </c>
      <c r="M16" s="46">
        <f>IF(B16=0,"",IFERROR(COUNTIFS(Export!$E:$E,A16,Export!$H:$H,"Efectivo",Export!$M:$M,"&lt;="&amp;9)/B16*100,0))</f>
        <v>48.4375</v>
      </c>
      <c r="N16" s="46">
        <f>IF(B16=0,"",IFERROR(COUNTIFS(Export!$E:$E,A16,Export!$H:$H,"Efectivo",Export!$M:$M,"&lt;="&amp;10)/B16*100,0))</f>
        <v>50</v>
      </c>
      <c r="O16" s="46">
        <f>IF(B16=0,"",IFERROR(COUNTIFS(Export!$E:$E,A16,Export!$H:$H,"Efectivo",Export!$M:$M,"&lt;="&amp;11)/B16*100,0))</f>
        <v>54.6875</v>
      </c>
      <c r="P16" s="46">
        <f>IF(B16=0,"",IFERROR(COUNTIFS(Export!$E:$E,A16,Export!$H:$H,"Efectivo",Export!$M:$M,"&lt;="&amp;12)/B16*100,0))</f>
        <v>60.9375</v>
      </c>
      <c r="Q16" s="46">
        <f>IF(B16=0,"",IFERROR(COUNTIFS(Export!$E:$E,A16,Export!$H:$H,"Efectivo",Export!$M:$M,"&lt;="&amp;13)/B16*100,0))</f>
        <v>65.625</v>
      </c>
      <c r="R16" s="46">
        <f>IF(B16=0,"",IFERROR(COUNTIFS(Export!$E:$E,A16,Export!$H:$H,"Efectivo",Export!$M:$M,"&lt;="&amp;14)/B16*100,0))</f>
        <v>73.4375</v>
      </c>
      <c r="S16" s="46">
        <f>IF(B16=0,"",IFERROR(COUNTIFS(Export!$E:$E,A16,Export!$H:$H,"Efectivo",Export!$M:$M,"&lt;="&amp;15)/B16*100,0))</f>
        <v>79.6875</v>
      </c>
      <c r="T16" s="46">
        <f>IF(B16=0,"",IFERROR(COUNTIFS(Export!$E:$E,A16,Export!$H:$H,"Efectivo",Export!$M:$M,"&lt;="&amp;16)/B16*100,0))</f>
        <v>79.6875</v>
      </c>
      <c r="U16" s="46">
        <f>IF(B16=0,"",IFERROR(COUNTIFS(Export!$E:$E,A16,Export!$H:$H,"Efectivo",Export!$M:$M,"&lt;="&amp;17)/B16*100,0))</f>
        <v>79.6875</v>
      </c>
      <c r="V16" s="46">
        <f>IF(B16=0,"",IFERROR(COUNTIFS(Export!$E:$E,A16,Export!$H:$H,"Efectivo",Export!$M:$M,"&lt;="&amp;18)/B16*100,0))</f>
        <v>79.6875</v>
      </c>
      <c r="W16" s="46">
        <f>IF(B16=0,"",IFERROR(COUNTIFS(Export!$E:$E,A16,Export!$H:$H,"Efectivo",Export!$M:$M,"&lt;="&amp;19)/B16*100,0))</f>
        <v>79.6875</v>
      </c>
      <c r="X16" s="46">
        <f>IF(B16=0,"",IFERROR(COUNTIFS(Export!$E:$E,A16,Export!$H:$H,"Efectivo",Export!$M:$M,"&lt;="&amp;20)/B16*100,0))</f>
        <v>79.6875</v>
      </c>
      <c r="Y16" s="46">
        <f>IF(B16=0,"",IFERROR(COUNTIFS(Export!$E:$E,A16,Export!$H:$H,"Efectivo",Export!$M:$M,"&lt;="&amp;21)/B16*100,0))</f>
        <v>79.6875</v>
      </c>
      <c r="Z16" s="46">
        <f>IF(B16=0,"",IFERROR(COUNTIFS(Export!$E:$E,A16,Export!$H:$H,"Efectivo",Export!$M:$M,"&lt;="&amp;22)/B16*100,0))</f>
        <v>79.6875</v>
      </c>
      <c r="AA16" s="46">
        <f>IF(B16=0,"",IFERROR(COUNTIFS(Export!$E:$E,A16,Export!$H:$H,"Efectivo",Export!$M:$M,"&lt;="&amp;23)/B16*100,0))</f>
        <v>79.6875</v>
      </c>
      <c r="AB16" s="46">
        <f>IF(B16=0,"",IFERROR(COUNTIFS(Export!$E:$E,A16,Export!$H:$H,"Efectivo",Export!$M:$M,"&lt;="&amp;24)/B16*100,0))</f>
        <v>79.6875</v>
      </c>
      <c r="AC16" s="46">
        <f>IF(B16=0,"",IFERROR(COUNTIFS(Export!$E:$E,A16,Export!$H:$H,"Efectivo",Export!$M:$M,"&lt;="&amp;25)/B16*100,0))</f>
        <v>79.6875</v>
      </c>
      <c r="AD16" s="46">
        <f>IF(B16=0,"",IFERROR(COUNTIFS(Export!$E:$E,A16,Export!$H:$H,"Efectivo",Export!$M:$M,"&lt;="&amp;26)/B16*100,0))</f>
        <v>79.6875</v>
      </c>
      <c r="AE16" s="46">
        <f>IF(B16=0,"",IFERROR(COUNTIFS(Export!$E:$E,A16,Export!$H:$H,"Efectivo",Export!$M:$M,"&lt;="&amp;27)/B16*100,0))</f>
        <v>79.6875</v>
      </c>
      <c r="AF16" s="46">
        <f>IF(B16=0,"",IFERROR(COUNTIFS(Export!$E:$E,A16,Export!$H:$H,"Efectivo",Export!$M:$M,"&lt;="&amp;28)/B16*100,0))</f>
        <v>79.6875</v>
      </c>
      <c r="AG16" s="46">
        <f>IF(B16=0,"",IFERROR(COUNTIFS(Export!$E:$E,A16,Export!$H:$H,"Efectivo",Export!$M:$M,"&lt;="&amp;29)/B16*100,0))</f>
        <v>79.6875</v>
      </c>
      <c r="AH16" s="46">
        <f>IF(B16=0,"",IFERROR(COUNTIFS(Export!$E:$E,A16,Export!$H:$H,"Efectivo",Export!$M:$M,"&lt;="&amp;30)/B16*100,0))</f>
        <v>79.6875</v>
      </c>
      <c r="AI16" s="46">
        <f>IF(B16=0,"",IFERROR(COUNTIFS(Export!$E:$E,A16,Export!$H:$H,"Efectivo",Export!$M:$M,"&lt;="&amp;31)/B16*100,0))</f>
        <v>79.6875</v>
      </c>
      <c r="AJ16" s="46">
        <f>IF(B16=0,"",IFERROR(COUNTIFS(Export!$E:$E,A16,Export!$H:$H,"Efectivo",Export!$M:$M,"&lt;="&amp;32)/B16*100,0))</f>
        <v>79.6875</v>
      </c>
      <c r="AK16" s="46">
        <f>IF(B16=0,"",IFERROR(COUNTIFS(Export!$E:$E,A16,Export!$H:$H,"Efectivo",Export!$M:$M,"&lt;="&amp;33)/B16*100,0))</f>
        <v>79.6875</v>
      </c>
      <c r="AL16" s="46">
        <f>IF(B16=0,"",IFERROR(COUNTIFS(Export!$E:$E,A16,Export!$H:$H,"Efectivo",Export!$M:$M,"&lt;="&amp;34)/B16*100,0))</f>
        <v>79.6875</v>
      </c>
      <c r="AM16" s="46">
        <f>IF(B16=0,"",IFERROR(COUNTIFS(Export!$E:$E,A16,Export!$H:$H,"Efectivo",Export!$M:$M,"&lt;="&amp;35)/B16*100,0))</f>
        <v>79.6875</v>
      </c>
      <c r="AN16" s="46">
        <f>IF(B16=0,"",IFERROR(COUNTIFS(Export!$E:$E,A16,Export!$H:$H,"Efectivo",Export!$M:$M,"&lt;="&amp;36)/B16*100,0))</f>
        <v>79.6875</v>
      </c>
    </row>
    <row r="17" spans="1:40" x14ac:dyDescent="0.35">
      <c r="A17" s="47" t="s">
        <v>42</v>
      </c>
      <c r="B17" s="44">
        <f>IFERROR(COUNTIF(Export!$E:$E,A17),0)</f>
        <v>62</v>
      </c>
      <c r="C17" s="45">
        <f>IFERROR(VLOOKUP(A17,Originaciones!$A:$B,2,0),"")</f>
        <v>136</v>
      </c>
      <c r="D17" s="46">
        <f>IF(B17=0,"",IFERROR(COUNTIFS(Export!$E:$E,A17,Export!$H:$H,"Efectivo",Export!$M:$M,"&lt;="&amp;0)/B17*100,0))</f>
        <v>0</v>
      </c>
      <c r="E17" s="46">
        <f>IF(B17=0,"",IFERROR(COUNTIFS(Export!$E:$E,A17,Export!$H:$H,"Efectivo",Export!$M:$M,"&lt;="&amp;1)/B17*100,0))</f>
        <v>0</v>
      </c>
      <c r="F17" s="46">
        <f>IF(B17=0,"",IFERROR(COUNTIFS(Export!$E:$E,A17,Export!$H:$H,"Efectivo",Export!$M:$M,"&lt;="&amp;2)/B17*100,0))</f>
        <v>1.6129032258064515</v>
      </c>
      <c r="G17" s="46">
        <f>IF(B17=0,"",IFERROR(COUNTIFS(Export!$E:$E,A17,Export!$H:$H,"Efectivo",Export!$M:$M,"&lt;="&amp;3)/B17*100,0))</f>
        <v>12.903225806451612</v>
      </c>
      <c r="H17" s="46">
        <f>IF(B17=0,"",IFERROR(COUNTIFS(Export!$E:$E,A17,Export!$H:$H,"Efectivo",Export!$M:$M,"&lt;="&amp;4)/B17*100,0))</f>
        <v>29.032258064516132</v>
      </c>
      <c r="I17" s="46">
        <f>IF(B17=0,"",IFERROR(COUNTIFS(Export!$E:$E,A17,Export!$H:$H,"Efectivo",Export!$M:$M,"&lt;="&amp;5)/B17*100,0))</f>
        <v>40.322580645161288</v>
      </c>
      <c r="J17" s="46">
        <f>IF(B17=0,"",IFERROR(COUNTIFS(Export!$E:$E,A17,Export!$H:$H,"Efectivo",Export!$M:$M,"&lt;="&amp;6)/B17*100,0))</f>
        <v>50</v>
      </c>
      <c r="K17" s="46">
        <f>IF(B17=0,"",IFERROR(COUNTIFS(Export!$E:$E,A17,Export!$H:$H,"Efectivo",Export!$M:$M,"&lt;="&amp;7)/B17*100,0))</f>
        <v>51.612903225806448</v>
      </c>
      <c r="L17" s="46">
        <f>IF(B17=0,"",IFERROR(COUNTIFS(Export!$E:$E,A17,Export!$H:$H,"Efectivo",Export!$M:$M,"&lt;="&amp;8)/B17*100,0))</f>
        <v>53.225806451612897</v>
      </c>
      <c r="M17" s="46">
        <f>IF(B17=0,"",IFERROR(COUNTIFS(Export!$E:$E,A17,Export!$H:$H,"Efectivo",Export!$M:$M,"&lt;="&amp;9)/B17*100,0))</f>
        <v>56.451612903225815</v>
      </c>
      <c r="N17" s="46">
        <f>IF(B17=0,"",IFERROR(COUNTIFS(Export!$E:$E,A17,Export!$H:$H,"Efectivo",Export!$M:$M,"&lt;="&amp;10)/B17*100,0))</f>
        <v>61.29032258064516</v>
      </c>
      <c r="O17" s="46">
        <f>IF(B17=0,"",IFERROR(COUNTIFS(Export!$E:$E,A17,Export!$H:$H,"Efectivo",Export!$M:$M,"&lt;="&amp;11)/B17*100,0))</f>
        <v>62.903225806451616</v>
      </c>
      <c r="P17" s="46">
        <f>IF(B17=0,"",IFERROR(COUNTIFS(Export!$E:$E,A17,Export!$H:$H,"Efectivo",Export!$M:$M,"&lt;="&amp;12)/B17*100,0))</f>
        <v>69.354838709677423</v>
      </c>
      <c r="Q17" s="46">
        <f>IF(B17=0,"",IFERROR(COUNTIFS(Export!$E:$E,A17,Export!$H:$H,"Efectivo",Export!$M:$M,"&lt;="&amp;13)/B17*100,0))</f>
        <v>75.806451612903231</v>
      </c>
      <c r="R17" s="46">
        <f>IF(B17=0,"",IFERROR(COUNTIFS(Export!$E:$E,A17,Export!$H:$H,"Efectivo",Export!$M:$M,"&lt;="&amp;14)/B17*100,0))</f>
        <v>79.032258064516128</v>
      </c>
      <c r="S17" s="46">
        <f>IF(B17=0,"",IFERROR(COUNTIFS(Export!$E:$E,A17,Export!$H:$H,"Efectivo",Export!$M:$M,"&lt;="&amp;15)/B17*100,0))</f>
        <v>79.032258064516128</v>
      </c>
      <c r="T17" s="46">
        <f>IF(B17=0,"",IFERROR(COUNTIFS(Export!$E:$E,A17,Export!$H:$H,"Efectivo",Export!$M:$M,"&lt;="&amp;16)/B17*100,0))</f>
        <v>79.032258064516128</v>
      </c>
      <c r="U17" s="46">
        <f>IF(B17=0,"",IFERROR(COUNTIFS(Export!$E:$E,A17,Export!$H:$H,"Efectivo",Export!$M:$M,"&lt;="&amp;17)/B17*100,0))</f>
        <v>79.032258064516128</v>
      </c>
      <c r="V17" s="46">
        <f>IF(B17=0,"",IFERROR(COUNTIFS(Export!$E:$E,A17,Export!$H:$H,"Efectivo",Export!$M:$M,"&lt;="&amp;18)/B17*100,0))</f>
        <v>79.032258064516128</v>
      </c>
      <c r="W17" s="46">
        <f>IF(B17=0,"",IFERROR(COUNTIFS(Export!$E:$E,A17,Export!$H:$H,"Efectivo",Export!$M:$M,"&lt;="&amp;19)/B17*100,0))</f>
        <v>79.032258064516128</v>
      </c>
      <c r="X17" s="46">
        <f>IF(B17=0,"",IFERROR(COUNTIFS(Export!$E:$E,A17,Export!$H:$H,"Efectivo",Export!$M:$M,"&lt;="&amp;20)/B17*100,0))</f>
        <v>79.032258064516128</v>
      </c>
      <c r="Y17" s="46">
        <f>IF(B17=0,"",IFERROR(COUNTIFS(Export!$E:$E,A17,Export!$H:$H,"Efectivo",Export!$M:$M,"&lt;="&amp;21)/B17*100,0))</f>
        <v>79.032258064516128</v>
      </c>
      <c r="Z17" s="46">
        <f>IF(B17=0,"",IFERROR(COUNTIFS(Export!$E:$E,A17,Export!$H:$H,"Efectivo",Export!$M:$M,"&lt;="&amp;22)/B17*100,0))</f>
        <v>79.032258064516128</v>
      </c>
      <c r="AA17" s="46">
        <f>IF(B17=0,"",IFERROR(COUNTIFS(Export!$E:$E,A17,Export!$H:$H,"Efectivo",Export!$M:$M,"&lt;="&amp;23)/B17*100,0))</f>
        <v>79.032258064516128</v>
      </c>
      <c r="AB17" s="46">
        <f>IF(B17=0,"",IFERROR(COUNTIFS(Export!$E:$E,A17,Export!$H:$H,"Efectivo",Export!$M:$M,"&lt;="&amp;24)/B17*100,0))</f>
        <v>79.032258064516128</v>
      </c>
      <c r="AC17" s="46">
        <f>IF(B17=0,"",IFERROR(COUNTIFS(Export!$E:$E,A17,Export!$H:$H,"Efectivo",Export!$M:$M,"&lt;="&amp;25)/B17*100,0))</f>
        <v>79.032258064516128</v>
      </c>
      <c r="AD17" s="46">
        <f>IF(B17=0,"",IFERROR(COUNTIFS(Export!$E:$E,A17,Export!$H:$H,"Efectivo",Export!$M:$M,"&lt;="&amp;26)/B17*100,0))</f>
        <v>79.032258064516128</v>
      </c>
      <c r="AE17" s="46">
        <f>IF(B17=0,"",IFERROR(COUNTIFS(Export!$E:$E,A17,Export!$H:$H,"Efectivo",Export!$M:$M,"&lt;="&amp;27)/B17*100,0))</f>
        <v>79.032258064516128</v>
      </c>
      <c r="AF17" s="46">
        <f>IF(B17=0,"",IFERROR(COUNTIFS(Export!$E:$E,A17,Export!$H:$H,"Efectivo",Export!$M:$M,"&lt;="&amp;28)/B17*100,0))</f>
        <v>79.032258064516128</v>
      </c>
      <c r="AG17" s="46">
        <f>IF(B17=0,"",IFERROR(COUNTIFS(Export!$E:$E,A17,Export!$H:$H,"Efectivo",Export!$M:$M,"&lt;="&amp;29)/B17*100,0))</f>
        <v>79.032258064516128</v>
      </c>
      <c r="AH17" s="46">
        <f>IF(B17=0,"",IFERROR(COUNTIFS(Export!$E:$E,A17,Export!$H:$H,"Efectivo",Export!$M:$M,"&lt;="&amp;30)/B17*100,0))</f>
        <v>79.032258064516128</v>
      </c>
      <c r="AI17" s="46">
        <f>IF(B17=0,"",IFERROR(COUNTIFS(Export!$E:$E,A17,Export!$H:$H,"Efectivo",Export!$M:$M,"&lt;="&amp;31)/B17*100,0))</f>
        <v>79.032258064516128</v>
      </c>
      <c r="AJ17" s="46">
        <f>IF(B17=0,"",IFERROR(COUNTIFS(Export!$E:$E,A17,Export!$H:$H,"Efectivo",Export!$M:$M,"&lt;="&amp;32)/B17*100,0))</f>
        <v>79.032258064516128</v>
      </c>
      <c r="AK17" s="46">
        <f>IF(B17=0,"",IFERROR(COUNTIFS(Export!$E:$E,A17,Export!$H:$H,"Efectivo",Export!$M:$M,"&lt;="&amp;33)/B17*100,0))</f>
        <v>79.032258064516128</v>
      </c>
      <c r="AL17" s="46">
        <f>IF(B17=0,"",IFERROR(COUNTIFS(Export!$E:$E,A17,Export!$H:$H,"Efectivo",Export!$M:$M,"&lt;="&amp;34)/B17*100,0))</f>
        <v>79.032258064516128</v>
      </c>
      <c r="AM17" s="46">
        <f>IF(B17=0,"",IFERROR(COUNTIFS(Export!$E:$E,A17,Export!$H:$H,"Efectivo",Export!$M:$M,"&lt;="&amp;35)/B17*100,0))</f>
        <v>79.032258064516128</v>
      </c>
      <c r="AN17" s="46">
        <f>IF(B17=0,"",IFERROR(COUNTIFS(Export!$E:$E,A17,Export!$H:$H,"Efectivo",Export!$M:$M,"&lt;="&amp;36)/B17*100,0))</f>
        <v>79.032258064516128</v>
      </c>
    </row>
    <row r="18" spans="1:40" x14ac:dyDescent="0.35">
      <c r="A18" s="47" t="s">
        <v>43</v>
      </c>
      <c r="B18" s="44">
        <f>IFERROR(COUNTIF(Export!$E:$E,A18),0)</f>
        <v>86</v>
      </c>
      <c r="C18" s="45">
        <f>IFERROR(VLOOKUP(A18,Originaciones!$A:$B,2,0),"")</f>
        <v>161</v>
      </c>
      <c r="D18" s="46">
        <f>IF(B18=0,"",IFERROR(COUNTIFS(Export!$E:$E,A18,Export!$H:$H,"Efectivo",Export!$M:$M,"&lt;="&amp;0)/B18*100,0))</f>
        <v>0</v>
      </c>
      <c r="E18" s="46">
        <f>IF(B18=0,"",IFERROR(COUNTIFS(Export!$E:$E,A18,Export!$H:$H,"Efectivo",Export!$M:$M,"&lt;="&amp;1)/B18*100,0))</f>
        <v>0</v>
      </c>
      <c r="F18" s="46">
        <f>IF(B18=0,"",IFERROR(COUNTIFS(Export!$E:$E,A18,Export!$H:$H,"Efectivo",Export!$M:$M,"&lt;="&amp;2)/B18*100,0))</f>
        <v>1.1627906976744187</v>
      </c>
      <c r="G18" s="46">
        <f>IF(B18=0,"",IFERROR(COUNTIFS(Export!$E:$E,A18,Export!$H:$H,"Efectivo",Export!$M:$M,"&lt;="&amp;3)/B18*100,0))</f>
        <v>4.6511627906976747</v>
      </c>
      <c r="H18" s="46">
        <f>IF(B18=0,"",IFERROR(COUNTIFS(Export!$E:$E,A18,Export!$H:$H,"Efectivo",Export!$M:$M,"&lt;="&amp;4)/B18*100,0))</f>
        <v>18.604651162790699</v>
      </c>
      <c r="I18" s="46">
        <f>IF(B18=0,"",IFERROR(COUNTIFS(Export!$E:$E,A18,Export!$H:$H,"Efectivo",Export!$M:$M,"&lt;="&amp;5)/B18*100,0))</f>
        <v>22.093023255813954</v>
      </c>
      <c r="J18" s="46">
        <f>IF(B18=0,"",IFERROR(COUNTIFS(Export!$E:$E,A18,Export!$H:$H,"Efectivo",Export!$M:$M,"&lt;="&amp;6)/B18*100,0))</f>
        <v>30.232558139534881</v>
      </c>
      <c r="K18" s="46">
        <f>IF(B18=0,"",IFERROR(COUNTIFS(Export!$E:$E,A18,Export!$H:$H,"Efectivo",Export!$M:$M,"&lt;="&amp;7)/B18*100,0))</f>
        <v>32.558139534883722</v>
      </c>
      <c r="L18" s="46">
        <f>IF(B18=0,"",IFERROR(COUNTIFS(Export!$E:$E,A18,Export!$H:$H,"Efectivo",Export!$M:$M,"&lt;="&amp;8)/B18*100,0))</f>
        <v>38.372093023255815</v>
      </c>
      <c r="M18" s="46">
        <f>IF(B18=0,"",IFERROR(COUNTIFS(Export!$E:$E,A18,Export!$H:$H,"Efectivo",Export!$M:$M,"&lt;="&amp;9)/B18*100,0))</f>
        <v>47.674418604651166</v>
      </c>
      <c r="N18" s="46">
        <f>IF(B18=0,"",IFERROR(COUNTIFS(Export!$E:$E,A18,Export!$H:$H,"Efectivo",Export!$M:$M,"&lt;="&amp;10)/B18*100,0))</f>
        <v>51.162790697674424</v>
      </c>
      <c r="O18" s="46">
        <f>IF(B18=0,"",IFERROR(COUNTIFS(Export!$E:$E,A18,Export!$H:$H,"Efectivo",Export!$M:$M,"&lt;="&amp;11)/B18*100,0))</f>
        <v>53.488372093023251</v>
      </c>
      <c r="P18" s="46">
        <f>IF(B18=0,"",IFERROR(COUNTIFS(Export!$E:$E,A18,Export!$H:$H,"Efectivo",Export!$M:$M,"&lt;="&amp;12)/B18*100,0))</f>
        <v>61.627906976744185</v>
      </c>
      <c r="Q18" s="46">
        <f>IF(B18=0,"",IFERROR(COUNTIFS(Export!$E:$E,A18,Export!$H:$H,"Efectivo",Export!$M:$M,"&lt;="&amp;13)/B18*100,0))</f>
        <v>66.279069767441854</v>
      </c>
      <c r="R18" s="46">
        <f>IF(B18=0,"",IFERROR(COUNTIFS(Export!$E:$E,A18,Export!$H:$H,"Efectivo",Export!$M:$M,"&lt;="&amp;14)/B18*100,0))</f>
        <v>66.279069767441854</v>
      </c>
      <c r="S18" s="46">
        <f>IF(B18=0,"",IFERROR(COUNTIFS(Export!$E:$E,A18,Export!$H:$H,"Efectivo",Export!$M:$M,"&lt;="&amp;15)/B18*100,0))</f>
        <v>66.279069767441854</v>
      </c>
      <c r="T18" s="46">
        <f>IF(B18=0,"",IFERROR(COUNTIFS(Export!$E:$E,A18,Export!$H:$H,"Efectivo",Export!$M:$M,"&lt;="&amp;16)/B18*100,0))</f>
        <v>66.279069767441854</v>
      </c>
      <c r="U18" s="46">
        <f>IF(B18=0,"",IFERROR(COUNTIFS(Export!$E:$E,A18,Export!$H:$H,"Efectivo",Export!$M:$M,"&lt;="&amp;17)/B18*100,0))</f>
        <v>66.279069767441854</v>
      </c>
      <c r="V18" s="46">
        <f>IF(B18=0,"",IFERROR(COUNTIFS(Export!$E:$E,A18,Export!$H:$H,"Efectivo",Export!$M:$M,"&lt;="&amp;18)/B18*100,0))</f>
        <v>66.279069767441854</v>
      </c>
      <c r="W18" s="46">
        <f>IF(B18=0,"",IFERROR(COUNTIFS(Export!$E:$E,A18,Export!$H:$H,"Efectivo",Export!$M:$M,"&lt;="&amp;19)/B18*100,0))</f>
        <v>66.279069767441854</v>
      </c>
      <c r="X18" s="46">
        <f>IF(B18=0,"",IFERROR(COUNTIFS(Export!$E:$E,A18,Export!$H:$H,"Efectivo",Export!$M:$M,"&lt;="&amp;20)/B18*100,0))</f>
        <v>66.279069767441854</v>
      </c>
      <c r="Y18" s="46">
        <f>IF(B18=0,"",IFERROR(COUNTIFS(Export!$E:$E,A18,Export!$H:$H,"Efectivo",Export!$M:$M,"&lt;="&amp;21)/B18*100,0))</f>
        <v>66.279069767441854</v>
      </c>
      <c r="Z18" s="46">
        <f>IF(B18=0,"",IFERROR(COUNTIFS(Export!$E:$E,A18,Export!$H:$H,"Efectivo",Export!$M:$M,"&lt;="&amp;22)/B18*100,0))</f>
        <v>66.279069767441854</v>
      </c>
      <c r="AA18" s="46">
        <f>IF(B18=0,"",IFERROR(COUNTIFS(Export!$E:$E,A18,Export!$H:$H,"Efectivo",Export!$M:$M,"&lt;="&amp;23)/B18*100,0))</f>
        <v>66.279069767441854</v>
      </c>
      <c r="AB18" s="46">
        <f>IF(B18=0,"",IFERROR(COUNTIFS(Export!$E:$E,A18,Export!$H:$H,"Efectivo",Export!$M:$M,"&lt;="&amp;24)/B18*100,0))</f>
        <v>66.279069767441854</v>
      </c>
      <c r="AC18" s="46">
        <f>IF(B18=0,"",IFERROR(COUNTIFS(Export!$E:$E,A18,Export!$H:$H,"Efectivo",Export!$M:$M,"&lt;="&amp;25)/B18*100,0))</f>
        <v>66.279069767441854</v>
      </c>
      <c r="AD18" s="46">
        <f>IF(B18=0,"",IFERROR(COUNTIFS(Export!$E:$E,A18,Export!$H:$H,"Efectivo",Export!$M:$M,"&lt;="&amp;26)/B18*100,0))</f>
        <v>66.279069767441854</v>
      </c>
      <c r="AE18" s="46">
        <f>IF(B18=0,"",IFERROR(COUNTIFS(Export!$E:$E,A18,Export!$H:$H,"Efectivo",Export!$M:$M,"&lt;="&amp;27)/B18*100,0))</f>
        <v>66.279069767441854</v>
      </c>
      <c r="AF18" s="46">
        <f>IF(B18=0,"",IFERROR(COUNTIFS(Export!$E:$E,A18,Export!$H:$H,"Efectivo",Export!$M:$M,"&lt;="&amp;28)/B18*100,0))</f>
        <v>66.279069767441854</v>
      </c>
      <c r="AG18" s="46">
        <f>IF(B18=0,"",IFERROR(COUNTIFS(Export!$E:$E,A18,Export!$H:$H,"Efectivo",Export!$M:$M,"&lt;="&amp;29)/B18*100,0))</f>
        <v>66.279069767441854</v>
      </c>
      <c r="AH18" s="46">
        <f>IF(B18=0,"",IFERROR(COUNTIFS(Export!$E:$E,A18,Export!$H:$H,"Efectivo",Export!$M:$M,"&lt;="&amp;30)/B18*100,0))</f>
        <v>66.279069767441854</v>
      </c>
      <c r="AI18" s="46">
        <f>IF(B18=0,"",IFERROR(COUNTIFS(Export!$E:$E,A18,Export!$H:$H,"Efectivo",Export!$M:$M,"&lt;="&amp;31)/B18*100,0))</f>
        <v>66.279069767441854</v>
      </c>
      <c r="AJ18" s="46">
        <f>IF(B18=0,"",IFERROR(COUNTIFS(Export!$E:$E,A18,Export!$H:$H,"Efectivo",Export!$M:$M,"&lt;="&amp;32)/B18*100,0))</f>
        <v>66.279069767441854</v>
      </c>
      <c r="AK18" s="46">
        <f>IF(B18=0,"",IFERROR(COUNTIFS(Export!$E:$E,A18,Export!$H:$H,"Efectivo",Export!$M:$M,"&lt;="&amp;33)/B18*100,0))</f>
        <v>66.279069767441854</v>
      </c>
      <c r="AL18" s="46">
        <f>IF(B18=0,"",IFERROR(COUNTIFS(Export!$E:$E,A18,Export!$H:$H,"Efectivo",Export!$M:$M,"&lt;="&amp;34)/B18*100,0))</f>
        <v>66.279069767441854</v>
      </c>
      <c r="AM18" s="46">
        <f>IF(B18=0,"",IFERROR(COUNTIFS(Export!$E:$E,A18,Export!$H:$H,"Efectivo",Export!$M:$M,"&lt;="&amp;35)/B18*100,0))</f>
        <v>66.279069767441854</v>
      </c>
      <c r="AN18" s="46">
        <f>IF(B18=0,"",IFERROR(COUNTIFS(Export!$E:$E,A18,Export!$H:$H,"Efectivo",Export!$M:$M,"&lt;="&amp;36)/B18*100,0))</f>
        <v>66.279069767441854</v>
      </c>
    </row>
    <row r="19" spans="1:40" x14ac:dyDescent="0.35">
      <c r="A19" s="47" t="s">
        <v>44</v>
      </c>
      <c r="B19" s="44">
        <f>IFERROR(COUNTIF(Export!$E:$E,A19),0)</f>
        <v>74</v>
      </c>
      <c r="C19" s="45">
        <f>IFERROR(VLOOKUP(A19,Originaciones!$A:$B,2,0),"")</f>
        <v>157</v>
      </c>
      <c r="D19" s="46">
        <f>IF(B19=0,"",IFERROR(COUNTIFS(Export!$E:$E,A19,Export!$H:$H,"Efectivo",Export!$M:$M,"&lt;="&amp;0)/B19*100,0))</f>
        <v>0</v>
      </c>
      <c r="E19" s="46">
        <f>IF(B19=0,"",IFERROR(COUNTIFS(Export!$E:$E,A19,Export!$H:$H,"Efectivo",Export!$M:$M,"&lt;="&amp;1)/B19*100,0))</f>
        <v>2.7027027027027026</v>
      </c>
      <c r="F19" s="46">
        <f>IF(B19=0,"",IFERROR(COUNTIFS(Export!$E:$E,A19,Export!$H:$H,"Efectivo",Export!$M:$M,"&lt;="&amp;2)/B19*100,0))</f>
        <v>6.756756756756757</v>
      </c>
      <c r="G19" s="46">
        <f>IF(B19=0,"",IFERROR(COUNTIFS(Export!$E:$E,A19,Export!$H:$H,"Efectivo",Export!$M:$M,"&lt;="&amp;3)/B19*100,0))</f>
        <v>18.918918918918919</v>
      </c>
      <c r="H19" s="46">
        <f>IF(B19=0,"",IFERROR(COUNTIFS(Export!$E:$E,A19,Export!$H:$H,"Efectivo",Export!$M:$M,"&lt;="&amp;4)/B19*100,0))</f>
        <v>25.675675675675674</v>
      </c>
      <c r="I19" s="46">
        <f>IF(B19=0,"",IFERROR(COUNTIFS(Export!$E:$E,A19,Export!$H:$H,"Efectivo",Export!$M:$M,"&lt;="&amp;5)/B19*100,0))</f>
        <v>36.486486486486484</v>
      </c>
      <c r="J19" s="46">
        <f>IF(B19=0,"",IFERROR(COUNTIFS(Export!$E:$E,A19,Export!$H:$H,"Efectivo",Export!$M:$M,"&lt;="&amp;6)/B19*100,0))</f>
        <v>39.189189189189186</v>
      </c>
      <c r="K19" s="46">
        <f>IF(B19=0,"",IFERROR(COUNTIFS(Export!$E:$E,A19,Export!$H:$H,"Efectivo",Export!$M:$M,"&lt;="&amp;7)/B19*100,0))</f>
        <v>43.243243243243242</v>
      </c>
      <c r="L19" s="46">
        <f>IF(B19=0,"",IFERROR(COUNTIFS(Export!$E:$E,A19,Export!$H:$H,"Efectivo",Export!$M:$M,"&lt;="&amp;8)/B19*100,0))</f>
        <v>48.648648648648653</v>
      </c>
      <c r="M19" s="46">
        <f>IF(B19=0,"",IFERROR(COUNTIFS(Export!$E:$E,A19,Export!$H:$H,"Efectivo",Export!$M:$M,"&lt;="&amp;9)/B19*100,0))</f>
        <v>56.756756756756758</v>
      </c>
      <c r="N19" s="46">
        <f>IF(B19=0,"",IFERROR(COUNTIFS(Export!$E:$E,A19,Export!$H:$H,"Efectivo",Export!$M:$M,"&lt;="&amp;10)/B19*100,0))</f>
        <v>64.86486486486487</v>
      </c>
      <c r="O19" s="46">
        <f>IF(B19=0,"",IFERROR(COUNTIFS(Export!$E:$E,A19,Export!$H:$H,"Efectivo",Export!$M:$M,"&lt;="&amp;11)/B19*100,0))</f>
        <v>77.027027027027032</v>
      </c>
      <c r="P19" s="46">
        <f>IF(B19=0,"",IFERROR(COUNTIFS(Export!$E:$E,A19,Export!$H:$H,"Efectivo",Export!$M:$M,"&lt;="&amp;12)/B19*100,0))</f>
        <v>81.081081081081081</v>
      </c>
      <c r="Q19" s="46">
        <f>IF(B19=0,"",IFERROR(COUNTIFS(Export!$E:$E,A19,Export!$H:$H,"Efectivo",Export!$M:$M,"&lt;="&amp;13)/B19*100,0))</f>
        <v>81.081081081081081</v>
      </c>
      <c r="R19" s="46">
        <f>IF(B19=0,"",IFERROR(COUNTIFS(Export!$E:$E,A19,Export!$H:$H,"Efectivo",Export!$M:$M,"&lt;="&amp;14)/B19*100,0))</f>
        <v>81.081081081081081</v>
      </c>
      <c r="S19" s="46">
        <f>IF(B19=0,"",IFERROR(COUNTIFS(Export!$E:$E,A19,Export!$H:$H,"Efectivo",Export!$M:$M,"&lt;="&amp;15)/B19*100,0))</f>
        <v>81.081081081081081</v>
      </c>
      <c r="T19" s="46">
        <f>IF(B19=0,"",IFERROR(COUNTIFS(Export!$E:$E,A19,Export!$H:$H,"Efectivo",Export!$M:$M,"&lt;="&amp;16)/B19*100,0))</f>
        <v>81.081081081081081</v>
      </c>
      <c r="U19" s="46">
        <f>IF(B19=0,"",IFERROR(COUNTIFS(Export!$E:$E,A19,Export!$H:$H,"Efectivo",Export!$M:$M,"&lt;="&amp;17)/B19*100,0))</f>
        <v>81.081081081081081</v>
      </c>
      <c r="V19" s="46">
        <f>IF(B19=0,"",IFERROR(COUNTIFS(Export!$E:$E,A19,Export!$H:$H,"Efectivo",Export!$M:$M,"&lt;="&amp;18)/B19*100,0))</f>
        <v>81.081081081081081</v>
      </c>
      <c r="W19" s="46">
        <f>IF(B19=0,"",IFERROR(COUNTIFS(Export!$E:$E,A19,Export!$H:$H,"Efectivo",Export!$M:$M,"&lt;="&amp;19)/B19*100,0))</f>
        <v>81.081081081081081</v>
      </c>
      <c r="X19" s="46">
        <f>IF(B19=0,"",IFERROR(COUNTIFS(Export!$E:$E,A19,Export!$H:$H,"Efectivo",Export!$M:$M,"&lt;="&amp;20)/B19*100,0))</f>
        <v>81.081081081081081</v>
      </c>
      <c r="Y19" s="46">
        <f>IF(B19=0,"",IFERROR(COUNTIFS(Export!$E:$E,A19,Export!$H:$H,"Efectivo",Export!$M:$M,"&lt;="&amp;21)/B19*100,0))</f>
        <v>81.081081081081081</v>
      </c>
      <c r="Z19" s="46">
        <f>IF(B19=0,"",IFERROR(COUNTIFS(Export!$E:$E,A19,Export!$H:$H,"Efectivo",Export!$M:$M,"&lt;="&amp;22)/B19*100,0))</f>
        <v>81.081081081081081</v>
      </c>
      <c r="AA19" s="46">
        <f>IF(B19=0,"",IFERROR(COUNTIFS(Export!$E:$E,A19,Export!$H:$H,"Efectivo",Export!$M:$M,"&lt;="&amp;23)/B19*100,0))</f>
        <v>81.081081081081081</v>
      </c>
      <c r="AB19" s="46">
        <f>IF(B19=0,"",IFERROR(COUNTIFS(Export!$E:$E,A19,Export!$H:$H,"Efectivo",Export!$M:$M,"&lt;="&amp;24)/B19*100,0))</f>
        <v>81.081081081081081</v>
      </c>
      <c r="AC19" s="46">
        <f>IF(B19=0,"",IFERROR(COUNTIFS(Export!$E:$E,A19,Export!$H:$H,"Efectivo",Export!$M:$M,"&lt;="&amp;25)/B19*100,0))</f>
        <v>81.081081081081081</v>
      </c>
      <c r="AD19" s="46">
        <f>IF(B19=0,"",IFERROR(COUNTIFS(Export!$E:$E,A19,Export!$H:$H,"Efectivo",Export!$M:$M,"&lt;="&amp;26)/B19*100,0))</f>
        <v>81.081081081081081</v>
      </c>
      <c r="AE19" s="46">
        <f>IF(B19=0,"",IFERROR(COUNTIFS(Export!$E:$E,A19,Export!$H:$H,"Efectivo",Export!$M:$M,"&lt;="&amp;27)/B19*100,0))</f>
        <v>81.081081081081081</v>
      </c>
      <c r="AF19" s="46">
        <f>IF(B19=0,"",IFERROR(COUNTIFS(Export!$E:$E,A19,Export!$H:$H,"Efectivo",Export!$M:$M,"&lt;="&amp;28)/B19*100,0))</f>
        <v>81.081081081081081</v>
      </c>
      <c r="AG19" s="46">
        <f>IF(B19=0,"",IFERROR(COUNTIFS(Export!$E:$E,A19,Export!$H:$H,"Efectivo",Export!$M:$M,"&lt;="&amp;29)/B19*100,0))</f>
        <v>81.081081081081081</v>
      </c>
      <c r="AH19" s="46">
        <f>IF(B19=0,"",IFERROR(COUNTIFS(Export!$E:$E,A19,Export!$H:$H,"Efectivo",Export!$M:$M,"&lt;="&amp;30)/B19*100,0))</f>
        <v>81.081081081081081</v>
      </c>
      <c r="AI19" s="46">
        <f>IF(B19=0,"",IFERROR(COUNTIFS(Export!$E:$E,A19,Export!$H:$H,"Efectivo",Export!$M:$M,"&lt;="&amp;31)/B19*100,0))</f>
        <v>81.081081081081081</v>
      </c>
      <c r="AJ19" s="46">
        <f>IF(B19=0,"",IFERROR(COUNTIFS(Export!$E:$E,A19,Export!$H:$H,"Efectivo",Export!$M:$M,"&lt;="&amp;32)/B19*100,0))</f>
        <v>81.081081081081081</v>
      </c>
      <c r="AK19" s="46">
        <f>IF(B19=0,"",IFERROR(COUNTIFS(Export!$E:$E,A19,Export!$H:$H,"Efectivo",Export!$M:$M,"&lt;="&amp;33)/B19*100,0))</f>
        <v>81.081081081081081</v>
      </c>
      <c r="AL19" s="46">
        <f>IF(B19=0,"",IFERROR(COUNTIFS(Export!$E:$E,A19,Export!$H:$H,"Efectivo",Export!$M:$M,"&lt;="&amp;34)/B19*100,0))</f>
        <v>81.081081081081081</v>
      </c>
      <c r="AM19" s="46">
        <f>IF(B19=0,"",IFERROR(COUNTIFS(Export!$E:$E,A19,Export!$H:$H,"Efectivo",Export!$M:$M,"&lt;="&amp;35)/B19*100,0))</f>
        <v>81.081081081081081</v>
      </c>
      <c r="AN19" s="46">
        <f>IF(B19=0,"",IFERROR(COUNTIFS(Export!$E:$E,A19,Export!$H:$H,"Efectivo",Export!$M:$M,"&lt;="&amp;36)/B19*100,0))</f>
        <v>81.081081081081081</v>
      </c>
    </row>
    <row r="20" spans="1:40" x14ac:dyDescent="0.35">
      <c r="A20" s="47" t="s">
        <v>45</v>
      </c>
      <c r="B20" s="44">
        <f>IFERROR(COUNTIF(Export!$E:$E,A20),0)</f>
        <v>91</v>
      </c>
      <c r="C20" s="45">
        <f>IFERROR(VLOOKUP(A20,Originaciones!$A:$B,2,0),"")</f>
        <v>195</v>
      </c>
      <c r="D20" s="46">
        <f>IF(B20=0,"",IFERROR(COUNTIFS(Export!$E:$E,A20,Export!$H:$H,"Efectivo",Export!$M:$M,"&lt;="&amp;0)/B20*100,0))</f>
        <v>0</v>
      </c>
      <c r="E20" s="46">
        <f>IF(B20=0,"",IFERROR(COUNTIFS(Export!$E:$E,A20,Export!$H:$H,"Efectivo",Export!$M:$M,"&lt;="&amp;1)/B20*100,0))</f>
        <v>2.197802197802198</v>
      </c>
      <c r="F20" s="46">
        <f>IF(B20=0,"",IFERROR(COUNTIFS(Export!$E:$E,A20,Export!$H:$H,"Efectivo",Export!$M:$M,"&lt;="&amp;2)/B20*100,0))</f>
        <v>7.6923076923076925</v>
      </c>
      <c r="G20" s="46">
        <f>IF(B20=0,"",IFERROR(COUNTIFS(Export!$E:$E,A20,Export!$H:$H,"Efectivo",Export!$M:$M,"&lt;="&amp;3)/B20*100,0))</f>
        <v>12.087912087912088</v>
      </c>
      <c r="H20" s="46">
        <f>IF(B20=0,"",IFERROR(COUNTIFS(Export!$E:$E,A20,Export!$H:$H,"Efectivo",Export!$M:$M,"&lt;="&amp;4)/B20*100,0))</f>
        <v>15.384615384615385</v>
      </c>
      <c r="I20" s="46">
        <f>IF(B20=0,"",IFERROR(COUNTIFS(Export!$E:$E,A20,Export!$H:$H,"Efectivo",Export!$M:$M,"&lt;="&amp;5)/B20*100,0))</f>
        <v>18.681318681318682</v>
      </c>
      <c r="J20" s="46">
        <f>IF(B20=0,"",IFERROR(COUNTIFS(Export!$E:$E,A20,Export!$H:$H,"Efectivo",Export!$M:$M,"&lt;="&amp;6)/B20*100,0))</f>
        <v>23.076923076923077</v>
      </c>
      <c r="K20" s="46">
        <f>IF(B20=0,"",IFERROR(COUNTIFS(Export!$E:$E,A20,Export!$H:$H,"Efectivo",Export!$M:$M,"&lt;="&amp;7)/B20*100,0))</f>
        <v>31.868131868131865</v>
      </c>
      <c r="L20" s="46">
        <f>IF(B20=0,"",IFERROR(COUNTIFS(Export!$E:$E,A20,Export!$H:$H,"Efectivo",Export!$M:$M,"&lt;="&amp;8)/B20*100,0))</f>
        <v>37.362637362637365</v>
      </c>
      <c r="M20" s="46">
        <f>IF(B20=0,"",IFERROR(COUNTIFS(Export!$E:$E,A20,Export!$H:$H,"Efectivo",Export!$M:$M,"&lt;="&amp;9)/B20*100,0))</f>
        <v>51.648351648351657</v>
      </c>
      <c r="N20" s="46">
        <f>IF(B20=0,"",IFERROR(COUNTIFS(Export!$E:$E,A20,Export!$H:$H,"Efectivo",Export!$M:$M,"&lt;="&amp;10)/B20*100,0))</f>
        <v>61.53846153846154</v>
      </c>
      <c r="O20" s="46">
        <f>IF(B20=0,"",IFERROR(COUNTIFS(Export!$E:$E,A20,Export!$H:$H,"Efectivo",Export!$M:$M,"&lt;="&amp;11)/B20*100,0))</f>
        <v>68.131868131868131</v>
      </c>
      <c r="P20" s="46">
        <f>IF(B20=0,"",IFERROR(COUNTIFS(Export!$E:$E,A20,Export!$H:$H,"Efectivo",Export!$M:$M,"&lt;="&amp;12)/B20*100,0))</f>
        <v>68.131868131868131</v>
      </c>
      <c r="Q20" s="46">
        <f>IF(B20=0,"",IFERROR(COUNTIFS(Export!$E:$E,A20,Export!$H:$H,"Efectivo",Export!$M:$M,"&lt;="&amp;13)/B20*100,0))</f>
        <v>68.131868131868131</v>
      </c>
      <c r="R20" s="46">
        <f>IF(B20=0,"",IFERROR(COUNTIFS(Export!$E:$E,A20,Export!$H:$H,"Efectivo",Export!$M:$M,"&lt;="&amp;14)/B20*100,0))</f>
        <v>68.131868131868131</v>
      </c>
      <c r="S20" s="46">
        <f>IF(B20=0,"",IFERROR(COUNTIFS(Export!$E:$E,A20,Export!$H:$H,"Efectivo",Export!$M:$M,"&lt;="&amp;15)/B20*100,0))</f>
        <v>68.131868131868131</v>
      </c>
      <c r="T20" s="46">
        <f>IF(B20=0,"",IFERROR(COUNTIFS(Export!$E:$E,A20,Export!$H:$H,"Efectivo",Export!$M:$M,"&lt;="&amp;16)/B20*100,0))</f>
        <v>68.131868131868131</v>
      </c>
      <c r="U20" s="46">
        <f>IF(B20=0,"",IFERROR(COUNTIFS(Export!$E:$E,A20,Export!$H:$H,"Efectivo",Export!$M:$M,"&lt;="&amp;17)/B20*100,0))</f>
        <v>68.131868131868131</v>
      </c>
      <c r="V20" s="46">
        <f>IF(B20=0,"",IFERROR(COUNTIFS(Export!$E:$E,A20,Export!$H:$H,"Efectivo",Export!$M:$M,"&lt;="&amp;18)/B20*100,0))</f>
        <v>68.131868131868131</v>
      </c>
      <c r="W20" s="46">
        <f>IF(B20=0,"",IFERROR(COUNTIFS(Export!$E:$E,A20,Export!$H:$H,"Efectivo",Export!$M:$M,"&lt;="&amp;19)/B20*100,0))</f>
        <v>68.131868131868131</v>
      </c>
      <c r="X20" s="46">
        <f>IF(B20=0,"",IFERROR(COUNTIFS(Export!$E:$E,A20,Export!$H:$H,"Efectivo",Export!$M:$M,"&lt;="&amp;20)/B20*100,0))</f>
        <v>68.131868131868131</v>
      </c>
      <c r="Y20" s="46">
        <f>IF(B20=0,"",IFERROR(COUNTIFS(Export!$E:$E,A20,Export!$H:$H,"Efectivo",Export!$M:$M,"&lt;="&amp;21)/B20*100,0))</f>
        <v>68.131868131868131</v>
      </c>
      <c r="Z20" s="46">
        <f>IF(B20=0,"",IFERROR(COUNTIFS(Export!$E:$E,A20,Export!$H:$H,"Efectivo",Export!$M:$M,"&lt;="&amp;22)/B20*100,0))</f>
        <v>68.131868131868131</v>
      </c>
      <c r="AA20" s="46">
        <f>IF(B20=0,"",IFERROR(COUNTIFS(Export!$E:$E,A20,Export!$H:$H,"Efectivo",Export!$M:$M,"&lt;="&amp;23)/B20*100,0))</f>
        <v>68.131868131868131</v>
      </c>
      <c r="AB20" s="46">
        <f>IF(B20=0,"",IFERROR(COUNTIFS(Export!$E:$E,A20,Export!$H:$H,"Efectivo",Export!$M:$M,"&lt;="&amp;24)/B20*100,0))</f>
        <v>68.131868131868131</v>
      </c>
      <c r="AC20" s="46">
        <f>IF(B20=0,"",IFERROR(COUNTIFS(Export!$E:$E,A20,Export!$H:$H,"Efectivo",Export!$M:$M,"&lt;="&amp;25)/B20*100,0))</f>
        <v>68.131868131868131</v>
      </c>
      <c r="AD20" s="46">
        <f>IF(B20=0,"",IFERROR(COUNTIFS(Export!$E:$E,A20,Export!$H:$H,"Efectivo",Export!$M:$M,"&lt;="&amp;26)/B20*100,0))</f>
        <v>68.131868131868131</v>
      </c>
      <c r="AE20" s="46">
        <f>IF(B20=0,"",IFERROR(COUNTIFS(Export!$E:$E,A20,Export!$H:$H,"Efectivo",Export!$M:$M,"&lt;="&amp;27)/B20*100,0))</f>
        <v>68.131868131868131</v>
      </c>
      <c r="AF20" s="46">
        <f>IF(B20=0,"",IFERROR(COUNTIFS(Export!$E:$E,A20,Export!$H:$H,"Efectivo",Export!$M:$M,"&lt;="&amp;28)/B20*100,0))</f>
        <v>68.131868131868131</v>
      </c>
      <c r="AG20" s="46">
        <f>IF(B20=0,"",IFERROR(COUNTIFS(Export!$E:$E,A20,Export!$H:$H,"Efectivo",Export!$M:$M,"&lt;="&amp;29)/B20*100,0))</f>
        <v>68.131868131868131</v>
      </c>
      <c r="AH20" s="46">
        <f>IF(B20=0,"",IFERROR(COUNTIFS(Export!$E:$E,A20,Export!$H:$H,"Efectivo",Export!$M:$M,"&lt;="&amp;30)/B20*100,0))</f>
        <v>68.131868131868131</v>
      </c>
      <c r="AI20" s="46">
        <f>IF(B20=0,"",IFERROR(COUNTIFS(Export!$E:$E,A20,Export!$H:$H,"Efectivo",Export!$M:$M,"&lt;="&amp;31)/B20*100,0))</f>
        <v>68.131868131868131</v>
      </c>
      <c r="AJ20" s="46">
        <f>IF(B20=0,"",IFERROR(COUNTIFS(Export!$E:$E,A20,Export!$H:$H,"Efectivo",Export!$M:$M,"&lt;="&amp;32)/B20*100,0))</f>
        <v>68.131868131868131</v>
      </c>
      <c r="AK20" s="46">
        <f>IF(B20=0,"",IFERROR(COUNTIFS(Export!$E:$E,A20,Export!$H:$H,"Efectivo",Export!$M:$M,"&lt;="&amp;33)/B20*100,0))</f>
        <v>68.131868131868131</v>
      </c>
      <c r="AL20" s="46">
        <f>IF(B20=0,"",IFERROR(COUNTIFS(Export!$E:$E,A20,Export!$H:$H,"Efectivo",Export!$M:$M,"&lt;="&amp;34)/B20*100,0))</f>
        <v>68.131868131868131</v>
      </c>
      <c r="AM20" s="46">
        <f>IF(B20=0,"",IFERROR(COUNTIFS(Export!$E:$E,A20,Export!$H:$H,"Efectivo",Export!$M:$M,"&lt;="&amp;35)/B20*100,0))</f>
        <v>68.131868131868131</v>
      </c>
      <c r="AN20" s="46">
        <f>IF(B20=0,"",IFERROR(COUNTIFS(Export!$E:$E,A20,Export!$H:$H,"Efectivo",Export!$M:$M,"&lt;="&amp;36)/B20*100,0))</f>
        <v>68.131868131868131</v>
      </c>
    </row>
    <row r="21" spans="1:40" x14ac:dyDescent="0.35">
      <c r="A21" s="47" t="s">
        <v>46</v>
      </c>
      <c r="B21" s="44">
        <f>IFERROR(COUNTIF(Export!$E:$E,A21),0)</f>
        <v>98</v>
      </c>
      <c r="C21" s="45">
        <f>IFERROR(VLOOKUP(A21,Originaciones!$A:$B,2,0),"")</f>
        <v>199</v>
      </c>
      <c r="D21" s="46">
        <f>IF(B21=0,"",IFERROR(COUNTIFS(Export!$E:$E,A21,Export!$H:$H,"Efectivo",Export!$M:$M,"&lt;="&amp;0)/B21*100,0))</f>
        <v>1.0204081632653061</v>
      </c>
      <c r="E21" s="46">
        <f>IF(B21=0,"",IFERROR(COUNTIFS(Export!$E:$E,A21,Export!$H:$H,"Efectivo",Export!$M:$M,"&lt;="&amp;1)/B21*100,0))</f>
        <v>3.0612244897959182</v>
      </c>
      <c r="F21" s="46">
        <f>IF(B21=0,"",IFERROR(COUNTIFS(Export!$E:$E,A21,Export!$H:$H,"Efectivo",Export!$M:$M,"&lt;="&amp;2)/B21*100,0))</f>
        <v>7.1428571428571423</v>
      </c>
      <c r="G21" s="46">
        <f>IF(B21=0,"",IFERROR(COUNTIFS(Export!$E:$E,A21,Export!$H:$H,"Efectivo",Export!$M:$M,"&lt;="&amp;3)/B21*100,0))</f>
        <v>11.224489795918368</v>
      </c>
      <c r="H21" s="46">
        <f>IF(B21=0,"",IFERROR(COUNTIFS(Export!$E:$E,A21,Export!$H:$H,"Efectivo",Export!$M:$M,"&lt;="&amp;4)/B21*100,0))</f>
        <v>13.26530612244898</v>
      </c>
      <c r="I21" s="46">
        <f>IF(B21=0,"",IFERROR(COUNTIFS(Export!$E:$E,A21,Export!$H:$H,"Efectivo",Export!$M:$M,"&lt;="&amp;5)/B21*100,0))</f>
        <v>17.346938775510203</v>
      </c>
      <c r="J21" s="46">
        <f>IF(B21=0,"",IFERROR(COUNTIFS(Export!$E:$E,A21,Export!$H:$H,"Efectivo",Export!$M:$M,"&lt;="&amp;6)/B21*100,0))</f>
        <v>30.612244897959183</v>
      </c>
      <c r="K21" s="46">
        <f>IF(B21=0,"",IFERROR(COUNTIFS(Export!$E:$E,A21,Export!$H:$H,"Efectivo",Export!$M:$M,"&lt;="&amp;7)/B21*100,0))</f>
        <v>37.755102040816325</v>
      </c>
      <c r="L21" s="46">
        <f>IF(B21=0,"",IFERROR(COUNTIFS(Export!$E:$E,A21,Export!$H:$H,"Efectivo",Export!$M:$M,"&lt;="&amp;8)/B21*100,0))</f>
        <v>53.061224489795919</v>
      </c>
      <c r="M21" s="46">
        <f>IF(B21=0,"",IFERROR(COUNTIFS(Export!$E:$E,A21,Export!$H:$H,"Efectivo",Export!$M:$M,"&lt;="&amp;9)/B21*100,0))</f>
        <v>64.285714285714292</v>
      </c>
      <c r="N21" s="46">
        <f>IF(B21=0,"",IFERROR(COUNTIFS(Export!$E:$E,A21,Export!$H:$H,"Efectivo",Export!$M:$M,"&lt;="&amp;10)/B21*100,0))</f>
        <v>68.367346938775512</v>
      </c>
      <c r="O21" s="46">
        <f>IF(B21=0,"",IFERROR(COUNTIFS(Export!$E:$E,A21,Export!$H:$H,"Efectivo",Export!$M:$M,"&lt;="&amp;11)/B21*100,0))</f>
        <v>68.367346938775512</v>
      </c>
      <c r="P21" s="46">
        <f>IF(B21=0,"",IFERROR(COUNTIFS(Export!$E:$E,A21,Export!$H:$H,"Efectivo",Export!$M:$M,"&lt;="&amp;12)/B21*100,0))</f>
        <v>68.367346938775512</v>
      </c>
      <c r="Q21" s="46">
        <f>IF(B21=0,"",IFERROR(COUNTIFS(Export!$E:$E,A21,Export!$H:$H,"Efectivo",Export!$M:$M,"&lt;="&amp;13)/B21*100,0))</f>
        <v>68.367346938775512</v>
      </c>
      <c r="R21" s="46">
        <f>IF(B21=0,"",IFERROR(COUNTIFS(Export!$E:$E,A21,Export!$H:$H,"Efectivo",Export!$M:$M,"&lt;="&amp;14)/B21*100,0))</f>
        <v>68.367346938775512</v>
      </c>
      <c r="S21" s="46">
        <f>IF(B21=0,"",IFERROR(COUNTIFS(Export!$E:$E,A21,Export!$H:$H,"Efectivo",Export!$M:$M,"&lt;="&amp;15)/B21*100,0))</f>
        <v>68.367346938775512</v>
      </c>
      <c r="T21" s="46">
        <f>IF(B21=0,"",IFERROR(COUNTIFS(Export!$E:$E,A21,Export!$H:$H,"Efectivo",Export!$M:$M,"&lt;="&amp;16)/B21*100,0))</f>
        <v>68.367346938775512</v>
      </c>
      <c r="U21" s="46">
        <f>IF(B21=0,"",IFERROR(COUNTIFS(Export!$E:$E,A21,Export!$H:$H,"Efectivo",Export!$M:$M,"&lt;="&amp;17)/B21*100,0))</f>
        <v>68.367346938775512</v>
      </c>
      <c r="V21" s="46">
        <f>IF(B21=0,"",IFERROR(COUNTIFS(Export!$E:$E,A21,Export!$H:$H,"Efectivo",Export!$M:$M,"&lt;="&amp;18)/B21*100,0))</f>
        <v>68.367346938775512</v>
      </c>
      <c r="W21" s="46">
        <f>IF(B21=0,"",IFERROR(COUNTIFS(Export!$E:$E,A21,Export!$H:$H,"Efectivo",Export!$M:$M,"&lt;="&amp;19)/B21*100,0))</f>
        <v>68.367346938775512</v>
      </c>
      <c r="X21" s="46">
        <f>IF(B21=0,"",IFERROR(COUNTIFS(Export!$E:$E,A21,Export!$H:$H,"Efectivo",Export!$M:$M,"&lt;="&amp;20)/B21*100,0))</f>
        <v>68.367346938775512</v>
      </c>
      <c r="Y21" s="46">
        <f>IF(B21=0,"",IFERROR(COUNTIFS(Export!$E:$E,A21,Export!$H:$H,"Efectivo",Export!$M:$M,"&lt;="&amp;21)/B21*100,0))</f>
        <v>68.367346938775512</v>
      </c>
      <c r="Z21" s="46">
        <f>IF(B21=0,"",IFERROR(COUNTIFS(Export!$E:$E,A21,Export!$H:$H,"Efectivo",Export!$M:$M,"&lt;="&amp;22)/B21*100,0))</f>
        <v>68.367346938775512</v>
      </c>
      <c r="AA21" s="46">
        <f>IF(B21=0,"",IFERROR(COUNTIFS(Export!$E:$E,A21,Export!$H:$H,"Efectivo",Export!$M:$M,"&lt;="&amp;23)/B21*100,0))</f>
        <v>68.367346938775512</v>
      </c>
      <c r="AB21" s="46">
        <f>IF(B21=0,"",IFERROR(COUNTIFS(Export!$E:$E,A21,Export!$H:$H,"Efectivo",Export!$M:$M,"&lt;="&amp;24)/B21*100,0))</f>
        <v>68.367346938775512</v>
      </c>
      <c r="AC21" s="46">
        <f>IF(B21=0,"",IFERROR(COUNTIFS(Export!$E:$E,A21,Export!$H:$H,"Efectivo",Export!$M:$M,"&lt;="&amp;25)/B21*100,0))</f>
        <v>68.367346938775512</v>
      </c>
      <c r="AD21" s="46">
        <f>IF(B21=0,"",IFERROR(COUNTIFS(Export!$E:$E,A21,Export!$H:$H,"Efectivo",Export!$M:$M,"&lt;="&amp;26)/B21*100,0))</f>
        <v>68.367346938775512</v>
      </c>
      <c r="AE21" s="46">
        <f>IF(B21=0,"",IFERROR(COUNTIFS(Export!$E:$E,A21,Export!$H:$H,"Efectivo",Export!$M:$M,"&lt;="&amp;27)/B21*100,0))</f>
        <v>68.367346938775512</v>
      </c>
      <c r="AF21" s="46">
        <f>IF(B21=0,"",IFERROR(COUNTIFS(Export!$E:$E,A21,Export!$H:$H,"Efectivo",Export!$M:$M,"&lt;="&amp;28)/B21*100,0))</f>
        <v>68.367346938775512</v>
      </c>
      <c r="AG21" s="46">
        <f>IF(B21=0,"",IFERROR(COUNTIFS(Export!$E:$E,A21,Export!$H:$H,"Efectivo",Export!$M:$M,"&lt;="&amp;29)/B21*100,0))</f>
        <v>68.367346938775512</v>
      </c>
      <c r="AH21" s="46">
        <f>IF(B21=0,"",IFERROR(COUNTIFS(Export!$E:$E,A21,Export!$H:$H,"Efectivo",Export!$M:$M,"&lt;="&amp;30)/B21*100,0))</f>
        <v>68.367346938775512</v>
      </c>
      <c r="AI21" s="46">
        <f>IF(B21=0,"",IFERROR(COUNTIFS(Export!$E:$E,A21,Export!$H:$H,"Efectivo",Export!$M:$M,"&lt;="&amp;31)/B21*100,0))</f>
        <v>68.367346938775512</v>
      </c>
      <c r="AJ21" s="46">
        <f>IF(B21=0,"",IFERROR(COUNTIFS(Export!$E:$E,A21,Export!$H:$H,"Efectivo",Export!$M:$M,"&lt;="&amp;32)/B21*100,0))</f>
        <v>68.367346938775512</v>
      </c>
      <c r="AK21" s="46">
        <f>IF(B21=0,"",IFERROR(COUNTIFS(Export!$E:$E,A21,Export!$H:$H,"Efectivo",Export!$M:$M,"&lt;="&amp;33)/B21*100,0))</f>
        <v>68.367346938775512</v>
      </c>
      <c r="AL21" s="46">
        <f>IF(B21=0,"",IFERROR(COUNTIFS(Export!$E:$E,A21,Export!$H:$H,"Efectivo",Export!$M:$M,"&lt;="&amp;34)/B21*100,0))</f>
        <v>68.367346938775512</v>
      </c>
      <c r="AM21" s="46">
        <f>IF(B21=0,"",IFERROR(COUNTIFS(Export!$E:$E,A21,Export!$H:$H,"Efectivo",Export!$M:$M,"&lt;="&amp;35)/B21*100,0))</f>
        <v>68.367346938775512</v>
      </c>
      <c r="AN21" s="46">
        <f>IF(B21=0,"",IFERROR(COUNTIFS(Export!$E:$E,A21,Export!$H:$H,"Efectivo",Export!$M:$M,"&lt;="&amp;36)/B21*100,0))</f>
        <v>68.367346938775512</v>
      </c>
    </row>
    <row r="22" spans="1:40" x14ac:dyDescent="0.35">
      <c r="A22" s="47" t="s">
        <v>47</v>
      </c>
      <c r="B22" s="44">
        <f>IFERROR(COUNTIF(Export!$E:$E,A22),0)</f>
        <v>72</v>
      </c>
      <c r="C22" s="45">
        <f>IFERROR(VLOOKUP(A22,Originaciones!$A:$B,2,0),"")</f>
        <v>166</v>
      </c>
      <c r="D22" s="46">
        <f>IF(B22=0,"",IFERROR(COUNTIFS(Export!$E:$E,A22,Export!$H:$H,"Efectivo",Export!$M:$M,"&lt;="&amp;0)/B22*100,0))</f>
        <v>0</v>
      </c>
      <c r="E22" s="46">
        <f>IF(B22=0,"",IFERROR(COUNTIFS(Export!$E:$E,A22,Export!$H:$H,"Efectivo",Export!$M:$M,"&lt;="&amp;1)/B22*100,0))</f>
        <v>0</v>
      </c>
      <c r="F22" s="46">
        <f>IF(B22=0,"",IFERROR(COUNTIFS(Export!$E:$E,A22,Export!$H:$H,"Efectivo",Export!$M:$M,"&lt;="&amp;2)/B22*100,0))</f>
        <v>4.1666666666666661</v>
      </c>
      <c r="G22" s="46">
        <f>IF(B22=0,"",IFERROR(COUNTIFS(Export!$E:$E,A22,Export!$H:$H,"Efectivo",Export!$M:$M,"&lt;="&amp;3)/B22*100,0))</f>
        <v>6.9444444444444446</v>
      </c>
      <c r="H22" s="46">
        <f>IF(B22=0,"",IFERROR(COUNTIFS(Export!$E:$E,A22,Export!$H:$H,"Efectivo",Export!$M:$M,"&lt;="&amp;4)/B22*100,0))</f>
        <v>8.3333333333333321</v>
      </c>
      <c r="I22" s="46">
        <f>IF(B22=0,"",IFERROR(COUNTIFS(Export!$E:$E,A22,Export!$H:$H,"Efectivo",Export!$M:$M,"&lt;="&amp;5)/B22*100,0))</f>
        <v>22.222222222222221</v>
      </c>
      <c r="J22" s="46">
        <f>IF(B22=0,"",IFERROR(COUNTIFS(Export!$E:$E,A22,Export!$H:$H,"Efectivo",Export!$M:$M,"&lt;="&amp;6)/B22*100,0))</f>
        <v>34.722222222222221</v>
      </c>
      <c r="K22" s="46">
        <f>IF(B22=0,"",IFERROR(COUNTIFS(Export!$E:$E,A22,Export!$H:$H,"Efectivo",Export!$M:$M,"&lt;="&amp;7)/B22*100,0))</f>
        <v>51.388888888888886</v>
      </c>
      <c r="L22" s="46">
        <f>IF(B22=0,"",IFERROR(COUNTIFS(Export!$E:$E,A22,Export!$H:$H,"Efectivo",Export!$M:$M,"&lt;="&amp;8)/B22*100,0))</f>
        <v>72.222222222222214</v>
      </c>
      <c r="M22" s="46">
        <f>IF(B22=0,"",IFERROR(COUNTIFS(Export!$E:$E,A22,Export!$H:$H,"Efectivo",Export!$M:$M,"&lt;="&amp;9)/B22*100,0))</f>
        <v>77.777777777777786</v>
      </c>
      <c r="N22" s="46">
        <f>IF(B22=0,"",IFERROR(COUNTIFS(Export!$E:$E,A22,Export!$H:$H,"Efectivo",Export!$M:$M,"&lt;="&amp;10)/B22*100,0))</f>
        <v>77.777777777777786</v>
      </c>
      <c r="O22" s="46">
        <f>IF(B22=0,"",IFERROR(COUNTIFS(Export!$E:$E,A22,Export!$H:$H,"Efectivo",Export!$M:$M,"&lt;="&amp;11)/B22*100,0))</f>
        <v>77.777777777777786</v>
      </c>
      <c r="P22" s="46">
        <f>IF(B22=0,"",IFERROR(COUNTIFS(Export!$E:$E,A22,Export!$H:$H,"Efectivo",Export!$M:$M,"&lt;="&amp;12)/B22*100,0))</f>
        <v>77.777777777777786</v>
      </c>
      <c r="Q22" s="46">
        <f>IF(B22=0,"",IFERROR(COUNTIFS(Export!$E:$E,A22,Export!$H:$H,"Efectivo",Export!$M:$M,"&lt;="&amp;13)/B22*100,0))</f>
        <v>77.777777777777786</v>
      </c>
      <c r="R22" s="46">
        <f>IF(B22=0,"",IFERROR(COUNTIFS(Export!$E:$E,A22,Export!$H:$H,"Efectivo",Export!$M:$M,"&lt;="&amp;14)/B22*100,0))</f>
        <v>77.777777777777786</v>
      </c>
      <c r="S22" s="46">
        <f>IF(B22=0,"",IFERROR(COUNTIFS(Export!$E:$E,A22,Export!$H:$H,"Efectivo",Export!$M:$M,"&lt;="&amp;15)/B22*100,0))</f>
        <v>77.777777777777786</v>
      </c>
      <c r="T22" s="46">
        <f>IF(B22=0,"",IFERROR(COUNTIFS(Export!$E:$E,A22,Export!$H:$H,"Efectivo",Export!$M:$M,"&lt;="&amp;16)/B22*100,0))</f>
        <v>77.777777777777786</v>
      </c>
      <c r="U22" s="46">
        <f>IF(B22=0,"",IFERROR(COUNTIFS(Export!$E:$E,A22,Export!$H:$H,"Efectivo",Export!$M:$M,"&lt;="&amp;17)/B22*100,0))</f>
        <v>77.777777777777786</v>
      </c>
      <c r="V22" s="46">
        <f>IF(B22=0,"",IFERROR(COUNTIFS(Export!$E:$E,A22,Export!$H:$H,"Efectivo",Export!$M:$M,"&lt;="&amp;18)/B22*100,0))</f>
        <v>77.777777777777786</v>
      </c>
      <c r="W22" s="46">
        <f>IF(B22=0,"",IFERROR(COUNTIFS(Export!$E:$E,A22,Export!$H:$H,"Efectivo",Export!$M:$M,"&lt;="&amp;19)/B22*100,0))</f>
        <v>77.777777777777786</v>
      </c>
      <c r="X22" s="46">
        <f>IF(B22=0,"",IFERROR(COUNTIFS(Export!$E:$E,A22,Export!$H:$H,"Efectivo",Export!$M:$M,"&lt;="&amp;20)/B22*100,0))</f>
        <v>77.777777777777786</v>
      </c>
      <c r="Y22" s="46">
        <f>IF(B22=0,"",IFERROR(COUNTIFS(Export!$E:$E,A22,Export!$H:$H,"Efectivo",Export!$M:$M,"&lt;="&amp;21)/B22*100,0))</f>
        <v>77.777777777777786</v>
      </c>
      <c r="Z22" s="46">
        <f>IF(B22=0,"",IFERROR(COUNTIFS(Export!$E:$E,A22,Export!$H:$H,"Efectivo",Export!$M:$M,"&lt;="&amp;22)/B22*100,0))</f>
        <v>77.777777777777786</v>
      </c>
      <c r="AA22" s="46">
        <f>IF(B22=0,"",IFERROR(COUNTIFS(Export!$E:$E,A22,Export!$H:$H,"Efectivo",Export!$M:$M,"&lt;="&amp;23)/B22*100,0))</f>
        <v>77.777777777777786</v>
      </c>
      <c r="AB22" s="46">
        <f>IF(B22=0,"",IFERROR(COUNTIFS(Export!$E:$E,A22,Export!$H:$H,"Efectivo",Export!$M:$M,"&lt;="&amp;24)/B22*100,0))</f>
        <v>77.777777777777786</v>
      </c>
      <c r="AC22" s="46">
        <f>IF(B22=0,"",IFERROR(COUNTIFS(Export!$E:$E,A22,Export!$H:$H,"Efectivo",Export!$M:$M,"&lt;="&amp;25)/B22*100,0))</f>
        <v>77.777777777777786</v>
      </c>
      <c r="AD22" s="46">
        <f>IF(B22=0,"",IFERROR(COUNTIFS(Export!$E:$E,A22,Export!$H:$H,"Efectivo",Export!$M:$M,"&lt;="&amp;26)/B22*100,0))</f>
        <v>77.777777777777786</v>
      </c>
      <c r="AE22" s="46">
        <f>IF(B22=0,"",IFERROR(COUNTIFS(Export!$E:$E,A22,Export!$H:$H,"Efectivo",Export!$M:$M,"&lt;="&amp;27)/B22*100,0))</f>
        <v>77.777777777777786</v>
      </c>
      <c r="AF22" s="46">
        <f>IF(B22=0,"",IFERROR(COUNTIFS(Export!$E:$E,A22,Export!$H:$H,"Efectivo",Export!$M:$M,"&lt;="&amp;28)/B22*100,0))</f>
        <v>77.777777777777786</v>
      </c>
      <c r="AG22" s="46">
        <f>IF(B22=0,"",IFERROR(COUNTIFS(Export!$E:$E,A22,Export!$H:$H,"Efectivo",Export!$M:$M,"&lt;="&amp;29)/B22*100,0))</f>
        <v>77.777777777777786</v>
      </c>
      <c r="AH22" s="46">
        <f>IF(B22=0,"",IFERROR(COUNTIFS(Export!$E:$E,A22,Export!$H:$H,"Efectivo",Export!$M:$M,"&lt;="&amp;30)/B22*100,0))</f>
        <v>77.777777777777786</v>
      </c>
      <c r="AI22" s="46">
        <f>IF(B22=0,"",IFERROR(COUNTIFS(Export!$E:$E,A22,Export!$H:$H,"Efectivo",Export!$M:$M,"&lt;="&amp;31)/B22*100,0))</f>
        <v>77.777777777777786</v>
      </c>
      <c r="AJ22" s="46">
        <f>IF(B22=0,"",IFERROR(COUNTIFS(Export!$E:$E,A22,Export!$H:$H,"Efectivo",Export!$M:$M,"&lt;="&amp;32)/B22*100,0))</f>
        <v>77.777777777777786</v>
      </c>
      <c r="AK22" s="46">
        <f>IF(B22=0,"",IFERROR(COUNTIFS(Export!$E:$E,A22,Export!$H:$H,"Efectivo",Export!$M:$M,"&lt;="&amp;33)/B22*100,0))</f>
        <v>77.777777777777786</v>
      </c>
      <c r="AL22" s="46">
        <f>IF(B22=0,"",IFERROR(COUNTIFS(Export!$E:$E,A22,Export!$H:$H,"Efectivo",Export!$M:$M,"&lt;="&amp;34)/B22*100,0))</f>
        <v>77.777777777777786</v>
      </c>
      <c r="AM22" s="46">
        <f>IF(B22=0,"",IFERROR(COUNTIFS(Export!$E:$E,A22,Export!$H:$H,"Efectivo",Export!$M:$M,"&lt;="&amp;35)/B22*100,0))</f>
        <v>77.777777777777786</v>
      </c>
      <c r="AN22" s="46">
        <f>IF(B22=0,"",IFERROR(COUNTIFS(Export!$E:$E,A22,Export!$H:$H,"Efectivo",Export!$M:$M,"&lt;="&amp;36)/B22*100,0))</f>
        <v>77.777777777777786</v>
      </c>
    </row>
    <row r="23" spans="1:40" x14ac:dyDescent="0.35">
      <c r="A23" s="47" t="s">
        <v>48</v>
      </c>
      <c r="B23" s="44">
        <f>IFERROR(COUNTIF(Export!$E:$E,A23),0)</f>
        <v>63</v>
      </c>
      <c r="C23" s="45">
        <f>IFERROR(VLOOKUP(A23,Originaciones!$A:$B,2,0),"")</f>
        <v>180</v>
      </c>
      <c r="D23" s="46">
        <f>IF(B23=0,"",IFERROR(COUNTIFS(Export!$E:$E,A23,Export!$H:$H,"Efectivo",Export!$M:$M,"&lt;="&amp;0)/B23*100,0))</f>
        <v>0</v>
      </c>
      <c r="E23" s="46">
        <f>IF(B23=0,"",IFERROR(COUNTIFS(Export!$E:$E,A23,Export!$H:$H,"Efectivo",Export!$M:$M,"&lt;="&amp;1)/B23*100,0))</f>
        <v>0</v>
      </c>
      <c r="F23" s="46">
        <f>IF(B23=0,"",IFERROR(COUNTIFS(Export!$E:$E,A23,Export!$H:$H,"Efectivo",Export!$M:$M,"&lt;="&amp;2)/B23*100,0))</f>
        <v>0</v>
      </c>
      <c r="G23" s="46">
        <f>IF(B23=0,"",IFERROR(COUNTIFS(Export!$E:$E,A23,Export!$H:$H,"Efectivo",Export!$M:$M,"&lt;="&amp;3)/B23*100,0))</f>
        <v>1.5873015873015872</v>
      </c>
      <c r="H23" s="46">
        <f>IF(B23=0,"",IFERROR(COUNTIFS(Export!$E:$E,A23,Export!$H:$H,"Efectivo",Export!$M:$M,"&lt;="&amp;4)/B23*100,0))</f>
        <v>15.873015873015872</v>
      </c>
      <c r="I23" s="46">
        <f>IF(B23=0,"",IFERROR(COUNTIFS(Export!$E:$E,A23,Export!$H:$H,"Efectivo",Export!$M:$M,"&lt;="&amp;5)/B23*100,0))</f>
        <v>31.746031746031743</v>
      </c>
      <c r="J23" s="46">
        <f>IF(B23=0,"",IFERROR(COUNTIFS(Export!$E:$E,A23,Export!$H:$H,"Efectivo",Export!$M:$M,"&lt;="&amp;6)/B23*100,0))</f>
        <v>52.380952380952387</v>
      </c>
      <c r="K23" s="46">
        <f>IF(B23=0,"",IFERROR(COUNTIFS(Export!$E:$E,A23,Export!$H:$H,"Efectivo",Export!$M:$M,"&lt;="&amp;7)/B23*100,0))</f>
        <v>66.666666666666657</v>
      </c>
      <c r="L23" s="46">
        <f>IF(B23=0,"",IFERROR(COUNTIFS(Export!$E:$E,A23,Export!$H:$H,"Efectivo",Export!$M:$M,"&lt;="&amp;8)/B23*100,0))</f>
        <v>80.952380952380949</v>
      </c>
      <c r="M23" s="46">
        <f>IF(B23=0,"",IFERROR(COUNTIFS(Export!$E:$E,A23,Export!$H:$H,"Efectivo",Export!$M:$M,"&lt;="&amp;9)/B23*100,0))</f>
        <v>80.952380952380949</v>
      </c>
      <c r="N23" s="46">
        <f>IF(B23=0,"",IFERROR(COUNTIFS(Export!$E:$E,A23,Export!$H:$H,"Efectivo",Export!$M:$M,"&lt;="&amp;10)/B23*100,0))</f>
        <v>80.952380952380949</v>
      </c>
      <c r="O23" s="46">
        <f>IF(B23=0,"",IFERROR(COUNTIFS(Export!$E:$E,A23,Export!$H:$H,"Efectivo",Export!$M:$M,"&lt;="&amp;11)/B23*100,0))</f>
        <v>80.952380952380949</v>
      </c>
      <c r="P23" s="46">
        <f>IF(B23=0,"",IFERROR(COUNTIFS(Export!$E:$E,A23,Export!$H:$H,"Efectivo",Export!$M:$M,"&lt;="&amp;12)/B23*100,0))</f>
        <v>80.952380952380949</v>
      </c>
      <c r="Q23" s="46">
        <f>IF(B23=0,"",IFERROR(COUNTIFS(Export!$E:$E,A23,Export!$H:$H,"Efectivo",Export!$M:$M,"&lt;="&amp;13)/B23*100,0))</f>
        <v>80.952380952380949</v>
      </c>
      <c r="R23" s="46">
        <f>IF(B23=0,"",IFERROR(COUNTIFS(Export!$E:$E,A23,Export!$H:$H,"Efectivo",Export!$M:$M,"&lt;="&amp;14)/B23*100,0))</f>
        <v>80.952380952380949</v>
      </c>
      <c r="S23" s="46">
        <f>IF(B23=0,"",IFERROR(COUNTIFS(Export!$E:$E,A23,Export!$H:$H,"Efectivo",Export!$M:$M,"&lt;="&amp;15)/B23*100,0))</f>
        <v>80.952380952380949</v>
      </c>
      <c r="T23" s="46">
        <f>IF(B23=0,"",IFERROR(COUNTIFS(Export!$E:$E,A23,Export!$H:$H,"Efectivo",Export!$M:$M,"&lt;="&amp;16)/B23*100,0))</f>
        <v>80.952380952380949</v>
      </c>
      <c r="U23" s="46">
        <f>IF(B23=0,"",IFERROR(COUNTIFS(Export!$E:$E,A23,Export!$H:$H,"Efectivo",Export!$M:$M,"&lt;="&amp;17)/B23*100,0))</f>
        <v>80.952380952380949</v>
      </c>
      <c r="V23" s="46">
        <f>IF(B23=0,"",IFERROR(COUNTIFS(Export!$E:$E,A23,Export!$H:$H,"Efectivo",Export!$M:$M,"&lt;="&amp;18)/B23*100,0))</f>
        <v>80.952380952380949</v>
      </c>
      <c r="W23" s="46">
        <f>IF(B23=0,"",IFERROR(COUNTIFS(Export!$E:$E,A23,Export!$H:$H,"Efectivo",Export!$M:$M,"&lt;="&amp;19)/B23*100,0))</f>
        <v>80.952380952380949</v>
      </c>
      <c r="X23" s="46">
        <f>IF(B23=0,"",IFERROR(COUNTIFS(Export!$E:$E,A23,Export!$H:$H,"Efectivo",Export!$M:$M,"&lt;="&amp;20)/B23*100,0))</f>
        <v>80.952380952380949</v>
      </c>
      <c r="Y23" s="46">
        <f>IF(B23=0,"",IFERROR(COUNTIFS(Export!$E:$E,A23,Export!$H:$H,"Efectivo",Export!$M:$M,"&lt;="&amp;21)/B23*100,0))</f>
        <v>80.952380952380949</v>
      </c>
      <c r="Z23" s="46">
        <f>IF(B23=0,"",IFERROR(COUNTIFS(Export!$E:$E,A23,Export!$H:$H,"Efectivo",Export!$M:$M,"&lt;="&amp;22)/B23*100,0))</f>
        <v>80.952380952380949</v>
      </c>
      <c r="AA23" s="46">
        <f>IF(B23=0,"",IFERROR(COUNTIFS(Export!$E:$E,A23,Export!$H:$H,"Efectivo",Export!$M:$M,"&lt;="&amp;23)/B23*100,0))</f>
        <v>80.952380952380949</v>
      </c>
      <c r="AB23" s="46">
        <f>IF(B23=0,"",IFERROR(COUNTIFS(Export!$E:$E,A23,Export!$H:$H,"Efectivo",Export!$M:$M,"&lt;="&amp;24)/B23*100,0))</f>
        <v>80.952380952380949</v>
      </c>
      <c r="AC23" s="46">
        <f>IF(B23=0,"",IFERROR(COUNTIFS(Export!$E:$E,A23,Export!$H:$H,"Efectivo",Export!$M:$M,"&lt;="&amp;25)/B23*100,0))</f>
        <v>80.952380952380949</v>
      </c>
      <c r="AD23" s="46">
        <f>IF(B23=0,"",IFERROR(COUNTIFS(Export!$E:$E,A23,Export!$H:$H,"Efectivo",Export!$M:$M,"&lt;="&amp;26)/B23*100,0))</f>
        <v>80.952380952380949</v>
      </c>
      <c r="AE23" s="46">
        <f>IF(B23=0,"",IFERROR(COUNTIFS(Export!$E:$E,A23,Export!$H:$H,"Efectivo",Export!$M:$M,"&lt;="&amp;27)/B23*100,0))</f>
        <v>80.952380952380949</v>
      </c>
      <c r="AF23" s="46">
        <f>IF(B23=0,"",IFERROR(COUNTIFS(Export!$E:$E,A23,Export!$H:$H,"Efectivo",Export!$M:$M,"&lt;="&amp;28)/B23*100,0))</f>
        <v>80.952380952380949</v>
      </c>
      <c r="AG23" s="46">
        <f>IF(B23=0,"",IFERROR(COUNTIFS(Export!$E:$E,A23,Export!$H:$H,"Efectivo",Export!$M:$M,"&lt;="&amp;29)/B23*100,0))</f>
        <v>80.952380952380949</v>
      </c>
      <c r="AH23" s="46">
        <f>IF(B23=0,"",IFERROR(COUNTIFS(Export!$E:$E,A23,Export!$H:$H,"Efectivo",Export!$M:$M,"&lt;="&amp;30)/B23*100,0))</f>
        <v>80.952380952380949</v>
      </c>
      <c r="AI23" s="46">
        <f>IF(B23=0,"",IFERROR(COUNTIFS(Export!$E:$E,A23,Export!$H:$H,"Efectivo",Export!$M:$M,"&lt;="&amp;31)/B23*100,0))</f>
        <v>80.952380952380949</v>
      </c>
      <c r="AJ23" s="46">
        <f>IF(B23=0,"",IFERROR(COUNTIFS(Export!$E:$E,A23,Export!$H:$H,"Efectivo",Export!$M:$M,"&lt;="&amp;32)/B23*100,0))</f>
        <v>80.952380952380949</v>
      </c>
      <c r="AK23" s="46">
        <f>IF(B23=0,"",IFERROR(COUNTIFS(Export!$E:$E,A23,Export!$H:$H,"Efectivo",Export!$M:$M,"&lt;="&amp;33)/B23*100,0))</f>
        <v>80.952380952380949</v>
      </c>
      <c r="AL23" s="46">
        <f>IF(B23=0,"",IFERROR(COUNTIFS(Export!$E:$E,A23,Export!$H:$H,"Efectivo",Export!$M:$M,"&lt;="&amp;34)/B23*100,0))</f>
        <v>80.952380952380949</v>
      </c>
      <c r="AM23" s="46">
        <f>IF(B23=0,"",IFERROR(COUNTIFS(Export!$E:$E,A23,Export!$H:$H,"Efectivo",Export!$M:$M,"&lt;="&amp;35)/B23*100,0))</f>
        <v>80.952380952380949</v>
      </c>
      <c r="AN23" s="46">
        <f>IF(B23=0,"",IFERROR(COUNTIFS(Export!$E:$E,A23,Export!$H:$H,"Efectivo",Export!$M:$M,"&lt;="&amp;36)/B23*100,0))</f>
        <v>80.952380952380949</v>
      </c>
    </row>
    <row r="24" spans="1:40" x14ac:dyDescent="0.35">
      <c r="A24" s="47" t="s">
        <v>49</v>
      </c>
      <c r="B24" s="44">
        <f>IFERROR(COUNTIF(Export!$E:$E,A24),0)</f>
        <v>68</v>
      </c>
      <c r="C24" s="45">
        <f>IFERROR(VLOOKUP(A24,Originaciones!$A:$B,2,0),"")</f>
        <v>206</v>
      </c>
      <c r="D24" s="46">
        <f>IF(B24=0,"",IFERROR(COUNTIFS(Export!$E:$E,A24,Export!$H:$H,"Efectivo",Export!$M:$M,"&lt;="&amp;0)/B24*100,0))</f>
        <v>0</v>
      </c>
      <c r="E24" s="46">
        <f>IF(B24=0,"",IFERROR(COUNTIFS(Export!$E:$E,A24,Export!$H:$H,"Efectivo",Export!$M:$M,"&lt;="&amp;1)/B24*100,0))</f>
        <v>0</v>
      </c>
      <c r="F24" s="46">
        <f>IF(B24=0,"",IFERROR(COUNTIFS(Export!$E:$E,A24,Export!$H:$H,"Efectivo",Export!$M:$M,"&lt;="&amp;2)/B24*100,0))</f>
        <v>0</v>
      </c>
      <c r="G24" s="46">
        <f>IF(B24=0,"",IFERROR(COUNTIFS(Export!$E:$E,A24,Export!$H:$H,"Efectivo",Export!$M:$M,"&lt;="&amp;3)/B24*100,0))</f>
        <v>13.23529411764706</v>
      </c>
      <c r="H24" s="46">
        <f>IF(B24=0,"",IFERROR(COUNTIFS(Export!$E:$E,A24,Export!$H:$H,"Efectivo",Export!$M:$M,"&lt;="&amp;4)/B24*100,0))</f>
        <v>26.47058823529412</v>
      </c>
      <c r="I24" s="46">
        <f>IF(B24=0,"",IFERROR(COUNTIFS(Export!$E:$E,A24,Export!$H:$H,"Efectivo",Export!$M:$M,"&lt;="&amp;5)/B24*100,0))</f>
        <v>54.411764705882348</v>
      </c>
      <c r="J24" s="46">
        <f>IF(B24=0,"",IFERROR(COUNTIFS(Export!$E:$E,A24,Export!$H:$H,"Efectivo",Export!$M:$M,"&lt;="&amp;6)/B24*100,0))</f>
        <v>72.058823529411768</v>
      </c>
      <c r="K24" s="46">
        <f>IF(B24=0,"",IFERROR(COUNTIFS(Export!$E:$E,A24,Export!$H:$H,"Efectivo",Export!$M:$M,"&lt;="&amp;7)/B24*100,0))</f>
        <v>80.882352941176478</v>
      </c>
      <c r="L24" s="46">
        <f>IF(B24=0,"",IFERROR(COUNTIFS(Export!$E:$E,A24,Export!$H:$H,"Efectivo",Export!$M:$M,"&lt;="&amp;8)/B24*100,0))</f>
        <v>80.882352941176478</v>
      </c>
      <c r="M24" s="46">
        <f>IF(B24=0,"",IFERROR(COUNTIFS(Export!$E:$E,A24,Export!$H:$H,"Efectivo",Export!$M:$M,"&lt;="&amp;9)/B24*100,0))</f>
        <v>80.882352941176478</v>
      </c>
      <c r="N24" s="46">
        <f>IF(B24=0,"",IFERROR(COUNTIFS(Export!$E:$E,A24,Export!$H:$H,"Efectivo",Export!$M:$M,"&lt;="&amp;10)/B24*100,0))</f>
        <v>80.882352941176478</v>
      </c>
      <c r="O24" s="46">
        <f>IF(B24=0,"",IFERROR(COUNTIFS(Export!$E:$E,A24,Export!$H:$H,"Efectivo",Export!$M:$M,"&lt;="&amp;11)/B24*100,0))</f>
        <v>80.882352941176478</v>
      </c>
      <c r="P24" s="46">
        <f>IF(B24=0,"",IFERROR(COUNTIFS(Export!$E:$E,A24,Export!$H:$H,"Efectivo",Export!$M:$M,"&lt;="&amp;12)/B24*100,0))</f>
        <v>80.882352941176478</v>
      </c>
      <c r="Q24" s="46">
        <f>IF(B24=0,"",IFERROR(COUNTIFS(Export!$E:$E,A24,Export!$H:$H,"Efectivo",Export!$M:$M,"&lt;="&amp;13)/B24*100,0))</f>
        <v>80.882352941176478</v>
      </c>
      <c r="R24" s="46">
        <f>IF(B24=0,"",IFERROR(COUNTIFS(Export!$E:$E,A24,Export!$H:$H,"Efectivo",Export!$M:$M,"&lt;="&amp;14)/B24*100,0))</f>
        <v>80.882352941176478</v>
      </c>
      <c r="S24" s="46">
        <f>IF(B24=0,"",IFERROR(COUNTIFS(Export!$E:$E,A24,Export!$H:$H,"Efectivo",Export!$M:$M,"&lt;="&amp;15)/B24*100,0))</f>
        <v>80.882352941176478</v>
      </c>
      <c r="T24" s="46">
        <f>IF(B24=0,"",IFERROR(COUNTIFS(Export!$E:$E,A24,Export!$H:$H,"Efectivo",Export!$M:$M,"&lt;="&amp;16)/B24*100,0))</f>
        <v>80.882352941176478</v>
      </c>
      <c r="U24" s="46">
        <f>IF(B24=0,"",IFERROR(COUNTIFS(Export!$E:$E,A24,Export!$H:$H,"Efectivo",Export!$M:$M,"&lt;="&amp;17)/B24*100,0))</f>
        <v>80.882352941176478</v>
      </c>
      <c r="V24" s="46">
        <f>IF(B24=0,"",IFERROR(COUNTIFS(Export!$E:$E,A24,Export!$H:$H,"Efectivo",Export!$M:$M,"&lt;="&amp;18)/B24*100,0))</f>
        <v>80.882352941176478</v>
      </c>
      <c r="W24" s="46">
        <f>IF(B24=0,"",IFERROR(COUNTIFS(Export!$E:$E,A24,Export!$H:$H,"Efectivo",Export!$M:$M,"&lt;="&amp;19)/B24*100,0))</f>
        <v>80.882352941176478</v>
      </c>
      <c r="X24" s="46">
        <f>IF(B24=0,"",IFERROR(COUNTIFS(Export!$E:$E,A24,Export!$H:$H,"Efectivo",Export!$M:$M,"&lt;="&amp;20)/B24*100,0))</f>
        <v>80.882352941176478</v>
      </c>
      <c r="Y24" s="46">
        <f>IF(B24=0,"",IFERROR(COUNTIFS(Export!$E:$E,A24,Export!$H:$H,"Efectivo",Export!$M:$M,"&lt;="&amp;21)/B24*100,0))</f>
        <v>80.882352941176478</v>
      </c>
      <c r="Z24" s="46">
        <f>IF(B24=0,"",IFERROR(COUNTIFS(Export!$E:$E,A24,Export!$H:$H,"Efectivo",Export!$M:$M,"&lt;="&amp;22)/B24*100,0))</f>
        <v>80.882352941176478</v>
      </c>
      <c r="AA24" s="46">
        <f>IF(B24=0,"",IFERROR(COUNTIFS(Export!$E:$E,A24,Export!$H:$H,"Efectivo",Export!$M:$M,"&lt;="&amp;23)/B24*100,0))</f>
        <v>80.882352941176478</v>
      </c>
      <c r="AB24" s="46">
        <f>IF(B24=0,"",IFERROR(COUNTIFS(Export!$E:$E,A24,Export!$H:$H,"Efectivo",Export!$M:$M,"&lt;="&amp;24)/B24*100,0))</f>
        <v>80.882352941176478</v>
      </c>
      <c r="AC24" s="46">
        <f>IF(B24=0,"",IFERROR(COUNTIFS(Export!$E:$E,A24,Export!$H:$H,"Efectivo",Export!$M:$M,"&lt;="&amp;25)/B24*100,0))</f>
        <v>80.882352941176478</v>
      </c>
      <c r="AD24" s="46">
        <f>IF(B24=0,"",IFERROR(COUNTIFS(Export!$E:$E,A24,Export!$H:$H,"Efectivo",Export!$M:$M,"&lt;="&amp;26)/B24*100,0))</f>
        <v>80.882352941176478</v>
      </c>
      <c r="AE24" s="46">
        <f>IF(B24=0,"",IFERROR(COUNTIFS(Export!$E:$E,A24,Export!$H:$H,"Efectivo",Export!$M:$M,"&lt;="&amp;27)/B24*100,0))</f>
        <v>80.882352941176478</v>
      </c>
      <c r="AF24" s="46">
        <f>IF(B24=0,"",IFERROR(COUNTIFS(Export!$E:$E,A24,Export!$H:$H,"Efectivo",Export!$M:$M,"&lt;="&amp;28)/B24*100,0))</f>
        <v>80.882352941176478</v>
      </c>
      <c r="AG24" s="46">
        <f>IF(B24=0,"",IFERROR(COUNTIFS(Export!$E:$E,A24,Export!$H:$H,"Efectivo",Export!$M:$M,"&lt;="&amp;29)/B24*100,0))</f>
        <v>80.882352941176478</v>
      </c>
      <c r="AH24" s="46">
        <f>IF(B24=0,"",IFERROR(COUNTIFS(Export!$E:$E,A24,Export!$H:$H,"Efectivo",Export!$M:$M,"&lt;="&amp;30)/B24*100,0))</f>
        <v>80.882352941176478</v>
      </c>
      <c r="AI24" s="46">
        <f>IF(B24=0,"",IFERROR(COUNTIFS(Export!$E:$E,A24,Export!$H:$H,"Efectivo",Export!$M:$M,"&lt;="&amp;31)/B24*100,0))</f>
        <v>80.882352941176478</v>
      </c>
      <c r="AJ24" s="46">
        <f>IF(B24=0,"",IFERROR(COUNTIFS(Export!$E:$E,A24,Export!$H:$H,"Efectivo",Export!$M:$M,"&lt;="&amp;32)/B24*100,0))</f>
        <v>80.882352941176478</v>
      </c>
      <c r="AK24" s="46">
        <f>IF(B24=0,"",IFERROR(COUNTIFS(Export!$E:$E,A24,Export!$H:$H,"Efectivo",Export!$M:$M,"&lt;="&amp;33)/B24*100,0))</f>
        <v>80.882352941176478</v>
      </c>
      <c r="AL24" s="46">
        <f>IF(B24=0,"",IFERROR(COUNTIFS(Export!$E:$E,A24,Export!$H:$H,"Efectivo",Export!$M:$M,"&lt;="&amp;34)/B24*100,0))</f>
        <v>80.882352941176478</v>
      </c>
      <c r="AM24" s="46">
        <f>IF(B24=0,"",IFERROR(COUNTIFS(Export!$E:$E,A24,Export!$H:$H,"Efectivo",Export!$M:$M,"&lt;="&amp;35)/B24*100,0))</f>
        <v>80.882352941176478</v>
      </c>
      <c r="AN24" s="46">
        <f>IF(B24=0,"",IFERROR(COUNTIFS(Export!$E:$E,A24,Export!$H:$H,"Efectivo",Export!$M:$M,"&lt;="&amp;36)/B24*100,0))</f>
        <v>80.882352941176478</v>
      </c>
    </row>
    <row r="25" spans="1:40" x14ac:dyDescent="0.35">
      <c r="A25" s="47" t="s">
        <v>50</v>
      </c>
      <c r="B25" s="44">
        <f>IFERROR(COUNTIF(Export!$E:$E,A25),0)</f>
        <v>56</v>
      </c>
      <c r="C25" s="45">
        <f>IFERROR(VLOOKUP(A25,Originaciones!$A:$B,2,0),"")</f>
        <v>211</v>
      </c>
      <c r="D25" s="46">
        <f>IF(B25=0,"",IFERROR(COUNTIFS(Export!$E:$E,A25,Export!$H:$H,"Efectivo",Export!$M:$M,"&lt;="&amp;0)/B25*100,0))</f>
        <v>0</v>
      </c>
      <c r="E25" s="46">
        <f>IF(B25=0,"",IFERROR(COUNTIFS(Export!$E:$E,A25,Export!$H:$H,"Efectivo",Export!$M:$M,"&lt;="&amp;1)/B25*100,0))</f>
        <v>0</v>
      </c>
      <c r="F25" s="46">
        <f>IF(B25=0,"",IFERROR(COUNTIFS(Export!$E:$E,A25,Export!$H:$H,"Efectivo",Export!$M:$M,"&lt;="&amp;2)/B25*100,0))</f>
        <v>1.7857142857142856</v>
      </c>
      <c r="G25" s="46">
        <f>IF(B25=0,"",IFERROR(COUNTIFS(Export!$E:$E,A25,Export!$H:$H,"Efectivo",Export!$M:$M,"&lt;="&amp;3)/B25*100,0))</f>
        <v>10.714285714285714</v>
      </c>
      <c r="H25" s="46">
        <f>IF(B25=0,"",IFERROR(COUNTIFS(Export!$E:$E,A25,Export!$H:$H,"Efectivo",Export!$M:$M,"&lt;="&amp;4)/B25*100,0))</f>
        <v>35.714285714285715</v>
      </c>
      <c r="I25" s="46">
        <f>IF(B25=0,"",IFERROR(COUNTIFS(Export!$E:$E,A25,Export!$H:$H,"Efectivo",Export!$M:$M,"&lt;="&amp;5)/B25*100,0))</f>
        <v>62.5</v>
      </c>
      <c r="J25" s="46">
        <f>IF(B25=0,"",IFERROR(COUNTIFS(Export!$E:$E,A25,Export!$H:$H,"Efectivo",Export!$M:$M,"&lt;="&amp;6)/B25*100,0))</f>
        <v>76.785714285714292</v>
      </c>
      <c r="K25" s="46">
        <f>IF(B25=0,"",IFERROR(COUNTIFS(Export!$E:$E,A25,Export!$H:$H,"Efectivo",Export!$M:$M,"&lt;="&amp;7)/B25*100,0))</f>
        <v>76.785714285714292</v>
      </c>
      <c r="L25" s="46">
        <f>IF(B25=0,"",IFERROR(COUNTIFS(Export!$E:$E,A25,Export!$H:$H,"Efectivo",Export!$M:$M,"&lt;="&amp;8)/B25*100,0))</f>
        <v>76.785714285714292</v>
      </c>
      <c r="M25" s="46">
        <f>IF(B25=0,"",IFERROR(COUNTIFS(Export!$E:$E,A25,Export!$H:$H,"Efectivo",Export!$M:$M,"&lt;="&amp;9)/B25*100,0))</f>
        <v>76.785714285714292</v>
      </c>
      <c r="N25" s="46">
        <f>IF(B25=0,"",IFERROR(COUNTIFS(Export!$E:$E,A25,Export!$H:$H,"Efectivo",Export!$M:$M,"&lt;="&amp;10)/B25*100,0))</f>
        <v>76.785714285714292</v>
      </c>
      <c r="O25" s="46">
        <f>IF(B25=0,"",IFERROR(COUNTIFS(Export!$E:$E,A25,Export!$H:$H,"Efectivo",Export!$M:$M,"&lt;="&amp;11)/B25*100,0))</f>
        <v>76.785714285714292</v>
      </c>
      <c r="P25" s="46">
        <f>IF(B25=0,"",IFERROR(COUNTIFS(Export!$E:$E,A25,Export!$H:$H,"Efectivo",Export!$M:$M,"&lt;="&amp;12)/B25*100,0))</f>
        <v>76.785714285714292</v>
      </c>
      <c r="Q25" s="46">
        <f>IF(B25=0,"",IFERROR(COUNTIFS(Export!$E:$E,A25,Export!$H:$H,"Efectivo",Export!$M:$M,"&lt;="&amp;13)/B25*100,0))</f>
        <v>76.785714285714292</v>
      </c>
      <c r="R25" s="46">
        <f>IF(B25=0,"",IFERROR(COUNTIFS(Export!$E:$E,A25,Export!$H:$H,"Efectivo",Export!$M:$M,"&lt;="&amp;14)/B25*100,0))</f>
        <v>76.785714285714292</v>
      </c>
      <c r="S25" s="46">
        <f>IF(B25=0,"",IFERROR(COUNTIFS(Export!$E:$E,A25,Export!$H:$H,"Efectivo",Export!$M:$M,"&lt;="&amp;15)/B25*100,0))</f>
        <v>76.785714285714292</v>
      </c>
      <c r="T25" s="46">
        <f>IF(B25=0,"",IFERROR(COUNTIFS(Export!$E:$E,A25,Export!$H:$H,"Efectivo",Export!$M:$M,"&lt;="&amp;16)/B25*100,0))</f>
        <v>76.785714285714292</v>
      </c>
      <c r="U25" s="46">
        <f>IF(B25=0,"",IFERROR(COUNTIFS(Export!$E:$E,A25,Export!$H:$H,"Efectivo",Export!$M:$M,"&lt;="&amp;17)/B25*100,0))</f>
        <v>76.785714285714292</v>
      </c>
      <c r="V25" s="46">
        <f>IF(B25=0,"",IFERROR(COUNTIFS(Export!$E:$E,A25,Export!$H:$H,"Efectivo",Export!$M:$M,"&lt;="&amp;18)/B25*100,0))</f>
        <v>76.785714285714292</v>
      </c>
      <c r="W25" s="46">
        <f>IF(B25=0,"",IFERROR(COUNTIFS(Export!$E:$E,A25,Export!$H:$H,"Efectivo",Export!$M:$M,"&lt;="&amp;19)/B25*100,0))</f>
        <v>76.785714285714292</v>
      </c>
      <c r="X25" s="46">
        <f>IF(B25=0,"",IFERROR(COUNTIFS(Export!$E:$E,A25,Export!$H:$H,"Efectivo",Export!$M:$M,"&lt;="&amp;20)/B25*100,0))</f>
        <v>76.785714285714292</v>
      </c>
      <c r="Y25" s="46">
        <f>IF(B25=0,"",IFERROR(COUNTIFS(Export!$E:$E,A25,Export!$H:$H,"Efectivo",Export!$M:$M,"&lt;="&amp;21)/B25*100,0))</f>
        <v>76.785714285714292</v>
      </c>
      <c r="Z25" s="46">
        <f>IF(B25=0,"",IFERROR(COUNTIFS(Export!$E:$E,A25,Export!$H:$H,"Efectivo",Export!$M:$M,"&lt;="&amp;22)/B25*100,0))</f>
        <v>76.785714285714292</v>
      </c>
      <c r="AA25" s="46">
        <f>IF(B25=0,"",IFERROR(COUNTIFS(Export!$E:$E,A25,Export!$H:$H,"Efectivo",Export!$M:$M,"&lt;="&amp;23)/B25*100,0))</f>
        <v>76.785714285714292</v>
      </c>
      <c r="AB25" s="46">
        <f>IF(B25=0,"",IFERROR(COUNTIFS(Export!$E:$E,A25,Export!$H:$H,"Efectivo",Export!$M:$M,"&lt;="&amp;24)/B25*100,0))</f>
        <v>76.785714285714292</v>
      </c>
      <c r="AC25" s="46">
        <f>IF(B25=0,"",IFERROR(COUNTIFS(Export!$E:$E,A25,Export!$H:$H,"Efectivo",Export!$M:$M,"&lt;="&amp;25)/B25*100,0))</f>
        <v>76.785714285714292</v>
      </c>
      <c r="AD25" s="46">
        <f>IF(B25=0,"",IFERROR(COUNTIFS(Export!$E:$E,A25,Export!$H:$H,"Efectivo",Export!$M:$M,"&lt;="&amp;26)/B25*100,0))</f>
        <v>76.785714285714292</v>
      </c>
      <c r="AE25" s="46">
        <f>IF(B25=0,"",IFERROR(COUNTIFS(Export!$E:$E,A25,Export!$H:$H,"Efectivo",Export!$M:$M,"&lt;="&amp;27)/B25*100,0))</f>
        <v>76.785714285714292</v>
      </c>
      <c r="AF25" s="46">
        <f>IF(B25=0,"",IFERROR(COUNTIFS(Export!$E:$E,A25,Export!$H:$H,"Efectivo",Export!$M:$M,"&lt;="&amp;28)/B25*100,0))</f>
        <v>76.785714285714292</v>
      </c>
      <c r="AG25" s="46">
        <f>IF(B25=0,"",IFERROR(COUNTIFS(Export!$E:$E,A25,Export!$H:$H,"Efectivo",Export!$M:$M,"&lt;="&amp;29)/B25*100,0))</f>
        <v>76.785714285714292</v>
      </c>
      <c r="AH25" s="46">
        <f>IF(B25=0,"",IFERROR(COUNTIFS(Export!$E:$E,A25,Export!$H:$H,"Efectivo",Export!$M:$M,"&lt;="&amp;30)/B25*100,0))</f>
        <v>76.785714285714292</v>
      </c>
      <c r="AI25" s="46">
        <f>IF(B25=0,"",IFERROR(COUNTIFS(Export!$E:$E,A25,Export!$H:$H,"Efectivo",Export!$M:$M,"&lt;="&amp;31)/B25*100,0))</f>
        <v>76.785714285714292</v>
      </c>
      <c r="AJ25" s="46">
        <f>IF(B25=0,"",IFERROR(COUNTIFS(Export!$E:$E,A25,Export!$H:$H,"Efectivo",Export!$M:$M,"&lt;="&amp;32)/B25*100,0))</f>
        <v>76.785714285714292</v>
      </c>
      <c r="AK25" s="46">
        <f>IF(B25=0,"",IFERROR(COUNTIFS(Export!$E:$E,A25,Export!$H:$H,"Efectivo",Export!$M:$M,"&lt;="&amp;33)/B25*100,0))</f>
        <v>76.785714285714292</v>
      </c>
      <c r="AL25" s="46">
        <f>IF(B25=0,"",IFERROR(COUNTIFS(Export!$E:$E,A25,Export!$H:$H,"Efectivo",Export!$M:$M,"&lt;="&amp;34)/B25*100,0))</f>
        <v>76.785714285714292</v>
      </c>
      <c r="AM25" s="46">
        <f>IF(B25=0,"",IFERROR(COUNTIFS(Export!$E:$E,A25,Export!$H:$H,"Efectivo",Export!$M:$M,"&lt;="&amp;35)/B25*100,0))</f>
        <v>76.785714285714292</v>
      </c>
      <c r="AN25" s="46">
        <f>IF(B25=0,"",IFERROR(COUNTIFS(Export!$E:$E,A25,Export!$H:$H,"Efectivo",Export!$M:$M,"&lt;="&amp;36)/B25*100,0))</f>
        <v>76.785714285714292</v>
      </c>
    </row>
    <row r="26" spans="1:40" x14ac:dyDescent="0.35">
      <c r="A26" s="47" t="s">
        <v>51</v>
      </c>
      <c r="B26" s="44">
        <f>IFERROR(COUNTIF(Export!$E:$E,A26),0)</f>
        <v>28</v>
      </c>
      <c r="C26" s="45">
        <f>IFERROR(VLOOKUP(A26,Originaciones!$A:$B,2,0),"")</f>
        <v>215</v>
      </c>
      <c r="D26" s="46">
        <f>IF(B26=0,"",IFERROR(COUNTIFS(Export!$E:$E,A26,Export!$H:$H,"Efectivo",Export!$M:$M,"&lt;="&amp;0)/B26*100,0))</f>
        <v>0</v>
      </c>
      <c r="E26" s="46">
        <f>IF(B26=0,"",IFERROR(COUNTIFS(Export!$E:$E,A26,Export!$H:$H,"Efectivo",Export!$M:$M,"&lt;="&amp;1)/B26*100,0))</f>
        <v>0</v>
      </c>
      <c r="F26" s="46">
        <f>IF(B26=0,"",IFERROR(COUNTIFS(Export!$E:$E,A26,Export!$H:$H,"Efectivo",Export!$M:$M,"&lt;="&amp;2)/B26*100,0))</f>
        <v>3.5714285714285712</v>
      </c>
      <c r="G26" s="46">
        <f>IF(B26=0,"",IFERROR(COUNTIFS(Export!$E:$E,A26,Export!$H:$H,"Efectivo",Export!$M:$M,"&lt;="&amp;3)/B26*100,0))</f>
        <v>14.285714285714285</v>
      </c>
      <c r="H26" s="46">
        <f>IF(B26=0,"",IFERROR(COUNTIFS(Export!$E:$E,A26,Export!$H:$H,"Efectivo",Export!$M:$M,"&lt;="&amp;4)/B26*100,0))</f>
        <v>50</v>
      </c>
      <c r="I26" s="46">
        <f>IF(B26=0,"",IFERROR(COUNTIFS(Export!$E:$E,A26,Export!$H:$H,"Efectivo",Export!$M:$M,"&lt;="&amp;5)/B26*100,0))</f>
        <v>60.714285714285708</v>
      </c>
      <c r="J26" s="46">
        <f>IF(B26=0,"",IFERROR(COUNTIFS(Export!$E:$E,A26,Export!$H:$H,"Efectivo",Export!$M:$M,"&lt;="&amp;6)/B26*100,0))</f>
        <v>60.714285714285708</v>
      </c>
      <c r="K26" s="46">
        <f>IF(B26=0,"",IFERROR(COUNTIFS(Export!$E:$E,A26,Export!$H:$H,"Efectivo",Export!$M:$M,"&lt;="&amp;7)/B26*100,0))</f>
        <v>60.714285714285708</v>
      </c>
      <c r="L26" s="46">
        <f>IF(B26=0,"",IFERROR(COUNTIFS(Export!$E:$E,A26,Export!$H:$H,"Efectivo",Export!$M:$M,"&lt;="&amp;8)/B26*100,0))</f>
        <v>60.714285714285708</v>
      </c>
      <c r="M26" s="46">
        <f>IF(B26=0,"",IFERROR(COUNTIFS(Export!$E:$E,A26,Export!$H:$H,"Efectivo",Export!$M:$M,"&lt;="&amp;9)/B26*100,0))</f>
        <v>60.714285714285708</v>
      </c>
      <c r="N26" s="46">
        <f>IF(B26=0,"",IFERROR(COUNTIFS(Export!$E:$E,A26,Export!$H:$H,"Efectivo",Export!$M:$M,"&lt;="&amp;10)/B26*100,0))</f>
        <v>60.714285714285708</v>
      </c>
      <c r="O26" s="46">
        <f>IF(B26=0,"",IFERROR(COUNTIFS(Export!$E:$E,A26,Export!$H:$H,"Efectivo",Export!$M:$M,"&lt;="&amp;11)/B26*100,0))</f>
        <v>60.714285714285708</v>
      </c>
      <c r="P26" s="46">
        <f>IF(B26=0,"",IFERROR(COUNTIFS(Export!$E:$E,A26,Export!$H:$H,"Efectivo",Export!$M:$M,"&lt;="&amp;12)/B26*100,0))</f>
        <v>60.714285714285708</v>
      </c>
      <c r="Q26" s="46">
        <f>IF(B26=0,"",IFERROR(COUNTIFS(Export!$E:$E,A26,Export!$H:$H,"Efectivo",Export!$M:$M,"&lt;="&amp;13)/B26*100,0))</f>
        <v>60.714285714285708</v>
      </c>
      <c r="R26" s="46">
        <f>IF(B26=0,"",IFERROR(COUNTIFS(Export!$E:$E,A26,Export!$H:$H,"Efectivo",Export!$M:$M,"&lt;="&amp;14)/B26*100,0))</f>
        <v>60.714285714285708</v>
      </c>
      <c r="S26" s="46">
        <f>IF(B26=0,"",IFERROR(COUNTIFS(Export!$E:$E,A26,Export!$H:$H,"Efectivo",Export!$M:$M,"&lt;="&amp;15)/B26*100,0))</f>
        <v>60.714285714285708</v>
      </c>
      <c r="T26" s="46">
        <f>IF(B26=0,"",IFERROR(COUNTIFS(Export!$E:$E,A26,Export!$H:$H,"Efectivo",Export!$M:$M,"&lt;="&amp;16)/B26*100,0))</f>
        <v>60.714285714285708</v>
      </c>
      <c r="U26" s="46">
        <f>IF(B26=0,"",IFERROR(COUNTIFS(Export!$E:$E,A26,Export!$H:$H,"Efectivo",Export!$M:$M,"&lt;="&amp;17)/B26*100,0))</f>
        <v>60.714285714285708</v>
      </c>
      <c r="V26" s="46">
        <f>IF(B26=0,"",IFERROR(COUNTIFS(Export!$E:$E,A26,Export!$H:$H,"Efectivo",Export!$M:$M,"&lt;="&amp;18)/B26*100,0))</f>
        <v>60.714285714285708</v>
      </c>
      <c r="W26" s="46">
        <f>IF(B26=0,"",IFERROR(COUNTIFS(Export!$E:$E,A26,Export!$H:$H,"Efectivo",Export!$M:$M,"&lt;="&amp;19)/B26*100,0))</f>
        <v>60.714285714285708</v>
      </c>
      <c r="X26" s="46">
        <f>IF(B26=0,"",IFERROR(COUNTIFS(Export!$E:$E,A26,Export!$H:$H,"Efectivo",Export!$M:$M,"&lt;="&amp;20)/B26*100,0))</f>
        <v>60.714285714285708</v>
      </c>
      <c r="Y26" s="46">
        <f>IF(B26=0,"",IFERROR(COUNTIFS(Export!$E:$E,A26,Export!$H:$H,"Efectivo",Export!$M:$M,"&lt;="&amp;21)/B26*100,0))</f>
        <v>60.714285714285708</v>
      </c>
      <c r="Z26" s="46">
        <f>IF(B26=0,"",IFERROR(COUNTIFS(Export!$E:$E,A26,Export!$H:$H,"Efectivo",Export!$M:$M,"&lt;="&amp;22)/B26*100,0))</f>
        <v>60.714285714285708</v>
      </c>
      <c r="AA26" s="46">
        <f>IF(B26=0,"",IFERROR(COUNTIFS(Export!$E:$E,A26,Export!$H:$H,"Efectivo",Export!$M:$M,"&lt;="&amp;23)/B26*100,0))</f>
        <v>60.714285714285708</v>
      </c>
      <c r="AB26" s="46">
        <f>IF(B26=0,"",IFERROR(COUNTIFS(Export!$E:$E,A26,Export!$H:$H,"Efectivo",Export!$M:$M,"&lt;="&amp;24)/B26*100,0))</f>
        <v>60.714285714285708</v>
      </c>
      <c r="AC26" s="46">
        <f>IF(B26=0,"",IFERROR(COUNTIFS(Export!$E:$E,A26,Export!$H:$H,"Efectivo",Export!$M:$M,"&lt;="&amp;25)/B26*100,0))</f>
        <v>60.714285714285708</v>
      </c>
      <c r="AD26" s="46">
        <f>IF(B26=0,"",IFERROR(COUNTIFS(Export!$E:$E,A26,Export!$H:$H,"Efectivo",Export!$M:$M,"&lt;="&amp;26)/B26*100,0))</f>
        <v>60.714285714285708</v>
      </c>
      <c r="AE26" s="46">
        <f>IF(B26=0,"",IFERROR(COUNTIFS(Export!$E:$E,A26,Export!$H:$H,"Efectivo",Export!$M:$M,"&lt;="&amp;27)/B26*100,0))</f>
        <v>60.714285714285708</v>
      </c>
      <c r="AF26" s="46">
        <f>IF(B26=0,"",IFERROR(COUNTIFS(Export!$E:$E,A26,Export!$H:$H,"Efectivo",Export!$M:$M,"&lt;="&amp;28)/B26*100,0))</f>
        <v>60.714285714285708</v>
      </c>
      <c r="AG26" s="46">
        <f>IF(B26=0,"",IFERROR(COUNTIFS(Export!$E:$E,A26,Export!$H:$H,"Efectivo",Export!$M:$M,"&lt;="&amp;29)/B26*100,0))</f>
        <v>60.714285714285708</v>
      </c>
      <c r="AH26" s="46">
        <f>IF(B26=0,"",IFERROR(COUNTIFS(Export!$E:$E,A26,Export!$H:$H,"Efectivo",Export!$M:$M,"&lt;="&amp;30)/B26*100,0))</f>
        <v>60.714285714285708</v>
      </c>
      <c r="AI26" s="46">
        <f>IF(B26=0,"",IFERROR(COUNTIFS(Export!$E:$E,A26,Export!$H:$H,"Efectivo",Export!$M:$M,"&lt;="&amp;31)/B26*100,0))</f>
        <v>60.714285714285708</v>
      </c>
      <c r="AJ26" s="46">
        <f>IF(B26=0,"",IFERROR(COUNTIFS(Export!$E:$E,A26,Export!$H:$H,"Efectivo",Export!$M:$M,"&lt;="&amp;32)/B26*100,0))</f>
        <v>60.714285714285708</v>
      </c>
      <c r="AK26" s="46">
        <f>IF(B26=0,"",IFERROR(COUNTIFS(Export!$E:$E,A26,Export!$H:$H,"Efectivo",Export!$M:$M,"&lt;="&amp;33)/B26*100,0))</f>
        <v>60.714285714285708</v>
      </c>
      <c r="AL26" s="46">
        <f>IF(B26=0,"",IFERROR(COUNTIFS(Export!$E:$E,A26,Export!$H:$H,"Efectivo",Export!$M:$M,"&lt;="&amp;34)/B26*100,0))</f>
        <v>60.714285714285708</v>
      </c>
      <c r="AM26" s="46">
        <f>IF(B26=0,"",IFERROR(COUNTIFS(Export!$E:$E,A26,Export!$H:$H,"Efectivo",Export!$M:$M,"&lt;="&amp;35)/B26*100,0))</f>
        <v>60.714285714285708</v>
      </c>
      <c r="AN26" s="46">
        <f>IF(B26=0,"",IFERROR(COUNTIFS(Export!$E:$E,A26,Export!$H:$H,"Efectivo",Export!$M:$M,"&lt;="&amp;36)/B26*100,0))</f>
        <v>60.714285714285708</v>
      </c>
    </row>
    <row r="27" spans="1:40" x14ac:dyDescent="0.35">
      <c r="A27" s="48" t="s">
        <v>52</v>
      </c>
      <c r="B27" s="44">
        <f>IFERROR(COUNTIF(Export!$E:$E,A27),0)</f>
        <v>22</v>
      </c>
      <c r="C27" s="45">
        <f>IFERROR(VLOOKUP(A27,Originaciones!$A:$B,2,0),"")</f>
        <v>175</v>
      </c>
      <c r="D27" s="46">
        <f>IF(B27=0,"",IFERROR(COUNTIFS(Export!$E:$E,A27,Export!$H:$H,"Efectivo",Export!$M:$M,"&lt;="&amp;0)/B27*100,0))</f>
        <v>0</v>
      </c>
      <c r="E27" s="46">
        <f>IF(B27=0,"",IFERROR(COUNTIFS(Export!$E:$E,A27,Export!$H:$H,"Efectivo",Export!$M:$M,"&lt;="&amp;1)/B27*100,0))</f>
        <v>13.636363636363635</v>
      </c>
      <c r="F27" s="46">
        <f>IF(B27=0,"",IFERROR(COUNTIFS(Export!$E:$E,A27,Export!$H:$H,"Efectivo",Export!$M:$M,"&lt;="&amp;2)/B27*100,0))</f>
        <v>27.27272727272727</v>
      </c>
      <c r="G27" s="46">
        <f>IF(B27=0,"",IFERROR(COUNTIFS(Export!$E:$E,A27,Export!$H:$H,"Efectivo",Export!$M:$M,"&lt;="&amp;3)/B27*100,0))</f>
        <v>54.54545454545454</v>
      </c>
      <c r="H27" s="46">
        <f>IF(B27=0,"",IFERROR(COUNTIFS(Export!$E:$E,A27,Export!$H:$H,"Efectivo",Export!$M:$M,"&lt;="&amp;4)/B27*100,0))</f>
        <v>72.727272727272734</v>
      </c>
      <c r="I27" s="46">
        <f>IF(B27=0,"",IFERROR(COUNTIFS(Export!$E:$E,A27,Export!$H:$H,"Efectivo",Export!$M:$M,"&lt;="&amp;5)/B27*100,0))</f>
        <v>72.727272727272734</v>
      </c>
      <c r="J27" s="46">
        <f>IF(B27=0,"",IFERROR(COUNTIFS(Export!$E:$E,A27,Export!$H:$H,"Efectivo",Export!$M:$M,"&lt;="&amp;6)/B27*100,0))</f>
        <v>72.727272727272734</v>
      </c>
      <c r="K27" s="46">
        <f>IF(B27=0,"",IFERROR(COUNTIFS(Export!$E:$E,A27,Export!$H:$H,"Efectivo",Export!$M:$M,"&lt;="&amp;7)/B27*100,0))</f>
        <v>72.727272727272734</v>
      </c>
      <c r="L27" s="46">
        <f>IF(B27=0,"",IFERROR(COUNTIFS(Export!$E:$E,A27,Export!$H:$H,"Efectivo",Export!$M:$M,"&lt;="&amp;8)/B27*100,0))</f>
        <v>72.727272727272734</v>
      </c>
      <c r="M27" s="46">
        <f>IF(B27=0,"",IFERROR(COUNTIFS(Export!$E:$E,A27,Export!$H:$H,"Efectivo",Export!$M:$M,"&lt;="&amp;9)/B27*100,0))</f>
        <v>72.727272727272734</v>
      </c>
      <c r="N27" s="46">
        <f>IF(B27=0,"",IFERROR(COUNTIFS(Export!$E:$E,A27,Export!$H:$H,"Efectivo",Export!$M:$M,"&lt;="&amp;10)/B27*100,0))</f>
        <v>72.727272727272734</v>
      </c>
      <c r="O27" s="46">
        <f>IF(B27=0,"",IFERROR(COUNTIFS(Export!$E:$E,A27,Export!$H:$H,"Efectivo",Export!$M:$M,"&lt;="&amp;11)/B27*100,0))</f>
        <v>72.727272727272734</v>
      </c>
      <c r="P27" s="46">
        <f>IF(B27=0,"",IFERROR(COUNTIFS(Export!$E:$E,A27,Export!$H:$H,"Efectivo",Export!$M:$M,"&lt;="&amp;12)/B27*100,0))</f>
        <v>72.727272727272734</v>
      </c>
      <c r="Q27" s="46">
        <f>IF(B27=0,"",IFERROR(COUNTIFS(Export!$E:$E,A27,Export!$H:$H,"Efectivo",Export!$M:$M,"&lt;="&amp;13)/B27*100,0))</f>
        <v>72.727272727272734</v>
      </c>
      <c r="R27" s="46">
        <f>IF(B27=0,"",IFERROR(COUNTIFS(Export!$E:$E,A27,Export!$H:$H,"Efectivo",Export!$M:$M,"&lt;="&amp;14)/B27*100,0))</f>
        <v>72.727272727272734</v>
      </c>
      <c r="S27" s="46">
        <f>IF(B27=0,"",IFERROR(COUNTIFS(Export!$E:$E,A27,Export!$H:$H,"Efectivo",Export!$M:$M,"&lt;="&amp;15)/B27*100,0))</f>
        <v>72.727272727272734</v>
      </c>
      <c r="T27" s="46">
        <f>IF(B27=0,"",IFERROR(COUNTIFS(Export!$E:$E,A27,Export!$H:$H,"Efectivo",Export!$M:$M,"&lt;="&amp;16)/B27*100,0))</f>
        <v>72.727272727272734</v>
      </c>
      <c r="U27" s="46">
        <f>IF(B27=0,"",IFERROR(COUNTIFS(Export!$E:$E,A27,Export!$H:$H,"Efectivo",Export!$M:$M,"&lt;="&amp;17)/B27*100,0))</f>
        <v>72.727272727272734</v>
      </c>
      <c r="V27" s="46">
        <f>IF(B27=0,"",IFERROR(COUNTIFS(Export!$E:$E,A27,Export!$H:$H,"Efectivo",Export!$M:$M,"&lt;="&amp;18)/B27*100,0))</f>
        <v>72.727272727272734</v>
      </c>
      <c r="W27" s="46">
        <f>IF(B27=0,"",IFERROR(COUNTIFS(Export!$E:$E,A27,Export!$H:$H,"Efectivo",Export!$M:$M,"&lt;="&amp;19)/B27*100,0))</f>
        <v>72.727272727272734</v>
      </c>
      <c r="X27" s="46">
        <f>IF(B27=0,"",IFERROR(COUNTIFS(Export!$E:$E,A27,Export!$H:$H,"Efectivo",Export!$M:$M,"&lt;="&amp;20)/B27*100,0))</f>
        <v>72.727272727272734</v>
      </c>
      <c r="Y27" s="46">
        <f>IF(B27=0,"",IFERROR(COUNTIFS(Export!$E:$E,A27,Export!$H:$H,"Efectivo",Export!$M:$M,"&lt;="&amp;21)/B27*100,0))</f>
        <v>72.727272727272734</v>
      </c>
      <c r="Z27" s="46">
        <f>IF(B27=0,"",IFERROR(COUNTIFS(Export!$E:$E,A27,Export!$H:$H,"Efectivo",Export!$M:$M,"&lt;="&amp;22)/B27*100,0))</f>
        <v>72.727272727272734</v>
      </c>
      <c r="AA27" s="46">
        <f>IF(B27=0,"",IFERROR(COUNTIFS(Export!$E:$E,A27,Export!$H:$H,"Efectivo",Export!$M:$M,"&lt;="&amp;23)/B27*100,0))</f>
        <v>72.727272727272734</v>
      </c>
      <c r="AB27" s="46">
        <f>IF(B27=0,"",IFERROR(COUNTIFS(Export!$E:$E,A27,Export!$H:$H,"Efectivo",Export!$M:$M,"&lt;="&amp;24)/B27*100,0))</f>
        <v>72.727272727272734</v>
      </c>
      <c r="AC27" s="46">
        <f>IF(B27=0,"",IFERROR(COUNTIFS(Export!$E:$E,A27,Export!$H:$H,"Efectivo",Export!$M:$M,"&lt;="&amp;25)/B27*100,0))</f>
        <v>72.727272727272734</v>
      </c>
      <c r="AD27" s="46">
        <f>IF(B27=0,"",IFERROR(COUNTIFS(Export!$E:$E,A27,Export!$H:$H,"Efectivo",Export!$M:$M,"&lt;="&amp;26)/B27*100,0))</f>
        <v>72.727272727272734</v>
      </c>
      <c r="AE27" s="46">
        <f>IF(B27=0,"",IFERROR(COUNTIFS(Export!$E:$E,A27,Export!$H:$H,"Efectivo",Export!$M:$M,"&lt;="&amp;27)/B27*100,0))</f>
        <v>72.727272727272734</v>
      </c>
      <c r="AF27" s="46">
        <f>IF(B27=0,"",IFERROR(COUNTIFS(Export!$E:$E,A27,Export!$H:$H,"Efectivo",Export!$M:$M,"&lt;="&amp;28)/B27*100,0))</f>
        <v>72.727272727272734</v>
      </c>
      <c r="AG27" s="46">
        <f>IF(B27=0,"",IFERROR(COUNTIFS(Export!$E:$E,A27,Export!$H:$H,"Efectivo",Export!$M:$M,"&lt;="&amp;29)/B27*100,0))</f>
        <v>72.727272727272734</v>
      </c>
      <c r="AH27" s="46">
        <f>IF(B27=0,"",IFERROR(COUNTIFS(Export!$E:$E,A27,Export!$H:$H,"Efectivo",Export!$M:$M,"&lt;="&amp;30)/B27*100,0))</f>
        <v>72.727272727272734</v>
      </c>
      <c r="AI27" s="46">
        <f>IF(B27=0,"",IFERROR(COUNTIFS(Export!$E:$E,A27,Export!$H:$H,"Efectivo",Export!$M:$M,"&lt;="&amp;31)/B27*100,0))</f>
        <v>72.727272727272734</v>
      </c>
      <c r="AJ27" s="46">
        <f>IF(B27=0,"",IFERROR(COUNTIFS(Export!$E:$E,A27,Export!$H:$H,"Efectivo",Export!$M:$M,"&lt;="&amp;32)/B27*100,0))</f>
        <v>72.727272727272734</v>
      </c>
      <c r="AK27" s="46">
        <f>IF(B27=0,"",IFERROR(COUNTIFS(Export!$E:$E,A27,Export!$H:$H,"Efectivo",Export!$M:$M,"&lt;="&amp;33)/B27*100,0))</f>
        <v>72.727272727272734</v>
      </c>
      <c r="AL27" s="46">
        <f>IF(B27=0,"",IFERROR(COUNTIFS(Export!$E:$E,A27,Export!$H:$H,"Efectivo",Export!$M:$M,"&lt;="&amp;34)/B27*100,0))</f>
        <v>72.727272727272734</v>
      </c>
      <c r="AM27" s="46">
        <f>IF(B27=0,"",IFERROR(COUNTIFS(Export!$E:$E,A27,Export!$H:$H,"Efectivo",Export!$M:$M,"&lt;="&amp;35)/B27*100,0))</f>
        <v>72.727272727272734</v>
      </c>
      <c r="AN27" s="46">
        <f>IF(B27=0,"",IFERROR(COUNTIFS(Export!$E:$E,A27,Export!$H:$H,"Efectivo",Export!$M:$M,"&lt;="&amp;36)/B27*100,0))</f>
        <v>72.727272727272734</v>
      </c>
    </row>
    <row r="28" spans="1:40" x14ac:dyDescent="0.35">
      <c r="A28" s="48" t="s">
        <v>53</v>
      </c>
      <c r="B28" s="44">
        <f>IFERROR(COUNTIF(Export!$E:$E,A28),0)</f>
        <v>2</v>
      </c>
      <c r="C28" s="45">
        <f>IFERROR(VLOOKUP(A28,Originaciones!$A:$B,2,0),"")</f>
        <v>201</v>
      </c>
      <c r="D28" s="46">
        <f>IF(B28=0,"",IFERROR(COUNTIFS(Export!$E:$E,A28,Export!$H:$H,"Efectivo",Export!$M:$M,"&lt;="&amp;0)/B28*100,0))</f>
        <v>0</v>
      </c>
      <c r="E28" s="46">
        <f>IF(B28=0,"",IFERROR(COUNTIFS(Export!$E:$E,A28,Export!$H:$H,"Efectivo",Export!$M:$M,"&lt;="&amp;1)/B28*100,0))</f>
        <v>0</v>
      </c>
      <c r="F28" s="46">
        <f>IF(B28=0,"",IFERROR(COUNTIFS(Export!$E:$E,A28,Export!$H:$H,"Efectivo",Export!$M:$M,"&lt;="&amp;2)/B28*100,0))</f>
        <v>50</v>
      </c>
      <c r="G28" s="46">
        <f>IF(B28=0,"",IFERROR(COUNTIFS(Export!$E:$E,A28,Export!$H:$H,"Efectivo",Export!$M:$M,"&lt;="&amp;3)/B28*100,0))</f>
        <v>50</v>
      </c>
      <c r="H28" s="46">
        <f>IF(B28=0,"",IFERROR(COUNTIFS(Export!$E:$E,A28,Export!$H:$H,"Efectivo",Export!$M:$M,"&lt;="&amp;4)/B28*100,0))</f>
        <v>50</v>
      </c>
      <c r="I28" s="46">
        <f>IF(B28=0,"",IFERROR(COUNTIFS(Export!$E:$E,A28,Export!$H:$H,"Efectivo",Export!$M:$M,"&lt;="&amp;5)/B28*100,0))</f>
        <v>50</v>
      </c>
      <c r="J28" s="46">
        <f>IF(B28=0,"",IFERROR(COUNTIFS(Export!$E:$E,A28,Export!$H:$H,"Efectivo",Export!$M:$M,"&lt;="&amp;6)/B28*100,0))</f>
        <v>50</v>
      </c>
      <c r="K28" s="46">
        <f>IF(B28=0,"",IFERROR(COUNTIFS(Export!$E:$E,A28,Export!$H:$H,"Efectivo",Export!$M:$M,"&lt;="&amp;7)/B28*100,0))</f>
        <v>50</v>
      </c>
      <c r="L28" s="46">
        <f>IF(B28=0,"",IFERROR(COUNTIFS(Export!$E:$E,A28,Export!$H:$H,"Efectivo",Export!$M:$M,"&lt;="&amp;8)/B28*100,0))</f>
        <v>50</v>
      </c>
      <c r="M28" s="46">
        <f>IF(B28=0,"",IFERROR(COUNTIFS(Export!$E:$E,A28,Export!$H:$H,"Efectivo",Export!$M:$M,"&lt;="&amp;9)/B28*100,0))</f>
        <v>50</v>
      </c>
      <c r="N28" s="46">
        <f>IF(B28=0,"",IFERROR(COUNTIFS(Export!$E:$E,A28,Export!$H:$H,"Efectivo",Export!$M:$M,"&lt;="&amp;10)/B28*100,0))</f>
        <v>50</v>
      </c>
      <c r="O28" s="46">
        <f>IF(B28=0,"",IFERROR(COUNTIFS(Export!$E:$E,A28,Export!$H:$H,"Efectivo",Export!$M:$M,"&lt;="&amp;11)/B28*100,0))</f>
        <v>50</v>
      </c>
      <c r="P28" s="46">
        <f>IF(B28=0,"",IFERROR(COUNTIFS(Export!$E:$E,A28,Export!$H:$H,"Efectivo",Export!$M:$M,"&lt;="&amp;12)/B28*100,0))</f>
        <v>50</v>
      </c>
      <c r="Q28" s="46">
        <f>IF(B28=0,"",IFERROR(COUNTIFS(Export!$E:$E,A28,Export!$H:$H,"Efectivo",Export!$M:$M,"&lt;="&amp;13)/B28*100,0))</f>
        <v>50</v>
      </c>
      <c r="R28" s="46">
        <f>IF(B28=0,"",IFERROR(COUNTIFS(Export!$E:$E,A28,Export!$H:$H,"Efectivo",Export!$M:$M,"&lt;="&amp;14)/B28*100,0))</f>
        <v>50</v>
      </c>
      <c r="S28" s="46">
        <f>IF(B28=0,"",IFERROR(COUNTIFS(Export!$E:$E,A28,Export!$H:$H,"Efectivo",Export!$M:$M,"&lt;="&amp;15)/B28*100,0))</f>
        <v>50</v>
      </c>
      <c r="T28" s="46">
        <f>IF(B28=0,"",IFERROR(COUNTIFS(Export!$E:$E,A28,Export!$H:$H,"Efectivo",Export!$M:$M,"&lt;="&amp;16)/B28*100,0))</f>
        <v>50</v>
      </c>
      <c r="U28" s="46">
        <f>IF(B28=0,"",IFERROR(COUNTIFS(Export!$E:$E,A28,Export!$H:$H,"Efectivo",Export!$M:$M,"&lt;="&amp;17)/B28*100,0))</f>
        <v>50</v>
      </c>
      <c r="V28" s="46">
        <f>IF(B28=0,"",IFERROR(COUNTIFS(Export!$E:$E,A28,Export!$H:$H,"Efectivo",Export!$M:$M,"&lt;="&amp;18)/B28*100,0))</f>
        <v>50</v>
      </c>
      <c r="W28" s="46">
        <f>IF(B28=0,"",IFERROR(COUNTIFS(Export!$E:$E,A28,Export!$H:$H,"Efectivo",Export!$M:$M,"&lt;="&amp;19)/B28*100,0))</f>
        <v>50</v>
      </c>
      <c r="X28" s="46">
        <f>IF(B28=0,"",IFERROR(COUNTIFS(Export!$E:$E,A28,Export!$H:$H,"Efectivo",Export!$M:$M,"&lt;="&amp;20)/B28*100,0))</f>
        <v>50</v>
      </c>
      <c r="Y28" s="46">
        <f>IF(B28=0,"",IFERROR(COUNTIFS(Export!$E:$E,A28,Export!$H:$H,"Efectivo",Export!$M:$M,"&lt;="&amp;21)/B28*100,0))</f>
        <v>50</v>
      </c>
      <c r="Z28" s="46">
        <f>IF(B28=0,"",IFERROR(COUNTIFS(Export!$E:$E,A28,Export!$H:$H,"Efectivo",Export!$M:$M,"&lt;="&amp;22)/B28*100,0))</f>
        <v>50</v>
      </c>
      <c r="AA28" s="46">
        <f>IF(B28=0,"",IFERROR(COUNTIFS(Export!$E:$E,A28,Export!$H:$H,"Efectivo",Export!$M:$M,"&lt;="&amp;23)/B28*100,0))</f>
        <v>50</v>
      </c>
      <c r="AB28" s="46">
        <f>IF(B28=0,"",IFERROR(COUNTIFS(Export!$E:$E,A28,Export!$H:$H,"Efectivo",Export!$M:$M,"&lt;="&amp;24)/B28*100,0))</f>
        <v>50</v>
      </c>
      <c r="AC28" s="46">
        <f>IF(B28=0,"",IFERROR(COUNTIFS(Export!$E:$E,A28,Export!$H:$H,"Efectivo",Export!$M:$M,"&lt;="&amp;25)/B28*100,0))</f>
        <v>50</v>
      </c>
      <c r="AD28" s="46">
        <f>IF(B28=0,"",IFERROR(COUNTIFS(Export!$E:$E,A28,Export!$H:$H,"Efectivo",Export!$M:$M,"&lt;="&amp;26)/B28*100,0))</f>
        <v>50</v>
      </c>
      <c r="AE28" s="46">
        <f>IF(B28=0,"",IFERROR(COUNTIFS(Export!$E:$E,A28,Export!$H:$H,"Efectivo",Export!$M:$M,"&lt;="&amp;27)/B28*100,0))</f>
        <v>50</v>
      </c>
      <c r="AF28" s="46">
        <f>IF(B28=0,"",IFERROR(COUNTIFS(Export!$E:$E,A28,Export!$H:$H,"Efectivo",Export!$M:$M,"&lt;="&amp;28)/B28*100,0))</f>
        <v>50</v>
      </c>
      <c r="AG28" s="46">
        <f>IF(B28=0,"",IFERROR(COUNTIFS(Export!$E:$E,A28,Export!$H:$H,"Efectivo",Export!$M:$M,"&lt;="&amp;29)/B28*100,0))</f>
        <v>50</v>
      </c>
      <c r="AH28" s="46">
        <f>IF(B28=0,"",IFERROR(COUNTIFS(Export!$E:$E,A28,Export!$H:$H,"Efectivo",Export!$M:$M,"&lt;="&amp;30)/B28*100,0))</f>
        <v>50</v>
      </c>
      <c r="AI28" s="46">
        <f>IF(B28=0,"",IFERROR(COUNTIFS(Export!$E:$E,A28,Export!$H:$H,"Efectivo",Export!$M:$M,"&lt;="&amp;31)/B28*100,0))</f>
        <v>50</v>
      </c>
      <c r="AJ28" s="46">
        <f>IF(B28=0,"",IFERROR(COUNTIFS(Export!$E:$E,A28,Export!$H:$H,"Efectivo",Export!$M:$M,"&lt;="&amp;32)/B28*100,0))</f>
        <v>50</v>
      </c>
      <c r="AK28" s="46">
        <f>IF(B28=0,"",IFERROR(COUNTIFS(Export!$E:$E,A28,Export!$H:$H,"Efectivo",Export!$M:$M,"&lt;="&amp;33)/B28*100,0))</f>
        <v>50</v>
      </c>
      <c r="AL28" s="46">
        <f>IF(B28=0,"",IFERROR(COUNTIFS(Export!$E:$E,A28,Export!$H:$H,"Efectivo",Export!$M:$M,"&lt;="&amp;34)/B28*100,0))</f>
        <v>50</v>
      </c>
      <c r="AM28" s="46">
        <f>IF(B28=0,"",IFERROR(COUNTIFS(Export!$E:$E,A28,Export!$H:$H,"Efectivo",Export!$M:$M,"&lt;="&amp;35)/B28*100,0))</f>
        <v>50</v>
      </c>
      <c r="AN28" s="46">
        <f>IF(B28=0,"",IFERROR(COUNTIFS(Export!$E:$E,A28,Export!$H:$H,"Efectivo",Export!$M:$M,"&lt;="&amp;36)/B28*100,0))</f>
        <v>50</v>
      </c>
    </row>
    <row r="29" spans="1:40" x14ac:dyDescent="0.35">
      <c r="A29" s="48" t="s">
        <v>54</v>
      </c>
      <c r="B29" s="44">
        <f>IFERROR(COUNTIF(Export!$E:$E,A29),0)</f>
        <v>2</v>
      </c>
      <c r="C29" s="45">
        <f>IFERROR(VLOOKUP(A29,Originaciones!$A:$B,2,0),"")</f>
        <v>177</v>
      </c>
      <c r="D29" s="46">
        <f>IF(B29=0,"",IFERROR(COUNTIFS(Export!$E:$E,A29,Export!$H:$H,"Efectivo",Export!$M:$M,"&lt;="&amp;0)/B29*100,0))</f>
        <v>0</v>
      </c>
      <c r="E29" s="46">
        <f>IF(B29=0,"",IFERROR(COUNTIFS(Export!$E:$E,A29,Export!$H:$H,"Efectivo",Export!$M:$M,"&lt;="&amp;1)/B29*100,0))</f>
        <v>50</v>
      </c>
      <c r="F29" s="46">
        <f>IF(B29=0,"",IFERROR(COUNTIFS(Export!$E:$E,A29,Export!$H:$H,"Efectivo",Export!$M:$M,"&lt;="&amp;2)/B29*100,0))</f>
        <v>100</v>
      </c>
      <c r="G29" s="46">
        <f>IF(B29=0,"",IFERROR(COUNTIFS(Export!$E:$E,A29,Export!$H:$H,"Efectivo",Export!$M:$M,"&lt;="&amp;3)/B29*100,0))</f>
        <v>100</v>
      </c>
      <c r="H29" s="46">
        <f>IF(B29=0,"",IFERROR(COUNTIFS(Export!$E:$E,A29,Export!$H:$H,"Efectivo",Export!$M:$M,"&lt;="&amp;4)/B29*100,0))</f>
        <v>100</v>
      </c>
      <c r="I29" s="46">
        <f>IF(B29=0,"",IFERROR(COUNTIFS(Export!$E:$E,A29,Export!$H:$H,"Efectivo",Export!$M:$M,"&lt;="&amp;5)/B29*100,0))</f>
        <v>100</v>
      </c>
      <c r="J29" s="46">
        <f>IF(B29=0,"",IFERROR(COUNTIFS(Export!$E:$E,A29,Export!$H:$H,"Efectivo",Export!$M:$M,"&lt;="&amp;6)/B29*100,0))</f>
        <v>100</v>
      </c>
      <c r="K29" s="46">
        <f>IF(B29=0,"",IFERROR(COUNTIFS(Export!$E:$E,A29,Export!$H:$H,"Efectivo",Export!$M:$M,"&lt;="&amp;7)/B29*100,0))</f>
        <v>100</v>
      </c>
      <c r="L29" s="46">
        <f>IF(B29=0,"",IFERROR(COUNTIFS(Export!$E:$E,A29,Export!$H:$H,"Efectivo",Export!$M:$M,"&lt;="&amp;8)/B29*100,0))</f>
        <v>100</v>
      </c>
      <c r="M29" s="46">
        <f>IF(B29=0,"",IFERROR(COUNTIFS(Export!$E:$E,A29,Export!$H:$H,"Efectivo",Export!$M:$M,"&lt;="&amp;9)/B29*100,0))</f>
        <v>100</v>
      </c>
      <c r="N29" s="46">
        <f>IF(B29=0,"",IFERROR(COUNTIFS(Export!$E:$E,A29,Export!$H:$H,"Efectivo",Export!$M:$M,"&lt;="&amp;10)/B29*100,0))</f>
        <v>100</v>
      </c>
      <c r="O29" s="46">
        <f>IF(B29=0,"",IFERROR(COUNTIFS(Export!$E:$E,A29,Export!$H:$H,"Efectivo",Export!$M:$M,"&lt;="&amp;11)/B29*100,0))</f>
        <v>100</v>
      </c>
      <c r="P29" s="46">
        <f>IF(B29=0,"",IFERROR(COUNTIFS(Export!$E:$E,A29,Export!$H:$H,"Efectivo",Export!$M:$M,"&lt;="&amp;12)/B29*100,0))</f>
        <v>100</v>
      </c>
      <c r="Q29" s="46">
        <f>IF(B29=0,"",IFERROR(COUNTIFS(Export!$E:$E,A29,Export!$H:$H,"Efectivo",Export!$M:$M,"&lt;="&amp;13)/B29*100,0))</f>
        <v>100</v>
      </c>
      <c r="R29" s="46">
        <f>IF(B29=0,"",IFERROR(COUNTIFS(Export!$E:$E,A29,Export!$H:$H,"Efectivo",Export!$M:$M,"&lt;="&amp;14)/B29*100,0))</f>
        <v>100</v>
      </c>
      <c r="S29" s="46">
        <f>IF(B29=0,"",IFERROR(COUNTIFS(Export!$E:$E,A29,Export!$H:$H,"Efectivo",Export!$M:$M,"&lt;="&amp;15)/B29*100,0))</f>
        <v>100</v>
      </c>
      <c r="T29" s="46">
        <f>IF(B29=0,"",IFERROR(COUNTIFS(Export!$E:$E,A29,Export!$H:$H,"Efectivo",Export!$M:$M,"&lt;="&amp;16)/B29*100,0))</f>
        <v>100</v>
      </c>
      <c r="U29" s="46">
        <f>IF(B29=0,"",IFERROR(COUNTIFS(Export!$E:$E,A29,Export!$H:$H,"Efectivo",Export!$M:$M,"&lt;="&amp;17)/B29*100,0))</f>
        <v>100</v>
      </c>
      <c r="V29" s="46">
        <f>IF(B29=0,"",IFERROR(COUNTIFS(Export!$E:$E,A29,Export!$H:$H,"Efectivo",Export!$M:$M,"&lt;="&amp;18)/B29*100,0))</f>
        <v>100</v>
      </c>
      <c r="W29" s="46">
        <f>IF(B29=0,"",IFERROR(COUNTIFS(Export!$E:$E,A29,Export!$H:$H,"Efectivo",Export!$M:$M,"&lt;="&amp;19)/B29*100,0))</f>
        <v>100</v>
      </c>
      <c r="X29" s="46">
        <f>IF(B29=0,"",IFERROR(COUNTIFS(Export!$E:$E,A29,Export!$H:$H,"Efectivo",Export!$M:$M,"&lt;="&amp;20)/B29*100,0))</f>
        <v>100</v>
      </c>
      <c r="Y29" s="46">
        <f>IF(B29=0,"",IFERROR(COUNTIFS(Export!$E:$E,A29,Export!$H:$H,"Efectivo",Export!$M:$M,"&lt;="&amp;21)/B29*100,0))</f>
        <v>100</v>
      </c>
      <c r="Z29" s="46">
        <f>IF(B29=0,"",IFERROR(COUNTIFS(Export!$E:$E,A29,Export!$H:$H,"Efectivo",Export!$M:$M,"&lt;="&amp;22)/B29*100,0))</f>
        <v>100</v>
      </c>
      <c r="AA29" s="46">
        <f>IF(B29=0,"",IFERROR(COUNTIFS(Export!$E:$E,A29,Export!$H:$H,"Efectivo",Export!$M:$M,"&lt;="&amp;23)/B29*100,0))</f>
        <v>100</v>
      </c>
      <c r="AB29" s="46">
        <f>IF(B29=0,"",IFERROR(COUNTIFS(Export!$E:$E,A29,Export!$H:$H,"Efectivo",Export!$M:$M,"&lt;="&amp;24)/B29*100,0))</f>
        <v>100</v>
      </c>
      <c r="AC29" s="46">
        <f>IF(B29=0,"",IFERROR(COUNTIFS(Export!$E:$E,A29,Export!$H:$H,"Efectivo",Export!$M:$M,"&lt;="&amp;25)/B29*100,0))</f>
        <v>100</v>
      </c>
      <c r="AD29" s="46">
        <f>IF(B29=0,"",IFERROR(COUNTIFS(Export!$E:$E,A29,Export!$H:$H,"Efectivo",Export!$M:$M,"&lt;="&amp;26)/B29*100,0))</f>
        <v>100</v>
      </c>
      <c r="AE29" s="46">
        <f>IF(B29=0,"",IFERROR(COUNTIFS(Export!$E:$E,A29,Export!$H:$H,"Efectivo",Export!$M:$M,"&lt;="&amp;27)/B29*100,0))</f>
        <v>100</v>
      </c>
      <c r="AF29" s="46">
        <f>IF(B29=0,"",IFERROR(COUNTIFS(Export!$E:$E,A29,Export!$H:$H,"Efectivo",Export!$M:$M,"&lt;="&amp;28)/B29*100,0))</f>
        <v>100</v>
      </c>
      <c r="AG29" s="46">
        <f>IF(B29=0,"",IFERROR(COUNTIFS(Export!$E:$E,A29,Export!$H:$H,"Efectivo",Export!$M:$M,"&lt;="&amp;29)/B29*100,0))</f>
        <v>100</v>
      </c>
      <c r="AH29" s="46">
        <f>IF(B29=0,"",IFERROR(COUNTIFS(Export!$E:$E,A29,Export!$H:$H,"Efectivo",Export!$M:$M,"&lt;="&amp;30)/B29*100,0))</f>
        <v>100</v>
      </c>
      <c r="AI29" s="46">
        <f>IF(B29=0,"",IFERROR(COUNTIFS(Export!$E:$E,A29,Export!$H:$H,"Efectivo",Export!$M:$M,"&lt;="&amp;31)/B29*100,0))</f>
        <v>100</v>
      </c>
      <c r="AJ29" s="46">
        <f>IF(B29=0,"",IFERROR(COUNTIFS(Export!$E:$E,A29,Export!$H:$H,"Efectivo",Export!$M:$M,"&lt;="&amp;32)/B29*100,0))</f>
        <v>100</v>
      </c>
      <c r="AK29" s="46">
        <f>IF(B29=0,"",IFERROR(COUNTIFS(Export!$E:$E,A29,Export!$H:$H,"Efectivo",Export!$M:$M,"&lt;="&amp;33)/B29*100,0))</f>
        <v>100</v>
      </c>
      <c r="AL29" s="46">
        <f>IF(B29=0,"",IFERROR(COUNTIFS(Export!$E:$E,A29,Export!$H:$H,"Efectivo",Export!$M:$M,"&lt;="&amp;34)/B29*100,0))</f>
        <v>100</v>
      </c>
      <c r="AM29" s="46">
        <f>IF(B29=0,"",IFERROR(COUNTIFS(Export!$E:$E,A29,Export!$H:$H,"Efectivo",Export!$M:$M,"&lt;="&amp;35)/B29*100,0))</f>
        <v>100</v>
      </c>
      <c r="AN29" s="46">
        <f>IF(B29=0,"",IFERROR(COUNTIFS(Export!$E:$E,A29,Export!$H:$H,"Efectivo",Export!$M:$M,"&lt;="&amp;36)/B29*100,0))</f>
        <v>100</v>
      </c>
    </row>
    <row r="30" spans="1:40" x14ac:dyDescent="0.35">
      <c r="A30" s="48" t="s">
        <v>55</v>
      </c>
      <c r="B30" s="44">
        <f>IFERROR(COUNTIF(Export!$E:$E,A30),0)</f>
        <v>0</v>
      </c>
      <c r="C30" s="45">
        <f>IFERROR(VLOOKUP(A30,Originaciones!$A:$B,2,0),"")</f>
        <v>218</v>
      </c>
      <c r="D30" s="46" t="str">
        <f>IF(B30=0,"",IFERROR(COUNTIFS(Export!$E:$E,A30,Export!$H:$H,"Efectivo",Export!$M:$M,"&lt;="&amp;0)/B30*100,0))</f>
        <v/>
      </c>
      <c r="E30" s="46" t="str">
        <f>IF(B30=0,"",IFERROR(COUNTIFS(Export!$E:$E,A30,Export!$H:$H,"Efectivo",Export!$M:$M,"&lt;="&amp;1)/B30*100,0))</f>
        <v/>
      </c>
      <c r="F30" s="46" t="str">
        <f>IF(B30=0,"",IFERROR(COUNTIFS(Export!$E:$E,A30,Export!$H:$H,"Efectivo",Export!$M:$M,"&lt;="&amp;2)/B30*100,0))</f>
        <v/>
      </c>
      <c r="G30" s="46" t="str">
        <f>IF(B30=0,"",IFERROR(COUNTIFS(Export!$E:$E,A30,Export!$H:$H,"Efectivo",Export!$M:$M,"&lt;="&amp;3)/B30*100,0))</f>
        <v/>
      </c>
      <c r="H30" s="46" t="str">
        <f>IF(B30=0,"",IFERROR(COUNTIFS(Export!$E:$E,A30,Export!$H:$H,"Efectivo",Export!$M:$M,"&lt;="&amp;4)/B30*100,0))</f>
        <v/>
      </c>
      <c r="I30" s="46" t="str">
        <f>IF(B30=0,"",IFERROR(COUNTIFS(Export!$E:$E,A30,Export!$H:$H,"Efectivo",Export!$M:$M,"&lt;="&amp;5)/B30*100,0))</f>
        <v/>
      </c>
      <c r="J30" s="46" t="str">
        <f>IF(B30=0,"",IFERROR(COUNTIFS(Export!$E:$E,A30,Export!$H:$H,"Efectivo",Export!$M:$M,"&lt;="&amp;6)/B30*100,0))</f>
        <v/>
      </c>
      <c r="K30" s="46" t="str">
        <f>IF(B30=0,"",IFERROR(COUNTIFS(Export!$E:$E,A30,Export!$H:$H,"Efectivo",Export!$M:$M,"&lt;="&amp;7)/B30*100,0))</f>
        <v/>
      </c>
      <c r="L30" s="46" t="str">
        <f>IF(B30=0,"",IFERROR(COUNTIFS(Export!$E:$E,A30,Export!$H:$H,"Efectivo",Export!$M:$M,"&lt;="&amp;8)/B30*100,0))</f>
        <v/>
      </c>
      <c r="M30" s="46" t="str">
        <f>IF(B30=0,"",IFERROR(COUNTIFS(Export!$E:$E,A30,Export!$H:$H,"Efectivo",Export!$M:$M,"&lt;="&amp;9)/B30*100,0))</f>
        <v/>
      </c>
      <c r="N30" s="46" t="str">
        <f>IF(B30=0,"",IFERROR(COUNTIFS(Export!$E:$E,A30,Export!$H:$H,"Efectivo",Export!$M:$M,"&lt;="&amp;10)/B30*100,0))</f>
        <v/>
      </c>
      <c r="O30" s="46" t="str">
        <f>IF(B30=0,"",IFERROR(COUNTIFS(Export!$E:$E,A30,Export!$H:$H,"Efectivo",Export!$M:$M,"&lt;="&amp;11)/B30*100,0))</f>
        <v/>
      </c>
      <c r="P30" s="46" t="str">
        <f>IF(B30=0,"",IFERROR(COUNTIFS(Export!$E:$E,A30,Export!$H:$H,"Efectivo",Export!$M:$M,"&lt;="&amp;12)/B30*100,0))</f>
        <v/>
      </c>
      <c r="Q30" s="46" t="str">
        <f>IF(B30=0,"",IFERROR(COUNTIFS(Export!$E:$E,A30,Export!$H:$H,"Efectivo",Export!$M:$M,"&lt;="&amp;13)/B30*100,0))</f>
        <v/>
      </c>
      <c r="R30" s="46" t="str">
        <f>IF(B30=0,"",IFERROR(COUNTIFS(Export!$E:$E,A30,Export!$H:$H,"Efectivo",Export!$M:$M,"&lt;="&amp;14)/B30*100,0))</f>
        <v/>
      </c>
      <c r="S30" s="46" t="str">
        <f>IF(B30=0,"",IFERROR(COUNTIFS(Export!$E:$E,A30,Export!$H:$H,"Efectivo",Export!$M:$M,"&lt;="&amp;15)/B30*100,0))</f>
        <v/>
      </c>
      <c r="T30" s="46" t="str">
        <f>IF(B30=0,"",IFERROR(COUNTIFS(Export!$E:$E,A30,Export!$H:$H,"Efectivo",Export!$M:$M,"&lt;="&amp;16)/B30*100,0))</f>
        <v/>
      </c>
      <c r="U30" s="46" t="str">
        <f>IF(B30=0,"",IFERROR(COUNTIFS(Export!$E:$E,A30,Export!$H:$H,"Efectivo",Export!$M:$M,"&lt;="&amp;17)/B30*100,0))</f>
        <v/>
      </c>
      <c r="V30" s="46" t="str">
        <f>IF(B30=0,"",IFERROR(COUNTIFS(Export!$E:$E,A30,Export!$H:$H,"Efectivo",Export!$M:$M,"&lt;="&amp;18)/B30*100,0))</f>
        <v/>
      </c>
      <c r="W30" s="46" t="str">
        <f>IF(B30=0,"",IFERROR(COUNTIFS(Export!$E:$E,A30,Export!$H:$H,"Efectivo",Export!$M:$M,"&lt;="&amp;19)/B30*100,0))</f>
        <v/>
      </c>
      <c r="X30" s="46" t="str">
        <f>IF(B30=0,"",IFERROR(COUNTIFS(Export!$E:$E,A30,Export!$H:$H,"Efectivo",Export!$M:$M,"&lt;="&amp;20)/B30*100,0))</f>
        <v/>
      </c>
      <c r="Y30" s="46" t="str">
        <f>IF(B30=0,"",IFERROR(COUNTIFS(Export!$E:$E,A30,Export!$H:$H,"Efectivo",Export!$M:$M,"&lt;="&amp;21)/B30*100,0))</f>
        <v/>
      </c>
      <c r="Z30" s="46" t="str">
        <f>IF(B30=0,"",IFERROR(COUNTIFS(Export!$E:$E,A30,Export!$H:$H,"Efectivo",Export!$M:$M,"&lt;="&amp;22)/B30*100,0))</f>
        <v/>
      </c>
      <c r="AA30" s="46" t="str">
        <f>IF(B30=0,"",IFERROR(COUNTIFS(Export!$E:$E,A30,Export!$H:$H,"Efectivo",Export!$M:$M,"&lt;="&amp;23)/B30*100,0))</f>
        <v/>
      </c>
      <c r="AB30" s="46" t="str">
        <f>IF(B30=0,"",IFERROR(COUNTIFS(Export!$E:$E,A30,Export!$H:$H,"Efectivo",Export!$M:$M,"&lt;="&amp;24)/B30*100,0))</f>
        <v/>
      </c>
      <c r="AC30" s="46" t="str">
        <f>IF(B30=0,"",IFERROR(COUNTIFS(Export!$E:$E,A30,Export!$H:$H,"Efectivo",Export!$M:$M,"&lt;="&amp;25)/B30*100,0))</f>
        <v/>
      </c>
      <c r="AD30" s="46" t="str">
        <f>IF(B30=0,"",IFERROR(COUNTIFS(Export!$E:$E,A30,Export!$H:$H,"Efectivo",Export!$M:$M,"&lt;="&amp;26)/B30*100,0))</f>
        <v/>
      </c>
      <c r="AE30" s="46" t="str">
        <f>IF(B30=0,"",IFERROR(COUNTIFS(Export!$E:$E,A30,Export!$H:$H,"Efectivo",Export!$M:$M,"&lt;="&amp;27)/B30*100,0))</f>
        <v/>
      </c>
      <c r="AF30" s="46" t="str">
        <f>IF(B30=0,"",IFERROR(COUNTIFS(Export!$E:$E,A30,Export!$H:$H,"Efectivo",Export!$M:$M,"&lt;="&amp;28)/B30*100,0))</f>
        <v/>
      </c>
      <c r="AG30" s="46" t="str">
        <f>IF(B30=0,"",IFERROR(COUNTIFS(Export!$E:$E,A30,Export!$H:$H,"Efectivo",Export!$M:$M,"&lt;="&amp;29)/B30*100,0))</f>
        <v/>
      </c>
      <c r="AH30" s="46" t="str">
        <f>IF(B30=0,"",IFERROR(COUNTIFS(Export!$E:$E,A30,Export!$H:$H,"Efectivo",Export!$M:$M,"&lt;="&amp;30)/B30*100,0))</f>
        <v/>
      </c>
      <c r="AI30" s="46" t="str">
        <f>IF(B30=0,"",IFERROR(COUNTIFS(Export!$E:$E,A30,Export!$H:$H,"Efectivo",Export!$M:$M,"&lt;="&amp;31)/B30*100,0))</f>
        <v/>
      </c>
      <c r="AJ30" s="46" t="str">
        <f>IF(B30=0,"",IFERROR(COUNTIFS(Export!$E:$E,A30,Export!$H:$H,"Efectivo",Export!$M:$M,"&lt;="&amp;32)/B30*100,0))</f>
        <v/>
      </c>
      <c r="AK30" s="46" t="str">
        <f>IF(B30=0,"",IFERROR(COUNTIFS(Export!$E:$E,A30,Export!$H:$H,"Efectivo",Export!$M:$M,"&lt;="&amp;33)/B30*100,0))</f>
        <v/>
      </c>
      <c r="AL30" s="46" t="str">
        <f>IF(B30=0,"",IFERROR(COUNTIFS(Export!$E:$E,A30,Export!$H:$H,"Efectivo",Export!$M:$M,"&lt;="&amp;34)/B30*100,0))</f>
        <v/>
      </c>
      <c r="AM30" s="46" t="str">
        <f>IF(B30=0,"",IFERROR(COUNTIFS(Export!$E:$E,A30,Export!$H:$H,"Efectivo",Export!$M:$M,"&lt;="&amp;35)/B30*100,0))</f>
        <v/>
      </c>
      <c r="AN30" s="46" t="str">
        <f>IF(B30=0,"",IFERROR(COUNTIFS(Export!$E:$E,A30,Export!$H:$H,"Efectivo",Export!$M:$M,"&lt;="&amp;36)/B30*100,0))</f>
        <v/>
      </c>
    </row>
    <row r="31" spans="1:40" x14ac:dyDescent="0.35">
      <c r="A31" s="48" t="s">
        <v>56</v>
      </c>
      <c r="B31" s="44">
        <f>IFERROR(COUNTIF(Export!$E:$E,A31),0)</f>
        <v>0</v>
      </c>
      <c r="C31" s="45">
        <f>IFERROR(VLOOKUP(A31,Originaciones!$A:$B,2,0),"")</f>
        <v>0</v>
      </c>
      <c r="D31" s="46" t="str">
        <f>IF(B31=0,"",IFERROR(COUNTIFS(Export!$E:$E,A31,Export!$H:$H,"Efectivo",Export!$M:$M,"&lt;="&amp;0)/B31*100,0))</f>
        <v/>
      </c>
      <c r="E31" s="46" t="str">
        <f>IF(B31=0,"",IFERROR(COUNTIFS(Export!$E:$E,A31,Export!$H:$H,"Efectivo",Export!$M:$M,"&lt;="&amp;1)/B31*100,0))</f>
        <v/>
      </c>
      <c r="F31" s="46" t="str">
        <f>IF(B31=0,"",IFERROR(COUNTIFS(Export!$E:$E,A31,Export!$H:$H,"Efectivo",Export!$M:$M,"&lt;="&amp;2)/B31*100,0))</f>
        <v/>
      </c>
      <c r="G31" s="46" t="str">
        <f>IF(B31=0,"",IFERROR(COUNTIFS(Export!$E:$E,A31,Export!$H:$H,"Efectivo",Export!$M:$M,"&lt;="&amp;3)/B31*100,0))</f>
        <v/>
      </c>
      <c r="H31" s="46" t="str">
        <f>IF(B31=0,"",IFERROR(COUNTIFS(Export!$E:$E,A31,Export!$H:$H,"Efectivo",Export!$M:$M,"&lt;="&amp;4)/B31*100,0))</f>
        <v/>
      </c>
      <c r="I31" s="46" t="str">
        <f>IF(B31=0,"",IFERROR(COUNTIFS(Export!$E:$E,A31,Export!$H:$H,"Efectivo",Export!$M:$M,"&lt;="&amp;5)/B31*100,0))</f>
        <v/>
      </c>
      <c r="J31" s="46" t="str">
        <f>IF(B31=0,"",IFERROR(COUNTIFS(Export!$E:$E,A31,Export!$H:$H,"Efectivo",Export!$M:$M,"&lt;="&amp;6)/B31*100,0))</f>
        <v/>
      </c>
      <c r="K31" s="46" t="str">
        <f>IF(B31=0,"",IFERROR(COUNTIFS(Export!$E:$E,A31,Export!$H:$H,"Efectivo",Export!$M:$M,"&lt;="&amp;7)/B31*100,0))</f>
        <v/>
      </c>
      <c r="L31" s="46" t="str">
        <f>IF(B31=0,"",IFERROR(COUNTIFS(Export!$E:$E,A31,Export!$H:$H,"Efectivo",Export!$M:$M,"&lt;="&amp;8)/B31*100,0))</f>
        <v/>
      </c>
      <c r="M31" s="46" t="str">
        <f>IF(B31=0,"",IFERROR(COUNTIFS(Export!$E:$E,A31,Export!$H:$H,"Efectivo",Export!$M:$M,"&lt;="&amp;9)/B31*100,0))</f>
        <v/>
      </c>
      <c r="N31" s="46" t="str">
        <f>IF(B31=0,"",IFERROR(COUNTIFS(Export!$E:$E,A31,Export!$H:$H,"Efectivo",Export!$M:$M,"&lt;="&amp;10)/B31*100,0))</f>
        <v/>
      </c>
      <c r="O31" s="46" t="str">
        <f>IF(B31=0,"",IFERROR(COUNTIFS(Export!$E:$E,A31,Export!$H:$H,"Efectivo",Export!$M:$M,"&lt;="&amp;11)/B31*100,0))</f>
        <v/>
      </c>
      <c r="P31" s="46" t="str">
        <f>IF(B31=0,"",IFERROR(COUNTIFS(Export!$E:$E,A31,Export!$H:$H,"Efectivo",Export!$M:$M,"&lt;="&amp;12)/B31*100,0))</f>
        <v/>
      </c>
      <c r="Q31" s="46" t="str">
        <f>IF(B31=0,"",IFERROR(COUNTIFS(Export!$E:$E,A31,Export!$H:$H,"Efectivo",Export!$M:$M,"&lt;="&amp;13)/B31*100,0))</f>
        <v/>
      </c>
      <c r="R31" s="46" t="str">
        <f>IF(B31=0,"",IFERROR(COUNTIFS(Export!$E:$E,A31,Export!$H:$H,"Efectivo",Export!$M:$M,"&lt;="&amp;14)/B31*100,0))</f>
        <v/>
      </c>
      <c r="S31" s="46" t="str">
        <f>IF(B31=0,"",IFERROR(COUNTIFS(Export!$E:$E,A31,Export!$H:$H,"Efectivo",Export!$M:$M,"&lt;="&amp;15)/B31*100,0))</f>
        <v/>
      </c>
      <c r="T31" s="46" t="str">
        <f>IF(B31=0,"",IFERROR(COUNTIFS(Export!$E:$E,A31,Export!$H:$H,"Efectivo",Export!$M:$M,"&lt;="&amp;16)/B31*100,0))</f>
        <v/>
      </c>
      <c r="U31" s="46" t="str">
        <f>IF(B31=0,"",IFERROR(COUNTIFS(Export!$E:$E,A31,Export!$H:$H,"Efectivo",Export!$M:$M,"&lt;="&amp;17)/B31*100,0))</f>
        <v/>
      </c>
      <c r="V31" s="46" t="str">
        <f>IF(B31=0,"",IFERROR(COUNTIFS(Export!$E:$E,A31,Export!$H:$H,"Efectivo",Export!$M:$M,"&lt;="&amp;18)/B31*100,0))</f>
        <v/>
      </c>
      <c r="W31" s="46" t="str">
        <f>IF(B31=0,"",IFERROR(COUNTIFS(Export!$E:$E,A31,Export!$H:$H,"Efectivo",Export!$M:$M,"&lt;="&amp;19)/B31*100,0))</f>
        <v/>
      </c>
      <c r="X31" s="46" t="str">
        <f>IF(B31=0,"",IFERROR(COUNTIFS(Export!$E:$E,A31,Export!$H:$H,"Efectivo",Export!$M:$M,"&lt;="&amp;20)/B31*100,0))</f>
        <v/>
      </c>
      <c r="Y31" s="46" t="str">
        <f>IF(B31=0,"",IFERROR(COUNTIFS(Export!$E:$E,A31,Export!$H:$H,"Efectivo",Export!$M:$M,"&lt;="&amp;21)/B31*100,0))</f>
        <v/>
      </c>
      <c r="Z31" s="46" t="str">
        <f>IF(B31=0,"",IFERROR(COUNTIFS(Export!$E:$E,A31,Export!$H:$H,"Efectivo",Export!$M:$M,"&lt;="&amp;22)/B31*100,0))</f>
        <v/>
      </c>
      <c r="AA31" s="46" t="str">
        <f>IF(B31=0,"",IFERROR(COUNTIFS(Export!$E:$E,A31,Export!$H:$H,"Efectivo",Export!$M:$M,"&lt;="&amp;23)/B31*100,0))</f>
        <v/>
      </c>
      <c r="AB31" s="46" t="str">
        <f>IF(B31=0,"",IFERROR(COUNTIFS(Export!$E:$E,A31,Export!$H:$H,"Efectivo",Export!$M:$M,"&lt;="&amp;24)/B31*100,0))</f>
        <v/>
      </c>
      <c r="AC31" s="46" t="str">
        <f>IF(B31=0,"",IFERROR(COUNTIFS(Export!$E:$E,A31,Export!$H:$H,"Efectivo",Export!$M:$M,"&lt;="&amp;25)/B31*100,0))</f>
        <v/>
      </c>
      <c r="AD31" s="46" t="str">
        <f>IF(B31=0,"",IFERROR(COUNTIFS(Export!$E:$E,A31,Export!$H:$H,"Efectivo",Export!$M:$M,"&lt;="&amp;26)/B31*100,0))</f>
        <v/>
      </c>
      <c r="AE31" s="46" t="str">
        <f>IF(B31=0,"",IFERROR(COUNTIFS(Export!$E:$E,A31,Export!$H:$H,"Efectivo",Export!$M:$M,"&lt;="&amp;27)/B31*100,0))</f>
        <v/>
      </c>
      <c r="AF31" s="46" t="str">
        <f>IF(B31=0,"",IFERROR(COUNTIFS(Export!$E:$E,A31,Export!$H:$H,"Efectivo",Export!$M:$M,"&lt;="&amp;28)/B31*100,0))</f>
        <v/>
      </c>
      <c r="AG31" s="46" t="str">
        <f>IF(B31=0,"",IFERROR(COUNTIFS(Export!$E:$E,A31,Export!$H:$H,"Efectivo",Export!$M:$M,"&lt;="&amp;29)/B31*100,0))</f>
        <v/>
      </c>
      <c r="AH31" s="46" t="str">
        <f>IF(B31=0,"",IFERROR(COUNTIFS(Export!$E:$E,A31,Export!$H:$H,"Efectivo",Export!$M:$M,"&lt;="&amp;30)/B31*100,0))</f>
        <v/>
      </c>
      <c r="AI31" s="46" t="str">
        <f>IF(B31=0,"",IFERROR(COUNTIFS(Export!$E:$E,A31,Export!$H:$H,"Efectivo",Export!$M:$M,"&lt;="&amp;31)/B31*100,0))</f>
        <v/>
      </c>
      <c r="AJ31" s="46" t="str">
        <f>IF(B31=0,"",IFERROR(COUNTIFS(Export!$E:$E,A31,Export!$H:$H,"Efectivo",Export!$M:$M,"&lt;="&amp;32)/B31*100,0))</f>
        <v/>
      </c>
      <c r="AK31" s="46" t="str">
        <f>IF(B31=0,"",IFERROR(COUNTIFS(Export!$E:$E,A31,Export!$H:$H,"Efectivo",Export!$M:$M,"&lt;="&amp;33)/B31*100,0))</f>
        <v/>
      </c>
      <c r="AL31" s="46" t="str">
        <f>IF(B31=0,"",IFERROR(COUNTIFS(Export!$E:$E,A31,Export!$H:$H,"Efectivo",Export!$M:$M,"&lt;="&amp;34)/B31*100,0))</f>
        <v/>
      </c>
      <c r="AM31" s="46" t="str">
        <f>IF(B31=0,"",IFERROR(COUNTIFS(Export!$E:$E,A31,Export!$H:$H,"Efectivo",Export!$M:$M,"&lt;="&amp;35)/B31*100,0))</f>
        <v/>
      </c>
      <c r="AN31" s="46" t="str">
        <f>IF(B31=0,"",IFERROR(COUNTIFS(Export!$E:$E,A31,Export!$H:$H,"Efectivo",Export!$M:$M,"&lt;="&amp;36)/B31*100,0))</f>
        <v/>
      </c>
    </row>
    <row r="32" spans="1:40" x14ac:dyDescent="0.35">
      <c r="A32" s="48" t="s">
        <v>57</v>
      </c>
      <c r="B32" s="44">
        <f>IFERROR(COUNTIF(Export!$E:$E,A32),0)</f>
        <v>0</v>
      </c>
      <c r="C32" s="45">
        <f>IFERROR(VLOOKUP(A32,Originaciones!$A:$B,2,0),"")</f>
        <v>0</v>
      </c>
      <c r="D32" s="46" t="str">
        <f>IF(B32=0,"",IFERROR(COUNTIFS(Export!$E:$E,A32,Export!$H:$H,"Efectivo",Export!$M:$M,"&lt;="&amp;0)/B32*100,0))</f>
        <v/>
      </c>
      <c r="E32" s="46" t="str">
        <f>IF(B32=0,"",IFERROR(COUNTIFS(Export!$E:$E,A32,Export!$H:$H,"Efectivo",Export!$M:$M,"&lt;="&amp;1)/B32*100,0))</f>
        <v/>
      </c>
      <c r="F32" s="46" t="str">
        <f>IF(B32=0,"",IFERROR(COUNTIFS(Export!$E:$E,A32,Export!$H:$H,"Efectivo",Export!$M:$M,"&lt;="&amp;2)/B32*100,0))</f>
        <v/>
      </c>
      <c r="G32" s="46" t="str">
        <f>IF(B32=0,"",IFERROR(COUNTIFS(Export!$E:$E,A32,Export!$H:$H,"Efectivo",Export!$M:$M,"&lt;="&amp;3)/B32*100,0))</f>
        <v/>
      </c>
      <c r="H32" s="46" t="str">
        <f>IF(B32=0,"",IFERROR(COUNTIFS(Export!$E:$E,A32,Export!$H:$H,"Efectivo",Export!$M:$M,"&lt;="&amp;4)/B32*100,0))</f>
        <v/>
      </c>
      <c r="I32" s="46" t="str">
        <f>IF(B32=0,"",IFERROR(COUNTIFS(Export!$E:$E,A32,Export!$H:$H,"Efectivo",Export!$M:$M,"&lt;="&amp;5)/B32*100,0))</f>
        <v/>
      </c>
      <c r="J32" s="46" t="str">
        <f>IF(B32=0,"",IFERROR(COUNTIFS(Export!$E:$E,A32,Export!$H:$H,"Efectivo",Export!$M:$M,"&lt;="&amp;6)/B32*100,0))</f>
        <v/>
      </c>
      <c r="K32" s="46" t="str">
        <f>IF(B32=0,"",IFERROR(COUNTIFS(Export!$E:$E,A32,Export!$H:$H,"Efectivo",Export!$M:$M,"&lt;="&amp;7)/B32*100,0))</f>
        <v/>
      </c>
      <c r="L32" s="46" t="str">
        <f>IF(B32=0,"",IFERROR(COUNTIFS(Export!$E:$E,A32,Export!$H:$H,"Efectivo",Export!$M:$M,"&lt;="&amp;8)/B32*100,0))</f>
        <v/>
      </c>
      <c r="M32" s="46" t="str">
        <f>IF(B32=0,"",IFERROR(COUNTIFS(Export!$E:$E,A32,Export!$H:$H,"Efectivo",Export!$M:$M,"&lt;="&amp;9)/B32*100,0))</f>
        <v/>
      </c>
      <c r="N32" s="46" t="str">
        <f>IF(B32=0,"",IFERROR(COUNTIFS(Export!$E:$E,A32,Export!$H:$H,"Efectivo",Export!$M:$M,"&lt;="&amp;10)/B32*100,0))</f>
        <v/>
      </c>
      <c r="O32" s="46" t="str">
        <f>IF(B32=0,"",IFERROR(COUNTIFS(Export!$E:$E,A32,Export!$H:$H,"Efectivo",Export!$M:$M,"&lt;="&amp;11)/B32*100,0))</f>
        <v/>
      </c>
      <c r="P32" s="46" t="str">
        <f>IF(B32=0,"",IFERROR(COUNTIFS(Export!$E:$E,A32,Export!$H:$H,"Efectivo",Export!$M:$M,"&lt;="&amp;12)/B32*100,0))</f>
        <v/>
      </c>
      <c r="Q32" s="46" t="str">
        <f>IF(B32=0,"",IFERROR(COUNTIFS(Export!$E:$E,A32,Export!$H:$H,"Efectivo",Export!$M:$M,"&lt;="&amp;13)/B32*100,0))</f>
        <v/>
      </c>
      <c r="R32" s="46" t="str">
        <f>IF(B32=0,"",IFERROR(COUNTIFS(Export!$E:$E,A32,Export!$H:$H,"Efectivo",Export!$M:$M,"&lt;="&amp;14)/B32*100,0))</f>
        <v/>
      </c>
      <c r="S32" s="46" t="str">
        <f>IF(B32=0,"",IFERROR(COUNTIFS(Export!$E:$E,A32,Export!$H:$H,"Efectivo",Export!$M:$M,"&lt;="&amp;15)/B32*100,0))</f>
        <v/>
      </c>
      <c r="T32" s="46" t="str">
        <f>IF(B32=0,"",IFERROR(COUNTIFS(Export!$E:$E,A32,Export!$H:$H,"Efectivo",Export!$M:$M,"&lt;="&amp;16)/B32*100,0))</f>
        <v/>
      </c>
      <c r="U32" s="46" t="str">
        <f>IF(B32=0,"",IFERROR(COUNTIFS(Export!$E:$E,A32,Export!$H:$H,"Efectivo",Export!$M:$M,"&lt;="&amp;17)/B32*100,0))</f>
        <v/>
      </c>
      <c r="V32" s="46" t="str">
        <f>IF(B32=0,"",IFERROR(COUNTIFS(Export!$E:$E,A32,Export!$H:$H,"Efectivo",Export!$M:$M,"&lt;="&amp;18)/B32*100,0))</f>
        <v/>
      </c>
      <c r="W32" s="46" t="str">
        <f>IF(B32=0,"",IFERROR(COUNTIFS(Export!$E:$E,A32,Export!$H:$H,"Efectivo",Export!$M:$M,"&lt;="&amp;19)/B32*100,0))</f>
        <v/>
      </c>
      <c r="X32" s="46" t="str">
        <f>IF(B32=0,"",IFERROR(COUNTIFS(Export!$E:$E,A32,Export!$H:$H,"Efectivo",Export!$M:$M,"&lt;="&amp;20)/B32*100,0))</f>
        <v/>
      </c>
      <c r="Y32" s="46" t="str">
        <f>IF(B32=0,"",IFERROR(COUNTIFS(Export!$E:$E,A32,Export!$H:$H,"Efectivo",Export!$M:$M,"&lt;="&amp;21)/B32*100,0))</f>
        <v/>
      </c>
      <c r="Z32" s="46" t="str">
        <f>IF(B32=0,"",IFERROR(COUNTIFS(Export!$E:$E,A32,Export!$H:$H,"Efectivo",Export!$M:$M,"&lt;="&amp;22)/B32*100,0))</f>
        <v/>
      </c>
      <c r="AA32" s="46" t="str">
        <f>IF(B32=0,"",IFERROR(COUNTIFS(Export!$E:$E,A32,Export!$H:$H,"Efectivo",Export!$M:$M,"&lt;="&amp;23)/B32*100,0))</f>
        <v/>
      </c>
      <c r="AB32" s="46" t="str">
        <f>IF(B32=0,"",IFERROR(COUNTIFS(Export!$E:$E,A32,Export!$H:$H,"Efectivo",Export!$M:$M,"&lt;="&amp;24)/B32*100,0))</f>
        <v/>
      </c>
      <c r="AC32" s="46" t="str">
        <f>IF(B32=0,"",IFERROR(COUNTIFS(Export!$E:$E,A32,Export!$H:$H,"Efectivo",Export!$M:$M,"&lt;="&amp;25)/B32*100,0))</f>
        <v/>
      </c>
      <c r="AD32" s="46" t="str">
        <f>IF(B32=0,"",IFERROR(COUNTIFS(Export!$E:$E,A32,Export!$H:$H,"Efectivo",Export!$M:$M,"&lt;="&amp;26)/B32*100,0))</f>
        <v/>
      </c>
      <c r="AE32" s="46" t="str">
        <f>IF(B32=0,"",IFERROR(COUNTIFS(Export!$E:$E,A32,Export!$H:$H,"Efectivo",Export!$M:$M,"&lt;="&amp;27)/B32*100,0))</f>
        <v/>
      </c>
      <c r="AF32" s="46" t="str">
        <f>IF(B32=0,"",IFERROR(COUNTIFS(Export!$E:$E,A32,Export!$H:$H,"Efectivo",Export!$M:$M,"&lt;="&amp;28)/B32*100,0))</f>
        <v/>
      </c>
      <c r="AG32" s="46" t="str">
        <f>IF(B32=0,"",IFERROR(COUNTIFS(Export!$E:$E,A32,Export!$H:$H,"Efectivo",Export!$M:$M,"&lt;="&amp;29)/B32*100,0))</f>
        <v/>
      </c>
      <c r="AH32" s="46" t="str">
        <f>IF(B32=0,"",IFERROR(COUNTIFS(Export!$E:$E,A32,Export!$H:$H,"Efectivo",Export!$M:$M,"&lt;="&amp;30)/B32*100,0))</f>
        <v/>
      </c>
      <c r="AI32" s="46" t="str">
        <f>IF(B32=0,"",IFERROR(COUNTIFS(Export!$E:$E,A32,Export!$H:$H,"Efectivo",Export!$M:$M,"&lt;="&amp;31)/B32*100,0))</f>
        <v/>
      </c>
      <c r="AJ32" s="46" t="str">
        <f>IF(B32=0,"",IFERROR(COUNTIFS(Export!$E:$E,A32,Export!$H:$H,"Efectivo",Export!$M:$M,"&lt;="&amp;32)/B32*100,0))</f>
        <v/>
      </c>
      <c r="AK32" s="46" t="str">
        <f>IF(B32=0,"",IFERROR(COUNTIFS(Export!$E:$E,A32,Export!$H:$H,"Efectivo",Export!$M:$M,"&lt;="&amp;33)/B32*100,0))</f>
        <v/>
      </c>
      <c r="AL32" s="46" t="str">
        <f>IF(B32=0,"",IFERROR(COUNTIFS(Export!$E:$E,A32,Export!$H:$H,"Efectivo",Export!$M:$M,"&lt;="&amp;34)/B32*100,0))</f>
        <v/>
      </c>
      <c r="AM32" s="46" t="str">
        <f>IF(B32=0,"",IFERROR(COUNTIFS(Export!$E:$E,A32,Export!$H:$H,"Efectivo",Export!$M:$M,"&lt;="&amp;35)/B32*100,0))</f>
        <v/>
      </c>
      <c r="AN32" s="46" t="str">
        <f>IF(B32=0,"",IFERROR(COUNTIFS(Export!$E:$E,A32,Export!$H:$H,"Efectivo",Export!$M:$M,"&lt;="&amp;36)/B32*100,0))</f>
        <v/>
      </c>
    </row>
    <row r="33" spans="1:40" x14ac:dyDescent="0.35">
      <c r="A33" s="48" t="s">
        <v>58</v>
      </c>
      <c r="B33" s="44">
        <f>IFERROR(COUNTIF(Export!$E:$E,A33),0)</f>
        <v>0</v>
      </c>
      <c r="C33" s="45">
        <f>IFERROR(VLOOKUP(A33,Originaciones!$A:$B,2,0),"")</f>
        <v>0</v>
      </c>
      <c r="D33" s="46" t="str">
        <f>IF(B33=0,"",IFERROR(COUNTIFS(Export!$E:$E,A33,Export!$H:$H,"Efectivo",Export!$M:$M,"&lt;="&amp;0)/B33*100,0))</f>
        <v/>
      </c>
      <c r="E33" s="46" t="str">
        <f>IF(B33=0,"",IFERROR(COUNTIFS(Export!$E:$E,A33,Export!$H:$H,"Efectivo",Export!$M:$M,"&lt;="&amp;1)/B33*100,0))</f>
        <v/>
      </c>
      <c r="F33" s="46" t="str">
        <f>IF(B33=0,"",IFERROR(COUNTIFS(Export!$E:$E,A33,Export!$H:$H,"Efectivo",Export!$M:$M,"&lt;="&amp;2)/B33*100,0))</f>
        <v/>
      </c>
      <c r="G33" s="46" t="str">
        <f>IF(B33=0,"",IFERROR(COUNTIFS(Export!$E:$E,A33,Export!$H:$H,"Efectivo",Export!$M:$M,"&lt;="&amp;3)/B33*100,0))</f>
        <v/>
      </c>
      <c r="H33" s="46" t="str">
        <f>IF(B33=0,"",IFERROR(COUNTIFS(Export!$E:$E,A33,Export!$H:$H,"Efectivo",Export!$M:$M,"&lt;="&amp;4)/B33*100,0))</f>
        <v/>
      </c>
      <c r="I33" s="46" t="str">
        <f>IF(B33=0,"",IFERROR(COUNTIFS(Export!$E:$E,A33,Export!$H:$H,"Efectivo",Export!$M:$M,"&lt;="&amp;5)/B33*100,0))</f>
        <v/>
      </c>
      <c r="J33" s="46" t="str">
        <f>IF(B33=0,"",IFERROR(COUNTIFS(Export!$E:$E,A33,Export!$H:$H,"Efectivo",Export!$M:$M,"&lt;="&amp;6)/B33*100,0))</f>
        <v/>
      </c>
      <c r="K33" s="46" t="str">
        <f>IF(B33=0,"",IFERROR(COUNTIFS(Export!$E:$E,A33,Export!$H:$H,"Efectivo",Export!$M:$M,"&lt;="&amp;7)/B33*100,0))</f>
        <v/>
      </c>
      <c r="L33" s="46" t="str">
        <f>IF(B33=0,"",IFERROR(COUNTIFS(Export!$E:$E,A33,Export!$H:$H,"Efectivo",Export!$M:$M,"&lt;="&amp;8)/B33*100,0))</f>
        <v/>
      </c>
      <c r="M33" s="46" t="str">
        <f>IF(B33=0,"",IFERROR(COUNTIFS(Export!$E:$E,A33,Export!$H:$H,"Efectivo",Export!$M:$M,"&lt;="&amp;9)/B33*100,0))</f>
        <v/>
      </c>
      <c r="N33" s="46" t="str">
        <f>IF(B33=0,"",IFERROR(COUNTIFS(Export!$E:$E,A33,Export!$H:$H,"Efectivo",Export!$M:$M,"&lt;="&amp;10)/B33*100,0))</f>
        <v/>
      </c>
      <c r="O33" s="46" t="str">
        <f>IF(B33=0,"",IFERROR(COUNTIFS(Export!$E:$E,A33,Export!$H:$H,"Efectivo",Export!$M:$M,"&lt;="&amp;11)/B33*100,0))</f>
        <v/>
      </c>
      <c r="P33" s="46" t="str">
        <f>IF(B33=0,"",IFERROR(COUNTIFS(Export!$E:$E,A33,Export!$H:$H,"Efectivo",Export!$M:$M,"&lt;="&amp;12)/B33*100,0))</f>
        <v/>
      </c>
      <c r="Q33" s="46" t="str">
        <f>IF(B33=0,"",IFERROR(COUNTIFS(Export!$E:$E,A33,Export!$H:$H,"Efectivo",Export!$M:$M,"&lt;="&amp;13)/B33*100,0))</f>
        <v/>
      </c>
      <c r="R33" s="46" t="str">
        <f>IF(B33=0,"",IFERROR(COUNTIFS(Export!$E:$E,A33,Export!$H:$H,"Efectivo",Export!$M:$M,"&lt;="&amp;14)/B33*100,0))</f>
        <v/>
      </c>
      <c r="S33" s="46" t="str">
        <f>IF(B33=0,"",IFERROR(COUNTIFS(Export!$E:$E,A33,Export!$H:$H,"Efectivo",Export!$M:$M,"&lt;="&amp;15)/B33*100,0))</f>
        <v/>
      </c>
      <c r="T33" s="46" t="str">
        <f>IF(B33=0,"",IFERROR(COUNTIFS(Export!$E:$E,A33,Export!$H:$H,"Efectivo",Export!$M:$M,"&lt;="&amp;16)/B33*100,0))</f>
        <v/>
      </c>
      <c r="U33" s="46" t="str">
        <f>IF(B33=0,"",IFERROR(COUNTIFS(Export!$E:$E,A33,Export!$H:$H,"Efectivo",Export!$M:$M,"&lt;="&amp;17)/B33*100,0))</f>
        <v/>
      </c>
      <c r="V33" s="46" t="str">
        <f>IF(B33=0,"",IFERROR(COUNTIFS(Export!$E:$E,A33,Export!$H:$H,"Efectivo",Export!$M:$M,"&lt;="&amp;18)/B33*100,0))</f>
        <v/>
      </c>
      <c r="W33" s="46" t="str">
        <f>IF(B33=0,"",IFERROR(COUNTIFS(Export!$E:$E,A33,Export!$H:$H,"Efectivo",Export!$M:$M,"&lt;="&amp;19)/B33*100,0))</f>
        <v/>
      </c>
      <c r="X33" s="46" t="str">
        <f>IF(B33=0,"",IFERROR(COUNTIFS(Export!$E:$E,A33,Export!$H:$H,"Efectivo",Export!$M:$M,"&lt;="&amp;20)/B33*100,0))</f>
        <v/>
      </c>
      <c r="Y33" s="46" t="str">
        <f>IF(B33=0,"",IFERROR(COUNTIFS(Export!$E:$E,A33,Export!$H:$H,"Efectivo",Export!$M:$M,"&lt;="&amp;21)/B33*100,0))</f>
        <v/>
      </c>
      <c r="Z33" s="46" t="str">
        <f>IF(B33=0,"",IFERROR(COUNTIFS(Export!$E:$E,A33,Export!$H:$H,"Efectivo",Export!$M:$M,"&lt;="&amp;22)/B33*100,0))</f>
        <v/>
      </c>
      <c r="AA33" s="46" t="str">
        <f>IF(B33=0,"",IFERROR(COUNTIFS(Export!$E:$E,A33,Export!$H:$H,"Efectivo",Export!$M:$M,"&lt;="&amp;23)/B33*100,0))</f>
        <v/>
      </c>
      <c r="AB33" s="46" t="str">
        <f>IF(B33=0,"",IFERROR(COUNTIFS(Export!$E:$E,A33,Export!$H:$H,"Efectivo",Export!$M:$M,"&lt;="&amp;24)/B33*100,0))</f>
        <v/>
      </c>
      <c r="AC33" s="46" t="str">
        <f>IF(B33=0,"",IFERROR(COUNTIFS(Export!$E:$E,A33,Export!$H:$H,"Efectivo",Export!$M:$M,"&lt;="&amp;25)/B33*100,0))</f>
        <v/>
      </c>
      <c r="AD33" s="46" t="str">
        <f>IF(B33=0,"",IFERROR(COUNTIFS(Export!$E:$E,A33,Export!$H:$H,"Efectivo",Export!$M:$M,"&lt;="&amp;26)/B33*100,0))</f>
        <v/>
      </c>
      <c r="AE33" s="46" t="str">
        <f>IF(B33=0,"",IFERROR(COUNTIFS(Export!$E:$E,A33,Export!$H:$H,"Efectivo",Export!$M:$M,"&lt;="&amp;27)/B33*100,0))</f>
        <v/>
      </c>
      <c r="AF33" s="46" t="str">
        <f>IF(B33=0,"",IFERROR(COUNTIFS(Export!$E:$E,A33,Export!$H:$H,"Efectivo",Export!$M:$M,"&lt;="&amp;28)/B33*100,0))</f>
        <v/>
      </c>
      <c r="AG33" s="46" t="str">
        <f>IF(B33=0,"",IFERROR(COUNTIFS(Export!$E:$E,A33,Export!$H:$H,"Efectivo",Export!$M:$M,"&lt;="&amp;29)/B33*100,0))</f>
        <v/>
      </c>
      <c r="AH33" s="46" t="str">
        <f>IF(B33=0,"",IFERROR(COUNTIFS(Export!$E:$E,A33,Export!$H:$H,"Efectivo",Export!$M:$M,"&lt;="&amp;30)/B33*100,0))</f>
        <v/>
      </c>
      <c r="AI33" s="46" t="str">
        <f>IF(B33=0,"",IFERROR(COUNTIFS(Export!$E:$E,A33,Export!$H:$H,"Efectivo",Export!$M:$M,"&lt;="&amp;31)/B33*100,0))</f>
        <v/>
      </c>
      <c r="AJ33" s="46" t="str">
        <f>IF(B33=0,"",IFERROR(COUNTIFS(Export!$E:$E,A33,Export!$H:$H,"Efectivo",Export!$M:$M,"&lt;="&amp;32)/B33*100,0))</f>
        <v/>
      </c>
      <c r="AK33" s="46" t="str">
        <f>IF(B33=0,"",IFERROR(COUNTIFS(Export!$E:$E,A33,Export!$H:$H,"Efectivo",Export!$M:$M,"&lt;="&amp;33)/B33*100,0))</f>
        <v/>
      </c>
      <c r="AL33" s="46" t="str">
        <f>IF(B33=0,"",IFERROR(COUNTIFS(Export!$E:$E,A33,Export!$H:$H,"Efectivo",Export!$M:$M,"&lt;="&amp;34)/B33*100,0))</f>
        <v/>
      </c>
      <c r="AM33" s="46" t="str">
        <f>IF(B33=0,"",IFERROR(COUNTIFS(Export!$E:$E,A33,Export!$H:$H,"Efectivo",Export!$M:$M,"&lt;="&amp;35)/B33*100,0))</f>
        <v/>
      </c>
      <c r="AN33" s="46" t="str">
        <f>IF(B33=0,"",IFERROR(COUNTIFS(Export!$E:$E,A33,Export!$H:$H,"Efectivo",Export!$M:$M,"&lt;="&amp;36)/B33*100,0))</f>
        <v/>
      </c>
    </row>
    <row r="34" spans="1:40" x14ac:dyDescent="0.35">
      <c r="A34" s="48" t="s">
        <v>59</v>
      </c>
      <c r="B34" s="44">
        <f>IFERROR(COUNTIF(Export!$E:$E,A34),0)</f>
        <v>0</v>
      </c>
      <c r="C34" s="45">
        <f>IFERROR(VLOOKUP(A34,Originaciones!$A:$B,2,0),"")</f>
        <v>0</v>
      </c>
      <c r="D34" s="46" t="str">
        <f>IF(B34=0,"",IFERROR(COUNTIFS(Export!$E:$E,A34,Export!$H:$H,"Efectivo",Export!$M:$M,"&lt;="&amp;0)/B34*100,0))</f>
        <v/>
      </c>
      <c r="E34" s="46" t="str">
        <f>IF(B34=0,"",IFERROR(COUNTIFS(Export!$E:$E,A34,Export!$H:$H,"Efectivo",Export!$M:$M,"&lt;="&amp;1)/B34*100,0))</f>
        <v/>
      </c>
      <c r="F34" s="46" t="str">
        <f>IF(B34=0,"",IFERROR(COUNTIFS(Export!$E:$E,A34,Export!$H:$H,"Efectivo",Export!$M:$M,"&lt;="&amp;2)/B34*100,0))</f>
        <v/>
      </c>
      <c r="G34" s="46" t="str">
        <f>IF(B34=0,"",IFERROR(COUNTIFS(Export!$E:$E,A34,Export!$H:$H,"Efectivo",Export!$M:$M,"&lt;="&amp;3)/B34*100,0))</f>
        <v/>
      </c>
      <c r="H34" s="46" t="str">
        <f>IF(B34=0,"",IFERROR(COUNTIFS(Export!$E:$E,A34,Export!$H:$H,"Efectivo",Export!$M:$M,"&lt;="&amp;4)/B34*100,0))</f>
        <v/>
      </c>
      <c r="I34" s="46" t="str">
        <f>IF(B34=0,"",IFERROR(COUNTIFS(Export!$E:$E,A34,Export!$H:$H,"Efectivo",Export!$M:$M,"&lt;="&amp;5)/B34*100,0))</f>
        <v/>
      </c>
      <c r="J34" s="46" t="str">
        <f>IF(B34=0,"",IFERROR(COUNTIFS(Export!$E:$E,A34,Export!$H:$H,"Efectivo",Export!$M:$M,"&lt;="&amp;6)/B34*100,0))</f>
        <v/>
      </c>
      <c r="K34" s="46" t="str">
        <f>IF(B34=0,"",IFERROR(COUNTIFS(Export!$E:$E,A34,Export!$H:$H,"Efectivo",Export!$M:$M,"&lt;="&amp;7)/B34*100,0))</f>
        <v/>
      </c>
      <c r="L34" s="46" t="str">
        <f>IF(B34=0,"",IFERROR(COUNTIFS(Export!$E:$E,A34,Export!$H:$H,"Efectivo",Export!$M:$M,"&lt;="&amp;8)/B34*100,0))</f>
        <v/>
      </c>
      <c r="M34" s="46" t="str">
        <f>IF(B34=0,"",IFERROR(COUNTIFS(Export!$E:$E,A34,Export!$H:$H,"Efectivo",Export!$M:$M,"&lt;="&amp;9)/B34*100,0))</f>
        <v/>
      </c>
      <c r="N34" s="46" t="str">
        <f>IF(B34=0,"",IFERROR(COUNTIFS(Export!$E:$E,A34,Export!$H:$H,"Efectivo",Export!$M:$M,"&lt;="&amp;10)/B34*100,0))</f>
        <v/>
      </c>
      <c r="O34" s="46" t="str">
        <f>IF(B34=0,"",IFERROR(COUNTIFS(Export!$E:$E,A34,Export!$H:$H,"Efectivo",Export!$M:$M,"&lt;="&amp;11)/B34*100,0))</f>
        <v/>
      </c>
      <c r="P34" s="46" t="str">
        <f>IF(B34=0,"",IFERROR(COUNTIFS(Export!$E:$E,A34,Export!$H:$H,"Efectivo",Export!$M:$M,"&lt;="&amp;12)/B34*100,0))</f>
        <v/>
      </c>
      <c r="Q34" s="46" t="str">
        <f>IF(B34=0,"",IFERROR(COUNTIFS(Export!$E:$E,A34,Export!$H:$H,"Efectivo",Export!$M:$M,"&lt;="&amp;13)/B34*100,0))</f>
        <v/>
      </c>
      <c r="R34" s="46" t="str">
        <f>IF(B34=0,"",IFERROR(COUNTIFS(Export!$E:$E,A34,Export!$H:$H,"Efectivo",Export!$M:$M,"&lt;="&amp;14)/B34*100,0))</f>
        <v/>
      </c>
      <c r="S34" s="46" t="str">
        <f>IF(B34=0,"",IFERROR(COUNTIFS(Export!$E:$E,A34,Export!$H:$H,"Efectivo",Export!$M:$M,"&lt;="&amp;15)/B34*100,0))</f>
        <v/>
      </c>
      <c r="T34" s="46" t="str">
        <f>IF(B34=0,"",IFERROR(COUNTIFS(Export!$E:$E,A34,Export!$H:$H,"Efectivo",Export!$M:$M,"&lt;="&amp;16)/B34*100,0))</f>
        <v/>
      </c>
      <c r="U34" s="46" t="str">
        <f>IF(B34=0,"",IFERROR(COUNTIFS(Export!$E:$E,A34,Export!$H:$H,"Efectivo",Export!$M:$M,"&lt;="&amp;17)/B34*100,0))</f>
        <v/>
      </c>
      <c r="V34" s="46" t="str">
        <f>IF(B34=0,"",IFERROR(COUNTIFS(Export!$E:$E,A34,Export!$H:$H,"Efectivo",Export!$M:$M,"&lt;="&amp;18)/B34*100,0))</f>
        <v/>
      </c>
      <c r="W34" s="46" t="str">
        <f>IF(B34=0,"",IFERROR(COUNTIFS(Export!$E:$E,A34,Export!$H:$H,"Efectivo",Export!$M:$M,"&lt;="&amp;19)/B34*100,0))</f>
        <v/>
      </c>
      <c r="X34" s="46" t="str">
        <f>IF(B34=0,"",IFERROR(COUNTIFS(Export!$E:$E,A34,Export!$H:$H,"Efectivo",Export!$M:$M,"&lt;="&amp;20)/B34*100,0))</f>
        <v/>
      </c>
      <c r="Y34" s="46" t="str">
        <f>IF(B34=0,"",IFERROR(COUNTIFS(Export!$E:$E,A34,Export!$H:$H,"Efectivo",Export!$M:$M,"&lt;="&amp;21)/B34*100,0))</f>
        <v/>
      </c>
      <c r="Z34" s="46" t="str">
        <f>IF(B34=0,"",IFERROR(COUNTIFS(Export!$E:$E,A34,Export!$H:$H,"Efectivo",Export!$M:$M,"&lt;="&amp;22)/B34*100,0))</f>
        <v/>
      </c>
      <c r="AA34" s="46" t="str">
        <f>IF(B34=0,"",IFERROR(COUNTIFS(Export!$E:$E,A34,Export!$H:$H,"Efectivo",Export!$M:$M,"&lt;="&amp;23)/B34*100,0))</f>
        <v/>
      </c>
      <c r="AB34" s="46" t="str">
        <f>IF(B34=0,"",IFERROR(COUNTIFS(Export!$E:$E,A34,Export!$H:$H,"Efectivo",Export!$M:$M,"&lt;="&amp;24)/B34*100,0))</f>
        <v/>
      </c>
      <c r="AC34" s="46" t="str">
        <f>IF(B34=0,"",IFERROR(COUNTIFS(Export!$E:$E,A34,Export!$H:$H,"Efectivo",Export!$M:$M,"&lt;="&amp;25)/B34*100,0))</f>
        <v/>
      </c>
      <c r="AD34" s="46" t="str">
        <f>IF(B34=0,"",IFERROR(COUNTIFS(Export!$E:$E,A34,Export!$H:$H,"Efectivo",Export!$M:$M,"&lt;="&amp;26)/B34*100,0))</f>
        <v/>
      </c>
      <c r="AE34" s="46" t="str">
        <f>IF(B34=0,"",IFERROR(COUNTIFS(Export!$E:$E,A34,Export!$H:$H,"Efectivo",Export!$M:$M,"&lt;="&amp;27)/B34*100,0))</f>
        <v/>
      </c>
      <c r="AF34" s="46" t="str">
        <f>IF(B34=0,"",IFERROR(COUNTIFS(Export!$E:$E,A34,Export!$H:$H,"Efectivo",Export!$M:$M,"&lt;="&amp;28)/B34*100,0))</f>
        <v/>
      </c>
      <c r="AG34" s="46" t="str">
        <f>IF(B34=0,"",IFERROR(COUNTIFS(Export!$E:$E,A34,Export!$H:$H,"Efectivo",Export!$M:$M,"&lt;="&amp;29)/B34*100,0))</f>
        <v/>
      </c>
      <c r="AH34" s="46" t="str">
        <f>IF(B34=0,"",IFERROR(COUNTIFS(Export!$E:$E,A34,Export!$H:$H,"Efectivo",Export!$M:$M,"&lt;="&amp;30)/B34*100,0))</f>
        <v/>
      </c>
      <c r="AI34" s="46" t="str">
        <f>IF(B34=0,"",IFERROR(COUNTIFS(Export!$E:$E,A34,Export!$H:$H,"Efectivo",Export!$M:$M,"&lt;="&amp;31)/B34*100,0))</f>
        <v/>
      </c>
      <c r="AJ34" s="46" t="str">
        <f>IF(B34=0,"",IFERROR(COUNTIFS(Export!$E:$E,A34,Export!$H:$H,"Efectivo",Export!$M:$M,"&lt;="&amp;32)/B34*100,0))</f>
        <v/>
      </c>
      <c r="AK34" s="46" t="str">
        <f>IF(B34=0,"",IFERROR(COUNTIFS(Export!$E:$E,A34,Export!$H:$H,"Efectivo",Export!$M:$M,"&lt;="&amp;33)/B34*100,0))</f>
        <v/>
      </c>
      <c r="AL34" s="46" t="str">
        <f>IF(B34=0,"",IFERROR(COUNTIFS(Export!$E:$E,A34,Export!$H:$H,"Efectivo",Export!$M:$M,"&lt;="&amp;34)/B34*100,0))</f>
        <v/>
      </c>
      <c r="AM34" s="46" t="str">
        <f>IF(B34=0,"",IFERROR(COUNTIFS(Export!$E:$E,A34,Export!$H:$H,"Efectivo",Export!$M:$M,"&lt;="&amp;35)/B34*100,0))</f>
        <v/>
      </c>
      <c r="AN34" s="46" t="str">
        <f>IF(B34=0,"",IFERROR(COUNTIFS(Export!$E:$E,A34,Export!$H:$H,"Efectivo",Export!$M:$M,"&lt;="&amp;36)/B34*100,0))</f>
        <v/>
      </c>
    </row>
    <row r="35" spans="1:40" x14ac:dyDescent="0.35">
      <c r="A35" s="48" t="s">
        <v>60</v>
      </c>
      <c r="B35" s="44">
        <f>IFERROR(COUNTIF(Export!$E:$E,A35),0)</f>
        <v>0</v>
      </c>
      <c r="C35" s="45">
        <f>IFERROR(VLOOKUP(A35,Originaciones!$A:$B,2,0),"")</f>
        <v>0</v>
      </c>
      <c r="D35" s="46" t="str">
        <f>IF(B35=0,"",IFERROR(COUNTIFS(Export!$E:$E,A35,Export!$H:$H,"Efectivo",Export!$M:$M,"&lt;="&amp;0)/B35*100,0))</f>
        <v/>
      </c>
      <c r="E35" s="46" t="str">
        <f>IF(B35=0,"",IFERROR(COUNTIFS(Export!$E:$E,A35,Export!$H:$H,"Efectivo",Export!$M:$M,"&lt;="&amp;1)/B35*100,0))</f>
        <v/>
      </c>
      <c r="F35" s="46" t="str">
        <f>IF(B35=0,"",IFERROR(COUNTIFS(Export!$E:$E,A35,Export!$H:$H,"Efectivo",Export!$M:$M,"&lt;="&amp;2)/B35*100,0))</f>
        <v/>
      </c>
      <c r="G35" s="46" t="str">
        <f>IF(B35=0,"",IFERROR(COUNTIFS(Export!$E:$E,A35,Export!$H:$H,"Efectivo",Export!$M:$M,"&lt;="&amp;3)/B35*100,0))</f>
        <v/>
      </c>
      <c r="H35" s="46" t="str">
        <f>IF(B35=0,"",IFERROR(COUNTIFS(Export!$E:$E,A35,Export!$H:$H,"Efectivo",Export!$M:$M,"&lt;="&amp;4)/B35*100,0))</f>
        <v/>
      </c>
      <c r="I35" s="46" t="str">
        <f>IF(B35=0,"",IFERROR(COUNTIFS(Export!$E:$E,A35,Export!$H:$H,"Efectivo",Export!$M:$M,"&lt;="&amp;5)/B35*100,0))</f>
        <v/>
      </c>
      <c r="J35" s="46" t="str">
        <f>IF(B35=0,"",IFERROR(COUNTIFS(Export!$E:$E,A35,Export!$H:$H,"Efectivo",Export!$M:$M,"&lt;="&amp;6)/B35*100,0))</f>
        <v/>
      </c>
      <c r="K35" s="46" t="str">
        <f>IF(B35=0,"",IFERROR(COUNTIFS(Export!$E:$E,A35,Export!$H:$H,"Efectivo",Export!$M:$M,"&lt;="&amp;7)/B35*100,0))</f>
        <v/>
      </c>
      <c r="L35" s="46" t="str">
        <f>IF(B35=0,"",IFERROR(COUNTIFS(Export!$E:$E,A35,Export!$H:$H,"Efectivo",Export!$M:$M,"&lt;="&amp;8)/B35*100,0))</f>
        <v/>
      </c>
      <c r="M35" s="46" t="str">
        <f>IF(B35=0,"",IFERROR(COUNTIFS(Export!$E:$E,A35,Export!$H:$H,"Efectivo",Export!$M:$M,"&lt;="&amp;9)/B35*100,0))</f>
        <v/>
      </c>
      <c r="N35" s="46" t="str">
        <f>IF(B35=0,"",IFERROR(COUNTIFS(Export!$E:$E,A35,Export!$H:$H,"Efectivo",Export!$M:$M,"&lt;="&amp;10)/B35*100,0))</f>
        <v/>
      </c>
      <c r="O35" s="46" t="str">
        <f>IF(B35=0,"",IFERROR(COUNTIFS(Export!$E:$E,A35,Export!$H:$H,"Efectivo",Export!$M:$M,"&lt;="&amp;11)/B35*100,0))</f>
        <v/>
      </c>
      <c r="P35" s="46" t="str">
        <f>IF(B35=0,"",IFERROR(COUNTIFS(Export!$E:$E,A35,Export!$H:$H,"Efectivo",Export!$M:$M,"&lt;="&amp;12)/B35*100,0))</f>
        <v/>
      </c>
      <c r="Q35" s="46" t="str">
        <f>IF(B35=0,"",IFERROR(COUNTIFS(Export!$E:$E,A35,Export!$H:$H,"Efectivo",Export!$M:$M,"&lt;="&amp;13)/B35*100,0))</f>
        <v/>
      </c>
      <c r="R35" s="46" t="str">
        <f>IF(B35=0,"",IFERROR(COUNTIFS(Export!$E:$E,A35,Export!$H:$H,"Efectivo",Export!$M:$M,"&lt;="&amp;14)/B35*100,0))</f>
        <v/>
      </c>
      <c r="S35" s="46" t="str">
        <f>IF(B35=0,"",IFERROR(COUNTIFS(Export!$E:$E,A35,Export!$H:$H,"Efectivo",Export!$M:$M,"&lt;="&amp;15)/B35*100,0))</f>
        <v/>
      </c>
      <c r="T35" s="46" t="str">
        <f>IF(B35=0,"",IFERROR(COUNTIFS(Export!$E:$E,A35,Export!$H:$H,"Efectivo",Export!$M:$M,"&lt;="&amp;16)/B35*100,0))</f>
        <v/>
      </c>
      <c r="U35" s="46" t="str">
        <f>IF(B35=0,"",IFERROR(COUNTIFS(Export!$E:$E,A35,Export!$H:$H,"Efectivo",Export!$M:$M,"&lt;="&amp;17)/B35*100,0))</f>
        <v/>
      </c>
      <c r="V35" s="46" t="str">
        <f>IF(B35=0,"",IFERROR(COUNTIFS(Export!$E:$E,A35,Export!$H:$H,"Efectivo",Export!$M:$M,"&lt;="&amp;18)/B35*100,0))</f>
        <v/>
      </c>
      <c r="W35" s="46" t="str">
        <f>IF(B35=0,"",IFERROR(COUNTIFS(Export!$E:$E,A35,Export!$H:$H,"Efectivo",Export!$M:$M,"&lt;="&amp;19)/B35*100,0))</f>
        <v/>
      </c>
      <c r="X35" s="46" t="str">
        <f>IF(B35=0,"",IFERROR(COUNTIFS(Export!$E:$E,A35,Export!$H:$H,"Efectivo",Export!$M:$M,"&lt;="&amp;20)/B35*100,0))</f>
        <v/>
      </c>
      <c r="Y35" s="46" t="str">
        <f>IF(B35=0,"",IFERROR(COUNTIFS(Export!$E:$E,A35,Export!$H:$H,"Efectivo",Export!$M:$M,"&lt;="&amp;21)/B35*100,0))</f>
        <v/>
      </c>
      <c r="Z35" s="46" t="str">
        <f>IF(B35=0,"",IFERROR(COUNTIFS(Export!$E:$E,A35,Export!$H:$H,"Efectivo",Export!$M:$M,"&lt;="&amp;22)/B35*100,0))</f>
        <v/>
      </c>
      <c r="AA35" s="46" t="str">
        <f>IF(B35=0,"",IFERROR(COUNTIFS(Export!$E:$E,A35,Export!$H:$H,"Efectivo",Export!$M:$M,"&lt;="&amp;23)/B35*100,0))</f>
        <v/>
      </c>
      <c r="AB35" s="46" t="str">
        <f>IF(B35=0,"",IFERROR(COUNTIFS(Export!$E:$E,A35,Export!$H:$H,"Efectivo",Export!$M:$M,"&lt;="&amp;24)/B35*100,0))</f>
        <v/>
      </c>
      <c r="AC35" s="46" t="str">
        <f>IF(B35=0,"",IFERROR(COUNTIFS(Export!$E:$E,A35,Export!$H:$H,"Efectivo",Export!$M:$M,"&lt;="&amp;25)/B35*100,0))</f>
        <v/>
      </c>
      <c r="AD35" s="46" t="str">
        <f>IF(B35=0,"",IFERROR(COUNTIFS(Export!$E:$E,A35,Export!$H:$H,"Efectivo",Export!$M:$M,"&lt;="&amp;26)/B35*100,0))</f>
        <v/>
      </c>
      <c r="AE35" s="46" t="str">
        <f>IF(B35=0,"",IFERROR(COUNTIFS(Export!$E:$E,A35,Export!$H:$H,"Efectivo",Export!$M:$M,"&lt;="&amp;27)/B35*100,0))</f>
        <v/>
      </c>
      <c r="AF35" s="46" t="str">
        <f>IF(B35=0,"",IFERROR(COUNTIFS(Export!$E:$E,A35,Export!$H:$H,"Efectivo",Export!$M:$M,"&lt;="&amp;28)/B35*100,0))</f>
        <v/>
      </c>
      <c r="AG35" s="46" t="str">
        <f>IF(B35=0,"",IFERROR(COUNTIFS(Export!$E:$E,A35,Export!$H:$H,"Efectivo",Export!$M:$M,"&lt;="&amp;29)/B35*100,0))</f>
        <v/>
      </c>
      <c r="AH35" s="46" t="str">
        <f>IF(B35=0,"",IFERROR(COUNTIFS(Export!$E:$E,A35,Export!$H:$H,"Efectivo",Export!$M:$M,"&lt;="&amp;30)/B35*100,0))</f>
        <v/>
      </c>
      <c r="AI35" s="46" t="str">
        <f>IF(B35=0,"",IFERROR(COUNTIFS(Export!$E:$E,A35,Export!$H:$H,"Efectivo",Export!$M:$M,"&lt;="&amp;31)/B35*100,0))</f>
        <v/>
      </c>
      <c r="AJ35" s="46" t="str">
        <f>IF(B35=0,"",IFERROR(COUNTIFS(Export!$E:$E,A35,Export!$H:$H,"Efectivo",Export!$M:$M,"&lt;="&amp;32)/B35*100,0))</f>
        <v/>
      </c>
      <c r="AK35" s="46" t="str">
        <f>IF(B35=0,"",IFERROR(COUNTIFS(Export!$E:$E,A35,Export!$H:$H,"Efectivo",Export!$M:$M,"&lt;="&amp;33)/B35*100,0))</f>
        <v/>
      </c>
      <c r="AL35" s="46" t="str">
        <f>IF(B35=0,"",IFERROR(COUNTIFS(Export!$E:$E,A35,Export!$H:$H,"Efectivo",Export!$M:$M,"&lt;="&amp;34)/B35*100,0))</f>
        <v/>
      </c>
      <c r="AM35" s="46" t="str">
        <f>IF(B35=0,"",IFERROR(COUNTIFS(Export!$E:$E,A35,Export!$H:$H,"Efectivo",Export!$M:$M,"&lt;="&amp;35)/B35*100,0))</f>
        <v/>
      </c>
      <c r="AN35" s="46" t="str">
        <f>IF(B35=0,"",IFERROR(COUNTIFS(Export!$E:$E,A35,Export!$H:$H,"Efectivo",Export!$M:$M,"&lt;="&amp;36)/B35*100,0))</f>
        <v/>
      </c>
    </row>
    <row r="36" spans="1:40" x14ac:dyDescent="0.35">
      <c r="A36" s="48" t="s">
        <v>61</v>
      </c>
      <c r="B36" s="44">
        <f>IFERROR(COUNTIF(Export!$E:$E,A36),0)</f>
        <v>0</v>
      </c>
      <c r="C36" s="45">
        <f>IFERROR(VLOOKUP(A36,Originaciones!$A:$B,2,0),"")</f>
        <v>0</v>
      </c>
      <c r="D36" s="46" t="str">
        <f>IF(B36=0,"",IFERROR(COUNTIFS(Export!$E:$E,A36,Export!$H:$H,"Efectivo",Export!$M:$M,"&lt;="&amp;0)/B36*100,0))</f>
        <v/>
      </c>
      <c r="E36" s="46" t="str">
        <f>IF(B36=0,"",IFERROR(COUNTIFS(Export!$E:$E,A36,Export!$H:$H,"Efectivo",Export!$M:$M,"&lt;="&amp;1)/B36*100,0))</f>
        <v/>
      </c>
      <c r="F36" s="46" t="str">
        <f>IF(B36=0,"",IFERROR(COUNTIFS(Export!$E:$E,A36,Export!$H:$H,"Efectivo",Export!$M:$M,"&lt;="&amp;2)/B36*100,0))</f>
        <v/>
      </c>
      <c r="G36" s="46" t="str">
        <f>IF(B36=0,"",IFERROR(COUNTIFS(Export!$E:$E,A36,Export!$H:$H,"Efectivo",Export!$M:$M,"&lt;="&amp;3)/B36*100,0))</f>
        <v/>
      </c>
      <c r="H36" s="46" t="str">
        <f>IF(B36=0,"",IFERROR(COUNTIFS(Export!$E:$E,A36,Export!$H:$H,"Efectivo",Export!$M:$M,"&lt;="&amp;4)/B36*100,0))</f>
        <v/>
      </c>
      <c r="I36" s="46" t="str">
        <f>IF(B36=0,"",IFERROR(COUNTIFS(Export!$E:$E,A36,Export!$H:$H,"Efectivo",Export!$M:$M,"&lt;="&amp;5)/B36*100,0))</f>
        <v/>
      </c>
      <c r="J36" s="46" t="str">
        <f>IF(B36=0,"",IFERROR(COUNTIFS(Export!$E:$E,A36,Export!$H:$H,"Efectivo",Export!$M:$M,"&lt;="&amp;6)/B36*100,0))</f>
        <v/>
      </c>
      <c r="K36" s="46" t="str">
        <f>IF(B36=0,"",IFERROR(COUNTIFS(Export!$E:$E,A36,Export!$H:$H,"Efectivo",Export!$M:$M,"&lt;="&amp;7)/B36*100,0))</f>
        <v/>
      </c>
      <c r="L36" s="46" t="str">
        <f>IF(B36=0,"",IFERROR(COUNTIFS(Export!$E:$E,A36,Export!$H:$H,"Efectivo",Export!$M:$M,"&lt;="&amp;8)/B36*100,0))</f>
        <v/>
      </c>
      <c r="M36" s="46" t="str">
        <f>IF(B36=0,"",IFERROR(COUNTIFS(Export!$E:$E,A36,Export!$H:$H,"Efectivo",Export!$M:$M,"&lt;="&amp;9)/B36*100,0))</f>
        <v/>
      </c>
      <c r="N36" s="46" t="str">
        <f>IF(B36=0,"",IFERROR(COUNTIFS(Export!$E:$E,A36,Export!$H:$H,"Efectivo",Export!$M:$M,"&lt;="&amp;10)/B36*100,0))</f>
        <v/>
      </c>
      <c r="O36" s="46" t="str">
        <f>IF(B36=0,"",IFERROR(COUNTIFS(Export!$E:$E,A36,Export!$H:$H,"Efectivo",Export!$M:$M,"&lt;="&amp;11)/B36*100,0))</f>
        <v/>
      </c>
      <c r="P36" s="46" t="str">
        <f>IF(B36=0,"",IFERROR(COUNTIFS(Export!$E:$E,A36,Export!$H:$H,"Efectivo",Export!$M:$M,"&lt;="&amp;12)/B36*100,0))</f>
        <v/>
      </c>
      <c r="Q36" s="46" t="str">
        <f>IF(B36=0,"",IFERROR(COUNTIFS(Export!$E:$E,A36,Export!$H:$H,"Efectivo",Export!$M:$M,"&lt;="&amp;13)/B36*100,0))</f>
        <v/>
      </c>
      <c r="R36" s="46" t="str">
        <f>IF(B36=0,"",IFERROR(COUNTIFS(Export!$E:$E,A36,Export!$H:$H,"Efectivo",Export!$M:$M,"&lt;="&amp;14)/B36*100,0))</f>
        <v/>
      </c>
      <c r="S36" s="46" t="str">
        <f>IF(B36=0,"",IFERROR(COUNTIFS(Export!$E:$E,A36,Export!$H:$H,"Efectivo",Export!$M:$M,"&lt;="&amp;15)/B36*100,0))</f>
        <v/>
      </c>
      <c r="T36" s="46" t="str">
        <f>IF(B36=0,"",IFERROR(COUNTIFS(Export!$E:$E,A36,Export!$H:$H,"Efectivo",Export!$M:$M,"&lt;="&amp;16)/B36*100,0))</f>
        <v/>
      </c>
      <c r="U36" s="46" t="str">
        <f>IF(B36=0,"",IFERROR(COUNTIFS(Export!$E:$E,A36,Export!$H:$H,"Efectivo",Export!$M:$M,"&lt;="&amp;17)/B36*100,0))</f>
        <v/>
      </c>
      <c r="V36" s="46" t="str">
        <f>IF(B36=0,"",IFERROR(COUNTIFS(Export!$E:$E,A36,Export!$H:$H,"Efectivo",Export!$M:$M,"&lt;="&amp;18)/B36*100,0))</f>
        <v/>
      </c>
      <c r="W36" s="46" t="str">
        <f>IF(B36=0,"",IFERROR(COUNTIFS(Export!$E:$E,A36,Export!$H:$H,"Efectivo",Export!$M:$M,"&lt;="&amp;19)/B36*100,0))</f>
        <v/>
      </c>
      <c r="X36" s="46" t="str">
        <f>IF(B36=0,"",IFERROR(COUNTIFS(Export!$E:$E,A36,Export!$H:$H,"Efectivo",Export!$M:$M,"&lt;="&amp;20)/B36*100,0))</f>
        <v/>
      </c>
      <c r="Y36" s="46" t="str">
        <f>IF(B36=0,"",IFERROR(COUNTIFS(Export!$E:$E,A36,Export!$H:$H,"Efectivo",Export!$M:$M,"&lt;="&amp;21)/B36*100,0))</f>
        <v/>
      </c>
      <c r="Z36" s="46" t="str">
        <f>IF(B36=0,"",IFERROR(COUNTIFS(Export!$E:$E,A36,Export!$H:$H,"Efectivo",Export!$M:$M,"&lt;="&amp;22)/B36*100,0))</f>
        <v/>
      </c>
      <c r="AA36" s="46" t="str">
        <f>IF(B36=0,"",IFERROR(COUNTIFS(Export!$E:$E,A36,Export!$H:$H,"Efectivo",Export!$M:$M,"&lt;="&amp;23)/B36*100,0))</f>
        <v/>
      </c>
      <c r="AB36" s="46" t="str">
        <f>IF(B36=0,"",IFERROR(COUNTIFS(Export!$E:$E,A36,Export!$H:$H,"Efectivo",Export!$M:$M,"&lt;="&amp;24)/B36*100,0))</f>
        <v/>
      </c>
      <c r="AC36" s="46" t="str">
        <f>IF(B36=0,"",IFERROR(COUNTIFS(Export!$E:$E,A36,Export!$H:$H,"Efectivo",Export!$M:$M,"&lt;="&amp;25)/B36*100,0))</f>
        <v/>
      </c>
      <c r="AD36" s="46" t="str">
        <f>IF(B36=0,"",IFERROR(COUNTIFS(Export!$E:$E,A36,Export!$H:$H,"Efectivo",Export!$M:$M,"&lt;="&amp;26)/B36*100,0))</f>
        <v/>
      </c>
      <c r="AE36" s="46" t="str">
        <f>IF(B36=0,"",IFERROR(COUNTIFS(Export!$E:$E,A36,Export!$H:$H,"Efectivo",Export!$M:$M,"&lt;="&amp;27)/B36*100,0))</f>
        <v/>
      </c>
      <c r="AF36" s="46" t="str">
        <f>IF(B36=0,"",IFERROR(COUNTIFS(Export!$E:$E,A36,Export!$H:$H,"Efectivo",Export!$M:$M,"&lt;="&amp;28)/B36*100,0))</f>
        <v/>
      </c>
      <c r="AG36" s="46" t="str">
        <f>IF(B36=0,"",IFERROR(COUNTIFS(Export!$E:$E,A36,Export!$H:$H,"Efectivo",Export!$M:$M,"&lt;="&amp;29)/B36*100,0))</f>
        <v/>
      </c>
      <c r="AH36" s="46" t="str">
        <f>IF(B36=0,"",IFERROR(COUNTIFS(Export!$E:$E,A36,Export!$H:$H,"Efectivo",Export!$M:$M,"&lt;="&amp;30)/B36*100,0))</f>
        <v/>
      </c>
      <c r="AI36" s="46" t="str">
        <f>IF(B36=0,"",IFERROR(COUNTIFS(Export!$E:$E,A36,Export!$H:$H,"Efectivo",Export!$M:$M,"&lt;="&amp;31)/B36*100,0))</f>
        <v/>
      </c>
      <c r="AJ36" s="46" t="str">
        <f>IF(B36=0,"",IFERROR(COUNTIFS(Export!$E:$E,A36,Export!$H:$H,"Efectivo",Export!$M:$M,"&lt;="&amp;32)/B36*100,0))</f>
        <v/>
      </c>
      <c r="AK36" s="46" t="str">
        <f>IF(B36=0,"",IFERROR(COUNTIFS(Export!$E:$E,A36,Export!$H:$H,"Efectivo",Export!$M:$M,"&lt;="&amp;33)/B36*100,0))</f>
        <v/>
      </c>
      <c r="AL36" s="46" t="str">
        <f>IF(B36=0,"",IFERROR(COUNTIFS(Export!$E:$E,A36,Export!$H:$H,"Efectivo",Export!$M:$M,"&lt;="&amp;34)/B36*100,0))</f>
        <v/>
      </c>
      <c r="AM36" s="46" t="str">
        <f>IF(B36=0,"",IFERROR(COUNTIFS(Export!$E:$E,A36,Export!$H:$H,"Efectivo",Export!$M:$M,"&lt;="&amp;35)/B36*100,0))</f>
        <v/>
      </c>
      <c r="AN36" s="46" t="str">
        <f>IF(B36=0,"",IFERROR(COUNTIFS(Export!$E:$E,A36,Export!$H:$H,"Efectivo",Export!$M:$M,"&lt;="&amp;36)/B36*100,0))</f>
        <v/>
      </c>
    </row>
    <row r="37" spans="1:40" x14ac:dyDescent="0.35">
      <c r="A37" s="48" t="s">
        <v>62</v>
      </c>
      <c r="B37" s="44">
        <f>IFERROR(COUNTIF(Export!$E:$E,A37),0)</f>
        <v>0</v>
      </c>
      <c r="C37" s="45">
        <f>IFERROR(VLOOKUP(A37,Originaciones!$A:$B,2,0),"")</f>
        <v>0</v>
      </c>
      <c r="D37" s="46" t="str">
        <f>IF(B37=0,"",IFERROR(COUNTIFS(Export!$E:$E,A37,Export!$H:$H,"Efectivo",Export!$M:$M,"&lt;="&amp;0)/B37*100,0))</f>
        <v/>
      </c>
      <c r="E37" s="46" t="str">
        <f>IF(B37=0,"",IFERROR(COUNTIFS(Export!$E:$E,A37,Export!$H:$H,"Efectivo",Export!$M:$M,"&lt;="&amp;1)/B37*100,0))</f>
        <v/>
      </c>
      <c r="F37" s="46" t="str">
        <f>IF(B37=0,"",IFERROR(COUNTIFS(Export!$E:$E,A37,Export!$H:$H,"Efectivo",Export!$M:$M,"&lt;="&amp;2)/B37*100,0))</f>
        <v/>
      </c>
      <c r="G37" s="46" t="str">
        <f>IF(B37=0,"",IFERROR(COUNTIFS(Export!$E:$E,A37,Export!$H:$H,"Efectivo",Export!$M:$M,"&lt;="&amp;3)/B37*100,0))</f>
        <v/>
      </c>
      <c r="H37" s="46" t="str">
        <f>IF(B37=0,"",IFERROR(COUNTIFS(Export!$E:$E,A37,Export!$H:$H,"Efectivo",Export!$M:$M,"&lt;="&amp;4)/B37*100,0))</f>
        <v/>
      </c>
      <c r="I37" s="46" t="str">
        <f>IF(B37=0,"",IFERROR(COUNTIFS(Export!$E:$E,A37,Export!$H:$H,"Efectivo",Export!$M:$M,"&lt;="&amp;5)/B37*100,0))</f>
        <v/>
      </c>
      <c r="J37" s="46" t="str">
        <f>IF(B37=0,"",IFERROR(COUNTIFS(Export!$E:$E,A37,Export!$H:$H,"Efectivo",Export!$M:$M,"&lt;="&amp;6)/B37*100,0))</f>
        <v/>
      </c>
      <c r="K37" s="46" t="str">
        <f>IF(B37=0,"",IFERROR(COUNTIFS(Export!$E:$E,A37,Export!$H:$H,"Efectivo",Export!$M:$M,"&lt;="&amp;7)/B37*100,0))</f>
        <v/>
      </c>
      <c r="L37" s="46" t="str">
        <f>IF(B37=0,"",IFERROR(COUNTIFS(Export!$E:$E,A37,Export!$H:$H,"Efectivo",Export!$M:$M,"&lt;="&amp;8)/B37*100,0))</f>
        <v/>
      </c>
      <c r="M37" s="46" t="str">
        <f>IF(B37=0,"",IFERROR(COUNTIFS(Export!$E:$E,A37,Export!$H:$H,"Efectivo",Export!$M:$M,"&lt;="&amp;9)/B37*100,0))</f>
        <v/>
      </c>
      <c r="N37" s="46" t="str">
        <f>IF(B37=0,"",IFERROR(COUNTIFS(Export!$E:$E,A37,Export!$H:$H,"Efectivo",Export!$M:$M,"&lt;="&amp;10)/B37*100,0))</f>
        <v/>
      </c>
      <c r="O37" s="46" t="str">
        <f>IF(B37=0,"",IFERROR(COUNTIFS(Export!$E:$E,A37,Export!$H:$H,"Efectivo",Export!$M:$M,"&lt;="&amp;11)/B37*100,0))</f>
        <v/>
      </c>
      <c r="P37" s="46" t="str">
        <f>IF(B37=0,"",IFERROR(COUNTIFS(Export!$E:$E,A37,Export!$H:$H,"Efectivo",Export!$M:$M,"&lt;="&amp;12)/B37*100,0))</f>
        <v/>
      </c>
      <c r="Q37" s="46" t="str">
        <f>IF(B37=0,"",IFERROR(COUNTIFS(Export!$E:$E,A37,Export!$H:$H,"Efectivo",Export!$M:$M,"&lt;="&amp;13)/B37*100,0))</f>
        <v/>
      </c>
      <c r="R37" s="46" t="str">
        <f>IF(B37=0,"",IFERROR(COUNTIFS(Export!$E:$E,A37,Export!$H:$H,"Efectivo",Export!$M:$M,"&lt;="&amp;14)/B37*100,0))</f>
        <v/>
      </c>
      <c r="S37" s="46" t="str">
        <f>IF(B37=0,"",IFERROR(COUNTIFS(Export!$E:$E,A37,Export!$H:$H,"Efectivo",Export!$M:$M,"&lt;="&amp;15)/B37*100,0))</f>
        <v/>
      </c>
      <c r="T37" s="46" t="str">
        <f>IF(B37=0,"",IFERROR(COUNTIFS(Export!$E:$E,A37,Export!$H:$H,"Efectivo",Export!$M:$M,"&lt;="&amp;16)/B37*100,0))</f>
        <v/>
      </c>
      <c r="U37" s="46" t="str">
        <f>IF(B37=0,"",IFERROR(COUNTIFS(Export!$E:$E,A37,Export!$H:$H,"Efectivo",Export!$M:$M,"&lt;="&amp;17)/B37*100,0))</f>
        <v/>
      </c>
      <c r="V37" s="46" t="str">
        <f>IF(B37=0,"",IFERROR(COUNTIFS(Export!$E:$E,A37,Export!$H:$H,"Efectivo",Export!$M:$M,"&lt;="&amp;18)/B37*100,0))</f>
        <v/>
      </c>
      <c r="W37" s="46" t="str">
        <f>IF(B37=0,"",IFERROR(COUNTIFS(Export!$E:$E,A37,Export!$H:$H,"Efectivo",Export!$M:$M,"&lt;="&amp;19)/B37*100,0))</f>
        <v/>
      </c>
      <c r="X37" s="46" t="str">
        <f>IF(B37=0,"",IFERROR(COUNTIFS(Export!$E:$E,A37,Export!$H:$H,"Efectivo",Export!$M:$M,"&lt;="&amp;20)/B37*100,0))</f>
        <v/>
      </c>
      <c r="Y37" s="46" t="str">
        <f>IF(B37=0,"",IFERROR(COUNTIFS(Export!$E:$E,A37,Export!$H:$H,"Efectivo",Export!$M:$M,"&lt;="&amp;21)/B37*100,0))</f>
        <v/>
      </c>
      <c r="Z37" s="46" t="str">
        <f>IF(B37=0,"",IFERROR(COUNTIFS(Export!$E:$E,A37,Export!$H:$H,"Efectivo",Export!$M:$M,"&lt;="&amp;22)/B37*100,0))</f>
        <v/>
      </c>
      <c r="AA37" s="46" t="str">
        <f>IF(B37=0,"",IFERROR(COUNTIFS(Export!$E:$E,A37,Export!$H:$H,"Efectivo",Export!$M:$M,"&lt;="&amp;23)/B37*100,0))</f>
        <v/>
      </c>
      <c r="AB37" s="46" t="str">
        <f>IF(B37=0,"",IFERROR(COUNTIFS(Export!$E:$E,A37,Export!$H:$H,"Efectivo",Export!$M:$M,"&lt;="&amp;24)/B37*100,0))</f>
        <v/>
      </c>
      <c r="AC37" s="46" t="str">
        <f>IF(B37=0,"",IFERROR(COUNTIFS(Export!$E:$E,A37,Export!$H:$H,"Efectivo",Export!$M:$M,"&lt;="&amp;25)/B37*100,0))</f>
        <v/>
      </c>
      <c r="AD37" s="46" t="str">
        <f>IF(B37=0,"",IFERROR(COUNTIFS(Export!$E:$E,A37,Export!$H:$H,"Efectivo",Export!$M:$M,"&lt;="&amp;26)/B37*100,0))</f>
        <v/>
      </c>
      <c r="AE37" s="46" t="str">
        <f>IF(B37=0,"",IFERROR(COUNTIFS(Export!$E:$E,A37,Export!$H:$H,"Efectivo",Export!$M:$M,"&lt;="&amp;27)/B37*100,0))</f>
        <v/>
      </c>
      <c r="AF37" s="46" t="str">
        <f>IF(B37=0,"",IFERROR(COUNTIFS(Export!$E:$E,A37,Export!$H:$H,"Efectivo",Export!$M:$M,"&lt;="&amp;28)/B37*100,0))</f>
        <v/>
      </c>
      <c r="AG37" s="46" t="str">
        <f>IF(B37=0,"",IFERROR(COUNTIFS(Export!$E:$E,A37,Export!$H:$H,"Efectivo",Export!$M:$M,"&lt;="&amp;29)/B37*100,0))</f>
        <v/>
      </c>
      <c r="AH37" s="46" t="str">
        <f>IF(B37=0,"",IFERROR(COUNTIFS(Export!$E:$E,A37,Export!$H:$H,"Efectivo",Export!$M:$M,"&lt;="&amp;30)/B37*100,0))</f>
        <v/>
      </c>
      <c r="AI37" s="46" t="str">
        <f>IF(B37=0,"",IFERROR(COUNTIFS(Export!$E:$E,A37,Export!$H:$H,"Efectivo",Export!$M:$M,"&lt;="&amp;31)/B37*100,0))</f>
        <v/>
      </c>
      <c r="AJ37" s="46" t="str">
        <f>IF(B37=0,"",IFERROR(COUNTIFS(Export!$E:$E,A37,Export!$H:$H,"Efectivo",Export!$M:$M,"&lt;="&amp;32)/B37*100,0))</f>
        <v/>
      </c>
      <c r="AK37" s="46" t="str">
        <f>IF(B37=0,"",IFERROR(COUNTIFS(Export!$E:$E,A37,Export!$H:$H,"Efectivo",Export!$M:$M,"&lt;="&amp;33)/B37*100,0))</f>
        <v/>
      </c>
      <c r="AL37" s="46" t="str">
        <f>IF(B37=0,"",IFERROR(COUNTIFS(Export!$E:$E,A37,Export!$H:$H,"Efectivo",Export!$M:$M,"&lt;="&amp;34)/B37*100,0))</f>
        <v/>
      </c>
      <c r="AM37" s="46" t="str">
        <f>IF(B37=0,"",IFERROR(COUNTIFS(Export!$E:$E,A37,Export!$H:$H,"Efectivo",Export!$M:$M,"&lt;="&amp;35)/B37*100,0))</f>
        <v/>
      </c>
      <c r="AN37" s="46" t="str">
        <f>IF(B37=0,"",IFERROR(COUNTIFS(Export!$E:$E,A37,Export!$H:$H,"Efectivo",Export!$M:$M,"&lt;="&amp;36)/B37*100,0))</f>
        <v/>
      </c>
    </row>
    <row r="38" spans="1:40" x14ac:dyDescent="0.35">
      <c r="A38" s="48" t="s">
        <v>63</v>
      </c>
      <c r="B38" s="44">
        <f>IFERROR(COUNTIF(Export!$E:$E,A38),0)</f>
        <v>0</v>
      </c>
      <c r="C38" s="45">
        <f>IFERROR(VLOOKUP(A38,Originaciones!$A:$B,2,0),"")</f>
        <v>0</v>
      </c>
      <c r="D38" s="46" t="str">
        <f>IF(B38=0,"",IFERROR(COUNTIFS(Export!$E:$E,A38,Export!$H:$H,"Efectivo",Export!$M:$M,"&lt;="&amp;0)/B38*100,0))</f>
        <v/>
      </c>
      <c r="E38" s="46" t="str">
        <f>IF(B38=0,"",IFERROR(COUNTIFS(Export!$E:$E,A38,Export!$H:$H,"Efectivo",Export!$M:$M,"&lt;="&amp;1)/B38*100,0))</f>
        <v/>
      </c>
      <c r="F38" s="46" t="str">
        <f>IF(B38=0,"",IFERROR(COUNTIFS(Export!$E:$E,A38,Export!$H:$H,"Efectivo",Export!$M:$M,"&lt;="&amp;2)/B38*100,0))</f>
        <v/>
      </c>
      <c r="G38" s="46" t="str">
        <f>IF(B38=0,"",IFERROR(COUNTIFS(Export!$E:$E,A38,Export!$H:$H,"Efectivo",Export!$M:$M,"&lt;="&amp;3)/B38*100,0))</f>
        <v/>
      </c>
      <c r="H38" s="46" t="str">
        <f>IF(B38=0,"",IFERROR(COUNTIFS(Export!$E:$E,A38,Export!$H:$H,"Efectivo",Export!$M:$M,"&lt;="&amp;4)/B38*100,0))</f>
        <v/>
      </c>
      <c r="I38" s="46" t="str">
        <f>IF(B38=0,"",IFERROR(COUNTIFS(Export!$E:$E,A38,Export!$H:$H,"Efectivo",Export!$M:$M,"&lt;="&amp;5)/B38*100,0))</f>
        <v/>
      </c>
      <c r="J38" s="46" t="str">
        <f>IF(B38=0,"",IFERROR(COUNTIFS(Export!$E:$E,A38,Export!$H:$H,"Efectivo",Export!$M:$M,"&lt;="&amp;6)/B38*100,0))</f>
        <v/>
      </c>
      <c r="K38" s="46" t="str">
        <f>IF(B38=0,"",IFERROR(COUNTIFS(Export!$E:$E,A38,Export!$H:$H,"Efectivo",Export!$M:$M,"&lt;="&amp;7)/B38*100,0))</f>
        <v/>
      </c>
      <c r="L38" s="46" t="str">
        <f>IF(B38=0,"",IFERROR(COUNTIFS(Export!$E:$E,A38,Export!$H:$H,"Efectivo",Export!$M:$M,"&lt;="&amp;8)/B38*100,0))</f>
        <v/>
      </c>
      <c r="M38" s="46" t="str">
        <f>IF(B38=0,"",IFERROR(COUNTIFS(Export!$E:$E,A38,Export!$H:$H,"Efectivo",Export!$M:$M,"&lt;="&amp;9)/B38*100,0))</f>
        <v/>
      </c>
      <c r="N38" s="46" t="str">
        <f>IF(B38=0,"",IFERROR(COUNTIFS(Export!$E:$E,A38,Export!$H:$H,"Efectivo",Export!$M:$M,"&lt;="&amp;10)/B38*100,0))</f>
        <v/>
      </c>
      <c r="O38" s="46" t="str">
        <f>IF(B38=0,"",IFERROR(COUNTIFS(Export!$E:$E,A38,Export!$H:$H,"Efectivo",Export!$M:$M,"&lt;="&amp;11)/B38*100,0))</f>
        <v/>
      </c>
      <c r="P38" s="46" t="str">
        <f>IF(B38=0,"",IFERROR(COUNTIFS(Export!$E:$E,A38,Export!$H:$H,"Efectivo",Export!$M:$M,"&lt;="&amp;12)/B38*100,0))</f>
        <v/>
      </c>
      <c r="Q38" s="46" t="str">
        <f>IF(B38=0,"",IFERROR(COUNTIFS(Export!$E:$E,A38,Export!$H:$H,"Efectivo",Export!$M:$M,"&lt;="&amp;13)/B38*100,0))</f>
        <v/>
      </c>
      <c r="R38" s="46" t="str">
        <f>IF(B38=0,"",IFERROR(COUNTIFS(Export!$E:$E,A38,Export!$H:$H,"Efectivo",Export!$M:$M,"&lt;="&amp;14)/B38*100,0))</f>
        <v/>
      </c>
      <c r="S38" s="46" t="str">
        <f>IF(B38=0,"",IFERROR(COUNTIFS(Export!$E:$E,A38,Export!$H:$H,"Efectivo",Export!$M:$M,"&lt;="&amp;15)/B38*100,0))</f>
        <v/>
      </c>
      <c r="T38" s="46" t="str">
        <f>IF(B38=0,"",IFERROR(COUNTIFS(Export!$E:$E,A38,Export!$H:$H,"Efectivo",Export!$M:$M,"&lt;="&amp;16)/B38*100,0))</f>
        <v/>
      </c>
      <c r="U38" s="46" t="str">
        <f>IF(B38=0,"",IFERROR(COUNTIFS(Export!$E:$E,A38,Export!$H:$H,"Efectivo",Export!$M:$M,"&lt;="&amp;17)/B38*100,0))</f>
        <v/>
      </c>
      <c r="V38" s="46" t="str">
        <f>IF(B38=0,"",IFERROR(COUNTIFS(Export!$E:$E,A38,Export!$H:$H,"Efectivo",Export!$M:$M,"&lt;="&amp;18)/B38*100,0))</f>
        <v/>
      </c>
      <c r="W38" s="46" t="str">
        <f>IF(B38=0,"",IFERROR(COUNTIFS(Export!$E:$E,A38,Export!$H:$H,"Efectivo",Export!$M:$M,"&lt;="&amp;19)/B38*100,0))</f>
        <v/>
      </c>
      <c r="X38" s="46" t="str">
        <f>IF(B38=0,"",IFERROR(COUNTIFS(Export!$E:$E,A38,Export!$H:$H,"Efectivo",Export!$M:$M,"&lt;="&amp;20)/B38*100,0))</f>
        <v/>
      </c>
      <c r="Y38" s="46" t="str">
        <f>IF(B38=0,"",IFERROR(COUNTIFS(Export!$E:$E,A38,Export!$H:$H,"Efectivo",Export!$M:$M,"&lt;="&amp;21)/B38*100,0))</f>
        <v/>
      </c>
      <c r="Z38" s="46" t="str">
        <f>IF(B38=0,"",IFERROR(COUNTIFS(Export!$E:$E,A38,Export!$H:$H,"Efectivo",Export!$M:$M,"&lt;="&amp;22)/B38*100,0))</f>
        <v/>
      </c>
      <c r="AA38" s="46" t="str">
        <f>IF(B38=0,"",IFERROR(COUNTIFS(Export!$E:$E,A38,Export!$H:$H,"Efectivo",Export!$M:$M,"&lt;="&amp;23)/B38*100,0))</f>
        <v/>
      </c>
      <c r="AB38" s="46" t="str">
        <f>IF(B38=0,"",IFERROR(COUNTIFS(Export!$E:$E,A38,Export!$H:$H,"Efectivo",Export!$M:$M,"&lt;="&amp;24)/B38*100,0))</f>
        <v/>
      </c>
      <c r="AC38" s="46" t="str">
        <f>IF(B38=0,"",IFERROR(COUNTIFS(Export!$E:$E,A38,Export!$H:$H,"Efectivo",Export!$M:$M,"&lt;="&amp;25)/B38*100,0))</f>
        <v/>
      </c>
      <c r="AD38" s="46" t="str">
        <f>IF(B38=0,"",IFERROR(COUNTIFS(Export!$E:$E,A38,Export!$H:$H,"Efectivo",Export!$M:$M,"&lt;="&amp;26)/B38*100,0))</f>
        <v/>
      </c>
      <c r="AE38" s="46" t="str">
        <f>IF(B38=0,"",IFERROR(COUNTIFS(Export!$E:$E,A38,Export!$H:$H,"Efectivo",Export!$M:$M,"&lt;="&amp;27)/B38*100,0))</f>
        <v/>
      </c>
      <c r="AF38" s="46" t="str">
        <f>IF(B38=0,"",IFERROR(COUNTIFS(Export!$E:$E,A38,Export!$H:$H,"Efectivo",Export!$M:$M,"&lt;="&amp;28)/B38*100,0))</f>
        <v/>
      </c>
      <c r="AG38" s="46" t="str">
        <f>IF(B38=0,"",IFERROR(COUNTIFS(Export!$E:$E,A38,Export!$H:$H,"Efectivo",Export!$M:$M,"&lt;="&amp;29)/B38*100,0))</f>
        <v/>
      </c>
      <c r="AH38" s="46" t="str">
        <f>IF(B38=0,"",IFERROR(COUNTIFS(Export!$E:$E,A38,Export!$H:$H,"Efectivo",Export!$M:$M,"&lt;="&amp;30)/B38*100,0))</f>
        <v/>
      </c>
      <c r="AI38" s="46" t="str">
        <f>IF(B38=0,"",IFERROR(COUNTIFS(Export!$E:$E,A38,Export!$H:$H,"Efectivo",Export!$M:$M,"&lt;="&amp;31)/B38*100,0))</f>
        <v/>
      </c>
      <c r="AJ38" s="46" t="str">
        <f>IF(B38=0,"",IFERROR(COUNTIFS(Export!$E:$E,A38,Export!$H:$H,"Efectivo",Export!$M:$M,"&lt;="&amp;32)/B38*100,0))</f>
        <v/>
      </c>
      <c r="AK38" s="46" t="str">
        <f>IF(B38=0,"",IFERROR(COUNTIFS(Export!$E:$E,A38,Export!$H:$H,"Efectivo",Export!$M:$M,"&lt;="&amp;33)/B38*100,0))</f>
        <v/>
      </c>
      <c r="AL38" s="46" t="str">
        <f>IF(B38=0,"",IFERROR(COUNTIFS(Export!$E:$E,A38,Export!$H:$H,"Efectivo",Export!$M:$M,"&lt;="&amp;34)/B38*100,0))</f>
        <v/>
      </c>
      <c r="AM38" s="46" t="str">
        <f>IF(B38=0,"",IFERROR(COUNTIFS(Export!$E:$E,A38,Export!$H:$H,"Efectivo",Export!$M:$M,"&lt;="&amp;35)/B38*100,0))</f>
        <v/>
      </c>
      <c r="AN38" s="46" t="str">
        <f>IF(B38=0,"",IFERROR(COUNTIFS(Export!$E:$E,A38,Export!$H:$H,"Efectivo",Export!$M:$M,"&lt;="&amp;36)/B38*100,0))</f>
        <v/>
      </c>
    </row>
    <row r="39" spans="1:40" x14ac:dyDescent="0.35">
      <c r="A39" s="49" t="s">
        <v>94</v>
      </c>
      <c r="B39" s="44">
        <f>IFERROR(COUNTIF(Export!$E:$E,A39),0)</f>
        <v>0</v>
      </c>
      <c r="C39" s="45" t="str">
        <f>IFERROR(VLOOKUP(A39,Originaciones!$A:$B,2,0),"")</f>
        <v/>
      </c>
      <c r="D39" s="46" t="str">
        <f>IF(B39=0,"",IFERROR(COUNTIFS(Export!$E:$E,A39,Export!$H:$H,"Efectivo",Export!$M:$M,"&lt;="&amp;0)/B39*100,0))</f>
        <v/>
      </c>
      <c r="E39" s="46" t="str">
        <f>IF(B39=0,"",IFERROR(COUNTIFS(Export!$E:$E,A39,Export!$H:$H,"Efectivo",Export!$M:$M,"&lt;="&amp;1)/B39*100,0))</f>
        <v/>
      </c>
      <c r="F39" s="46" t="str">
        <f>IF(B39=0,"",IFERROR(COUNTIFS(Export!$E:$E,A39,Export!$H:$H,"Efectivo",Export!$M:$M,"&lt;="&amp;2)/B39*100,0))</f>
        <v/>
      </c>
      <c r="G39" s="46" t="str">
        <f>IF(B39=0,"",IFERROR(COUNTIFS(Export!$E:$E,A39,Export!$H:$H,"Efectivo",Export!$M:$M,"&lt;="&amp;3)/B39*100,0))</f>
        <v/>
      </c>
      <c r="H39" s="46" t="str">
        <f>IF(B39=0,"",IFERROR(COUNTIFS(Export!$E:$E,A39,Export!$H:$H,"Efectivo",Export!$M:$M,"&lt;="&amp;4)/B39*100,0))</f>
        <v/>
      </c>
      <c r="I39" s="46" t="str">
        <f>IF(B39=0,"",IFERROR(COUNTIFS(Export!$E:$E,A39,Export!$H:$H,"Efectivo",Export!$M:$M,"&lt;="&amp;5)/B39*100,0))</f>
        <v/>
      </c>
      <c r="J39" s="46" t="str">
        <f>IF(B39=0,"",IFERROR(COUNTIFS(Export!$E:$E,A39,Export!$H:$H,"Efectivo",Export!$M:$M,"&lt;="&amp;6)/B39*100,0))</f>
        <v/>
      </c>
      <c r="K39" s="46" t="str">
        <f>IF(B39=0,"",IFERROR(COUNTIFS(Export!$E:$E,A39,Export!$H:$H,"Efectivo",Export!$M:$M,"&lt;="&amp;7)/B39*100,0))</f>
        <v/>
      </c>
      <c r="L39" s="46" t="str">
        <f>IF(B39=0,"",IFERROR(COUNTIFS(Export!$E:$E,A39,Export!$H:$H,"Efectivo",Export!$M:$M,"&lt;="&amp;8)/B39*100,0))</f>
        <v/>
      </c>
      <c r="M39" s="46" t="str">
        <f>IF(B39=0,"",IFERROR(COUNTIFS(Export!$E:$E,A39,Export!$H:$H,"Efectivo",Export!$M:$M,"&lt;="&amp;9)/B39*100,0))</f>
        <v/>
      </c>
      <c r="N39" s="46" t="str">
        <f>IF(B39=0,"",IFERROR(COUNTIFS(Export!$E:$E,A39,Export!$H:$H,"Efectivo",Export!$M:$M,"&lt;="&amp;10)/B39*100,0))</f>
        <v/>
      </c>
      <c r="O39" s="46" t="str">
        <f>IF(B39=0,"",IFERROR(COUNTIFS(Export!$E:$E,A39,Export!$H:$H,"Efectivo",Export!$M:$M,"&lt;="&amp;11)/B39*100,0))</f>
        <v/>
      </c>
      <c r="P39" s="46" t="str">
        <f>IF(B39=0,"",IFERROR(COUNTIFS(Export!$E:$E,A39,Export!$H:$H,"Efectivo",Export!$M:$M,"&lt;="&amp;12)/B39*100,0))</f>
        <v/>
      </c>
      <c r="Q39" s="46" t="str">
        <f>IF(B39=0,"",IFERROR(COUNTIFS(Export!$E:$E,A39,Export!$H:$H,"Efectivo",Export!$M:$M,"&lt;="&amp;13)/B39*100,0))</f>
        <v/>
      </c>
      <c r="R39" s="46" t="str">
        <f>IF(B39=0,"",IFERROR(COUNTIFS(Export!$E:$E,A39,Export!$H:$H,"Efectivo",Export!$M:$M,"&lt;="&amp;14)/B39*100,0))</f>
        <v/>
      </c>
      <c r="S39" s="46" t="str">
        <f>IF(B39=0,"",IFERROR(COUNTIFS(Export!$E:$E,A39,Export!$H:$H,"Efectivo",Export!$M:$M,"&lt;="&amp;15)/B39*100,0))</f>
        <v/>
      </c>
      <c r="T39" s="46" t="str">
        <f>IF(B39=0,"",IFERROR(COUNTIFS(Export!$E:$E,A39,Export!$H:$H,"Efectivo",Export!$M:$M,"&lt;="&amp;16)/B39*100,0))</f>
        <v/>
      </c>
      <c r="U39" s="46" t="str">
        <f>IF(B39=0,"",IFERROR(COUNTIFS(Export!$E:$E,A39,Export!$H:$H,"Efectivo",Export!$M:$M,"&lt;="&amp;17)/B39*100,0))</f>
        <v/>
      </c>
      <c r="V39" s="46" t="str">
        <f>IF(B39=0,"",IFERROR(COUNTIFS(Export!$E:$E,A39,Export!$H:$H,"Efectivo",Export!$M:$M,"&lt;="&amp;18)/B39*100,0))</f>
        <v/>
      </c>
      <c r="W39" s="46" t="str">
        <f>IF(B39=0,"",IFERROR(COUNTIFS(Export!$E:$E,A39,Export!$H:$H,"Efectivo",Export!$M:$M,"&lt;="&amp;19)/B39*100,0))</f>
        <v/>
      </c>
      <c r="X39" s="46" t="str">
        <f>IF(B39=0,"",IFERROR(COUNTIFS(Export!$E:$E,A39,Export!$H:$H,"Efectivo",Export!$M:$M,"&lt;="&amp;20)/B39*100,0))</f>
        <v/>
      </c>
      <c r="Y39" s="46" t="str">
        <f>IF(B39=0,"",IFERROR(COUNTIFS(Export!$E:$E,A39,Export!$H:$H,"Efectivo",Export!$M:$M,"&lt;="&amp;21)/B39*100,0))</f>
        <v/>
      </c>
      <c r="Z39" s="46" t="str">
        <f>IF(B39=0,"",IFERROR(COUNTIFS(Export!$E:$E,A39,Export!$H:$H,"Efectivo",Export!$M:$M,"&lt;="&amp;22)/B39*100,0))</f>
        <v/>
      </c>
      <c r="AA39" s="46" t="str">
        <f>IF(B39=0,"",IFERROR(COUNTIFS(Export!$E:$E,A39,Export!$H:$H,"Efectivo",Export!$M:$M,"&lt;="&amp;23)/B39*100,0))</f>
        <v/>
      </c>
      <c r="AB39" s="46" t="str">
        <f>IF(B39=0,"",IFERROR(COUNTIFS(Export!$E:$E,A39,Export!$H:$H,"Efectivo",Export!$M:$M,"&lt;="&amp;24)/B39*100,0))</f>
        <v/>
      </c>
      <c r="AC39" s="46" t="str">
        <f>IF(B39=0,"",IFERROR(COUNTIFS(Export!$E:$E,A39,Export!$H:$H,"Efectivo",Export!$M:$M,"&lt;="&amp;25)/B39*100,0))</f>
        <v/>
      </c>
      <c r="AD39" s="46" t="str">
        <f>IF(B39=0,"",IFERROR(COUNTIFS(Export!$E:$E,A39,Export!$H:$H,"Efectivo",Export!$M:$M,"&lt;="&amp;26)/B39*100,0))</f>
        <v/>
      </c>
      <c r="AE39" s="46" t="str">
        <f>IF(B39=0,"",IFERROR(COUNTIFS(Export!$E:$E,A39,Export!$H:$H,"Efectivo",Export!$M:$M,"&lt;="&amp;27)/B39*100,0))</f>
        <v/>
      </c>
      <c r="AF39" s="46" t="str">
        <f>IF(B39=0,"",IFERROR(COUNTIFS(Export!$E:$E,A39,Export!$H:$H,"Efectivo",Export!$M:$M,"&lt;="&amp;28)/B39*100,0))</f>
        <v/>
      </c>
      <c r="AG39" s="46" t="str">
        <f>IF(B39=0,"",IFERROR(COUNTIFS(Export!$E:$E,A39,Export!$H:$H,"Efectivo",Export!$M:$M,"&lt;="&amp;29)/B39*100,0))</f>
        <v/>
      </c>
      <c r="AH39" s="46" t="str">
        <f>IF(B39=0,"",IFERROR(COUNTIFS(Export!$E:$E,A39,Export!$H:$H,"Efectivo",Export!$M:$M,"&lt;="&amp;30)/B39*100,0))</f>
        <v/>
      </c>
      <c r="AI39" s="46" t="str">
        <f>IF(B39=0,"",IFERROR(COUNTIFS(Export!$E:$E,A39,Export!$H:$H,"Efectivo",Export!$M:$M,"&lt;="&amp;31)/B39*100,0))</f>
        <v/>
      </c>
      <c r="AJ39" s="46" t="str">
        <f>IF(B39=0,"",IFERROR(COUNTIFS(Export!$E:$E,A39,Export!$H:$H,"Efectivo",Export!$M:$M,"&lt;="&amp;32)/B39*100,0))</f>
        <v/>
      </c>
      <c r="AK39" s="46" t="str">
        <f>IF(B39=0,"",IFERROR(COUNTIFS(Export!$E:$E,A39,Export!$H:$H,"Efectivo",Export!$M:$M,"&lt;="&amp;33)/B39*100,0))</f>
        <v/>
      </c>
      <c r="AL39" s="46" t="str">
        <f>IF(B39=0,"",IFERROR(COUNTIFS(Export!$E:$E,A39,Export!$H:$H,"Efectivo",Export!$M:$M,"&lt;="&amp;34)/B39*100,0))</f>
        <v/>
      </c>
      <c r="AM39" s="46" t="str">
        <f>IF(B39=0,"",IFERROR(COUNTIFS(Export!$E:$E,A39,Export!$H:$H,"Efectivo",Export!$M:$M,"&lt;="&amp;35)/B39*100,0))</f>
        <v/>
      </c>
      <c r="AN39" s="46" t="str">
        <f>IF(B39=0,"",IFERROR(COUNTIFS(Export!$E:$E,A39,Export!$H:$H,"Efectivo",Export!$M:$M,"&lt;="&amp;36)/B39*100,0))</f>
        <v/>
      </c>
    </row>
    <row r="40" spans="1:40" x14ac:dyDescent="0.35">
      <c r="A40" s="49" t="s">
        <v>95</v>
      </c>
      <c r="B40" s="44">
        <f>IFERROR(COUNTIF(Export!$E:$E,A40),0)</f>
        <v>0</v>
      </c>
      <c r="C40" s="45" t="str">
        <f>IFERROR(VLOOKUP(A40,Originaciones!$A:$B,2,0),"")</f>
        <v/>
      </c>
      <c r="D40" s="46" t="str">
        <f>IF(B40=0,"",IFERROR(COUNTIFS(Export!$E:$E,A40,Export!$H:$H,"Efectivo",Export!$M:$M,"&lt;="&amp;0)/B40*100,0))</f>
        <v/>
      </c>
      <c r="E40" s="46" t="str">
        <f>IF(B40=0,"",IFERROR(COUNTIFS(Export!$E:$E,A40,Export!$H:$H,"Efectivo",Export!$M:$M,"&lt;="&amp;1)/B40*100,0))</f>
        <v/>
      </c>
      <c r="F40" s="46" t="str">
        <f>IF(B40=0,"",IFERROR(COUNTIFS(Export!$E:$E,A40,Export!$H:$H,"Efectivo",Export!$M:$M,"&lt;="&amp;2)/B40*100,0))</f>
        <v/>
      </c>
      <c r="G40" s="46" t="str">
        <f>IF(B40=0,"",IFERROR(COUNTIFS(Export!$E:$E,A40,Export!$H:$H,"Efectivo",Export!$M:$M,"&lt;="&amp;3)/B40*100,0))</f>
        <v/>
      </c>
      <c r="H40" s="46" t="str">
        <f>IF(B40=0,"",IFERROR(COUNTIFS(Export!$E:$E,A40,Export!$H:$H,"Efectivo",Export!$M:$M,"&lt;="&amp;4)/B40*100,0))</f>
        <v/>
      </c>
      <c r="I40" s="46" t="str">
        <f>IF(B40=0,"",IFERROR(COUNTIFS(Export!$E:$E,A40,Export!$H:$H,"Efectivo",Export!$M:$M,"&lt;="&amp;5)/B40*100,0))</f>
        <v/>
      </c>
      <c r="J40" s="46" t="str">
        <f>IF(B40=0,"",IFERROR(COUNTIFS(Export!$E:$E,A40,Export!$H:$H,"Efectivo",Export!$M:$M,"&lt;="&amp;6)/B40*100,0))</f>
        <v/>
      </c>
      <c r="K40" s="46" t="str">
        <f>IF(B40=0,"",IFERROR(COUNTIFS(Export!$E:$E,A40,Export!$H:$H,"Efectivo",Export!$M:$M,"&lt;="&amp;7)/B40*100,0))</f>
        <v/>
      </c>
      <c r="L40" s="46" t="str">
        <f>IF(B40=0,"",IFERROR(COUNTIFS(Export!$E:$E,A40,Export!$H:$H,"Efectivo",Export!$M:$M,"&lt;="&amp;8)/B40*100,0))</f>
        <v/>
      </c>
      <c r="M40" s="46" t="str">
        <f>IF(B40=0,"",IFERROR(COUNTIFS(Export!$E:$E,A40,Export!$H:$H,"Efectivo",Export!$M:$M,"&lt;="&amp;9)/B40*100,0))</f>
        <v/>
      </c>
      <c r="N40" s="46" t="str">
        <f>IF(B40=0,"",IFERROR(COUNTIFS(Export!$E:$E,A40,Export!$H:$H,"Efectivo",Export!$M:$M,"&lt;="&amp;10)/B40*100,0))</f>
        <v/>
      </c>
      <c r="O40" s="46" t="str">
        <f>IF(B40=0,"",IFERROR(COUNTIFS(Export!$E:$E,A40,Export!$H:$H,"Efectivo",Export!$M:$M,"&lt;="&amp;11)/B40*100,0))</f>
        <v/>
      </c>
      <c r="P40" s="46" t="str">
        <f>IF(B40=0,"",IFERROR(COUNTIFS(Export!$E:$E,A40,Export!$H:$H,"Efectivo",Export!$M:$M,"&lt;="&amp;12)/B40*100,0))</f>
        <v/>
      </c>
      <c r="Q40" s="46" t="str">
        <f>IF(B40=0,"",IFERROR(COUNTIFS(Export!$E:$E,A40,Export!$H:$H,"Efectivo",Export!$M:$M,"&lt;="&amp;13)/B40*100,0))</f>
        <v/>
      </c>
      <c r="R40" s="46" t="str">
        <f>IF(B40=0,"",IFERROR(COUNTIFS(Export!$E:$E,A40,Export!$H:$H,"Efectivo",Export!$M:$M,"&lt;="&amp;14)/B40*100,0))</f>
        <v/>
      </c>
      <c r="S40" s="46" t="str">
        <f>IF(B40=0,"",IFERROR(COUNTIFS(Export!$E:$E,A40,Export!$H:$H,"Efectivo",Export!$M:$M,"&lt;="&amp;15)/B40*100,0))</f>
        <v/>
      </c>
      <c r="T40" s="46" t="str">
        <f>IF(B40=0,"",IFERROR(COUNTIFS(Export!$E:$E,A40,Export!$H:$H,"Efectivo",Export!$M:$M,"&lt;="&amp;16)/B40*100,0))</f>
        <v/>
      </c>
      <c r="U40" s="46" t="str">
        <f>IF(B40=0,"",IFERROR(COUNTIFS(Export!$E:$E,A40,Export!$H:$H,"Efectivo",Export!$M:$M,"&lt;="&amp;17)/B40*100,0))</f>
        <v/>
      </c>
      <c r="V40" s="46" t="str">
        <f>IF(B40=0,"",IFERROR(COUNTIFS(Export!$E:$E,A40,Export!$H:$H,"Efectivo",Export!$M:$M,"&lt;="&amp;18)/B40*100,0))</f>
        <v/>
      </c>
      <c r="W40" s="46" t="str">
        <f>IF(B40=0,"",IFERROR(COUNTIFS(Export!$E:$E,A40,Export!$H:$H,"Efectivo",Export!$M:$M,"&lt;="&amp;19)/B40*100,0))</f>
        <v/>
      </c>
      <c r="X40" s="46" t="str">
        <f>IF(B40=0,"",IFERROR(COUNTIFS(Export!$E:$E,A40,Export!$H:$H,"Efectivo",Export!$M:$M,"&lt;="&amp;20)/B40*100,0))</f>
        <v/>
      </c>
      <c r="Y40" s="46" t="str">
        <f>IF(B40=0,"",IFERROR(COUNTIFS(Export!$E:$E,A40,Export!$H:$H,"Efectivo",Export!$M:$M,"&lt;="&amp;21)/B40*100,0))</f>
        <v/>
      </c>
      <c r="Z40" s="46" t="str">
        <f>IF(B40=0,"",IFERROR(COUNTIFS(Export!$E:$E,A40,Export!$H:$H,"Efectivo",Export!$M:$M,"&lt;="&amp;22)/B40*100,0))</f>
        <v/>
      </c>
      <c r="AA40" s="46" t="str">
        <f>IF(B40=0,"",IFERROR(COUNTIFS(Export!$E:$E,A40,Export!$H:$H,"Efectivo",Export!$M:$M,"&lt;="&amp;23)/B40*100,0))</f>
        <v/>
      </c>
      <c r="AB40" s="46" t="str">
        <f>IF(B40=0,"",IFERROR(COUNTIFS(Export!$E:$E,A40,Export!$H:$H,"Efectivo",Export!$M:$M,"&lt;="&amp;24)/B40*100,0))</f>
        <v/>
      </c>
      <c r="AC40" s="46" t="str">
        <f>IF(B40=0,"",IFERROR(COUNTIFS(Export!$E:$E,A40,Export!$H:$H,"Efectivo",Export!$M:$M,"&lt;="&amp;25)/B40*100,0))</f>
        <v/>
      </c>
      <c r="AD40" s="46" t="str">
        <f>IF(B40=0,"",IFERROR(COUNTIFS(Export!$E:$E,A40,Export!$H:$H,"Efectivo",Export!$M:$M,"&lt;="&amp;26)/B40*100,0))</f>
        <v/>
      </c>
      <c r="AE40" s="46" t="str">
        <f>IF(B40=0,"",IFERROR(COUNTIFS(Export!$E:$E,A40,Export!$H:$H,"Efectivo",Export!$M:$M,"&lt;="&amp;27)/B40*100,0))</f>
        <v/>
      </c>
      <c r="AF40" s="46" t="str">
        <f>IF(B40=0,"",IFERROR(COUNTIFS(Export!$E:$E,A40,Export!$H:$H,"Efectivo",Export!$M:$M,"&lt;="&amp;28)/B40*100,0))</f>
        <v/>
      </c>
      <c r="AG40" s="46" t="str">
        <f>IF(B40=0,"",IFERROR(COUNTIFS(Export!$E:$E,A40,Export!$H:$H,"Efectivo",Export!$M:$M,"&lt;="&amp;29)/B40*100,0))</f>
        <v/>
      </c>
      <c r="AH40" s="46" t="str">
        <f>IF(B40=0,"",IFERROR(COUNTIFS(Export!$E:$E,A40,Export!$H:$H,"Efectivo",Export!$M:$M,"&lt;="&amp;30)/B40*100,0))</f>
        <v/>
      </c>
      <c r="AI40" s="46" t="str">
        <f>IF(B40=0,"",IFERROR(COUNTIFS(Export!$E:$E,A40,Export!$H:$H,"Efectivo",Export!$M:$M,"&lt;="&amp;31)/B40*100,0))</f>
        <v/>
      </c>
      <c r="AJ40" s="46" t="str">
        <f>IF(B40=0,"",IFERROR(COUNTIFS(Export!$E:$E,A40,Export!$H:$H,"Efectivo",Export!$M:$M,"&lt;="&amp;32)/B40*100,0))</f>
        <v/>
      </c>
      <c r="AK40" s="46" t="str">
        <f>IF(B40=0,"",IFERROR(COUNTIFS(Export!$E:$E,A40,Export!$H:$H,"Efectivo",Export!$M:$M,"&lt;="&amp;33)/B40*100,0))</f>
        <v/>
      </c>
      <c r="AL40" s="46" t="str">
        <f>IF(B40=0,"",IFERROR(COUNTIFS(Export!$E:$E,A40,Export!$H:$H,"Efectivo",Export!$M:$M,"&lt;="&amp;34)/B40*100,0))</f>
        <v/>
      </c>
      <c r="AM40" s="46" t="str">
        <f>IF(B40=0,"",IFERROR(COUNTIFS(Export!$E:$E,A40,Export!$H:$H,"Efectivo",Export!$M:$M,"&lt;="&amp;35)/B40*100,0))</f>
        <v/>
      </c>
      <c r="AN40" s="46" t="str">
        <f>IF(B40=0,"",IFERROR(COUNTIFS(Export!$E:$E,A40,Export!$H:$H,"Efectivo",Export!$M:$M,"&lt;="&amp;36)/B40*100,0))</f>
        <v/>
      </c>
    </row>
    <row r="41" spans="1:40" x14ac:dyDescent="0.35">
      <c r="A41" s="49" t="s">
        <v>96</v>
      </c>
      <c r="B41" s="44">
        <f>IFERROR(COUNTIF(Export!$E:$E,A41),0)</f>
        <v>0</v>
      </c>
      <c r="C41" s="45" t="str">
        <f>IFERROR(VLOOKUP(A41,Originaciones!$A:$B,2,0),"")</f>
        <v/>
      </c>
      <c r="D41" s="46" t="str">
        <f>IF(B41=0,"",IFERROR(COUNTIFS(Export!$E:$E,A41,Export!$H:$H,"Efectivo",Export!$M:$M,"&lt;="&amp;0)/B41*100,0))</f>
        <v/>
      </c>
      <c r="E41" s="46" t="str">
        <f>IF(B41=0,"",IFERROR(COUNTIFS(Export!$E:$E,A41,Export!$H:$H,"Efectivo",Export!$M:$M,"&lt;="&amp;1)/B41*100,0))</f>
        <v/>
      </c>
      <c r="F41" s="46" t="str">
        <f>IF(B41=0,"",IFERROR(COUNTIFS(Export!$E:$E,A41,Export!$H:$H,"Efectivo",Export!$M:$M,"&lt;="&amp;2)/B41*100,0))</f>
        <v/>
      </c>
      <c r="G41" s="46" t="str">
        <f>IF(B41=0,"",IFERROR(COUNTIFS(Export!$E:$E,A41,Export!$H:$H,"Efectivo",Export!$M:$M,"&lt;="&amp;3)/B41*100,0))</f>
        <v/>
      </c>
      <c r="H41" s="46" t="str">
        <f>IF(B41=0,"",IFERROR(COUNTIFS(Export!$E:$E,A41,Export!$H:$H,"Efectivo",Export!$M:$M,"&lt;="&amp;4)/B41*100,0))</f>
        <v/>
      </c>
      <c r="I41" s="46" t="str">
        <f>IF(B41=0,"",IFERROR(COUNTIFS(Export!$E:$E,A41,Export!$H:$H,"Efectivo",Export!$M:$M,"&lt;="&amp;5)/B41*100,0))</f>
        <v/>
      </c>
      <c r="J41" s="46" t="str">
        <f>IF(B41=0,"",IFERROR(COUNTIFS(Export!$E:$E,A41,Export!$H:$H,"Efectivo",Export!$M:$M,"&lt;="&amp;6)/B41*100,0))</f>
        <v/>
      </c>
      <c r="K41" s="46" t="str">
        <f>IF(B41=0,"",IFERROR(COUNTIFS(Export!$E:$E,A41,Export!$H:$H,"Efectivo",Export!$M:$M,"&lt;="&amp;7)/B41*100,0))</f>
        <v/>
      </c>
      <c r="L41" s="46" t="str">
        <f>IF(B41=0,"",IFERROR(COUNTIFS(Export!$E:$E,A41,Export!$H:$H,"Efectivo",Export!$M:$M,"&lt;="&amp;8)/B41*100,0))</f>
        <v/>
      </c>
      <c r="M41" s="46" t="str">
        <f>IF(B41=0,"",IFERROR(COUNTIFS(Export!$E:$E,A41,Export!$H:$H,"Efectivo",Export!$M:$M,"&lt;="&amp;9)/B41*100,0))</f>
        <v/>
      </c>
      <c r="N41" s="46" t="str">
        <f>IF(B41=0,"",IFERROR(COUNTIFS(Export!$E:$E,A41,Export!$H:$H,"Efectivo",Export!$M:$M,"&lt;="&amp;10)/B41*100,0))</f>
        <v/>
      </c>
      <c r="O41" s="46" t="str">
        <f>IF(B41=0,"",IFERROR(COUNTIFS(Export!$E:$E,A41,Export!$H:$H,"Efectivo",Export!$M:$M,"&lt;="&amp;11)/B41*100,0))</f>
        <v/>
      </c>
      <c r="P41" s="46" t="str">
        <f>IF(B41=0,"",IFERROR(COUNTIFS(Export!$E:$E,A41,Export!$H:$H,"Efectivo",Export!$M:$M,"&lt;="&amp;12)/B41*100,0))</f>
        <v/>
      </c>
      <c r="Q41" s="46" t="str">
        <f>IF(B41=0,"",IFERROR(COUNTIFS(Export!$E:$E,A41,Export!$H:$H,"Efectivo",Export!$M:$M,"&lt;="&amp;13)/B41*100,0))</f>
        <v/>
      </c>
      <c r="R41" s="46" t="str">
        <f>IF(B41=0,"",IFERROR(COUNTIFS(Export!$E:$E,A41,Export!$H:$H,"Efectivo",Export!$M:$M,"&lt;="&amp;14)/B41*100,0))</f>
        <v/>
      </c>
      <c r="S41" s="46" t="str">
        <f>IF(B41=0,"",IFERROR(COUNTIFS(Export!$E:$E,A41,Export!$H:$H,"Efectivo",Export!$M:$M,"&lt;="&amp;15)/B41*100,0))</f>
        <v/>
      </c>
      <c r="T41" s="46" t="str">
        <f>IF(B41=0,"",IFERROR(COUNTIFS(Export!$E:$E,A41,Export!$H:$H,"Efectivo",Export!$M:$M,"&lt;="&amp;16)/B41*100,0))</f>
        <v/>
      </c>
      <c r="U41" s="46" t="str">
        <f>IF(B41=0,"",IFERROR(COUNTIFS(Export!$E:$E,A41,Export!$H:$H,"Efectivo",Export!$M:$M,"&lt;="&amp;17)/B41*100,0))</f>
        <v/>
      </c>
      <c r="V41" s="46" t="str">
        <f>IF(B41=0,"",IFERROR(COUNTIFS(Export!$E:$E,A41,Export!$H:$H,"Efectivo",Export!$M:$M,"&lt;="&amp;18)/B41*100,0))</f>
        <v/>
      </c>
      <c r="W41" s="46" t="str">
        <f>IF(B41=0,"",IFERROR(COUNTIFS(Export!$E:$E,A41,Export!$H:$H,"Efectivo",Export!$M:$M,"&lt;="&amp;19)/B41*100,0))</f>
        <v/>
      </c>
      <c r="X41" s="46" t="str">
        <f>IF(B41=0,"",IFERROR(COUNTIFS(Export!$E:$E,A41,Export!$H:$H,"Efectivo",Export!$M:$M,"&lt;="&amp;20)/B41*100,0))</f>
        <v/>
      </c>
      <c r="Y41" s="46" t="str">
        <f>IF(B41=0,"",IFERROR(COUNTIFS(Export!$E:$E,A41,Export!$H:$H,"Efectivo",Export!$M:$M,"&lt;="&amp;21)/B41*100,0))</f>
        <v/>
      </c>
      <c r="Z41" s="46" t="str">
        <f>IF(B41=0,"",IFERROR(COUNTIFS(Export!$E:$E,A41,Export!$H:$H,"Efectivo",Export!$M:$M,"&lt;="&amp;22)/B41*100,0))</f>
        <v/>
      </c>
      <c r="AA41" s="46" t="str">
        <f>IF(B41=0,"",IFERROR(COUNTIFS(Export!$E:$E,A41,Export!$H:$H,"Efectivo",Export!$M:$M,"&lt;="&amp;23)/B41*100,0))</f>
        <v/>
      </c>
      <c r="AB41" s="46" t="str">
        <f>IF(B41=0,"",IFERROR(COUNTIFS(Export!$E:$E,A41,Export!$H:$H,"Efectivo",Export!$M:$M,"&lt;="&amp;24)/B41*100,0))</f>
        <v/>
      </c>
      <c r="AC41" s="46" t="str">
        <f>IF(B41=0,"",IFERROR(COUNTIFS(Export!$E:$E,A41,Export!$H:$H,"Efectivo",Export!$M:$M,"&lt;="&amp;25)/B41*100,0))</f>
        <v/>
      </c>
      <c r="AD41" s="46" t="str">
        <f>IF(B41=0,"",IFERROR(COUNTIFS(Export!$E:$E,A41,Export!$H:$H,"Efectivo",Export!$M:$M,"&lt;="&amp;26)/B41*100,0))</f>
        <v/>
      </c>
      <c r="AE41" s="46" t="str">
        <f>IF(B41=0,"",IFERROR(COUNTIFS(Export!$E:$E,A41,Export!$H:$H,"Efectivo",Export!$M:$M,"&lt;="&amp;27)/B41*100,0))</f>
        <v/>
      </c>
      <c r="AF41" s="46" t="str">
        <f>IF(B41=0,"",IFERROR(COUNTIFS(Export!$E:$E,A41,Export!$H:$H,"Efectivo",Export!$M:$M,"&lt;="&amp;28)/B41*100,0))</f>
        <v/>
      </c>
      <c r="AG41" s="46" t="str">
        <f>IF(B41=0,"",IFERROR(COUNTIFS(Export!$E:$E,A41,Export!$H:$H,"Efectivo",Export!$M:$M,"&lt;="&amp;29)/B41*100,0))</f>
        <v/>
      </c>
      <c r="AH41" s="46" t="str">
        <f>IF(B41=0,"",IFERROR(COUNTIFS(Export!$E:$E,A41,Export!$H:$H,"Efectivo",Export!$M:$M,"&lt;="&amp;30)/B41*100,0))</f>
        <v/>
      </c>
      <c r="AI41" s="46" t="str">
        <f>IF(B41=0,"",IFERROR(COUNTIFS(Export!$E:$E,A41,Export!$H:$H,"Efectivo",Export!$M:$M,"&lt;="&amp;31)/B41*100,0))</f>
        <v/>
      </c>
      <c r="AJ41" s="46" t="str">
        <f>IF(B41=0,"",IFERROR(COUNTIFS(Export!$E:$E,A41,Export!$H:$H,"Efectivo",Export!$M:$M,"&lt;="&amp;32)/B41*100,0))</f>
        <v/>
      </c>
      <c r="AK41" s="46" t="str">
        <f>IF(B41=0,"",IFERROR(COUNTIFS(Export!$E:$E,A41,Export!$H:$H,"Efectivo",Export!$M:$M,"&lt;="&amp;33)/B41*100,0))</f>
        <v/>
      </c>
      <c r="AL41" s="46" t="str">
        <f>IF(B41=0,"",IFERROR(COUNTIFS(Export!$E:$E,A41,Export!$H:$H,"Efectivo",Export!$M:$M,"&lt;="&amp;34)/B41*100,0))</f>
        <v/>
      </c>
      <c r="AM41" s="46" t="str">
        <f>IF(B41=0,"",IFERROR(COUNTIFS(Export!$E:$E,A41,Export!$H:$H,"Efectivo",Export!$M:$M,"&lt;="&amp;35)/B41*100,0))</f>
        <v/>
      </c>
      <c r="AN41" s="46" t="str">
        <f>IF(B41=0,"",IFERROR(COUNTIFS(Export!$E:$E,A41,Export!$H:$H,"Efectivo",Export!$M:$M,"&lt;="&amp;36)/B41*100,0))</f>
        <v/>
      </c>
    </row>
    <row r="42" spans="1:40" x14ac:dyDescent="0.35">
      <c r="A42" s="49" t="s">
        <v>97</v>
      </c>
      <c r="B42" s="44">
        <f>IFERROR(COUNTIF(Export!$E:$E,A42),0)</f>
        <v>0</v>
      </c>
      <c r="C42" s="45" t="str">
        <f>IFERROR(VLOOKUP(A42,Originaciones!$A:$B,2,0),"")</f>
        <v/>
      </c>
      <c r="D42" s="46" t="str">
        <f>IF(B42=0,"",IFERROR(COUNTIFS(Export!$E:$E,A42,Export!$H:$H,"Efectivo",Export!$M:$M,"&lt;="&amp;0)/B42*100,0))</f>
        <v/>
      </c>
      <c r="E42" s="46" t="str">
        <f>IF(B42=0,"",IFERROR(COUNTIFS(Export!$E:$E,A42,Export!$H:$H,"Efectivo",Export!$M:$M,"&lt;="&amp;1)/B42*100,0))</f>
        <v/>
      </c>
      <c r="F42" s="46" t="str">
        <f>IF(B42=0,"",IFERROR(COUNTIFS(Export!$E:$E,A42,Export!$H:$H,"Efectivo",Export!$M:$M,"&lt;="&amp;2)/B42*100,0))</f>
        <v/>
      </c>
      <c r="G42" s="46" t="str">
        <f>IF(B42=0,"",IFERROR(COUNTIFS(Export!$E:$E,A42,Export!$H:$H,"Efectivo",Export!$M:$M,"&lt;="&amp;3)/B42*100,0))</f>
        <v/>
      </c>
      <c r="H42" s="46" t="str">
        <f>IF(B42=0,"",IFERROR(COUNTIFS(Export!$E:$E,A42,Export!$H:$H,"Efectivo",Export!$M:$M,"&lt;="&amp;4)/B42*100,0))</f>
        <v/>
      </c>
      <c r="I42" s="46" t="str">
        <f>IF(B42=0,"",IFERROR(COUNTIFS(Export!$E:$E,A42,Export!$H:$H,"Efectivo",Export!$M:$M,"&lt;="&amp;5)/B42*100,0))</f>
        <v/>
      </c>
      <c r="J42" s="46" t="str">
        <f>IF(B42=0,"",IFERROR(COUNTIFS(Export!$E:$E,A42,Export!$H:$H,"Efectivo",Export!$M:$M,"&lt;="&amp;6)/B42*100,0))</f>
        <v/>
      </c>
      <c r="K42" s="46" t="str">
        <f>IF(B42=0,"",IFERROR(COUNTIFS(Export!$E:$E,A42,Export!$H:$H,"Efectivo",Export!$M:$M,"&lt;="&amp;7)/B42*100,0))</f>
        <v/>
      </c>
      <c r="L42" s="46" t="str">
        <f>IF(B42=0,"",IFERROR(COUNTIFS(Export!$E:$E,A42,Export!$H:$H,"Efectivo",Export!$M:$M,"&lt;="&amp;8)/B42*100,0))</f>
        <v/>
      </c>
      <c r="M42" s="46" t="str">
        <f>IF(B42=0,"",IFERROR(COUNTIFS(Export!$E:$E,A42,Export!$H:$H,"Efectivo",Export!$M:$M,"&lt;="&amp;9)/B42*100,0))</f>
        <v/>
      </c>
      <c r="N42" s="46" t="str">
        <f>IF(B42=0,"",IFERROR(COUNTIFS(Export!$E:$E,A42,Export!$H:$H,"Efectivo",Export!$M:$M,"&lt;="&amp;10)/B42*100,0))</f>
        <v/>
      </c>
      <c r="O42" s="46" t="str">
        <f>IF(B42=0,"",IFERROR(COUNTIFS(Export!$E:$E,A42,Export!$H:$H,"Efectivo",Export!$M:$M,"&lt;="&amp;11)/B42*100,0))</f>
        <v/>
      </c>
      <c r="P42" s="46" t="str">
        <f>IF(B42=0,"",IFERROR(COUNTIFS(Export!$E:$E,A42,Export!$H:$H,"Efectivo",Export!$M:$M,"&lt;="&amp;12)/B42*100,0))</f>
        <v/>
      </c>
      <c r="Q42" s="46" t="str">
        <f>IF(B42=0,"",IFERROR(COUNTIFS(Export!$E:$E,A42,Export!$H:$H,"Efectivo",Export!$M:$M,"&lt;="&amp;13)/B42*100,0))</f>
        <v/>
      </c>
      <c r="R42" s="46" t="str">
        <f>IF(B42=0,"",IFERROR(COUNTIFS(Export!$E:$E,A42,Export!$H:$H,"Efectivo",Export!$M:$M,"&lt;="&amp;14)/B42*100,0))</f>
        <v/>
      </c>
      <c r="S42" s="46" t="str">
        <f>IF(B42=0,"",IFERROR(COUNTIFS(Export!$E:$E,A42,Export!$H:$H,"Efectivo",Export!$M:$M,"&lt;="&amp;15)/B42*100,0))</f>
        <v/>
      </c>
      <c r="T42" s="46" t="str">
        <f>IF(B42=0,"",IFERROR(COUNTIFS(Export!$E:$E,A42,Export!$H:$H,"Efectivo",Export!$M:$M,"&lt;="&amp;16)/B42*100,0))</f>
        <v/>
      </c>
      <c r="U42" s="46" t="str">
        <f>IF(B42=0,"",IFERROR(COUNTIFS(Export!$E:$E,A42,Export!$H:$H,"Efectivo",Export!$M:$M,"&lt;="&amp;17)/B42*100,0))</f>
        <v/>
      </c>
      <c r="V42" s="46" t="str">
        <f>IF(B42=0,"",IFERROR(COUNTIFS(Export!$E:$E,A42,Export!$H:$H,"Efectivo",Export!$M:$M,"&lt;="&amp;18)/B42*100,0))</f>
        <v/>
      </c>
      <c r="W42" s="46" t="str">
        <f>IF(B42=0,"",IFERROR(COUNTIFS(Export!$E:$E,A42,Export!$H:$H,"Efectivo",Export!$M:$M,"&lt;="&amp;19)/B42*100,0))</f>
        <v/>
      </c>
      <c r="X42" s="46" t="str">
        <f>IF(B42=0,"",IFERROR(COUNTIFS(Export!$E:$E,A42,Export!$H:$H,"Efectivo",Export!$M:$M,"&lt;="&amp;20)/B42*100,0))</f>
        <v/>
      </c>
      <c r="Y42" s="46" t="str">
        <f>IF(B42=0,"",IFERROR(COUNTIFS(Export!$E:$E,A42,Export!$H:$H,"Efectivo",Export!$M:$M,"&lt;="&amp;21)/B42*100,0))</f>
        <v/>
      </c>
      <c r="Z42" s="46" t="str">
        <f>IF(B42=0,"",IFERROR(COUNTIFS(Export!$E:$E,A42,Export!$H:$H,"Efectivo",Export!$M:$M,"&lt;="&amp;22)/B42*100,0))</f>
        <v/>
      </c>
      <c r="AA42" s="46" t="str">
        <f>IF(B42=0,"",IFERROR(COUNTIFS(Export!$E:$E,A42,Export!$H:$H,"Efectivo",Export!$M:$M,"&lt;="&amp;23)/B42*100,0))</f>
        <v/>
      </c>
      <c r="AB42" s="46" t="str">
        <f>IF(B42=0,"",IFERROR(COUNTIFS(Export!$E:$E,A42,Export!$H:$H,"Efectivo",Export!$M:$M,"&lt;="&amp;24)/B42*100,0))</f>
        <v/>
      </c>
      <c r="AC42" s="46" t="str">
        <f>IF(B42=0,"",IFERROR(COUNTIFS(Export!$E:$E,A42,Export!$H:$H,"Efectivo",Export!$M:$M,"&lt;="&amp;25)/B42*100,0))</f>
        <v/>
      </c>
      <c r="AD42" s="46" t="str">
        <f>IF(B42=0,"",IFERROR(COUNTIFS(Export!$E:$E,A42,Export!$H:$H,"Efectivo",Export!$M:$M,"&lt;="&amp;26)/B42*100,0))</f>
        <v/>
      </c>
      <c r="AE42" s="46" t="str">
        <f>IF(B42=0,"",IFERROR(COUNTIFS(Export!$E:$E,A42,Export!$H:$H,"Efectivo",Export!$M:$M,"&lt;="&amp;27)/B42*100,0))</f>
        <v/>
      </c>
      <c r="AF42" s="46" t="str">
        <f>IF(B42=0,"",IFERROR(COUNTIFS(Export!$E:$E,A42,Export!$H:$H,"Efectivo",Export!$M:$M,"&lt;="&amp;28)/B42*100,0))</f>
        <v/>
      </c>
      <c r="AG42" s="46" t="str">
        <f>IF(B42=0,"",IFERROR(COUNTIFS(Export!$E:$E,A42,Export!$H:$H,"Efectivo",Export!$M:$M,"&lt;="&amp;29)/B42*100,0))</f>
        <v/>
      </c>
      <c r="AH42" s="46" t="str">
        <f>IF(B42=0,"",IFERROR(COUNTIFS(Export!$E:$E,A42,Export!$H:$H,"Efectivo",Export!$M:$M,"&lt;="&amp;30)/B42*100,0))</f>
        <v/>
      </c>
      <c r="AI42" s="46" t="str">
        <f>IF(B42=0,"",IFERROR(COUNTIFS(Export!$E:$E,A42,Export!$H:$H,"Efectivo",Export!$M:$M,"&lt;="&amp;31)/B42*100,0))</f>
        <v/>
      </c>
      <c r="AJ42" s="46" t="str">
        <f>IF(B42=0,"",IFERROR(COUNTIFS(Export!$E:$E,A42,Export!$H:$H,"Efectivo",Export!$M:$M,"&lt;="&amp;32)/B42*100,0))</f>
        <v/>
      </c>
      <c r="AK42" s="46" t="str">
        <f>IF(B42=0,"",IFERROR(COUNTIFS(Export!$E:$E,A42,Export!$H:$H,"Efectivo",Export!$M:$M,"&lt;="&amp;33)/B42*100,0))</f>
        <v/>
      </c>
      <c r="AL42" s="46" t="str">
        <f>IF(B42=0,"",IFERROR(COUNTIFS(Export!$E:$E,A42,Export!$H:$H,"Efectivo",Export!$M:$M,"&lt;="&amp;34)/B42*100,0))</f>
        <v/>
      </c>
      <c r="AM42" s="46" t="str">
        <f>IF(B42=0,"",IFERROR(COUNTIFS(Export!$E:$E,A42,Export!$H:$H,"Efectivo",Export!$M:$M,"&lt;="&amp;35)/B42*100,0))</f>
        <v/>
      </c>
      <c r="AN42" s="46" t="str">
        <f>IF(B42=0,"",IFERROR(COUNTIFS(Export!$E:$E,A42,Export!$H:$H,"Efectivo",Export!$M:$M,"&lt;="&amp;36)/B42*100,0))</f>
        <v/>
      </c>
    </row>
    <row r="43" spans="1:40" x14ac:dyDescent="0.35">
      <c r="A43" s="49" t="s">
        <v>98</v>
      </c>
      <c r="B43" s="44">
        <f>IFERROR(COUNTIF(Export!$E:$E,A43),0)</f>
        <v>0</v>
      </c>
      <c r="C43" s="45" t="str">
        <f>IFERROR(VLOOKUP(A43,Originaciones!$A:$B,2,0),"")</f>
        <v/>
      </c>
      <c r="D43" s="46" t="str">
        <f>IF(B43=0,"",IFERROR(COUNTIFS(Export!$E:$E,A43,Export!$H:$H,"Efectivo",Export!$M:$M,"&lt;="&amp;0)/B43*100,0))</f>
        <v/>
      </c>
      <c r="E43" s="46" t="str">
        <f>IF(B43=0,"",IFERROR(COUNTIFS(Export!$E:$E,A43,Export!$H:$H,"Efectivo",Export!$M:$M,"&lt;="&amp;1)/B43*100,0))</f>
        <v/>
      </c>
      <c r="F43" s="46" t="str">
        <f>IF(B43=0,"",IFERROR(COUNTIFS(Export!$E:$E,A43,Export!$H:$H,"Efectivo",Export!$M:$M,"&lt;="&amp;2)/B43*100,0))</f>
        <v/>
      </c>
      <c r="G43" s="46" t="str">
        <f>IF(B43=0,"",IFERROR(COUNTIFS(Export!$E:$E,A43,Export!$H:$H,"Efectivo",Export!$M:$M,"&lt;="&amp;3)/B43*100,0))</f>
        <v/>
      </c>
      <c r="H43" s="46" t="str">
        <f>IF(B43=0,"",IFERROR(COUNTIFS(Export!$E:$E,A43,Export!$H:$H,"Efectivo",Export!$M:$M,"&lt;="&amp;4)/B43*100,0))</f>
        <v/>
      </c>
      <c r="I43" s="46" t="str">
        <f>IF(B43=0,"",IFERROR(COUNTIFS(Export!$E:$E,A43,Export!$H:$H,"Efectivo",Export!$M:$M,"&lt;="&amp;5)/B43*100,0))</f>
        <v/>
      </c>
      <c r="J43" s="46" t="str">
        <f>IF(B43=0,"",IFERROR(COUNTIFS(Export!$E:$E,A43,Export!$H:$H,"Efectivo",Export!$M:$M,"&lt;="&amp;6)/B43*100,0))</f>
        <v/>
      </c>
      <c r="K43" s="46" t="str">
        <f>IF(B43=0,"",IFERROR(COUNTIFS(Export!$E:$E,A43,Export!$H:$H,"Efectivo",Export!$M:$M,"&lt;="&amp;7)/B43*100,0))</f>
        <v/>
      </c>
      <c r="L43" s="46" t="str">
        <f>IF(B43=0,"",IFERROR(COUNTIFS(Export!$E:$E,A43,Export!$H:$H,"Efectivo",Export!$M:$M,"&lt;="&amp;8)/B43*100,0))</f>
        <v/>
      </c>
      <c r="M43" s="46" t="str">
        <f>IF(B43=0,"",IFERROR(COUNTIFS(Export!$E:$E,A43,Export!$H:$H,"Efectivo",Export!$M:$M,"&lt;="&amp;9)/B43*100,0))</f>
        <v/>
      </c>
      <c r="N43" s="46" t="str">
        <f>IF(B43=0,"",IFERROR(COUNTIFS(Export!$E:$E,A43,Export!$H:$H,"Efectivo",Export!$M:$M,"&lt;="&amp;10)/B43*100,0))</f>
        <v/>
      </c>
      <c r="O43" s="46" t="str">
        <f>IF(B43=0,"",IFERROR(COUNTIFS(Export!$E:$E,A43,Export!$H:$H,"Efectivo",Export!$M:$M,"&lt;="&amp;11)/B43*100,0))</f>
        <v/>
      </c>
      <c r="P43" s="46" t="str">
        <f>IF(B43=0,"",IFERROR(COUNTIFS(Export!$E:$E,A43,Export!$H:$H,"Efectivo",Export!$M:$M,"&lt;="&amp;12)/B43*100,0))</f>
        <v/>
      </c>
      <c r="Q43" s="46" t="str">
        <f>IF(B43=0,"",IFERROR(COUNTIFS(Export!$E:$E,A43,Export!$H:$H,"Efectivo",Export!$M:$M,"&lt;="&amp;13)/B43*100,0))</f>
        <v/>
      </c>
      <c r="R43" s="46" t="str">
        <f>IF(B43=0,"",IFERROR(COUNTIFS(Export!$E:$E,A43,Export!$H:$H,"Efectivo",Export!$M:$M,"&lt;="&amp;14)/B43*100,0))</f>
        <v/>
      </c>
      <c r="S43" s="46" t="str">
        <f>IF(B43=0,"",IFERROR(COUNTIFS(Export!$E:$E,A43,Export!$H:$H,"Efectivo",Export!$M:$M,"&lt;="&amp;15)/B43*100,0))</f>
        <v/>
      </c>
      <c r="T43" s="46" t="str">
        <f>IF(B43=0,"",IFERROR(COUNTIFS(Export!$E:$E,A43,Export!$H:$H,"Efectivo",Export!$M:$M,"&lt;="&amp;16)/B43*100,0))</f>
        <v/>
      </c>
      <c r="U43" s="46" t="str">
        <f>IF(B43=0,"",IFERROR(COUNTIFS(Export!$E:$E,A43,Export!$H:$H,"Efectivo",Export!$M:$M,"&lt;="&amp;17)/B43*100,0))</f>
        <v/>
      </c>
      <c r="V43" s="46" t="str">
        <f>IF(B43=0,"",IFERROR(COUNTIFS(Export!$E:$E,A43,Export!$H:$H,"Efectivo",Export!$M:$M,"&lt;="&amp;18)/B43*100,0))</f>
        <v/>
      </c>
      <c r="W43" s="46" t="str">
        <f>IF(B43=0,"",IFERROR(COUNTIFS(Export!$E:$E,A43,Export!$H:$H,"Efectivo",Export!$M:$M,"&lt;="&amp;19)/B43*100,0))</f>
        <v/>
      </c>
      <c r="X43" s="46" t="str">
        <f>IF(B43=0,"",IFERROR(COUNTIFS(Export!$E:$E,A43,Export!$H:$H,"Efectivo",Export!$M:$M,"&lt;="&amp;20)/B43*100,0))</f>
        <v/>
      </c>
      <c r="Y43" s="46" t="str">
        <f>IF(B43=0,"",IFERROR(COUNTIFS(Export!$E:$E,A43,Export!$H:$H,"Efectivo",Export!$M:$M,"&lt;="&amp;21)/B43*100,0))</f>
        <v/>
      </c>
      <c r="Z43" s="46" t="str">
        <f>IF(B43=0,"",IFERROR(COUNTIFS(Export!$E:$E,A43,Export!$H:$H,"Efectivo",Export!$M:$M,"&lt;="&amp;22)/B43*100,0))</f>
        <v/>
      </c>
      <c r="AA43" s="46" t="str">
        <f>IF(B43=0,"",IFERROR(COUNTIFS(Export!$E:$E,A43,Export!$H:$H,"Efectivo",Export!$M:$M,"&lt;="&amp;23)/B43*100,0))</f>
        <v/>
      </c>
      <c r="AB43" s="46" t="str">
        <f>IF(B43=0,"",IFERROR(COUNTIFS(Export!$E:$E,A43,Export!$H:$H,"Efectivo",Export!$M:$M,"&lt;="&amp;24)/B43*100,0))</f>
        <v/>
      </c>
      <c r="AC43" s="46" t="str">
        <f>IF(B43=0,"",IFERROR(COUNTIFS(Export!$E:$E,A43,Export!$H:$H,"Efectivo",Export!$M:$M,"&lt;="&amp;25)/B43*100,0))</f>
        <v/>
      </c>
      <c r="AD43" s="46" t="str">
        <f>IF(B43=0,"",IFERROR(COUNTIFS(Export!$E:$E,A43,Export!$H:$H,"Efectivo",Export!$M:$M,"&lt;="&amp;26)/B43*100,0))</f>
        <v/>
      </c>
      <c r="AE43" s="46" t="str">
        <f>IF(B43=0,"",IFERROR(COUNTIFS(Export!$E:$E,A43,Export!$H:$H,"Efectivo",Export!$M:$M,"&lt;="&amp;27)/B43*100,0))</f>
        <v/>
      </c>
      <c r="AF43" s="46" t="str">
        <f>IF(B43=0,"",IFERROR(COUNTIFS(Export!$E:$E,A43,Export!$H:$H,"Efectivo",Export!$M:$M,"&lt;="&amp;28)/B43*100,0))</f>
        <v/>
      </c>
      <c r="AG43" s="46" t="str">
        <f>IF(B43=0,"",IFERROR(COUNTIFS(Export!$E:$E,A43,Export!$H:$H,"Efectivo",Export!$M:$M,"&lt;="&amp;29)/B43*100,0))</f>
        <v/>
      </c>
      <c r="AH43" s="46" t="str">
        <f>IF(B43=0,"",IFERROR(COUNTIFS(Export!$E:$E,A43,Export!$H:$H,"Efectivo",Export!$M:$M,"&lt;="&amp;30)/B43*100,0))</f>
        <v/>
      </c>
      <c r="AI43" s="46" t="str">
        <f>IF(B43=0,"",IFERROR(COUNTIFS(Export!$E:$E,A43,Export!$H:$H,"Efectivo",Export!$M:$M,"&lt;="&amp;31)/B43*100,0))</f>
        <v/>
      </c>
      <c r="AJ43" s="46" t="str">
        <f>IF(B43=0,"",IFERROR(COUNTIFS(Export!$E:$E,A43,Export!$H:$H,"Efectivo",Export!$M:$M,"&lt;="&amp;32)/B43*100,0))</f>
        <v/>
      </c>
      <c r="AK43" s="46" t="str">
        <f>IF(B43=0,"",IFERROR(COUNTIFS(Export!$E:$E,A43,Export!$H:$H,"Efectivo",Export!$M:$M,"&lt;="&amp;33)/B43*100,0))</f>
        <v/>
      </c>
      <c r="AL43" s="46" t="str">
        <f>IF(B43=0,"",IFERROR(COUNTIFS(Export!$E:$E,A43,Export!$H:$H,"Efectivo",Export!$M:$M,"&lt;="&amp;34)/B43*100,0))</f>
        <v/>
      </c>
      <c r="AM43" s="46" t="str">
        <f>IF(B43=0,"",IFERROR(COUNTIFS(Export!$E:$E,A43,Export!$H:$H,"Efectivo",Export!$M:$M,"&lt;="&amp;35)/B43*100,0))</f>
        <v/>
      </c>
      <c r="AN43" s="46" t="str">
        <f>IF(B43=0,"",IFERROR(COUNTIFS(Export!$E:$E,A43,Export!$H:$H,"Efectivo",Export!$M:$M,"&lt;="&amp;36)/B43*100,0))</f>
        <v/>
      </c>
    </row>
    <row r="44" spans="1:40" x14ac:dyDescent="0.35">
      <c r="A44" s="49" t="s">
        <v>99</v>
      </c>
      <c r="B44" s="44">
        <f>IFERROR(COUNTIF(Export!$E:$E,A44),0)</f>
        <v>0</v>
      </c>
      <c r="C44" s="45" t="str">
        <f>IFERROR(VLOOKUP(A44,Originaciones!$A:$B,2,0),"")</f>
        <v/>
      </c>
      <c r="D44" s="46" t="str">
        <f>IF(B44=0,"",IFERROR(COUNTIFS(Export!$E:$E,A44,Export!$H:$H,"Efectivo",Export!$M:$M,"&lt;="&amp;0)/B44*100,0))</f>
        <v/>
      </c>
      <c r="E44" s="46" t="str">
        <f>IF(B44=0,"",IFERROR(COUNTIFS(Export!$E:$E,A44,Export!$H:$H,"Efectivo",Export!$M:$M,"&lt;="&amp;1)/B44*100,0))</f>
        <v/>
      </c>
      <c r="F44" s="46" t="str">
        <f>IF(B44=0,"",IFERROR(COUNTIFS(Export!$E:$E,A44,Export!$H:$H,"Efectivo",Export!$M:$M,"&lt;="&amp;2)/B44*100,0))</f>
        <v/>
      </c>
      <c r="G44" s="46" t="str">
        <f>IF(B44=0,"",IFERROR(COUNTIFS(Export!$E:$E,A44,Export!$H:$H,"Efectivo",Export!$M:$M,"&lt;="&amp;3)/B44*100,0))</f>
        <v/>
      </c>
      <c r="H44" s="46" t="str">
        <f>IF(B44=0,"",IFERROR(COUNTIFS(Export!$E:$E,A44,Export!$H:$H,"Efectivo",Export!$M:$M,"&lt;="&amp;4)/B44*100,0))</f>
        <v/>
      </c>
      <c r="I44" s="46" t="str">
        <f>IF(B44=0,"",IFERROR(COUNTIFS(Export!$E:$E,A44,Export!$H:$H,"Efectivo",Export!$M:$M,"&lt;="&amp;5)/B44*100,0))</f>
        <v/>
      </c>
      <c r="J44" s="46" t="str">
        <f>IF(B44=0,"",IFERROR(COUNTIFS(Export!$E:$E,A44,Export!$H:$H,"Efectivo",Export!$M:$M,"&lt;="&amp;6)/B44*100,0))</f>
        <v/>
      </c>
      <c r="K44" s="46" t="str">
        <f>IF(B44=0,"",IFERROR(COUNTIFS(Export!$E:$E,A44,Export!$H:$H,"Efectivo",Export!$M:$M,"&lt;="&amp;7)/B44*100,0))</f>
        <v/>
      </c>
      <c r="L44" s="46" t="str">
        <f>IF(B44=0,"",IFERROR(COUNTIFS(Export!$E:$E,A44,Export!$H:$H,"Efectivo",Export!$M:$M,"&lt;="&amp;8)/B44*100,0))</f>
        <v/>
      </c>
      <c r="M44" s="46" t="str">
        <f>IF(B44=0,"",IFERROR(COUNTIFS(Export!$E:$E,A44,Export!$H:$H,"Efectivo",Export!$M:$M,"&lt;="&amp;9)/B44*100,0))</f>
        <v/>
      </c>
      <c r="N44" s="46" t="str">
        <f>IF(B44=0,"",IFERROR(COUNTIFS(Export!$E:$E,A44,Export!$H:$H,"Efectivo",Export!$M:$M,"&lt;="&amp;10)/B44*100,0))</f>
        <v/>
      </c>
      <c r="O44" s="46" t="str">
        <f>IF(B44=0,"",IFERROR(COUNTIFS(Export!$E:$E,A44,Export!$H:$H,"Efectivo",Export!$M:$M,"&lt;="&amp;11)/B44*100,0))</f>
        <v/>
      </c>
      <c r="P44" s="46" t="str">
        <f>IF(B44=0,"",IFERROR(COUNTIFS(Export!$E:$E,A44,Export!$H:$H,"Efectivo",Export!$M:$M,"&lt;="&amp;12)/B44*100,0))</f>
        <v/>
      </c>
      <c r="Q44" s="46" t="str">
        <f>IF(B44=0,"",IFERROR(COUNTIFS(Export!$E:$E,A44,Export!$H:$H,"Efectivo",Export!$M:$M,"&lt;="&amp;13)/B44*100,0))</f>
        <v/>
      </c>
      <c r="R44" s="46" t="str">
        <f>IF(B44=0,"",IFERROR(COUNTIFS(Export!$E:$E,A44,Export!$H:$H,"Efectivo",Export!$M:$M,"&lt;="&amp;14)/B44*100,0))</f>
        <v/>
      </c>
      <c r="S44" s="46" t="str">
        <f>IF(B44=0,"",IFERROR(COUNTIFS(Export!$E:$E,A44,Export!$H:$H,"Efectivo",Export!$M:$M,"&lt;="&amp;15)/B44*100,0))</f>
        <v/>
      </c>
      <c r="T44" s="46" t="str">
        <f>IF(B44=0,"",IFERROR(COUNTIFS(Export!$E:$E,A44,Export!$H:$H,"Efectivo",Export!$M:$M,"&lt;="&amp;16)/B44*100,0))</f>
        <v/>
      </c>
      <c r="U44" s="46" t="str">
        <f>IF(B44=0,"",IFERROR(COUNTIFS(Export!$E:$E,A44,Export!$H:$H,"Efectivo",Export!$M:$M,"&lt;="&amp;17)/B44*100,0))</f>
        <v/>
      </c>
      <c r="V44" s="46" t="str">
        <f>IF(B44=0,"",IFERROR(COUNTIFS(Export!$E:$E,A44,Export!$H:$H,"Efectivo",Export!$M:$M,"&lt;="&amp;18)/B44*100,0))</f>
        <v/>
      </c>
      <c r="W44" s="46" t="str">
        <f>IF(B44=0,"",IFERROR(COUNTIFS(Export!$E:$E,A44,Export!$H:$H,"Efectivo",Export!$M:$M,"&lt;="&amp;19)/B44*100,0))</f>
        <v/>
      </c>
      <c r="X44" s="46" t="str">
        <f>IF(B44=0,"",IFERROR(COUNTIFS(Export!$E:$E,A44,Export!$H:$H,"Efectivo",Export!$M:$M,"&lt;="&amp;20)/B44*100,0))</f>
        <v/>
      </c>
      <c r="Y44" s="46" t="str">
        <f>IF(B44=0,"",IFERROR(COUNTIFS(Export!$E:$E,A44,Export!$H:$H,"Efectivo",Export!$M:$M,"&lt;="&amp;21)/B44*100,0))</f>
        <v/>
      </c>
      <c r="Z44" s="46" t="str">
        <f>IF(B44=0,"",IFERROR(COUNTIFS(Export!$E:$E,A44,Export!$H:$H,"Efectivo",Export!$M:$M,"&lt;="&amp;22)/B44*100,0))</f>
        <v/>
      </c>
      <c r="AA44" s="46" t="str">
        <f>IF(B44=0,"",IFERROR(COUNTIFS(Export!$E:$E,A44,Export!$H:$H,"Efectivo",Export!$M:$M,"&lt;="&amp;23)/B44*100,0))</f>
        <v/>
      </c>
      <c r="AB44" s="46" t="str">
        <f>IF(B44=0,"",IFERROR(COUNTIFS(Export!$E:$E,A44,Export!$H:$H,"Efectivo",Export!$M:$M,"&lt;="&amp;24)/B44*100,0))</f>
        <v/>
      </c>
      <c r="AC44" s="46" t="str">
        <f>IF(B44=0,"",IFERROR(COUNTIFS(Export!$E:$E,A44,Export!$H:$H,"Efectivo",Export!$M:$M,"&lt;="&amp;25)/B44*100,0))</f>
        <v/>
      </c>
      <c r="AD44" s="46" t="str">
        <f>IF(B44=0,"",IFERROR(COUNTIFS(Export!$E:$E,A44,Export!$H:$H,"Efectivo",Export!$M:$M,"&lt;="&amp;26)/B44*100,0))</f>
        <v/>
      </c>
      <c r="AE44" s="46" t="str">
        <f>IF(B44=0,"",IFERROR(COUNTIFS(Export!$E:$E,A44,Export!$H:$H,"Efectivo",Export!$M:$M,"&lt;="&amp;27)/B44*100,0))</f>
        <v/>
      </c>
      <c r="AF44" s="46" t="str">
        <f>IF(B44=0,"",IFERROR(COUNTIFS(Export!$E:$E,A44,Export!$H:$H,"Efectivo",Export!$M:$M,"&lt;="&amp;28)/B44*100,0))</f>
        <v/>
      </c>
      <c r="AG44" s="46" t="str">
        <f>IF(B44=0,"",IFERROR(COUNTIFS(Export!$E:$E,A44,Export!$H:$H,"Efectivo",Export!$M:$M,"&lt;="&amp;29)/B44*100,0))</f>
        <v/>
      </c>
      <c r="AH44" s="46" t="str">
        <f>IF(B44=0,"",IFERROR(COUNTIFS(Export!$E:$E,A44,Export!$H:$H,"Efectivo",Export!$M:$M,"&lt;="&amp;30)/B44*100,0))</f>
        <v/>
      </c>
      <c r="AI44" s="46" t="str">
        <f>IF(B44=0,"",IFERROR(COUNTIFS(Export!$E:$E,A44,Export!$H:$H,"Efectivo",Export!$M:$M,"&lt;="&amp;31)/B44*100,0))</f>
        <v/>
      </c>
      <c r="AJ44" s="46" t="str">
        <f>IF(B44=0,"",IFERROR(COUNTIFS(Export!$E:$E,A44,Export!$H:$H,"Efectivo",Export!$M:$M,"&lt;="&amp;32)/B44*100,0))</f>
        <v/>
      </c>
      <c r="AK44" s="46" t="str">
        <f>IF(B44=0,"",IFERROR(COUNTIFS(Export!$E:$E,A44,Export!$H:$H,"Efectivo",Export!$M:$M,"&lt;="&amp;33)/B44*100,0))</f>
        <v/>
      </c>
      <c r="AL44" s="46" t="str">
        <f>IF(B44=0,"",IFERROR(COUNTIFS(Export!$E:$E,A44,Export!$H:$H,"Efectivo",Export!$M:$M,"&lt;="&amp;34)/B44*100,0))</f>
        <v/>
      </c>
      <c r="AM44" s="46" t="str">
        <f>IF(B44=0,"",IFERROR(COUNTIFS(Export!$E:$E,A44,Export!$H:$H,"Efectivo",Export!$M:$M,"&lt;="&amp;35)/B44*100,0))</f>
        <v/>
      </c>
      <c r="AN44" s="46" t="str">
        <f>IF(B44=0,"",IFERROR(COUNTIFS(Export!$E:$E,A44,Export!$H:$H,"Efectivo",Export!$M:$M,"&lt;="&amp;36)/B44*100,0))</f>
        <v/>
      </c>
    </row>
    <row r="45" spans="1:40" x14ac:dyDescent="0.35">
      <c r="A45" s="49" t="s">
        <v>100</v>
      </c>
      <c r="B45" s="44">
        <f>IFERROR(COUNTIF(Export!$E:$E,A45),0)</f>
        <v>0</v>
      </c>
      <c r="C45" s="45" t="str">
        <f>IFERROR(VLOOKUP(A45,Originaciones!$A:$B,2,0),"")</f>
        <v/>
      </c>
      <c r="D45" s="46" t="str">
        <f>IF(B45=0,"",IFERROR(COUNTIFS(Export!$E:$E,A45,Export!$H:$H,"Efectivo",Export!$M:$M,"&lt;="&amp;0)/B45*100,0))</f>
        <v/>
      </c>
      <c r="E45" s="46" t="str">
        <f>IF(B45=0,"",IFERROR(COUNTIFS(Export!$E:$E,A45,Export!$H:$H,"Efectivo",Export!$M:$M,"&lt;="&amp;1)/B45*100,0))</f>
        <v/>
      </c>
      <c r="F45" s="46" t="str">
        <f>IF(B45=0,"",IFERROR(COUNTIFS(Export!$E:$E,A45,Export!$H:$H,"Efectivo",Export!$M:$M,"&lt;="&amp;2)/B45*100,0))</f>
        <v/>
      </c>
      <c r="G45" s="46" t="str">
        <f>IF(B45=0,"",IFERROR(COUNTIFS(Export!$E:$E,A45,Export!$H:$H,"Efectivo",Export!$M:$M,"&lt;="&amp;3)/B45*100,0))</f>
        <v/>
      </c>
      <c r="H45" s="46" t="str">
        <f>IF(B45=0,"",IFERROR(COUNTIFS(Export!$E:$E,A45,Export!$H:$H,"Efectivo",Export!$M:$M,"&lt;="&amp;4)/B45*100,0))</f>
        <v/>
      </c>
      <c r="I45" s="46" t="str">
        <f>IF(B45=0,"",IFERROR(COUNTIFS(Export!$E:$E,A45,Export!$H:$H,"Efectivo",Export!$M:$M,"&lt;="&amp;5)/B45*100,0))</f>
        <v/>
      </c>
      <c r="J45" s="46" t="str">
        <f>IF(B45=0,"",IFERROR(COUNTIFS(Export!$E:$E,A45,Export!$H:$H,"Efectivo",Export!$M:$M,"&lt;="&amp;6)/B45*100,0))</f>
        <v/>
      </c>
      <c r="K45" s="46" t="str">
        <f>IF(B45=0,"",IFERROR(COUNTIFS(Export!$E:$E,A45,Export!$H:$H,"Efectivo",Export!$M:$M,"&lt;="&amp;7)/B45*100,0))</f>
        <v/>
      </c>
      <c r="L45" s="46" t="str">
        <f>IF(B45=0,"",IFERROR(COUNTIFS(Export!$E:$E,A45,Export!$H:$H,"Efectivo",Export!$M:$M,"&lt;="&amp;8)/B45*100,0))</f>
        <v/>
      </c>
      <c r="M45" s="46" t="str">
        <f>IF(B45=0,"",IFERROR(COUNTIFS(Export!$E:$E,A45,Export!$H:$H,"Efectivo",Export!$M:$M,"&lt;="&amp;9)/B45*100,0))</f>
        <v/>
      </c>
      <c r="N45" s="46" t="str">
        <f>IF(B45=0,"",IFERROR(COUNTIFS(Export!$E:$E,A45,Export!$H:$H,"Efectivo",Export!$M:$M,"&lt;="&amp;10)/B45*100,0))</f>
        <v/>
      </c>
      <c r="O45" s="46" t="str">
        <f>IF(B45=0,"",IFERROR(COUNTIFS(Export!$E:$E,A45,Export!$H:$H,"Efectivo",Export!$M:$M,"&lt;="&amp;11)/B45*100,0))</f>
        <v/>
      </c>
      <c r="P45" s="46" t="str">
        <f>IF(B45=0,"",IFERROR(COUNTIFS(Export!$E:$E,A45,Export!$H:$H,"Efectivo",Export!$M:$M,"&lt;="&amp;12)/B45*100,0))</f>
        <v/>
      </c>
      <c r="Q45" s="46" t="str">
        <f>IF(B45=0,"",IFERROR(COUNTIFS(Export!$E:$E,A45,Export!$H:$H,"Efectivo",Export!$M:$M,"&lt;="&amp;13)/B45*100,0))</f>
        <v/>
      </c>
      <c r="R45" s="46" t="str">
        <f>IF(B45=0,"",IFERROR(COUNTIFS(Export!$E:$E,A45,Export!$H:$H,"Efectivo",Export!$M:$M,"&lt;="&amp;14)/B45*100,0))</f>
        <v/>
      </c>
      <c r="S45" s="46" t="str">
        <f>IF(B45=0,"",IFERROR(COUNTIFS(Export!$E:$E,A45,Export!$H:$H,"Efectivo",Export!$M:$M,"&lt;="&amp;15)/B45*100,0))</f>
        <v/>
      </c>
      <c r="T45" s="46" t="str">
        <f>IF(B45=0,"",IFERROR(COUNTIFS(Export!$E:$E,A45,Export!$H:$H,"Efectivo",Export!$M:$M,"&lt;="&amp;16)/B45*100,0))</f>
        <v/>
      </c>
      <c r="U45" s="46" t="str">
        <f>IF(B45=0,"",IFERROR(COUNTIFS(Export!$E:$E,A45,Export!$H:$H,"Efectivo",Export!$M:$M,"&lt;="&amp;17)/B45*100,0))</f>
        <v/>
      </c>
      <c r="V45" s="46" t="str">
        <f>IF(B45=0,"",IFERROR(COUNTIFS(Export!$E:$E,A45,Export!$H:$H,"Efectivo",Export!$M:$M,"&lt;="&amp;18)/B45*100,0))</f>
        <v/>
      </c>
      <c r="W45" s="46" t="str">
        <f>IF(B45=0,"",IFERROR(COUNTIFS(Export!$E:$E,A45,Export!$H:$H,"Efectivo",Export!$M:$M,"&lt;="&amp;19)/B45*100,0))</f>
        <v/>
      </c>
      <c r="X45" s="46" t="str">
        <f>IF(B45=0,"",IFERROR(COUNTIFS(Export!$E:$E,A45,Export!$H:$H,"Efectivo",Export!$M:$M,"&lt;="&amp;20)/B45*100,0))</f>
        <v/>
      </c>
      <c r="Y45" s="46" t="str">
        <f>IF(B45=0,"",IFERROR(COUNTIFS(Export!$E:$E,A45,Export!$H:$H,"Efectivo",Export!$M:$M,"&lt;="&amp;21)/B45*100,0))</f>
        <v/>
      </c>
      <c r="Z45" s="46" t="str">
        <f>IF(B45=0,"",IFERROR(COUNTIFS(Export!$E:$E,A45,Export!$H:$H,"Efectivo",Export!$M:$M,"&lt;="&amp;22)/B45*100,0))</f>
        <v/>
      </c>
      <c r="AA45" s="46" t="str">
        <f>IF(B45=0,"",IFERROR(COUNTIFS(Export!$E:$E,A45,Export!$H:$H,"Efectivo",Export!$M:$M,"&lt;="&amp;23)/B45*100,0))</f>
        <v/>
      </c>
      <c r="AB45" s="46" t="str">
        <f>IF(B45=0,"",IFERROR(COUNTIFS(Export!$E:$E,A45,Export!$H:$H,"Efectivo",Export!$M:$M,"&lt;="&amp;24)/B45*100,0))</f>
        <v/>
      </c>
      <c r="AC45" s="46" t="str">
        <f>IF(B45=0,"",IFERROR(COUNTIFS(Export!$E:$E,A45,Export!$H:$H,"Efectivo",Export!$M:$M,"&lt;="&amp;25)/B45*100,0))</f>
        <v/>
      </c>
      <c r="AD45" s="46" t="str">
        <f>IF(B45=0,"",IFERROR(COUNTIFS(Export!$E:$E,A45,Export!$H:$H,"Efectivo",Export!$M:$M,"&lt;="&amp;26)/B45*100,0))</f>
        <v/>
      </c>
      <c r="AE45" s="46" t="str">
        <f>IF(B45=0,"",IFERROR(COUNTIFS(Export!$E:$E,A45,Export!$H:$H,"Efectivo",Export!$M:$M,"&lt;="&amp;27)/B45*100,0))</f>
        <v/>
      </c>
      <c r="AF45" s="46" t="str">
        <f>IF(B45=0,"",IFERROR(COUNTIFS(Export!$E:$E,A45,Export!$H:$H,"Efectivo",Export!$M:$M,"&lt;="&amp;28)/B45*100,0))</f>
        <v/>
      </c>
      <c r="AG45" s="46" t="str">
        <f>IF(B45=0,"",IFERROR(COUNTIFS(Export!$E:$E,A45,Export!$H:$H,"Efectivo",Export!$M:$M,"&lt;="&amp;29)/B45*100,0))</f>
        <v/>
      </c>
      <c r="AH45" s="46" t="str">
        <f>IF(B45=0,"",IFERROR(COUNTIFS(Export!$E:$E,A45,Export!$H:$H,"Efectivo",Export!$M:$M,"&lt;="&amp;30)/B45*100,0))</f>
        <v/>
      </c>
      <c r="AI45" s="46" t="str">
        <f>IF(B45=0,"",IFERROR(COUNTIFS(Export!$E:$E,A45,Export!$H:$H,"Efectivo",Export!$M:$M,"&lt;="&amp;31)/B45*100,0))</f>
        <v/>
      </c>
      <c r="AJ45" s="46" t="str">
        <f>IF(B45=0,"",IFERROR(COUNTIFS(Export!$E:$E,A45,Export!$H:$H,"Efectivo",Export!$M:$M,"&lt;="&amp;32)/B45*100,0))</f>
        <v/>
      </c>
      <c r="AK45" s="46" t="str">
        <f>IF(B45=0,"",IFERROR(COUNTIFS(Export!$E:$E,A45,Export!$H:$H,"Efectivo",Export!$M:$M,"&lt;="&amp;33)/B45*100,0))</f>
        <v/>
      </c>
      <c r="AL45" s="46" t="str">
        <f>IF(B45=0,"",IFERROR(COUNTIFS(Export!$E:$E,A45,Export!$H:$H,"Efectivo",Export!$M:$M,"&lt;="&amp;34)/B45*100,0))</f>
        <v/>
      </c>
      <c r="AM45" s="46" t="str">
        <f>IF(B45=0,"",IFERROR(COUNTIFS(Export!$E:$E,A45,Export!$H:$H,"Efectivo",Export!$M:$M,"&lt;="&amp;35)/B45*100,0))</f>
        <v/>
      </c>
      <c r="AN45" s="46" t="str">
        <f>IF(B45=0,"",IFERROR(COUNTIFS(Export!$E:$E,A45,Export!$H:$H,"Efectivo",Export!$M:$M,"&lt;="&amp;36)/B45*100,0))</f>
        <v/>
      </c>
    </row>
    <row r="46" spans="1:40" x14ac:dyDescent="0.35">
      <c r="A46" s="49" t="s">
        <v>101</v>
      </c>
      <c r="B46" s="44">
        <f>IFERROR(COUNTIF(Export!$E:$E,A46),0)</f>
        <v>0</v>
      </c>
      <c r="C46" s="45" t="str">
        <f>IFERROR(VLOOKUP(A46,Originaciones!$A:$B,2,0),"")</f>
        <v/>
      </c>
      <c r="D46" s="46" t="str">
        <f>IF(B46=0,"",IFERROR(COUNTIFS(Export!$E:$E,A46,Export!$H:$H,"Efectivo",Export!$M:$M,"&lt;="&amp;0)/B46*100,0))</f>
        <v/>
      </c>
      <c r="E46" s="46" t="str">
        <f>IF(B46=0,"",IFERROR(COUNTIFS(Export!$E:$E,A46,Export!$H:$H,"Efectivo",Export!$M:$M,"&lt;="&amp;1)/B46*100,0))</f>
        <v/>
      </c>
      <c r="F46" s="46" t="str">
        <f>IF(B46=0,"",IFERROR(COUNTIFS(Export!$E:$E,A46,Export!$H:$H,"Efectivo",Export!$M:$M,"&lt;="&amp;2)/B46*100,0))</f>
        <v/>
      </c>
      <c r="G46" s="46" t="str">
        <f>IF(B46=0,"",IFERROR(COUNTIFS(Export!$E:$E,A46,Export!$H:$H,"Efectivo",Export!$M:$M,"&lt;="&amp;3)/B46*100,0))</f>
        <v/>
      </c>
      <c r="H46" s="46" t="str">
        <f>IF(B46=0,"",IFERROR(COUNTIFS(Export!$E:$E,A46,Export!$H:$H,"Efectivo",Export!$M:$M,"&lt;="&amp;4)/B46*100,0))</f>
        <v/>
      </c>
      <c r="I46" s="46" t="str">
        <f>IF(B46=0,"",IFERROR(COUNTIFS(Export!$E:$E,A46,Export!$H:$H,"Efectivo",Export!$M:$M,"&lt;="&amp;5)/B46*100,0))</f>
        <v/>
      </c>
      <c r="J46" s="46" t="str">
        <f>IF(B46=0,"",IFERROR(COUNTIFS(Export!$E:$E,A46,Export!$H:$H,"Efectivo",Export!$M:$M,"&lt;="&amp;6)/B46*100,0))</f>
        <v/>
      </c>
      <c r="K46" s="46" t="str">
        <f>IF(B46=0,"",IFERROR(COUNTIFS(Export!$E:$E,A46,Export!$H:$H,"Efectivo",Export!$M:$M,"&lt;="&amp;7)/B46*100,0))</f>
        <v/>
      </c>
      <c r="L46" s="46" t="str">
        <f>IF(B46=0,"",IFERROR(COUNTIFS(Export!$E:$E,A46,Export!$H:$H,"Efectivo",Export!$M:$M,"&lt;="&amp;8)/B46*100,0))</f>
        <v/>
      </c>
      <c r="M46" s="46" t="str">
        <f>IF(B46=0,"",IFERROR(COUNTIFS(Export!$E:$E,A46,Export!$H:$H,"Efectivo",Export!$M:$M,"&lt;="&amp;9)/B46*100,0))</f>
        <v/>
      </c>
      <c r="N46" s="46" t="str">
        <f>IF(B46=0,"",IFERROR(COUNTIFS(Export!$E:$E,A46,Export!$H:$H,"Efectivo",Export!$M:$M,"&lt;="&amp;10)/B46*100,0))</f>
        <v/>
      </c>
      <c r="O46" s="46" t="str">
        <f>IF(B46=0,"",IFERROR(COUNTIFS(Export!$E:$E,A46,Export!$H:$H,"Efectivo",Export!$M:$M,"&lt;="&amp;11)/B46*100,0))</f>
        <v/>
      </c>
      <c r="P46" s="46" t="str">
        <f>IF(B46=0,"",IFERROR(COUNTIFS(Export!$E:$E,A46,Export!$H:$H,"Efectivo",Export!$M:$M,"&lt;="&amp;12)/B46*100,0))</f>
        <v/>
      </c>
      <c r="Q46" s="46" t="str">
        <f>IF(B46=0,"",IFERROR(COUNTIFS(Export!$E:$E,A46,Export!$H:$H,"Efectivo",Export!$M:$M,"&lt;="&amp;13)/B46*100,0))</f>
        <v/>
      </c>
      <c r="R46" s="46" t="str">
        <f>IF(B46=0,"",IFERROR(COUNTIFS(Export!$E:$E,A46,Export!$H:$H,"Efectivo",Export!$M:$M,"&lt;="&amp;14)/B46*100,0))</f>
        <v/>
      </c>
      <c r="S46" s="46" t="str">
        <f>IF(B46=0,"",IFERROR(COUNTIFS(Export!$E:$E,A46,Export!$H:$H,"Efectivo",Export!$M:$M,"&lt;="&amp;15)/B46*100,0))</f>
        <v/>
      </c>
      <c r="T46" s="46" t="str">
        <f>IF(B46=0,"",IFERROR(COUNTIFS(Export!$E:$E,A46,Export!$H:$H,"Efectivo",Export!$M:$M,"&lt;="&amp;16)/B46*100,0))</f>
        <v/>
      </c>
      <c r="U46" s="46" t="str">
        <f>IF(B46=0,"",IFERROR(COUNTIFS(Export!$E:$E,A46,Export!$H:$H,"Efectivo",Export!$M:$M,"&lt;="&amp;17)/B46*100,0))</f>
        <v/>
      </c>
      <c r="V46" s="46" t="str">
        <f>IF(B46=0,"",IFERROR(COUNTIFS(Export!$E:$E,A46,Export!$H:$H,"Efectivo",Export!$M:$M,"&lt;="&amp;18)/B46*100,0))</f>
        <v/>
      </c>
      <c r="W46" s="46" t="str">
        <f>IF(B46=0,"",IFERROR(COUNTIFS(Export!$E:$E,A46,Export!$H:$H,"Efectivo",Export!$M:$M,"&lt;="&amp;19)/B46*100,0))</f>
        <v/>
      </c>
      <c r="X46" s="46" t="str">
        <f>IF(B46=0,"",IFERROR(COUNTIFS(Export!$E:$E,A46,Export!$H:$H,"Efectivo",Export!$M:$M,"&lt;="&amp;20)/B46*100,0))</f>
        <v/>
      </c>
      <c r="Y46" s="46" t="str">
        <f>IF(B46=0,"",IFERROR(COUNTIFS(Export!$E:$E,A46,Export!$H:$H,"Efectivo",Export!$M:$M,"&lt;="&amp;21)/B46*100,0))</f>
        <v/>
      </c>
      <c r="Z46" s="46" t="str">
        <f>IF(B46=0,"",IFERROR(COUNTIFS(Export!$E:$E,A46,Export!$H:$H,"Efectivo",Export!$M:$M,"&lt;="&amp;22)/B46*100,0))</f>
        <v/>
      </c>
      <c r="AA46" s="46" t="str">
        <f>IF(B46=0,"",IFERROR(COUNTIFS(Export!$E:$E,A46,Export!$H:$H,"Efectivo",Export!$M:$M,"&lt;="&amp;23)/B46*100,0))</f>
        <v/>
      </c>
      <c r="AB46" s="46" t="str">
        <f>IF(B46=0,"",IFERROR(COUNTIFS(Export!$E:$E,A46,Export!$H:$H,"Efectivo",Export!$M:$M,"&lt;="&amp;24)/B46*100,0))</f>
        <v/>
      </c>
      <c r="AC46" s="46" t="str">
        <f>IF(B46=0,"",IFERROR(COUNTIFS(Export!$E:$E,A46,Export!$H:$H,"Efectivo",Export!$M:$M,"&lt;="&amp;25)/B46*100,0))</f>
        <v/>
      </c>
      <c r="AD46" s="46" t="str">
        <f>IF(B46=0,"",IFERROR(COUNTIFS(Export!$E:$E,A46,Export!$H:$H,"Efectivo",Export!$M:$M,"&lt;="&amp;26)/B46*100,0))</f>
        <v/>
      </c>
      <c r="AE46" s="46" t="str">
        <f>IF(B46=0,"",IFERROR(COUNTIFS(Export!$E:$E,A46,Export!$H:$H,"Efectivo",Export!$M:$M,"&lt;="&amp;27)/B46*100,0))</f>
        <v/>
      </c>
      <c r="AF46" s="46" t="str">
        <f>IF(B46=0,"",IFERROR(COUNTIFS(Export!$E:$E,A46,Export!$H:$H,"Efectivo",Export!$M:$M,"&lt;="&amp;28)/B46*100,0))</f>
        <v/>
      </c>
      <c r="AG46" s="46" t="str">
        <f>IF(B46=0,"",IFERROR(COUNTIFS(Export!$E:$E,A46,Export!$H:$H,"Efectivo",Export!$M:$M,"&lt;="&amp;29)/B46*100,0))</f>
        <v/>
      </c>
      <c r="AH46" s="46" t="str">
        <f>IF(B46=0,"",IFERROR(COUNTIFS(Export!$E:$E,A46,Export!$H:$H,"Efectivo",Export!$M:$M,"&lt;="&amp;30)/B46*100,0))</f>
        <v/>
      </c>
      <c r="AI46" s="46" t="str">
        <f>IF(B46=0,"",IFERROR(COUNTIFS(Export!$E:$E,A46,Export!$H:$H,"Efectivo",Export!$M:$M,"&lt;="&amp;31)/B46*100,0))</f>
        <v/>
      </c>
      <c r="AJ46" s="46" t="str">
        <f>IF(B46=0,"",IFERROR(COUNTIFS(Export!$E:$E,A46,Export!$H:$H,"Efectivo",Export!$M:$M,"&lt;="&amp;32)/B46*100,0))</f>
        <v/>
      </c>
      <c r="AK46" s="46" t="str">
        <f>IF(B46=0,"",IFERROR(COUNTIFS(Export!$E:$E,A46,Export!$H:$H,"Efectivo",Export!$M:$M,"&lt;="&amp;33)/B46*100,0))</f>
        <v/>
      </c>
      <c r="AL46" s="46" t="str">
        <f>IF(B46=0,"",IFERROR(COUNTIFS(Export!$E:$E,A46,Export!$H:$H,"Efectivo",Export!$M:$M,"&lt;="&amp;34)/B46*100,0))</f>
        <v/>
      </c>
      <c r="AM46" s="46" t="str">
        <f>IF(B46=0,"",IFERROR(COUNTIFS(Export!$E:$E,A46,Export!$H:$H,"Efectivo",Export!$M:$M,"&lt;="&amp;35)/B46*100,0))</f>
        <v/>
      </c>
      <c r="AN46" s="46" t="str">
        <f>IF(B46=0,"",IFERROR(COUNTIFS(Export!$E:$E,A46,Export!$H:$H,"Efectivo",Export!$M:$M,"&lt;="&amp;36)/B46*100,0))</f>
        <v/>
      </c>
    </row>
    <row r="47" spans="1:40" x14ac:dyDescent="0.35">
      <c r="A47" s="49" t="s">
        <v>102</v>
      </c>
      <c r="B47" s="44">
        <f>IFERROR(COUNTIF(Export!$E:$E,A47),0)</f>
        <v>0</v>
      </c>
      <c r="C47" s="45" t="str">
        <f>IFERROR(VLOOKUP(A47,Originaciones!$A:$B,2,0),"")</f>
        <v/>
      </c>
      <c r="D47" s="46" t="str">
        <f>IF(B47=0,"",IFERROR(COUNTIFS(Export!$E:$E,A47,Export!$H:$H,"Efectivo",Export!$M:$M,"&lt;="&amp;0)/B47*100,0))</f>
        <v/>
      </c>
      <c r="E47" s="46" t="str">
        <f>IF(B47=0,"",IFERROR(COUNTIFS(Export!$E:$E,A47,Export!$H:$H,"Efectivo",Export!$M:$M,"&lt;="&amp;1)/B47*100,0))</f>
        <v/>
      </c>
      <c r="F47" s="46" t="str">
        <f>IF(B47=0,"",IFERROR(COUNTIFS(Export!$E:$E,A47,Export!$H:$H,"Efectivo",Export!$M:$M,"&lt;="&amp;2)/B47*100,0))</f>
        <v/>
      </c>
      <c r="G47" s="46" t="str">
        <f>IF(B47=0,"",IFERROR(COUNTIFS(Export!$E:$E,A47,Export!$H:$H,"Efectivo",Export!$M:$M,"&lt;="&amp;3)/B47*100,0))</f>
        <v/>
      </c>
      <c r="H47" s="46" t="str">
        <f>IF(B47=0,"",IFERROR(COUNTIFS(Export!$E:$E,A47,Export!$H:$H,"Efectivo",Export!$M:$M,"&lt;="&amp;4)/B47*100,0))</f>
        <v/>
      </c>
      <c r="I47" s="46" t="str">
        <f>IF(B47=0,"",IFERROR(COUNTIFS(Export!$E:$E,A47,Export!$H:$H,"Efectivo",Export!$M:$M,"&lt;="&amp;5)/B47*100,0))</f>
        <v/>
      </c>
      <c r="J47" s="46" t="str">
        <f>IF(B47=0,"",IFERROR(COUNTIFS(Export!$E:$E,A47,Export!$H:$H,"Efectivo",Export!$M:$M,"&lt;="&amp;6)/B47*100,0))</f>
        <v/>
      </c>
      <c r="K47" s="46" t="str">
        <f>IF(B47=0,"",IFERROR(COUNTIFS(Export!$E:$E,A47,Export!$H:$H,"Efectivo",Export!$M:$M,"&lt;="&amp;7)/B47*100,0))</f>
        <v/>
      </c>
      <c r="L47" s="46" t="str">
        <f>IF(B47=0,"",IFERROR(COUNTIFS(Export!$E:$E,A47,Export!$H:$H,"Efectivo",Export!$M:$M,"&lt;="&amp;8)/B47*100,0))</f>
        <v/>
      </c>
      <c r="M47" s="46" t="str">
        <f>IF(B47=0,"",IFERROR(COUNTIFS(Export!$E:$E,A47,Export!$H:$H,"Efectivo",Export!$M:$M,"&lt;="&amp;9)/B47*100,0))</f>
        <v/>
      </c>
      <c r="N47" s="46" t="str">
        <f>IF(B47=0,"",IFERROR(COUNTIFS(Export!$E:$E,A47,Export!$H:$H,"Efectivo",Export!$M:$M,"&lt;="&amp;10)/B47*100,0))</f>
        <v/>
      </c>
      <c r="O47" s="46" t="str">
        <f>IF(B47=0,"",IFERROR(COUNTIFS(Export!$E:$E,A47,Export!$H:$H,"Efectivo",Export!$M:$M,"&lt;="&amp;11)/B47*100,0))</f>
        <v/>
      </c>
      <c r="P47" s="46" t="str">
        <f>IF(B47=0,"",IFERROR(COUNTIFS(Export!$E:$E,A47,Export!$H:$H,"Efectivo",Export!$M:$M,"&lt;="&amp;12)/B47*100,0))</f>
        <v/>
      </c>
      <c r="Q47" s="46" t="str">
        <f>IF(B47=0,"",IFERROR(COUNTIFS(Export!$E:$E,A47,Export!$H:$H,"Efectivo",Export!$M:$M,"&lt;="&amp;13)/B47*100,0))</f>
        <v/>
      </c>
      <c r="R47" s="46" t="str">
        <f>IF(B47=0,"",IFERROR(COUNTIFS(Export!$E:$E,A47,Export!$H:$H,"Efectivo",Export!$M:$M,"&lt;="&amp;14)/B47*100,0))</f>
        <v/>
      </c>
      <c r="S47" s="46" t="str">
        <f>IF(B47=0,"",IFERROR(COUNTIFS(Export!$E:$E,A47,Export!$H:$H,"Efectivo",Export!$M:$M,"&lt;="&amp;15)/B47*100,0))</f>
        <v/>
      </c>
      <c r="T47" s="46" t="str">
        <f>IF(B47=0,"",IFERROR(COUNTIFS(Export!$E:$E,A47,Export!$H:$H,"Efectivo",Export!$M:$M,"&lt;="&amp;16)/B47*100,0))</f>
        <v/>
      </c>
      <c r="U47" s="46" t="str">
        <f>IF(B47=0,"",IFERROR(COUNTIFS(Export!$E:$E,A47,Export!$H:$H,"Efectivo",Export!$M:$M,"&lt;="&amp;17)/B47*100,0))</f>
        <v/>
      </c>
      <c r="V47" s="46" t="str">
        <f>IF(B47=0,"",IFERROR(COUNTIFS(Export!$E:$E,A47,Export!$H:$H,"Efectivo",Export!$M:$M,"&lt;="&amp;18)/B47*100,0))</f>
        <v/>
      </c>
      <c r="W47" s="46" t="str">
        <f>IF(B47=0,"",IFERROR(COUNTIFS(Export!$E:$E,A47,Export!$H:$H,"Efectivo",Export!$M:$M,"&lt;="&amp;19)/B47*100,0))</f>
        <v/>
      </c>
      <c r="X47" s="46" t="str">
        <f>IF(B47=0,"",IFERROR(COUNTIFS(Export!$E:$E,A47,Export!$H:$H,"Efectivo",Export!$M:$M,"&lt;="&amp;20)/B47*100,0))</f>
        <v/>
      </c>
      <c r="Y47" s="46" t="str">
        <f>IF(B47=0,"",IFERROR(COUNTIFS(Export!$E:$E,A47,Export!$H:$H,"Efectivo",Export!$M:$M,"&lt;="&amp;21)/B47*100,0))</f>
        <v/>
      </c>
      <c r="Z47" s="46" t="str">
        <f>IF(B47=0,"",IFERROR(COUNTIFS(Export!$E:$E,A47,Export!$H:$H,"Efectivo",Export!$M:$M,"&lt;="&amp;22)/B47*100,0))</f>
        <v/>
      </c>
      <c r="AA47" s="46" t="str">
        <f>IF(B47=0,"",IFERROR(COUNTIFS(Export!$E:$E,A47,Export!$H:$H,"Efectivo",Export!$M:$M,"&lt;="&amp;23)/B47*100,0))</f>
        <v/>
      </c>
      <c r="AB47" s="46" t="str">
        <f>IF(B47=0,"",IFERROR(COUNTIFS(Export!$E:$E,A47,Export!$H:$H,"Efectivo",Export!$M:$M,"&lt;="&amp;24)/B47*100,0))</f>
        <v/>
      </c>
      <c r="AC47" s="46" t="str">
        <f>IF(B47=0,"",IFERROR(COUNTIFS(Export!$E:$E,A47,Export!$H:$H,"Efectivo",Export!$M:$M,"&lt;="&amp;25)/B47*100,0))</f>
        <v/>
      </c>
      <c r="AD47" s="46" t="str">
        <f>IF(B47=0,"",IFERROR(COUNTIFS(Export!$E:$E,A47,Export!$H:$H,"Efectivo",Export!$M:$M,"&lt;="&amp;26)/B47*100,0))</f>
        <v/>
      </c>
      <c r="AE47" s="46" t="str">
        <f>IF(B47=0,"",IFERROR(COUNTIFS(Export!$E:$E,A47,Export!$H:$H,"Efectivo",Export!$M:$M,"&lt;="&amp;27)/B47*100,0))</f>
        <v/>
      </c>
      <c r="AF47" s="46" t="str">
        <f>IF(B47=0,"",IFERROR(COUNTIFS(Export!$E:$E,A47,Export!$H:$H,"Efectivo",Export!$M:$M,"&lt;="&amp;28)/B47*100,0))</f>
        <v/>
      </c>
      <c r="AG47" s="46" t="str">
        <f>IF(B47=0,"",IFERROR(COUNTIFS(Export!$E:$E,A47,Export!$H:$H,"Efectivo",Export!$M:$M,"&lt;="&amp;29)/B47*100,0))</f>
        <v/>
      </c>
      <c r="AH47" s="46" t="str">
        <f>IF(B47=0,"",IFERROR(COUNTIFS(Export!$E:$E,A47,Export!$H:$H,"Efectivo",Export!$M:$M,"&lt;="&amp;30)/B47*100,0))</f>
        <v/>
      </c>
      <c r="AI47" s="46" t="str">
        <f>IF(B47=0,"",IFERROR(COUNTIFS(Export!$E:$E,A47,Export!$H:$H,"Efectivo",Export!$M:$M,"&lt;="&amp;31)/B47*100,0))</f>
        <v/>
      </c>
      <c r="AJ47" s="46" t="str">
        <f>IF(B47=0,"",IFERROR(COUNTIFS(Export!$E:$E,A47,Export!$H:$H,"Efectivo",Export!$M:$M,"&lt;="&amp;32)/B47*100,0))</f>
        <v/>
      </c>
      <c r="AK47" s="46" t="str">
        <f>IF(B47=0,"",IFERROR(COUNTIFS(Export!$E:$E,A47,Export!$H:$H,"Efectivo",Export!$M:$M,"&lt;="&amp;33)/B47*100,0))</f>
        <v/>
      </c>
      <c r="AL47" s="46" t="str">
        <f>IF(B47=0,"",IFERROR(COUNTIFS(Export!$E:$E,A47,Export!$H:$H,"Efectivo",Export!$M:$M,"&lt;="&amp;34)/B47*100,0))</f>
        <v/>
      </c>
      <c r="AM47" s="46" t="str">
        <f>IF(B47=0,"",IFERROR(COUNTIFS(Export!$E:$E,A47,Export!$H:$H,"Efectivo",Export!$M:$M,"&lt;="&amp;35)/B47*100,0))</f>
        <v/>
      </c>
      <c r="AN47" s="46" t="str">
        <f>IF(B47=0,"",IFERROR(COUNTIFS(Export!$E:$E,A47,Export!$H:$H,"Efectivo",Export!$M:$M,"&lt;="&amp;36)/B47*100,0))</f>
        <v/>
      </c>
    </row>
    <row r="48" spans="1:40" x14ac:dyDescent="0.35">
      <c r="A48" s="49" t="s">
        <v>103</v>
      </c>
      <c r="B48" s="44">
        <f>IFERROR(COUNTIF(Export!$E:$E,A48),0)</f>
        <v>0</v>
      </c>
      <c r="C48" s="45" t="str">
        <f>IFERROR(VLOOKUP(A48,Originaciones!$A:$B,2,0),"")</f>
        <v/>
      </c>
      <c r="D48" s="46" t="str">
        <f>IF(B48=0,"",IFERROR(COUNTIFS(Export!$E:$E,A48,Export!$H:$H,"Efectivo",Export!$M:$M,"&lt;="&amp;0)/B48*100,0))</f>
        <v/>
      </c>
      <c r="E48" s="46" t="str">
        <f>IF(B48=0,"",IFERROR(COUNTIFS(Export!$E:$E,A48,Export!$H:$H,"Efectivo",Export!$M:$M,"&lt;="&amp;1)/B48*100,0))</f>
        <v/>
      </c>
      <c r="F48" s="46" t="str">
        <f>IF(B48=0,"",IFERROR(COUNTIFS(Export!$E:$E,A48,Export!$H:$H,"Efectivo",Export!$M:$M,"&lt;="&amp;2)/B48*100,0))</f>
        <v/>
      </c>
      <c r="G48" s="46" t="str">
        <f>IF(B48=0,"",IFERROR(COUNTIFS(Export!$E:$E,A48,Export!$H:$H,"Efectivo",Export!$M:$M,"&lt;="&amp;3)/B48*100,0))</f>
        <v/>
      </c>
      <c r="H48" s="46" t="str">
        <f>IF(B48=0,"",IFERROR(COUNTIFS(Export!$E:$E,A48,Export!$H:$H,"Efectivo",Export!$M:$M,"&lt;="&amp;4)/B48*100,0))</f>
        <v/>
      </c>
      <c r="I48" s="46" t="str">
        <f>IF(B48=0,"",IFERROR(COUNTIFS(Export!$E:$E,A48,Export!$H:$H,"Efectivo",Export!$M:$M,"&lt;="&amp;5)/B48*100,0))</f>
        <v/>
      </c>
      <c r="J48" s="46" t="str">
        <f>IF(B48=0,"",IFERROR(COUNTIFS(Export!$E:$E,A48,Export!$H:$H,"Efectivo",Export!$M:$M,"&lt;="&amp;6)/B48*100,0))</f>
        <v/>
      </c>
      <c r="K48" s="46" t="str">
        <f>IF(B48=0,"",IFERROR(COUNTIFS(Export!$E:$E,A48,Export!$H:$H,"Efectivo",Export!$M:$M,"&lt;="&amp;7)/B48*100,0))</f>
        <v/>
      </c>
      <c r="L48" s="46" t="str">
        <f>IF(B48=0,"",IFERROR(COUNTIFS(Export!$E:$E,A48,Export!$H:$H,"Efectivo",Export!$M:$M,"&lt;="&amp;8)/B48*100,0))</f>
        <v/>
      </c>
      <c r="M48" s="46" t="str">
        <f>IF(B48=0,"",IFERROR(COUNTIFS(Export!$E:$E,A48,Export!$H:$H,"Efectivo",Export!$M:$M,"&lt;="&amp;9)/B48*100,0))</f>
        <v/>
      </c>
      <c r="N48" s="46" t="str">
        <f>IF(B48=0,"",IFERROR(COUNTIFS(Export!$E:$E,A48,Export!$H:$H,"Efectivo",Export!$M:$M,"&lt;="&amp;10)/B48*100,0))</f>
        <v/>
      </c>
      <c r="O48" s="46" t="str">
        <f>IF(B48=0,"",IFERROR(COUNTIFS(Export!$E:$E,A48,Export!$H:$H,"Efectivo",Export!$M:$M,"&lt;="&amp;11)/B48*100,0))</f>
        <v/>
      </c>
      <c r="P48" s="46" t="str">
        <f>IF(B48=0,"",IFERROR(COUNTIFS(Export!$E:$E,A48,Export!$H:$H,"Efectivo",Export!$M:$M,"&lt;="&amp;12)/B48*100,0))</f>
        <v/>
      </c>
      <c r="Q48" s="46" t="str">
        <f>IF(B48=0,"",IFERROR(COUNTIFS(Export!$E:$E,A48,Export!$H:$H,"Efectivo",Export!$M:$M,"&lt;="&amp;13)/B48*100,0))</f>
        <v/>
      </c>
      <c r="R48" s="46" t="str">
        <f>IF(B48=0,"",IFERROR(COUNTIFS(Export!$E:$E,A48,Export!$H:$H,"Efectivo",Export!$M:$M,"&lt;="&amp;14)/B48*100,0))</f>
        <v/>
      </c>
      <c r="S48" s="46" t="str">
        <f>IF(B48=0,"",IFERROR(COUNTIFS(Export!$E:$E,A48,Export!$H:$H,"Efectivo",Export!$M:$M,"&lt;="&amp;15)/B48*100,0))</f>
        <v/>
      </c>
      <c r="T48" s="46" t="str">
        <f>IF(B48=0,"",IFERROR(COUNTIFS(Export!$E:$E,A48,Export!$H:$H,"Efectivo",Export!$M:$M,"&lt;="&amp;16)/B48*100,0))</f>
        <v/>
      </c>
      <c r="U48" s="46" t="str">
        <f>IF(B48=0,"",IFERROR(COUNTIFS(Export!$E:$E,A48,Export!$H:$H,"Efectivo",Export!$M:$M,"&lt;="&amp;17)/B48*100,0))</f>
        <v/>
      </c>
      <c r="V48" s="46" t="str">
        <f>IF(B48=0,"",IFERROR(COUNTIFS(Export!$E:$E,A48,Export!$H:$H,"Efectivo",Export!$M:$M,"&lt;="&amp;18)/B48*100,0))</f>
        <v/>
      </c>
      <c r="W48" s="46" t="str">
        <f>IF(B48=0,"",IFERROR(COUNTIFS(Export!$E:$E,A48,Export!$H:$H,"Efectivo",Export!$M:$M,"&lt;="&amp;19)/B48*100,0))</f>
        <v/>
      </c>
      <c r="X48" s="46" t="str">
        <f>IF(B48=0,"",IFERROR(COUNTIFS(Export!$E:$E,A48,Export!$H:$H,"Efectivo",Export!$M:$M,"&lt;="&amp;20)/B48*100,0))</f>
        <v/>
      </c>
      <c r="Y48" s="46" t="str">
        <f>IF(B48=0,"",IFERROR(COUNTIFS(Export!$E:$E,A48,Export!$H:$H,"Efectivo",Export!$M:$M,"&lt;="&amp;21)/B48*100,0))</f>
        <v/>
      </c>
      <c r="Z48" s="46" t="str">
        <f>IF(B48=0,"",IFERROR(COUNTIFS(Export!$E:$E,A48,Export!$H:$H,"Efectivo",Export!$M:$M,"&lt;="&amp;22)/B48*100,0))</f>
        <v/>
      </c>
      <c r="AA48" s="46" t="str">
        <f>IF(B48=0,"",IFERROR(COUNTIFS(Export!$E:$E,A48,Export!$H:$H,"Efectivo",Export!$M:$M,"&lt;="&amp;23)/B48*100,0))</f>
        <v/>
      </c>
      <c r="AB48" s="46" t="str">
        <f>IF(B48=0,"",IFERROR(COUNTIFS(Export!$E:$E,A48,Export!$H:$H,"Efectivo",Export!$M:$M,"&lt;="&amp;24)/B48*100,0))</f>
        <v/>
      </c>
      <c r="AC48" s="46" t="str">
        <f>IF(B48=0,"",IFERROR(COUNTIFS(Export!$E:$E,A48,Export!$H:$H,"Efectivo",Export!$M:$M,"&lt;="&amp;25)/B48*100,0))</f>
        <v/>
      </c>
      <c r="AD48" s="46" t="str">
        <f>IF(B48=0,"",IFERROR(COUNTIFS(Export!$E:$E,A48,Export!$H:$H,"Efectivo",Export!$M:$M,"&lt;="&amp;26)/B48*100,0))</f>
        <v/>
      </c>
      <c r="AE48" s="46" t="str">
        <f>IF(B48=0,"",IFERROR(COUNTIFS(Export!$E:$E,A48,Export!$H:$H,"Efectivo",Export!$M:$M,"&lt;="&amp;27)/B48*100,0))</f>
        <v/>
      </c>
      <c r="AF48" s="46" t="str">
        <f>IF(B48=0,"",IFERROR(COUNTIFS(Export!$E:$E,A48,Export!$H:$H,"Efectivo",Export!$M:$M,"&lt;="&amp;28)/B48*100,0))</f>
        <v/>
      </c>
      <c r="AG48" s="46" t="str">
        <f>IF(B48=0,"",IFERROR(COUNTIFS(Export!$E:$E,A48,Export!$H:$H,"Efectivo",Export!$M:$M,"&lt;="&amp;29)/B48*100,0))</f>
        <v/>
      </c>
      <c r="AH48" s="46" t="str">
        <f>IF(B48=0,"",IFERROR(COUNTIFS(Export!$E:$E,A48,Export!$H:$H,"Efectivo",Export!$M:$M,"&lt;="&amp;30)/B48*100,0))</f>
        <v/>
      </c>
      <c r="AI48" s="46" t="str">
        <f>IF(B48=0,"",IFERROR(COUNTIFS(Export!$E:$E,A48,Export!$H:$H,"Efectivo",Export!$M:$M,"&lt;="&amp;31)/B48*100,0))</f>
        <v/>
      </c>
      <c r="AJ48" s="46" t="str">
        <f>IF(B48=0,"",IFERROR(COUNTIFS(Export!$E:$E,A48,Export!$H:$H,"Efectivo",Export!$M:$M,"&lt;="&amp;32)/B48*100,0))</f>
        <v/>
      </c>
      <c r="AK48" s="46" t="str">
        <f>IF(B48=0,"",IFERROR(COUNTIFS(Export!$E:$E,A48,Export!$H:$H,"Efectivo",Export!$M:$M,"&lt;="&amp;33)/B48*100,0))</f>
        <v/>
      </c>
      <c r="AL48" s="46" t="str">
        <f>IF(B48=0,"",IFERROR(COUNTIFS(Export!$E:$E,A48,Export!$H:$H,"Efectivo",Export!$M:$M,"&lt;="&amp;34)/B48*100,0))</f>
        <v/>
      </c>
      <c r="AM48" s="46" t="str">
        <f>IF(B48=0,"",IFERROR(COUNTIFS(Export!$E:$E,A48,Export!$H:$H,"Efectivo",Export!$M:$M,"&lt;="&amp;35)/B48*100,0))</f>
        <v/>
      </c>
      <c r="AN48" s="46" t="str">
        <f>IF(B48=0,"",IFERROR(COUNTIFS(Export!$E:$E,A48,Export!$H:$H,"Efectivo",Export!$M:$M,"&lt;="&amp;36)/B48*100,0))</f>
        <v/>
      </c>
    </row>
    <row r="49" spans="1:40" x14ac:dyDescent="0.35">
      <c r="A49" s="49" t="s">
        <v>104</v>
      </c>
      <c r="B49" s="44">
        <f>IFERROR(COUNTIF(Export!$E:$E,A49),0)</f>
        <v>0</v>
      </c>
      <c r="C49" s="45" t="str">
        <f>IFERROR(VLOOKUP(A49,Originaciones!$A:$B,2,0),"")</f>
        <v/>
      </c>
      <c r="D49" s="46" t="str">
        <f>IF(B49=0,"",IFERROR(COUNTIFS(Export!$E:$E,A49,Export!$H:$H,"Efectivo",Export!$M:$M,"&lt;="&amp;0)/B49*100,0))</f>
        <v/>
      </c>
      <c r="E49" s="46" t="str">
        <f>IF(B49=0,"",IFERROR(COUNTIFS(Export!$E:$E,A49,Export!$H:$H,"Efectivo",Export!$M:$M,"&lt;="&amp;1)/B49*100,0))</f>
        <v/>
      </c>
      <c r="F49" s="46" t="str">
        <f>IF(B49=0,"",IFERROR(COUNTIFS(Export!$E:$E,A49,Export!$H:$H,"Efectivo",Export!$M:$M,"&lt;="&amp;2)/B49*100,0))</f>
        <v/>
      </c>
      <c r="G49" s="46" t="str">
        <f>IF(B49=0,"",IFERROR(COUNTIFS(Export!$E:$E,A49,Export!$H:$H,"Efectivo",Export!$M:$M,"&lt;="&amp;3)/B49*100,0))</f>
        <v/>
      </c>
      <c r="H49" s="46" t="str">
        <f>IF(B49=0,"",IFERROR(COUNTIFS(Export!$E:$E,A49,Export!$H:$H,"Efectivo",Export!$M:$M,"&lt;="&amp;4)/B49*100,0))</f>
        <v/>
      </c>
      <c r="I49" s="46" t="str">
        <f>IF(B49=0,"",IFERROR(COUNTIFS(Export!$E:$E,A49,Export!$H:$H,"Efectivo",Export!$M:$M,"&lt;="&amp;5)/B49*100,0))</f>
        <v/>
      </c>
      <c r="J49" s="46" t="str">
        <f>IF(B49=0,"",IFERROR(COUNTIFS(Export!$E:$E,A49,Export!$H:$H,"Efectivo",Export!$M:$M,"&lt;="&amp;6)/B49*100,0))</f>
        <v/>
      </c>
      <c r="K49" s="46" t="str">
        <f>IF(B49=0,"",IFERROR(COUNTIFS(Export!$E:$E,A49,Export!$H:$H,"Efectivo",Export!$M:$M,"&lt;="&amp;7)/B49*100,0))</f>
        <v/>
      </c>
      <c r="L49" s="46" t="str">
        <f>IF(B49=0,"",IFERROR(COUNTIFS(Export!$E:$E,A49,Export!$H:$H,"Efectivo",Export!$M:$M,"&lt;="&amp;8)/B49*100,0))</f>
        <v/>
      </c>
      <c r="M49" s="46" t="str">
        <f>IF(B49=0,"",IFERROR(COUNTIFS(Export!$E:$E,A49,Export!$H:$H,"Efectivo",Export!$M:$M,"&lt;="&amp;9)/B49*100,0))</f>
        <v/>
      </c>
      <c r="N49" s="46" t="str">
        <f>IF(B49=0,"",IFERROR(COUNTIFS(Export!$E:$E,A49,Export!$H:$H,"Efectivo",Export!$M:$M,"&lt;="&amp;10)/B49*100,0))</f>
        <v/>
      </c>
      <c r="O49" s="46" t="str">
        <f>IF(B49=0,"",IFERROR(COUNTIFS(Export!$E:$E,A49,Export!$H:$H,"Efectivo",Export!$M:$M,"&lt;="&amp;11)/B49*100,0))</f>
        <v/>
      </c>
      <c r="P49" s="46" t="str">
        <f>IF(B49=0,"",IFERROR(COUNTIFS(Export!$E:$E,A49,Export!$H:$H,"Efectivo",Export!$M:$M,"&lt;="&amp;12)/B49*100,0))</f>
        <v/>
      </c>
      <c r="Q49" s="46" t="str">
        <f>IF(B49=0,"",IFERROR(COUNTIFS(Export!$E:$E,A49,Export!$H:$H,"Efectivo",Export!$M:$M,"&lt;="&amp;13)/B49*100,0))</f>
        <v/>
      </c>
      <c r="R49" s="46" t="str">
        <f>IF(B49=0,"",IFERROR(COUNTIFS(Export!$E:$E,A49,Export!$H:$H,"Efectivo",Export!$M:$M,"&lt;="&amp;14)/B49*100,0))</f>
        <v/>
      </c>
      <c r="S49" s="46" t="str">
        <f>IF(B49=0,"",IFERROR(COUNTIFS(Export!$E:$E,A49,Export!$H:$H,"Efectivo",Export!$M:$M,"&lt;="&amp;15)/B49*100,0))</f>
        <v/>
      </c>
      <c r="T49" s="46" t="str">
        <f>IF(B49=0,"",IFERROR(COUNTIFS(Export!$E:$E,A49,Export!$H:$H,"Efectivo",Export!$M:$M,"&lt;="&amp;16)/B49*100,0))</f>
        <v/>
      </c>
      <c r="U49" s="46" t="str">
        <f>IF(B49=0,"",IFERROR(COUNTIFS(Export!$E:$E,A49,Export!$H:$H,"Efectivo",Export!$M:$M,"&lt;="&amp;17)/B49*100,0))</f>
        <v/>
      </c>
      <c r="V49" s="46" t="str">
        <f>IF(B49=0,"",IFERROR(COUNTIFS(Export!$E:$E,A49,Export!$H:$H,"Efectivo",Export!$M:$M,"&lt;="&amp;18)/B49*100,0))</f>
        <v/>
      </c>
      <c r="W49" s="46" t="str">
        <f>IF(B49=0,"",IFERROR(COUNTIFS(Export!$E:$E,A49,Export!$H:$H,"Efectivo",Export!$M:$M,"&lt;="&amp;19)/B49*100,0))</f>
        <v/>
      </c>
      <c r="X49" s="46" t="str">
        <f>IF(B49=0,"",IFERROR(COUNTIFS(Export!$E:$E,A49,Export!$H:$H,"Efectivo",Export!$M:$M,"&lt;="&amp;20)/B49*100,0))</f>
        <v/>
      </c>
      <c r="Y49" s="46" t="str">
        <f>IF(B49=0,"",IFERROR(COUNTIFS(Export!$E:$E,A49,Export!$H:$H,"Efectivo",Export!$M:$M,"&lt;="&amp;21)/B49*100,0))</f>
        <v/>
      </c>
      <c r="Z49" s="46" t="str">
        <f>IF(B49=0,"",IFERROR(COUNTIFS(Export!$E:$E,A49,Export!$H:$H,"Efectivo",Export!$M:$M,"&lt;="&amp;22)/B49*100,0))</f>
        <v/>
      </c>
      <c r="AA49" s="46" t="str">
        <f>IF(B49=0,"",IFERROR(COUNTIFS(Export!$E:$E,A49,Export!$H:$H,"Efectivo",Export!$M:$M,"&lt;="&amp;23)/B49*100,0))</f>
        <v/>
      </c>
      <c r="AB49" s="46" t="str">
        <f>IF(B49=0,"",IFERROR(COUNTIFS(Export!$E:$E,A49,Export!$H:$H,"Efectivo",Export!$M:$M,"&lt;="&amp;24)/B49*100,0))</f>
        <v/>
      </c>
      <c r="AC49" s="46" t="str">
        <f>IF(B49=0,"",IFERROR(COUNTIFS(Export!$E:$E,A49,Export!$H:$H,"Efectivo",Export!$M:$M,"&lt;="&amp;25)/B49*100,0))</f>
        <v/>
      </c>
      <c r="AD49" s="46" t="str">
        <f>IF(B49=0,"",IFERROR(COUNTIFS(Export!$E:$E,A49,Export!$H:$H,"Efectivo",Export!$M:$M,"&lt;="&amp;26)/B49*100,0))</f>
        <v/>
      </c>
      <c r="AE49" s="46" t="str">
        <f>IF(B49=0,"",IFERROR(COUNTIFS(Export!$E:$E,A49,Export!$H:$H,"Efectivo",Export!$M:$M,"&lt;="&amp;27)/B49*100,0))</f>
        <v/>
      </c>
      <c r="AF49" s="46" t="str">
        <f>IF(B49=0,"",IFERROR(COUNTIFS(Export!$E:$E,A49,Export!$H:$H,"Efectivo",Export!$M:$M,"&lt;="&amp;28)/B49*100,0))</f>
        <v/>
      </c>
      <c r="AG49" s="46" t="str">
        <f>IF(B49=0,"",IFERROR(COUNTIFS(Export!$E:$E,A49,Export!$H:$H,"Efectivo",Export!$M:$M,"&lt;="&amp;29)/B49*100,0))</f>
        <v/>
      </c>
      <c r="AH49" s="46" t="str">
        <f>IF(B49=0,"",IFERROR(COUNTIFS(Export!$E:$E,A49,Export!$H:$H,"Efectivo",Export!$M:$M,"&lt;="&amp;30)/B49*100,0))</f>
        <v/>
      </c>
      <c r="AI49" s="46" t="str">
        <f>IF(B49=0,"",IFERROR(COUNTIFS(Export!$E:$E,A49,Export!$H:$H,"Efectivo",Export!$M:$M,"&lt;="&amp;31)/B49*100,0))</f>
        <v/>
      </c>
      <c r="AJ49" s="46" t="str">
        <f>IF(B49=0,"",IFERROR(COUNTIFS(Export!$E:$E,A49,Export!$H:$H,"Efectivo",Export!$M:$M,"&lt;="&amp;32)/B49*100,0))</f>
        <v/>
      </c>
      <c r="AK49" s="46" t="str">
        <f>IF(B49=0,"",IFERROR(COUNTIFS(Export!$E:$E,A49,Export!$H:$H,"Efectivo",Export!$M:$M,"&lt;="&amp;33)/B49*100,0))</f>
        <v/>
      </c>
      <c r="AL49" s="46" t="str">
        <f>IF(B49=0,"",IFERROR(COUNTIFS(Export!$E:$E,A49,Export!$H:$H,"Efectivo",Export!$M:$M,"&lt;="&amp;34)/B49*100,0))</f>
        <v/>
      </c>
      <c r="AM49" s="46" t="str">
        <f>IF(B49=0,"",IFERROR(COUNTIFS(Export!$E:$E,A49,Export!$H:$H,"Efectivo",Export!$M:$M,"&lt;="&amp;35)/B49*100,0))</f>
        <v/>
      </c>
      <c r="AN49" s="46" t="str">
        <f>IF(B49=0,"",IFERROR(COUNTIFS(Export!$E:$E,A49,Export!$H:$H,"Efectivo",Export!$M:$M,"&lt;="&amp;36)/B49*100,0))</f>
        <v/>
      </c>
    </row>
    <row r="50" spans="1:40" x14ac:dyDescent="0.35">
      <c r="A50" s="49" t="s">
        <v>105</v>
      </c>
      <c r="B50" s="44">
        <f>IFERROR(COUNTIF(Export!$E:$E,A50),0)</f>
        <v>0</v>
      </c>
      <c r="C50" s="45" t="str">
        <f>IFERROR(VLOOKUP(A50,Originaciones!$A:$B,2,0),"")</f>
        <v/>
      </c>
      <c r="D50" s="46" t="str">
        <f>IF(B50=0,"",IFERROR(COUNTIFS(Export!$E:$E,A50,Export!$H:$H,"Efectivo",Export!$M:$M,"&lt;="&amp;0)/B50*100,0))</f>
        <v/>
      </c>
      <c r="E50" s="46" t="str">
        <f>IF(B50=0,"",IFERROR(COUNTIFS(Export!$E:$E,A50,Export!$H:$H,"Efectivo",Export!$M:$M,"&lt;="&amp;1)/B50*100,0))</f>
        <v/>
      </c>
      <c r="F50" s="46" t="str">
        <f>IF(B50=0,"",IFERROR(COUNTIFS(Export!$E:$E,A50,Export!$H:$H,"Efectivo",Export!$M:$M,"&lt;="&amp;2)/B50*100,0))</f>
        <v/>
      </c>
      <c r="G50" s="46" t="str">
        <f>IF(B50=0,"",IFERROR(COUNTIFS(Export!$E:$E,A50,Export!$H:$H,"Efectivo",Export!$M:$M,"&lt;="&amp;3)/B50*100,0))</f>
        <v/>
      </c>
      <c r="H50" s="46" t="str">
        <f>IF(B50=0,"",IFERROR(COUNTIFS(Export!$E:$E,A50,Export!$H:$H,"Efectivo",Export!$M:$M,"&lt;="&amp;4)/B50*100,0))</f>
        <v/>
      </c>
      <c r="I50" s="46" t="str">
        <f>IF(B50=0,"",IFERROR(COUNTIFS(Export!$E:$E,A50,Export!$H:$H,"Efectivo",Export!$M:$M,"&lt;="&amp;5)/B50*100,0))</f>
        <v/>
      </c>
      <c r="J50" s="46" t="str">
        <f>IF(B50=0,"",IFERROR(COUNTIFS(Export!$E:$E,A50,Export!$H:$H,"Efectivo",Export!$M:$M,"&lt;="&amp;6)/B50*100,0))</f>
        <v/>
      </c>
      <c r="K50" s="46" t="str">
        <f>IF(B50=0,"",IFERROR(COUNTIFS(Export!$E:$E,A50,Export!$H:$H,"Efectivo",Export!$M:$M,"&lt;="&amp;7)/B50*100,0))</f>
        <v/>
      </c>
      <c r="L50" s="46" t="str">
        <f>IF(B50=0,"",IFERROR(COUNTIFS(Export!$E:$E,A50,Export!$H:$H,"Efectivo",Export!$M:$M,"&lt;="&amp;8)/B50*100,0))</f>
        <v/>
      </c>
      <c r="M50" s="46" t="str">
        <f>IF(B50=0,"",IFERROR(COUNTIFS(Export!$E:$E,A50,Export!$H:$H,"Efectivo",Export!$M:$M,"&lt;="&amp;9)/B50*100,0))</f>
        <v/>
      </c>
      <c r="N50" s="46" t="str">
        <f>IF(B50=0,"",IFERROR(COUNTIFS(Export!$E:$E,A50,Export!$H:$H,"Efectivo",Export!$M:$M,"&lt;="&amp;10)/B50*100,0))</f>
        <v/>
      </c>
      <c r="O50" s="46" t="str">
        <f>IF(B50=0,"",IFERROR(COUNTIFS(Export!$E:$E,A50,Export!$H:$H,"Efectivo",Export!$M:$M,"&lt;="&amp;11)/B50*100,0))</f>
        <v/>
      </c>
      <c r="P50" s="46" t="str">
        <f>IF(B50=0,"",IFERROR(COUNTIFS(Export!$E:$E,A50,Export!$H:$H,"Efectivo",Export!$M:$M,"&lt;="&amp;12)/B50*100,0))</f>
        <v/>
      </c>
      <c r="Q50" s="46" t="str">
        <f>IF(B50=0,"",IFERROR(COUNTIFS(Export!$E:$E,A50,Export!$H:$H,"Efectivo",Export!$M:$M,"&lt;="&amp;13)/B50*100,0))</f>
        <v/>
      </c>
      <c r="R50" s="46" t="str">
        <f>IF(B50=0,"",IFERROR(COUNTIFS(Export!$E:$E,A50,Export!$H:$H,"Efectivo",Export!$M:$M,"&lt;="&amp;14)/B50*100,0))</f>
        <v/>
      </c>
      <c r="S50" s="46" t="str">
        <f>IF(B50=0,"",IFERROR(COUNTIFS(Export!$E:$E,A50,Export!$H:$H,"Efectivo",Export!$M:$M,"&lt;="&amp;15)/B50*100,0))</f>
        <v/>
      </c>
      <c r="T50" s="46" t="str">
        <f>IF(B50=0,"",IFERROR(COUNTIFS(Export!$E:$E,A50,Export!$H:$H,"Efectivo",Export!$M:$M,"&lt;="&amp;16)/B50*100,0))</f>
        <v/>
      </c>
      <c r="U50" s="46" t="str">
        <f>IF(B50=0,"",IFERROR(COUNTIFS(Export!$E:$E,A50,Export!$H:$H,"Efectivo",Export!$M:$M,"&lt;="&amp;17)/B50*100,0))</f>
        <v/>
      </c>
      <c r="V50" s="46" t="str">
        <f>IF(B50=0,"",IFERROR(COUNTIFS(Export!$E:$E,A50,Export!$H:$H,"Efectivo",Export!$M:$M,"&lt;="&amp;18)/B50*100,0))</f>
        <v/>
      </c>
      <c r="W50" s="46" t="str">
        <f>IF(B50=0,"",IFERROR(COUNTIFS(Export!$E:$E,A50,Export!$H:$H,"Efectivo",Export!$M:$M,"&lt;="&amp;19)/B50*100,0))</f>
        <v/>
      </c>
      <c r="X50" s="46" t="str">
        <f>IF(B50=0,"",IFERROR(COUNTIFS(Export!$E:$E,A50,Export!$H:$H,"Efectivo",Export!$M:$M,"&lt;="&amp;20)/B50*100,0))</f>
        <v/>
      </c>
      <c r="Y50" s="46" t="str">
        <f>IF(B50=0,"",IFERROR(COUNTIFS(Export!$E:$E,A50,Export!$H:$H,"Efectivo",Export!$M:$M,"&lt;="&amp;21)/B50*100,0))</f>
        <v/>
      </c>
      <c r="Z50" s="46" t="str">
        <f>IF(B50=0,"",IFERROR(COUNTIFS(Export!$E:$E,A50,Export!$H:$H,"Efectivo",Export!$M:$M,"&lt;="&amp;22)/B50*100,0))</f>
        <v/>
      </c>
      <c r="AA50" s="46" t="str">
        <f>IF(B50=0,"",IFERROR(COUNTIFS(Export!$E:$E,A50,Export!$H:$H,"Efectivo",Export!$M:$M,"&lt;="&amp;23)/B50*100,0))</f>
        <v/>
      </c>
      <c r="AB50" s="46" t="str">
        <f>IF(B50=0,"",IFERROR(COUNTIFS(Export!$E:$E,A50,Export!$H:$H,"Efectivo",Export!$M:$M,"&lt;="&amp;24)/B50*100,0))</f>
        <v/>
      </c>
      <c r="AC50" s="46" t="str">
        <f>IF(B50=0,"",IFERROR(COUNTIFS(Export!$E:$E,A50,Export!$H:$H,"Efectivo",Export!$M:$M,"&lt;="&amp;25)/B50*100,0))</f>
        <v/>
      </c>
      <c r="AD50" s="46" t="str">
        <f>IF(B50=0,"",IFERROR(COUNTIFS(Export!$E:$E,A50,Export!$H:$H,"Efectivo",Export!$M:$M,"&lt;="&amp;26)/B50*100,0))</f>
        <v/>
      </c>
      <c r="AE50" s="46" t="str">
        <f>IF(B50=0,"",IFERROR(COUNTIFS(Export!$E:$E,A50,Export!$H:$H,"Efectivo",Export!$M:$M,"&lt;="&amp;27)/B50*100,0))</f>
        <v/>
      </c>
      <c r="AF50" s="46" t="str">
        <f>IF(B50=0,"",IFERROR(COUNTIFS(Export!$E:$E,A50,Export!$H:$H,"Efectivo",Export!$M:$M,"&lt;="&amp;28)/B50*100,0))</f>
        <v/>
      </c>
      <c r="AG50" s="46" t="str">
        <f>IF(B50=0,"",IFERROR(COUNTIFS(Export!$E:$E,A50,Export!$H:$H,"Efectivo",Export!$M:$M,"&lt;="&amp;29)/B50*100,0))</f>
        <v/>
      </c>
      <c r="AH50" s="46" t="str">
        <f>IF(B50=0,"",IFERROR(COUNTIFS(Export!$E:$E,A50,Export!$H:$H,"Efectivo",Export!$M:$M,"&lt;="&amp;30)/B50*100,0))</f>
        <v/>
      </c>
      <c r="AI50" s="46" t="str">
        <f>IF(B50=0,"",IFERROR(COUNTIFS(Export!$E:$E,A50,Export!$H:$H,"Efectivo",Export!$M:$M,"&lt;="&amp;31)/B50*100,0))</f>
        <v/>
      </c>
      <c r="AJ50" s="46" t="str">
        <f>IF(B50=0,"",IFERROR(COUNTIFS(Export!$E:$E,A50,Export!$H:$H,"Efectivo",Export!$M:$M,"&lt;="&amp;32)/B50*100,0))</f>
        <v/>
      </c>
      <c r="AK50" s="46" t="str">
        <f>IF(B50=0,"",IFERROR(COUNTIFS(Export!$E:$E,A50,Export!$H:$H,"Efectivo",Export!$M:$M,"&lt;="&amp;33)/B50*100,0))</f>
        <v/>
      </c>
      <c r="AL50" s="46" t="str">
        <f>IF(B50=0,"",IFERROR(COUNTIFS(Export!$E:$E,A50,Export!$H:$H,"Efectivo",Export!$M:$M,"&lt;="&amp;34)/B50*100,0))</f>
        <v/>
      </c>
      <c r="AM50" s="46" t="str">
        <f>IF(B50=0,"",IFERROR(COUNTIFS(Export!$E:$E,A50,Export!$H:$H,"Efectivo",Export!$M:$M,"&lt;="&amp;35)/B50*100,0))</f>
        <v/>
      </c>
      <c r="AN50" s="46" t="str">
        <f>IF(B50=0,"",IFERROR(COUNTIFS(Export!$E:$E,A50,Export!$H:$H,"Efectivo",Export!$M:$M,"&lt;="&amp;36)/B50*100,0))</f>
        <v/>
      </c>
    </row>
  </sheetData>
  <mergeCells count="1">
    <mergeCell ref="A1:A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498DB"/>
  </sheetPr>
  <dimension ref="A1:D38"/>
  <sheetViews>
    <sheetView workbookViewId="0">
      <pane ySplit="2" topLeftCell="A3" activePane="bottomLeft" state="frozen"/>
      <selection pane="bottomLeft" activeCell="D19" sqref="D19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24" customWidth="1"/>
    <col min="4" max="4" width="14" customWidth="1"/>
  </cols>
  <sheetData>
    <row r="1" spans="1:4" ht="22" customHeight="1" x14ac:dyDescent="0.35">
      <c r="A1" s="66" t="s">
        <v>146</v>
      </c>
      <c r="B1" s="65"/>
      <c r="C1" s="65"/>
      <c r="D1" s="65"/>
    </row>
    <row r="2" spans="1:4" ht="26" customHeight="1" x14ac:dyDescent="0.35">
      <c r="A2" s="1" t="s">
        <v>147</v>
      </c>
      <c r="B2" s="1" t="s">
        <v>15</v>
      </c>
      <c r="C2" s="1" t="s">
        <v>148</v>
      </c>
      <c r="D2" s="1" t="s">
        <v>149</v>
      </c>
    </row>
    <row r="3" spans="1:4" x14ac:dyDescent="0.35">
      <c r="A3" s="10" t="s">
        <v>40</v>
      </c>
      <c r="B3" s="33">
        <f>IFERROR(VLOOKUP(A3,Originaciones!$A:$B,2,0),0)</f>
        <v>97</v>
      </c>
      <c r="C3" s="35">
        <f>IFERROR(COUNTIFS(Export!$I:$I,A3,Export!$H:$H,"Efectivo"),0)</f>
        <v>16</v>
      </c>
      <c r="D3" s="37">
        <f t="shared" ref="D3:D38" si="0">IFERROR(C3/B3,"")</f>
        <v>0.16494845360824742</v>
      </c>
    </row>
    <row r="4" spans="1:4" x14ac:dyDescent="0.35">
      <c r="A4" s="10" t="s">
        <v>41</v>
      </c>
      <c r="B4" s="33">
        <f>IFERROR(VLOOKUP(A4,Originaciones!$A:$B,2,0),0)</f>
        <v>99</v>
      </c>
      <c r="C4" s="35">
        <f>IFERROR(COUNTIFS(Export!$I:$I,A4,Export!$H:$H,"Efectivo"),0)</f>
        <v>9</v>
      </c>
      <c r="D4" s="37">
        <f t="shared" si="0"/>
        <v>9.0909090909090912E-2</v>
      </c>
    </row>
    <row r="5" spans="1:4" x14ac:dyDescent="0.35">
      <c r="A5" s="10" t="s">
        <v>42</v>
      </c>
      <c r="B5" s="33">
        <f>IFERROR(VLOOKUP(A5,Originaciones!$A:$B,2,0),0)</f>
        <v>136</v>
      </c>
      <c r="C5" s="35">
        <f>IFERROR(COUNTIFS(Export!$I:$I,A5,Export!$H:$H,"Efectivo"),0)</f>
        <v>34</v>
      </c>
      <c r="D5" s="37">
        <f t="shared" si="0"/>
        <v>0.25</v>
      </c>
    </row>
    <row r="6" spans="1:4" x14ac:dyDescent="0.35">
      <c r="A6" s="10" t="s">
        <v>43</v>
      </c>
      <c r="B6" s="33">
        <f>IFERROR(VLOOKUP(A6,Originaciones!$A:$B,2,0),0)</f>
        <v>161</v>
      </c>
      <c r="C6" s="35">
        <f>IFERROR(COUNTIFS(Export!$I:$I,A6,Export!$H:$H,"Efectivo"),0)</f>
        <v>35</v>
      </c>
      <c r="D6" s="37">
        <f t="shared" si="0"/>
        <v>0.21739130434782608</v>
      </c>
    </row>
    <row r="7" spans="1:4" x14ac:dyDescent="0.35">
      <c r="A7" s="10" t="s">
        <v>44</v>
      </c>
      <c r="B7" s="33">
        <f>IFERROR(VLOOKUP(A7,Originaciones!$A:$B,2,0),0)</f>
        <v>157</v>
      </c>
      <c r="C7" s="35">
        <f>IFERROR(COUNTIFS(Export!$I:$I,A7,Export!$H:$H,"Efectivo"),0)</f>
        <v>47</v>
      </c>
      <c r="D7" s="37">
        <f t="shared" si="0"/>
        <v>0.29936305732484075</v>
      </c>
    </row>
    <row r="8" spans="1:4" x14ac:dyDescent="0.35">
      <c r="A8" s="10" t="s">
        <v>45</v>
      </c>
      <c r="B8" s="33">
        <f>IFERROR(VLOOKUP(A8,Originaciones!$A:$B,2,0),0)</f>
        <v>195</v>
      </c>
      <c r="C8" s="35">
        <f>IFERROR(COUNTIFS(Export!$I:$I,A8,Export!$H:$H,"Efectivo"),0)</f>
        <v>56</v>
      </c>
      <c r="D8" s="37">
        <f t="shared" si="0"/>
        <v>0.28717948717948716</v>
      </c>
    </row>
    <row r="9" spans="1:4" x14ac:dyDescent="0.35">
      <c r="A9" s="10" t="s">
        <v>46</v>
      </c>
      <c r="B9" s="33">
        <f>IFERROR(VLOOKUP(A9,Originaciones!$A:$B,2,0),0)</f>
        <v>199</v>
      </c>
      <c r="C9" s="35">
        <f>IFERROR(COUNTIFS(Export!$I:$I,A9,Export!$H:$H,"Efectivo"),0)</f>
        <v>58</v>
      </c>
      <c r="D9" s="37">
        <f t="shared" si="0"/>
        <v>0.29145728643216079</v>
      </c>
    </row>
    <row r="10" spans="1:4" x14ac:dyDescent="0.35">
      <c r="A10" s="10" t="s">
        <v>47</v>
      </c>
      <c r="B10" s="33">
        <f>IFERROR(VLOOKUP(A10,Originaciones!$A:$B,2,0),0)</f>
        <v>166</v>
      </c>
      <c r="C10" s="35">
        <f>IFERROR(COUNTIFS(Export!$I:$I,A10,Export!$H:$H,"Efectivo"),0)</f>
        <v>62</v>
      </c>
      <c r="D10" s="37">
        <f t="shared" si="0"/>
        <v>0.37349397590361444</v>
      </c>
    </row>
    <row r="11" spans="1:4" x14ac:dyDescent="0.35">
      <c r="A11" s="10" t="s">
        <v>48</v>
      </c>
      <c r="B11" s="33">
        <f>IFERROR(VLOOKUP(A11,Originaciones!$A:$B,2,0),0)</f>
        <v>180</v>
      </c>
      <c r="C11" s="35">
        <f>IFERROR(COUNTIFS(Export!$I:$I,A11,Export!$H:$H,"Efectivo"),0)</f>
        <v>46</v>
      </c>
      <c r="D11" s="37">
        <f t="shared" si="0"/>
        <v>0.25555555555555554</v>
      </c>
    </row>
    <row r="12" spans="1:4" x14ac:dyDescent="0.35">
      <c r="A12" s="10" t="s">
        <v>49</v>
      </c>
      <c r="B12" s="33">
        <f>IFERROR(VLOOKUP(A12,Originaciones!$A:$B,2,0),0)</f>
        <v>206</v>
      </c>
      <c r="C12" s="35">
        <f>IFERROR(COUNTIFS(Export!$I:$I,A12,Export!$H:$H,"Efectivo"),0)</f>
        <v>41</v>
      </c>
      <c r="D12" s="37">
        <f t="shared" si="0"/>
        <v>0.19902912621359223</v>
      </c>
    </row>
    <row r="13" spans="1:4" x14ac:dyDescent="0.35">
      <c r="A13" s="10" t="s">
        <v>50</v>
      </c>
      <c r="B13" s="33">
        <f>IFERROR(VLOOKUP(A13,Originaciones!$A:$B,2,0),0)</f>
        <v>211</v>
      </c>
      <c r="C13" s="35">
        <f>IFERROR(COUNTIFS(Export!$I:$I,A13,Export!$H:$H,"Efectivo"),0)</f>
        <v>16</v>
      </c>
      <c r="D13" s="37">
        <f t="shared" si="0"/>
        <v>7.582938388625593E-2</v>
      </c>
    </row>
    <row r="14" spans="1:4" x14ac:dyDescent="0.35">
      <c r="A14" s="10" t="s">
        <v>51</v>
      </c>
      <c r="B14" s="33">
        <f>IFERROR(VLOOKUP(A14,Originaciones!$A:$B,2,0),0)</f>
        <v>215</v>
      </c>
      <c r="C14" s="35">
        <f>IFERROR(COUNTIFS(Export!$I:$I,A14,Export!$H:$H,"Efectivo"),0)</f>
        <v>27</v>
      </c>
      <c r="D14" s="37">
        <f t="shared" si="0"/>
        <v>0.12558139534883722</v>
      </c>
    </row>
    <row r="15" spans="1:4" x14ac:dyDescent="0.35">
      <c r="A15" s="13" t="s">
        <v>52</v>
      </c>
      <c r="B15" s="33">
        <f>IFERROR(VLOOKUP(A15,Originaciones!$A:$B,2,0),0)</f>
        <v>175</v>
      </c>
      <c r="C15" s="35">
        <f>IFERROR(COUNTIFS(Export!$I:$I,A15,Export!$H:$H,"Efectivo"),0)</f>
        <v>90</v>
      </c>
      <c r="D15" s="37">
        <f t="shared" si="0"/>
        <v>0.51428571428571423</v>
      </c>
    </row>
    <row r="16" spans="1:4" x14ac:dyDescent="0.35">
      <c r="A16" s="13" t="s">
        <v>53</v>
      </c>
      <c r="B16" s="33">
        <f>IFERROR(VLOOKUP(A16,Originaciones!$A:$B,2,0),0)</f>
        <v>201</v>
      </c>
      <c r="C16" s="35">
        <f>IFERROR(COUNTIFS(Export!$I:$I,A16,Export!$H:$H,"Efectivo"),0)</f>
        <v>95</v>
      </c>
      <c r="D16" s="37">
        <f t="shared" si="0"/>
        <v>0.47263681592039802</v>
      </c>
    </row>
    <row r="17" spans="1:4" x14ac:dyDescent="0.35">
      <c r="A17" s="13" t="s">
        <v>54</v>
      </c>
      <c r="B17" s="33">
        <f>IFERROR(VLOOKUP(A17,Originaciones!$A:$B,2,0),0)</f>
        <v>177</v>
      </c>
      <c r="C17" s="35">
        <f>IFERROR(COUNTIFS(Export!$I:$I,A17,Export!$H:$H,"Efectivo"),0)</f>
        <v>135</v>
      </c>
      <c r="D17" s="37">
        <f t="shared" si="0"/>
        <v>0.76271186440677963</v>
      </c>
    </row>
    <row r="18" spans="1:4" x14ac:dyDescent="0.35">
      <c r="A18" s="13" t="s">
        <v>55</v>
      </c>
      <c r="B18" s="33">
        <f>IFERROR(VLOOKUP(A18,Originaciones!$A:$B,2,0),0)</f>
        <v>218</v>
      </c>
      <c r="C18" s="35">
        <f>IFERROR(COUNTIFS(Export!$I:$I,A18,Export!$H:$H,"Efectivo"),0)</f>
        <v>143</v>
      </c>
      <c r="D18" s="37">
        <f t="shared" si="0"/>
        <v>0.65596330275229353</v>
      </c>
    </row>
    <row r="19" spans="1:4" x14ac:dyDescent="0.35">
      <c r="A19" s="13" t="s">
        <v>56</v>
      </c>
      <c r="B19" s="33">
        <f>IFERROR(VLOOKUP(A19,Originaciones!$A:$B,2,0),0)</f>
        <v>0</v>
      </c>
      <c r="C19" s="35">
        <f>IFERROR(COUNTIFS(Export!$I:$I,A19,Export!$H:$H,"Efectivo"),0)</f>
        <v>68</v>
      </c>
      <c r="D19" s="37" t="str">
        <f t="shared" si="0"/>
        <v/>
      </c>
    </row>
    <row r="20" spans="1:4" x14ac:dyDescent="0.35">
      <c r="A20" s="13" t="s">
        <v>57</v>
      </c>
      <c r="B20" s="33">
        <f>IFERROR(VLOOKUP(A20,Originaciones!$A:$B,2,0),0)</f>
        <v>0</v>
      </c>
      <c r="C20" s="35">
        <f>IFERROR(COUNTIFS(Export!$I:$I,A20,Export!$H:$H,"Efectivo"),0)</f>
        <v>0</v>
      </c>
      <c r="D20" s="37" t="str">
        <f t="shared" si="0"/>
        <v/>
      </c>
    </row>
    <row r="21" spans="1:4" x14ac:dyDescent="0.35">
      <c r="A21" s="13" t="s">
        <v>58</v>
      </c>
      <c r="B21" s="33">
        <f>IFERROR(VLOOKUP(A21,Originaciones!$A:$B,2,0),0)</f>
        <v>0</v>
      </c>
      <c r="C21" s="35">
        <f>IFERROR(COUNTIFS(Export!$I:$I,A21,Export!$H:$H,"Efectivo"),0)</f>
        <v>0</v>
      </c>
      <c r="D21" s="37" t="str">
        <f t="shared" si="0"/>
        <v/>
      </c>
    </row>
    <row r="22" spans="1:4" x14ac:dyDescent="0.35">
      <c r="A22" s="13" t="s">
        <v>59</v>
      </c>
      <c r="B22" s="33">
        <f>IFERROR(VLOOKUP(A22,Originaciones!$A:$B,2,0),0)</f>
        <v>0</v>
      </c>
      <c r="C22" s="35">
        <f>IFERROR(COUNTIFS(Export!$I:$I,A22,Export!$H:$H,"Efectivo"),0)</f>
        <v>0</v>
      </c>
      <c r="D22" s="37" t="str">
        <f t="shared" si="0"/>
        <v/>
      </c>
    </row>
    <row r="23" spans="1:4" x14ac:dyDescent="0.35">
      <c r="A23" s="13" t="s">
        <v>60</v>
      </c>
      <c r="B23" s="33">
        <f>IFERROR(VLOOKUP(A23,Originaciones!$A:$B,2,0),0)</f>
        <v>0</v>
      </c>
      <c r="C23" s="35">
        <f>IFERROR(COUNTIFS(Export!$I:$I,A23,Export!$H:$H,"Efectivo"),0)</f>
        <v>0</v>
      </c>
      <c r="D23" s="37" t="str">
        <f t="shared" si="0"/>
        <v/>
      </c>
    </row>
    <row r="24" spans="1:4" x14ac:dyDescent="0.35">
      <c r="A24" s="13" t="s">
        <v>61</v>
      </c>
      <c r="B24" s="33">
        <f>IFERROR(VLOOKUP(A24,Originaciones!$A:$B,2,0),0)</f>
        <v>0</v>
      </c>
      <c r="C24" s="35">
        <f>IFERROR(COUNTIFS(Export!$I:$I,A24,Export!$H:$H,"Efectivo"),0)</f>
        <v>0</v>
      </c>
      <c r="D24" s="37" t="str">
        <f t="shared" si="0"/>
        <v/>
      </c>
    </row>
    <row r="25" spans="1:4" x14ac:dyDescent="0.35">
      <c r="A25" s="13" t="s">
        <v>62</v>
      </c>
      <c r="B25" s="33">
        <f>IFERROR(VLOOKUP(A25,Originaciones!$A:$B,2,0),0)</f>
        <v>0</v>
      </c>
      <c r="C25" s="35">
        <f>IFERROR(COUNTIFS(Export!$I:$I,A25,Export!$H:$H,"Efectivo"),0)</f>
        <v>0</v>
      </c>
      <c r="D25" s="37" t="str">
        <f t="shared" si="0"/>
        <v/>
      </c>
    </row>
    <row r="26" spans="1:4" x14ac:dyDescent="0.35">
      <c r="A26" s="13" t="s">
        <v>63</v>
      </c>
      <c r="B26" s="33">
        <f>IFERROR(VLOOKUP(A26,Originaciones!$A:$B,2,0),0)</f>
        <v>0</v>
      </c>
      <c r="C26" s="35">
        <f>IFERROR(COUNTIFS(Export!$I:$I,A26,Export!$H:$H,"Efectivo"),0)</f>
        <v>0</v>
      </c>
      <c r="D26" s="37" t="str">
        <f t="shared" si="0"/>
        <v/>
      </c>
    </row>
    <row r="27" spans="1:4" x14ac:dyDescent="0.35">
      <c r="A27" s="50" t="s">
        <v>94</v>
      </c>
      <c r="B27" s="33">
        <f>IFERROR(VLOOKUP(A27,Originaciones!$A:$B,2,0),0)</f>
        <v>0</v>
      </c>
      <c r="C27" s="35">
        <f>IFERROR(COUNTIFS(Export!$I:$I,A27,Export!$H:$H,"Efectivo"),0)</f>
        <v>0</v>
      </c>
      <c r="D27" s="37" t="str">
        <f t="shared" si="0"/>
        <v/>
      </c>
    </row>
    <row r="28" spans="1:4" x14ac:dyDescent="0.35">
      <c r="A28" s="50" t="s">
        <v>95</v>
      </c>
      <c r="B28" s="33">
        <f>IFERROR(VLOOKUP(A28,Originaciones!$A:$B,2,0),0)</f>
        <v>0</v>
      </c>
      <c r="C28" s="35">
        <f>IFERROR(COUNTIFS(Export!$I:$I,A28,Export!$H:$H,"Efectivo"),0)</f>
        <v>0</v>
      </c>
      <c r="D28" s="37" t="str">
        <f t="shared" si="0"/>
        <v/>
      </c>
    </row>
    <row r="29" spans="1:4" x14ac:dyDescent="0.35">
      <c r="A29" s="50" t="s">
        <v>96</v>
      </c>
      <c r="B29" s="33">
        <f>IFERROR(VLOOKUP(A29,Originaciones!$A:$B,2,0),0)</f>
        <v>0</v>
      </c>
      <c r="C29" s="35">
        <f>IFERROR(COUNTIFS(Export!$I:$I,A29,Export!$H:$H,"Efectivo"),0)</f>
        <v>0</v>
      </c>
      <c r="D29" s="37" t="str">
        <f t="shared" si="0"/>
        <v/>
      </c>
    </row>
    <row r="30" spans="1:4" x14ac:dyDescent="0.35">
      <c r="A30" s="50" t="s">
        <v>97</v>
      </c>
      <c r="B30" s="33">
        <f>IFERROR(VLOOKUP(A30,Originaciones!$A:$B,2,0),0)</f>
        <v>0</v>
      </c>
      <c r="C30" s="35">
        <f>IFERROR(COUNTIFS(Export!$I:$I,A30,Export!$H:$H,"Efectivo"),0)</f>
        <v>0</v>
      </c>
      <c r="D30" s="37" t="str">
        <f t="shared" si="0"/>
        <v/>
      </c>
    </row>
    <row r="31" spans="1:4" x14ac:dyDescent="0.35">
      <c r="A31" s="50" t="s">
        <v>98</v>
      </c>
      <c r="B31" s="33">
        <f>IFERROR(VLOOKUP(A31,Originaciones!$A:$B,2,0),0)</f>
        <v>0</v>
      </c>
      <c r="C31" s="35">
        <f>IFERROR(COUNTIFS(Export!$I:$I,A31,Export!$H:$H,"Efectivo"),0)</f>
        <v>0</v>
      </c>
      <c r="D31" s="37" t="str">
        <f t="shared" si="0"/>
        <v/>
      </c>
    </row>
    <row r="32" spans="1:4" x14ac:dyDescent="0.35">
      <c r="A32" s="50" t="s">
        <v>99</v>
      </c>
      <c r="B32" s="33">
        <f>IFERROR(VLOOKUP(A32,Originaciones!$A:$B,2,0),0)</f>
        <v>0</v>
      </c>
      <c r="C32" s="35">
        <f>IFERROR(COUNTIFS(Export!$I:$I,A32,Export!$H:$H,"Efectivo"),0)</f>
        <v>0</v>
      </c>
      <c r="D32" s="37" t="str">
        <f t="shared" si="0"/>
        <v/>
      </c>
    </row>
    <row r="33" spans="1:4" x14ac:dyDescent="0.35">
      <c r="A33" s="50" t="s">
        <v>100</v>
      </c>
      <c r="B33" s="33">
        <f>IFERROR(VLOOKUP(A33,Originaciones!$A:$B,2,0),0)</f>
        <v>0</v>
      </c>
      <c r="C33" s="35">
        <f>IFERROR(COUNTIFS(Export!$I:$I,A33,Export!$H:$H,"Efectivo"),0)</f>
        <v>0</v>
      </c>
      <c r="D33" s="37" t="str">
        <f t="shared" si="0"/>
        <v/>
      </c>
    </row>
    <row r="34" spans="1:4" x14ac:dyDescent="0.35">
      <c r="A34" s="50" t="s">
        <v>101</v>
      </c>
      <c r="B34" s="33">
        <f>IFERROR(VLOOKUP(A34,Originaciones!$A:$B,2,0),0)</f>
        <v>0</v>
      </c>
      <c r="C34" s="35">
        <f>IFERROR(COUNTIFS(Export!$I:$I,A34,Export!$H:$H,"Efectivo"),0)</f>
        <v>0</v>
      </c>
      <c r="D34" s="37" t="str">
        <f t="shared" si="0"/>
        <v/>
      </c>
    </row>
    <row r="35" spans="1:4" x14ac:dyDescent="0.35">
      <c r="A35" s="50" t="s">
        <v>102</v>
      </c>
      <c r="B35" s="33">
        <f>IFERROR(VLOOKUP(A35,Originaciones!$A:$B,2,0),0)</f>
        <v>0</v>
      </c>
      <c r="C35" s="35">
        <f>IFERROR(COUNTIFS(Export!$I:$I,A35,Export!$H:$H,"Efectivo"),0)</f>
        <v>0</v>
      </c>
      <c r="D35" s="37" t="str">
        <f t="shared" si="0"/>
        <v/>
      </c>
    </row>
    <row r="36" spans="1:4" x14ac:dyDescent="0.35">
      <c r="A36" s="50" t="s">
        <v>103</v>
      </c>
      <c r="B36" s="33">
        <f>IFERROR(VLOOKUP(A36,Originaciones!$A:$B,2,0),0)</f>
        <v>0</v>
      </c>
      <c r="C36" s="35">
        <f>IFERROR(COUNTIFS(Export!$I:$I,A36,Export!$H:$H,"Efectivo"),0)</f>
        <v>0</v>
      </c>
      <c r="D36" s="37" t="str">
        <f t="shared" si="0"/>
        <v/>
      </c>
    </row>
    <row r="37" spans="1:4" x14ac:dyDescent="0.35">
      <c r="A37" s="50" t="s">
        <v>104</v>
      </c>
      <c r="B37" s="33">
        <f>IFERROR(VLOOKUP(A37,Originaciones!$A:$B,2,0),0)</f>
        <v>0</v>
      </c>
      <c r="C37" s="35">
        <f>IFERROR(COUNTIFS(Export!$I:$I,A37,Export!$H:$H,"Efectivo"),0)</f>
        <v>0</v>
      </c>
      <c r="D37" s="37" t="str">
        <f t="shared" si="0"/>
        <v/>
      </c>
    </row>
    <row r="38" spans="1:4" x14ac:dyDescent="0.35">
      <c r="A38" s="50" t="s">
        <v>105</v>
      </c>
      <c r="B38" s="33">
        <f>IFERROR(VLOOKUP(A38,Originaciones!$A:$B,2,0),0)</f>
        <v>0</v>
      </c>
      <c r="C38" s="35">
        <f>IFERROR(COUNTIFS(Export!$I:$I,A38,Export!$H:$H,"Efectivo"),0)</f>
        <v>0</v>
      </c>
      <c r="D38" s="37" t="str">
        <f t="shared" si="0"/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5A5A6"/>
  </sheetPr>
  <dimension ref="A2:B24"/>
  <sheetViews>
    <sheetView showGridLines="0" workbookViewId="0">
      <selection activeCell="D7" sqref="D7"/>
    </sheetView>
  </sheetViews>
  <sheetFormatPr baseColWidth="10" defaultColWidth="8.7265625" defaultRowHeight="14.5" x14ac:dyDescent="0.35"/>
  <cols>
    <col min="1" max="1" width="5" customWidth="1"/>
    <col min="2" max="2" width="70" customWidth="1"/>
  </cols>
  <sheetData>
    <row r="2" spans="1:2" ht="22" customHeight="1" x14ac:dyDescent="0.35">
      <c r="B2" s="51" t="s">
        <v>150</v>
      </c>
    </row>
    <row r="3" spans="1:2" ht="22" customHeight="1" x14ac:dyDescent="0.35"/>
    <row r="4" spans="1:2" ht="22" customHeight="1" x14ac:dyDescent="0.35">
      <c r="A4" s="52" t="s">
        <v>151</v>
      </c>
      <c r="B4" s="53" t="s">
        <v>152</v>
      </c>
    </row>
    <row r="5" spans="1:2" ht="22" customHeight="1" x14ac:dyDescent="0.35">
      <c r="B5" s="54" t="s">
        <v>153</v>
      </c>
    </row>
    <row r="6" spans="1:2" ht="22" customHeight="1" x14ac:dyDescent="0.35">
      <c r="B6" s="54" t="s">
        <v>154</v>
      </c>
    </row>
    <row r="7" spans="1:2" ht="22" customHeight="1" x14ac:dyDescent="0.35">
      <c r="B7" s="54" t="s">
        <v>155</v>
      </c>
    </row>
    <row r="8" spans="1:2" ht="22" customHeight="1" x14ac:dyDescent="0.35">
      <c r="B8" s="55" t="s">
        <v>156</v>
      </c>
    </row>
    <row r="9" spans="1:2" ht="22" customHeight="1" x14ac:dyDescent="0.35"/>
    <row r="10" spans="1:2" ht="22" customHeight="1" x14ac:dyDescent="0.35">
      <c r="A10" s="52" t="s">
        <v>157</v>
      </c>
      <c r="B10" s="53" t="s">
        <v>158</v>
      </c>
    </row>
    <row r="11" spans="1:2" ht="22" customHeight="1" x14ac:dyDescent="0.35">
      <c r="B11" s="54" t="s">
        <v>159</v>
      </c>
    </row>
    <row r="12" spans="1:2" ht="22" customHeight="1" x14ac:dyDescent="0.35">
      <c r="B12" s="54" t="s">
        <v>160</v>
      </c>
    </row>
    <row r="13" spans="1:2" ht="22" customHeight="1" x14ac:dyDescent="0.35"/>
    <row r="14" spans="1:2" ht="22" customHeight="1" x14ac:dyDescent="0.35">
      <c r="A14" s="52" t="s">
        <v>161</v>
      </c>
      <c r="B14" s="53" t="s">
        <v>162</v>
      </c>
    </row>
    <row r="15" spans="1:2" ht="22" customHeight="1" x14ac:dyDescent="0.35">
      <c r="B15" s="54" t="s">
        <v>163</v>
      </c>
    </row>
    <row r="16" spans="1:2" ht="22" customHeight="1" x14ac:dyDescent="0.35">
      <c r="B16" s="54" t="s">
        <v>164</v>
      </c>
    </row>
    <row r="17" spans="1:2" ht="22" customHeight="1" x14ac:dyDescent="0.35">
      <c r="B17" s="54" t="s">
        <v>165</v>
      </c>
    </row>
    <row r="18" spans="1:2" ht="22" customHeight="1" x14ac:dyDescent="0.35">
      <c r="B18" s="54" t="s">
        <v>166</v>
      </c>
    </row>
    <row r="19" spans="1:2" ht="22" customHeight="1" x14ac:dyDescent="0.35"/>
    <row r="20" spans="1:2" ht="22" customHeight="1" x14ac:dyDescent="0.35">
      <c r="A20" s="52" t="s">
        <v>167</v>
      </c>
      <c r="B20" s="53" t="s">
        <v>168</v>
      </c>
    </row>
    <row r="21" spans="1:2" ht="22" customHeight="1" x14ac:dyDescent="0.35">
      <c r="B21" s="54" t="s">
        <v>169</v>
      </c>
    </row>
    <row r="22" spans="1:2" ht="22" customHeight="1" x14ac:dyDescent="0.35">
      <c r="B22" s="56" t="s">
        <v>170</v>
      </c>
    </row>
    <row r="23" spans="1:2" ht="22" customHeight="1" x14ac:dyDescent="0.35">
      <c r="B23" s="56" t="s">
        <v>171</v>
      </c>
    </row>
    <row r="24" spans="1:2" ht="22" customHeight="1" x14ac:dyDescent="0.35">
      <c r="B24" s="55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Export</vt:lpstr>
      <vt:lpstr>Originaciones</vt:lpstr>
      <vt:lpstr>Flota Activa</vt:lpstr>
      <vt:lpstr>KPIs</vt:lpstr>
      <vt:lpstr>Cohort_Detail</vt:lpstr>
      <vt:lpstr>Heatmap</vt:lpstr>
      <vt:lpstr>Orig_vs_Rec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Jiménez Hermosillo</cp:lastModifiedBy>
  <dcterms:created xsi:type="dcterms:W3CDTF">2026-05-29T17:44:22Z</dcterms:created>
  <dcterms:modified xsi:type="dcterms:W3CDTF">2026-06-04T06:42:31Z</dcterms:modified>
</cp:coreProperties>
</file>