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emobilidad-my.sharepoint.com/personal/david_jimenez_vemo_com_mx/Documents/Documentos/"/>
    </mc:Choice>
  </mc:AlternateContent>
  <xr:revisionPtr revIDLastSave="1" documentId="8_{2A439D22-7F43-45C7-AB85-3BA3952216CC}" xr6:coauthVersionLast="47" xr6:coauthVersionMax="47" xr10:uidLastSave="{E2CA9702-620D-431D-9543-A5B2FAB12118}"/>
  <bookViews>
    <workbookView xWindow="-110" yWindow="-110" windowWidth="19420" windowHeight="11500" tabRatio="500" xr2:uid="{00000000-000D-0000-FFFF-FFFF00000000}"/>
  </bookViews>
  <sheets>
    <sheet name="Export" sheetId="1" r:id="rId1"/>
    <sheet name="Perfil Recuperados" sheetId="2" r:id="rId2"/>
    <sheet name="recuperación efectiva" sheetId="3" r:id="rId3"/>
    <sheet name="Originaciones" sheetId="4" r:id="rId4"/>
    <sheet name="Cohort Detail" sheetId="6" r:id="rId5"/>
    <sheet name="Heatmap" sheetId="7" r:id="rId6"/>
  </sheets>
  <definedNames>
    <definedName name="Selected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31" i="7" l="1"/>
  <c r="AB31" i="7"/>
  <c r="AA31" i="7"/>
  <c r="Q31" i="7"/>
  <c r="C31" i="7"/>
  <c r="B31" i="7"/>
  <c r="AN30" i="7"/>
  <c r="AM30" i="7"/>
  <c r="AL30" i="7"/>
  <c r="AK30" i="7"/>
  <c r="AJ30" i="7"/>
  <c r="AI30" i="7"/>
  <c r="AH30" i="7"/>
  <c r="AD30" i="7"/>
  <c r="AC30" i="7"/>
  <c r="AB30" i="7"/>
  <c r="AA30" i="7"/>
  <c r="Z30" i="7"/>
  <c r="Y30" i="7"/>
  <c r="X30" i="7"/>
  <c r="W30" i="7"/>
  <c r="V30" i="7"/>
  <c r="U30" i="7"/>
  <c r="T30" i="7"/>
  <c r="P30" i="7"/>
  <c r="O30" i="7"/>
  <c r="N30" i="7"/>
  <c r="M30" i="7"/>
  <c r="L30" i="7"/>
  <c r="K30" i="7"/>
  <c r="J30" i="7"/>
  <c r="I30" i="7"/>
  <c r="H30" i="7"/>
  <c r="C30" i="7"/>
  <c r="AG30" i="7" s="1"/>
  <c r="B30" i="7"/>
  <c r="G30" i="7" s="1"/>
  <c r="AN29" i="7"/>
  <c r="AM29" i="7"/>
  <c r="AL29" i="7"/>
  <c r="AK29" i="7"/>
  <c r="AJ29" i="7"/>
  <c r="AI29" i="7"/>
  <c r="AF29" i="7"/>
  <c r="AA29" i="7"/>
  <c r="Z29" i="7"/>
  <c r="Y29" i="7"/>
  <c r="X29" i="7"/>
  <c r="W29" i="7"/>
  <c r="V29" i="7"/>
  <c r="U29" i="7"/>
  <c r="R29" i="7"/>
  <c r="M29" i="7"/>
  <c r="L29" i="7"/>
  <c r="K29" i="7"/>
  <c r="J29" i="7"/>
  <c r="I29" i="7"/>
  <c r="C29" i="7"/>
  <c r="AD29" i="7" s="1"/>
  <c r="B29" i="7"/>
  <c r="AL28" i="7"/>
  <c r="AK28" i="7"/>
  <c r="AJ28" i="7"/>
  <c r="AI28" i="7"/>
  <c r="AH28" i="7"/>
  <c r="AG28" i="7"/>
  <c r="AF28" i="7"/>
  <c r="AD28" i="7"/>
  <c r="AC28" i="7"/>
  <c r="AB28" i="7"/>
  <c r="AA28" i="7"/>
  <c r="X28" i="7"/>
  <c r="W28" i="7"/>
  <c r="V28" i="7"/>
  <c r="U28" i="7"/>
  <c r="T28" i="7"/>
  <c r="S28" i="7"/>
  <c r="R28" i="7"/>
  <c r="P28" i="7"/>
  <c r="O28" i="7"/>
  <c r="N28" i="7"/>
  <c r="M28" i="7"/>
  <c r="J28" i="7"/>
  <c r="C28" i="7"/>
  <c r="AN28" i="7" s="1"/>
  <c r="B28" i="7"/>
  <c r="AN27" i="7"/>
  <c r="AI27" i="7"/>
  <c r="AH27" i="7"/>
  <c r="Z27" i="7"/>
  <c r="T27" i="7"/>
  <c r="S27" i="7"/>
  <c r="R27" i="7"/>
  <c r="Q27" i="7"/>
  <c r="P27" i="7"/>
  <c r="O27" i="7"/>
  <c r="L27" i="7"/>
  <c r="C27" i="7"/>
  <c r="U27" i="7" s="1"/>
  <c r="B27" i="7"/>
  <c r="AK26" i="7"/>
  <c r="AF26" i="7"/>
  <c r="AE26" i="7"/>
  <c r="AD26" i="7"/>
  <c r="AB26" i="7"/>
  <c r="AA26" i="7"/>
  <c r="O26" i="7"/>
  <c r="M26" i="7"/>
  <c r="L26" i="7"/>
  <c r="C26" i="7"/>
  <c r="Z26" i="7" s="1"/>
  <c r="B26" i="7"/>
  <c r="AN25" i="7"/>
  <c r="AM25" i="7"/>
  <c r="AL25" i="7"/>
  <c r="AK25" i="7"/>
  <c r="AJ25" i="7"/>
  <c r="AI25" i="7"/>
  <c r="AH25" i="7"/>
  <c r="AG25" i="7"/>
  <c r="AF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P25" i="7"/>
  <c r="O25" i="7"/>
  <c r="N25" i="7"/>
  <c r="M25" i="7"/>
  <c r="C25" i="7"/>
  <c r="AE25" i="7" s="1"/>
  <c r="B25" i="7"/>
  <c r="AN24" i="7"/>
  <c r="AM24" i="7"/>
  <c r="AL24" i="7"/>
  <c r="AK24" i="7"/>
  <c r="AJ24" i="7"/>
  <c r="AI24" i="7"/>
  <c r="AH24" i="7"/>
  <c r="AF24" i="7"/>
  <c r="AE24" i="7"/>
  <c r="Z24" i="7"/>
  <c r="Y24" i="7"/>
  <c r="V24" i="7"/>
  <c r="U24" i="7"/>
  <c r="T24" i="7"/>
  <c r="R24" i="7"/>
  <c r="Q24" i="7"/>
  <c r="C24" i="7"/>
  <c r="B24" i="7"/>
  <c r="AK23" i="7"/>
  <c r="AJ23" i="7"/>
  <c r="AH23" i="7"/>
  <c r="AG23" i="7"/>
  <c r="AF23" i="7"/>
  <c r="AE23" i="7"/>
  <c r="AC23" i="7"/>
  <c r="AB23" i="7"/>
  <c r="W23" i="7"/>
  <c r="R23" i="7"/>
  <c r="Q23" i="7"/>
  <c r="C23" i="7"/>
  <c r="B23" i="7"/>
  <c r="AG22" i="7"/>
  <c r="AE22" i="7"/>
  <c r="AD22" i="7"/>
  <c r="AC22" i="7"/>
  <c r="AB22" i="7"/>
  <c r="Y22" i="7"/>
  <c r="T22" i="7"/>
  <c r="C22" i="7"/>
  <c r="S22" i="7" s="1"/>
  <c r="B22" i="7"/>
  <c r="AN21" i="7"/>
  <c r="AC21" i="7"/>
  <c r="AA21" i="7"/>
  <c r="Y21" i="7"/>
  <c r="P21" i="7"/>
  <c r="C21" i="7"/>
  <c r="B21" i="7"/>
  <c r="AN20" i="7"/>
  <c r="AM20" i="7"/>
  <c r="AL20" i="7"/>
  <c r="AK20" i="7"/>
  <c r="AJ20" i="7"/>
  <c r="AI20" i="7"/>
  <c r="AH20" i="7"/>
  <c r="AG20" i="7"/>
  <c r="AF20" i="7"/>
  <c r="AC20" i="7"/>
  <c r="AB20" i="7"/>
  <c r="AA20" i="7"/>
  <c r="Z20" i="7"/>
  <c r="Y20" i="7"/>
  <c r="X20" i="7"/>
  <c r="W20" i="7"/>
  <c r="V20" i="7"/>
  <c r="U20" i="7"/>
  <c r="T20" i="7"/>
  <c r="S20" i="7"/>
  <c r="R20" i="7"/>
  <c r="C20" i="7"/>
  <c r="AE20" i="7" s="1"/>
  <c r="B20" i="7"/>
  <c r="AM19" i="7"/>
  <c r="AG19" i="7"/>
  <c r="AD19" i="7"/>
  <c r="Y19" i="7"/>
  <c r="X19" i="7"/>
  <c r="U19" i="7"/>
  <c r="T19" i="7"/>
  <c r="C19" i="7"/>
  <c r="V19" i="7" s="1"/>
  <c r="B19" i="7"/>
  <c r="U18" i="7"/>
  <c r="C18" i="7"/>
  <c r="AI18" i="7" s="1"/>
  <c r="B18" i="7"/>
  <c r="AM17" i="7"/>
  <c r="AL17" i="7"/>
  <c r="AG17" i="7"/>
  <c r="AF17" i="7"/>
  <c r="AE17" i="7"/>
  <c r="AD17" i="7"/>
  <c r="Y17" i="7"/>
  <c r="X17" i="7"/>
  <c r="C17" i="7"/>
  <c r="B17" i="7"/>
  <c r="AN16" i="7"/>
  <c r="AM16" i="7"/>
  <c r="AL16" i="7"/>
  <c r="AK16" i="7"/>
  <c r="AJ16" i="7"/>
  <c r="AI16" i="7"/>
  <c r="AH16" i="7"/>
  <c r="AD16" i="7"/>
  <c r="AC16" i="7"/>
  <c r="AB16" i="7"/>
  <c r="AA16" i="7"/>
  <c r="Z16" i="7"/>
  <c r="Y16" i="7"/>
  <c r="X16" i="7"/>
  <c r="W16" i="7"/>
  <c r="V16" i="7"/>
  <c r="C16" i="7"/>
  <c r="AG16" i="7" s="1"/>
  <c r="B16" i="7"/>
  <c r="AN15" i="7"/>
  <c r="AM15" i="7"/>
  <c r="AL15" i="7"/>
  <c r="AK15" i="7"/>
  <c r="AJ15" i="7"/>
  <c r="AI15" i="7"/>
  <c r="AG15" i="7"/>
  <c r="AF15" i="7"/>
  <c r="AA15" i="7"/>
  <c r="Z15" i="7"/>
  <c r="Y15" i="7"/>
  <c r="X15" i="7"/>
  <c r="W15" i="7"/>
  <c r="C15" i="7"/>
  <c r="AD15" i="7" s="1"/>
  <c r="B15" i="7"/>
  <c r="AL14" i="7"/>
  <c r="AK14" i="7"/>
  <c r="AJ14" i="7"/>
  <c r="AI14" i="7"/>
  <c r="AH14" i="7"/>
  <c r="AG14" i="7"/>
  <c r="AF14" i="7"/>
  <c r="AD14" i="7"/>
  <c r="AC14" i="7"/>
  <c r="AB14" i="7"/>
  <c r="AA14" i="7"/>
  <c r="X14" i="7"/>
  <c r="C14" i="7"/>
  <c r="AN14" i="7" s="1"/>
  <c r="B14" i="7"/>
  <c r="AN13" i="7"/>
  <c r="AI13" i="7"/>
  <c r="AH13" i="7"/>
  <c r="AG13" i="7"/>
  <c r="AF13" i="7"/>
  <c r="AE13" i="7"/>
  <c r="AD13" i="7"/>
  <c r="AC13" i="7"/>
  <c r="AA13" i="7"/>
  <c r="C13" i="7"/>
  <c r="B13" i="7"/>
  <c r="AK12" i="7"/>
  <c r="AE12" i="7"/>
  <c r="AD12" i="7"/>
  <c r="AC12" i="7"/>
  <c r="AB12" i="7"/>
  <c r="Z12" i="7"/>
  <c r="C12" i="7"/>
  <c r="B12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C11" i="7"/>
  <c r="AE11" i="7" s="1"/>
  <c r="B11" i="7"/>
  <c r="AJ10" i="7"/>
  <c r="AH10" i="7"/>
  <c r="AF10" i="7"/>
  <c r="C10" i="7"/>
  <c r="B10" i="7"/>
  <c r="AG9" i="7"/>
  <c r="AE9" i="7"/>
  <c r="AC9" i="7"/>
  <c r="C9" i="7"/>
  <c r="B9" i="7"/>
  <c r="C8" i="7"/>
  <c r="B8" i="7"/>
  <c r="AN7" i="7"/>
  <c r="AM7" i="7"/>
  <c r="AK7" i="7"/>
  <c r="AJ7" i="7"/>
  <c r="C7" i="7"/>
  <c r="B7" i="7"/>
  <c r="V7" i="7" s="1"/>
  <c r="AN6" i="7"/>
  <c r="AM6" i="7"/>
  <c r="AL6" i="7"/>
  <c r="AK6" i="7"/>
  <c r="AJ6" i="7"/>
  <c r="AI6" i="7"/>
  <c r="AH6" i="7"/>
  <c r="AG6" i="7"/>
  <c r="AF6" i="7"/>
  <c r="C6" i="7"/>
  <c r="B6" i="7"/>
  <c r="X6" i="7" s="1"/>
  <c r="AM5" i="7"/>
  <c r="AL5" i="7"/>
  <c r="AK5" i="7"/>
  <c r="AJ5" i="7"/>
  <c r="AI5" i="7"/>
  <c r="AH5" i="7"/>
  <c r="AG5" i="7"/>
  <c r="C5" i="7"/>
  <c r="B5" i="7"/>
  <c r="D31" i="6"/>
  <c r="C31" i="6"/>
  <c r="D30" i="6"/>
  <c r="C30" i="6"/>
  <c r="D29" i="6"/>
  <c r="C29" i="6"/>
  <c r="E29" i="6" s="1"/>
  <c r="D28" i="6"/>
  <c r="C28" i="6"/>
  <c r="F28" i="6" s="1"/>
  <c r="E27" i="6"/>
  <c r="D27" i="6"/>
  <c r="F27" i="6" s="1"/>
  <c r="C27" i="6"/>
  <c r="D26" i="6"/>
  <c r="C26" i="6"/>
  <c r="E26" i="6" s="1"/>
  <c r="D25" i="6"/>
  <c r="F25" i="6" s="1"/>
  <c r="C25" i="6"/>
  <c r="E25" i="6" s="1"/>
  <c r="F24" i="6"/>
  <c r="D24" i="6"/>
  <c r="C24" i="6"/>
  <c r="E24" i="6" s="1"/>
  <c r="E23" i="6"/>
  <c r="D23" i="6"/>
  <c r="F23" i="6" s="1"/>
  <c r="C23" i="6"/>
  <c r="F22" i="6"/>
  <c r="E22" i="6"/>
  <c r="D22" i="6"/>
  <c r="C22" i="6"/>
  <c r="D21" i="6"/>
  <c r="C21" i="6"/>
  <c r="D20" i="6"/>
  <c r="C20" i="6"/>
  <c r="D19" i="6"/>
  <c r="C19" i="6"/>
  <c r="F19" i="6" s="1"/>
  <c r="D18" i="6"/>
  <c r="C18" i="6"/>
  <c r="F18" i="6" s="1"/>
  <c r="D17" i="6"/>
  <c r="C17" i="6"/>
  <c r="F17" i="6" s="1"/>
  <c r="F16" i="6"/>
  <c r="D16" i="6"/>
  <c r="C16" i="6"/>
  <c r="D15" i="6"/>
  <c r="C15" i="6"/>
  <c r="E15" i="6" s="1"/>
  <c r="E14" i="6"/>
  <c r="D14" i="6"/>
  <c r="C14" i="6"/>
  <c r="D13" i="6"/>
  <c r="C13" i="6"/>
  <c r="D12" i="6"/>
  <c r="C12" i="6"/>
  <c r="E12" i="6" s="1"/>
  <c r="D11" i="6"/>
  <c r="C11" i="6"/>
  <c r="F11" i="6" s="1"/>
  <c r="F10" i="6"/>
  <c r="D10" i="6"/>
  <c r="C10" i="6"/>
  <c r="E10" i="6" s="1"/>
  <c r="D9" i="6"/>
  <c r="C9" i="6"/>
  <c r="D8" i="6"/>
  <c r="C8" i="6"/>
  <c r="F7" i="6"/>
  <c r="D7" i="6"/>
  <c r="C7" i="6"/>
  <c r="D6" i="6"/>
  <c r="C6" i="6"/>
  <c r="D5" i="6"/>
  <c r="C5" i="6"/>
  <c r="K979" i="3"/>
  <c r="H979" i="3"/>
  <c r="F979" i="3"/>
  <c r="K978" i="3"/>
  <c r="H978" i="3"/>
  <c r="F978" i="3"/>
  <c r="K977" i="3"/>
  <c r="H977" i="3"/>
  <c r="F977" i="3"/>
  <c r="K976" i="3"/>
  <c r="H976" i="3"/>
  <c r="F976" i="3"/>
  <c r="K975" i="3"/>
  <c r="H975" i="3"/>
  <c r="F975" i="3"/>
  <c r="K974" i="3"/>
  <c r="H974" i="3"/>
  <c r="F974" i="3"/>
  <c r="K973" i="3"/>
  <c r="H973" i="3"/>
  <c r="F973" i="3"/>
  <c r="K972" i="3"/>
  <c r="H972" i="3"/>
  <c r="F972" i="3"/>
  <c r="K971" i="3"/>
  <c r="H971" i="3"/>
  <c r="F971" i="3"/>
  <c r="K970" i="3"/>
  <c r="H970" i="3"/>
  <c r="F970" i="3"/>
  <c r="K969" i="3"/>
  <c r="H969" i="3"/>
  <c r="F969" i="3"/>
  <c r="K968" i="3"/>
  <c r="H968" i="3"/>
  <c r="F968" i="3"/>
  <c r="K967" i="3"/>
  <c r="H967" i="3"/>
  <c r="F967" i="3"/>
  <c r="K966" i="3"/>
  <c r="H966" i="3"/>
  <c r="F966" i="3"/>
  <c r="K965" i="3"/>
  <c r="H965" i="3"/>
  <c r="F965" i="3"/>
  <c r="K964" i="3"/>
  <c r="H964" i="3"/>
  <c r="F964" i="3"/>
  <c r="K963" i="3"/>
  <c r="H963" i="3"/>
  <c r="F963" i="3"/>
  <c r="K962" i="3"/>
  <c r="H962" i="3"/>
  <c r="F962" i="3"/>
  <c r="K961" i="3"/>
  <c r="H961" i="3"/>
  <c r="F961" i="3"/>
  <c r="K960" i="3"/>
  <c r="H960" i="3"/>
  <c r="F960" i="3"/>
  <c r="K959" i="3"/>
  <c r="H959" i="3"/>
  <c r="F959" i="3"/>
  <c r="K958" i="3"/>
  <c r="H958" i="3"/>
  <c r="F958" i="3"/>
  <c r="K957" i="3"/>
  <c r="H957" i="3"/>
  <c r="F957" i="3"/>
  <c r="K956" i="3"/>
  <c r="H956" i="3"/>
  <c r="F956" i="3"/>
  <c r="K955" i="3"/>
  <c r="H955" i="3"/>
  <c r="F955" i="3"/>
  <c r="K954" i="3"/>
  <c r="H954" i="3"/>
  <c r="F954" i="3"/>
  <c r="K953" i="3"/>
  <c r="H953" i="3"/>
  <c r="F953" i="3"/>
  <c r="K952" i="3"/>
  <c r="H952" i="3"/>
  <c r="F952" i="3"/>
  <c r="K951" i="3"/>
  <c r="H951" i="3"/>
  <c r="F951" i="3"/>
  <c r="K950" i="3"/>
  <c r="H950" i="3"/>
  <c r="F950" i="3"/>
  <c r="K949" i="3"/>
  <c r="H949" i="3"/>
  <c r="F949" i="3"/>
  <c r="K948" i="3"/>
  <c r="H948" i="3"/>
  <c r="F948" i="3"/>
  <c r="K947" i="3"/>
  <c r="H947" i="3"/>
  <c r="F947" i="3"/>
  <c r="K946" i="3"/>
  <c r="H946" i="3"/>
  <c r="F946" i="3"/>
  <c r="K945" i="3"/>
  <c r="H945" i="3"/>
  <c r="F945" i="3"/>
  <c r="K944" i="3"/>
  <c r="H944" i="3"/>
  <c r="F944" i="3"/>
  <c r="K943" i="3"/>
  <c r="H943" i="3"/>
  <c r="F943" i="3"/>
  <c r="K942" i="3"/>
  <c r="H942" i="3"/>
  <c r="F942" i="3"/>
  <c r="K941" i="3"/>
  <c r="H941" i="3"/>
  <c r="F941" i="3"/>
  <c r="K940" i="3"/>
  <c r="H940" i="3"/>
  <c r="F940" i="3"/>
  <c r="K939" i="3"/>
  <c r="H939" i="3"/>
  <c r="F939" i="3"/>
  <c r="K938" i="3"/>
  <c r="H938" i="3"/>
  <c r="F938" i="3"/>
  <c r="K937" i="3"/>
  <c r="H937" i="3"/>
  <c r="F937" i="3"/>
  <c r="K936" i="3"/>
  <c r="H936" i="3"/>
  <c r="F936" i="3"/>
  <c r="K935" i="3"/>
  <c r="H935" i="3"/>
  <c r="F935" i="3"/>
  <c r="K934" i="3"/>
  <c r="H934" i="3"/>
  <c r="F934" i="3"/>
  <c r="K933" i="3"/>
  <c r="H933" i="3"/>
  <c r="F933" i="3"/>
  <c r="K932" i="3"/>
  <c r="H932" i="3"/>
  <c r="F932" i="3"/>
  <c r="K931" i="3"/>
  <c r="H931" i="3"/>
  <c r="F931" i="3"/>
  <c r="K930" i="3"/>
  <c r="H930" i="3"/>
  <c r="F930" i="3"/>
  <c r="K929" i="3"/>
  <c r="H929" i="3"/>
  <c r="F929" i="3"/>
  <c r="K928" i="3"/>
  <c r="H928" i="3"/>
  <c r="F928" i="3"/>
  <c r="K927" i="3"/>
  <c r="H927" i="3"/>
  <c r="F927" i="3"/>
  <c r="K926" i="3"/>
  <c r="H926" i="3"/>
  <c r="F926" i="3"/>
  <c r="K925" i="3"/>
  <c r="H925" i="3"/>
  <c r="F925" i="3"/>
  <c r="K924" i="3"/>
  <c r="H924" i="3"/>
  <c r="F924" i="3"/>
  <c r="K923" i="3"/>
  <c r="H923" i="3"/>
  <c r="F923" i="3"/>
  <c r="K922" i="3"/>
  <c r="H922" i="3"/>
  <c r="F922" i="3"/>
  <c r="K921" i="3"/>
  <c r="H921" i="3"/>
  <c r="F921" i="3"/>
  <c r="K920" i="3"/>
  <c r="H920" i="3"/>
  <c r="F920" i="3"/>
  <c r="K919" i="3"/>
  <c r="H919" i="3"/>
  <c r="F919" i="3"/>
  <c r="K918" i="3"/>
  <c r="H918" i="3"/>
  <c r="F918" i="3"/>
  <c r="K917" i="3"/>
  <c r="H917" i="3"/>
  <c r="F917" i="3"/>
  <c r="K916" i="3"/>
  <c r="H916" i="3"/>
  <c r="F916" i="3"/>
  <c r="K915" i="3"/>
  <c r="H915" i="3"/>
  <c r="F915" i="3"/>
  <c r="K914" i="3"/>
  <c r="H914" i="3"/>
  <c r="F914" i="3"/>
  <c r="K913" i="3"/>
  <c r="H913" i="3"/>
  <c r="F913" i="3"/>
  <c r="K912" i="3"/>
  <c r="F30" i="7" s="1"/>
  <c r="H912" i="3"/>
  <c r="F912" i="3"/>
  <c r="K911" i="3"/>
  <c r="H911" i="3"/>
  <c r="F911" i="3"/>
  <c r="K910" i="3"/>
  <c r="H910" i="3"/>
  <c r="F910" i="3"/>
  <c r="K909" i="3"/>
  <c r="H909" i="3"/>
  <c r="F909" i="3"/>
  <c r="K908" i="3"/>
  <c r="H908" i="3"/>
  <c r="F908" i="3"/>
  <c r="K907" i="3"/>
  <c r="H907" i="3"/>
  <c r="F907" i="3"/>
  <c r="K906" i="3"/>
  <c r="H906" i="3"/>
  <c r="F906" i="3"/>
  <c r="K905" i="3"/>
  <c r="H905" i="3"/>
  <c r="F905" i="3"/>
  <c r="K904" i="3"/>
  <c r="H904" i="3"/>
  <c r="F904" i="3"/>
  <c r="K903" i="3"/>
  <c r="H903" i="3"/>
  <c r="F903" i="3"/>
  <c r="K902" i="3"/>
  <c r="H902" i="3"/>
  <c r="F902" i="3"/>
  <c r="K901" i="3"/>
  <c r="H901" i="3"/>
  <c r="F901" i="3"/>
  <c r="K900" i="3"/>
  <c r="H900" i="3"/>
  <c r="F900" i="3"/>
  <c r="K899" i="3"/>
  <c r="H899" i="3"/>
  <c r="F899" i="3"/>
  <c r="K898" i="3"/>
  <c r="H898" i="3"/>
  <c r="F898" i="3"/>
  <c r="K897" i="3"/>
  <c r="H897" i="3"/>
  <c r="F897" i="3"/>
  <c r="K896" i="3"/>
  <c r="H896" i="3"/>
  <c r="F896" i="3"/>
  <c r="K895" i="3"/>
  <c r="H895" i="3"/>
  <c r="F895" i="3"/>
  <c r="K894" i="3"/>
  <c r="H894" i="3"/>
  <c r="F894" i="3"/>
  <c r="K893" i="3"/>
  <c r="H893" i="3"/>
  <c r="F893" i="3"/>
  <c r="K892" i="3"/>
  <c r="H892" i="3"/>
  <c r="F892" i="3"/>
  <c r="K891" i="3"/>
  <c r="H891" i="3"/>
  <c r="F891" i="3"/>
  <c r="K890" i="3"/>
  <c r="H890" i="3"/>
  <c r="F890" i="3"/>
  <c r="K889" i="3"/>
  <c r="H889" i="3"/>
  <c r="F889" i="3"/>
  <c r="K888" i="3"/>
  <c r="H888" i="3"/>
  <c r="F888" i="3"/>
  <c r="K887" i="3"/>
  <c r="H887" i="3"/>
  <c r="F887" i="3"/>
  <c r="K886" i="3"/>
  <c r="H886" i="3"/>
  <c r="F886" i="3"/>
  <c r="K885" i="3"/>
  <c r="H885" i="3"/>
  <c r="F885" i="3"/>
  <c r="K884" i="3"/>
  <c r="H884" i="3"/>
  <c r="F884" i="3"/>
  <c r="K883" i="3"/>
  <c r="H883" i="3"/>
  <c r="F883" i="3"/>
  <c r="K882" i="3"/>
  <c r="H882" i="3"/>
  <c r="F882" i="3"/>
  <c r="K881" i="3"/>
  <c r="H881" i="3"/>
  <c r="F881" i="3"/>
  <c r="K880" i="3"/>
  <c r="H880" i="3"/>
  <c r="F880" i="3"/>
  <c r="K879" i="3"/>
  <c r="H879" i="3"/>
  <c r="F879" i="3"/>
  <c r="K878" i="3"/>
  <c r="H878" i="3"/>
  <c r="F878" i="3"/>
  <c r="K877" i="3"/>
  <c r="H877" i="3"/>
  <c r="F877" i="3"/>
  <c r="K876" i="3"/>
  <c r="H876" i="3"/>
  <c r="F876" i="3"/>
  <c r="K875" i="3"/>
  <c r="H875" i="3"/>
  <c r="F875" i="3"/>
  <c r="K874" i="3"/>
  <c r="H874" i="3"/>
  <c r="F874" i="3"/>
  <c r="K873" i="3"/>
  <c r="H873" i="3"/>
  <c r="F873" i="3"/>
  <c r="K872" i="3"/>
  <c r="H872" i="3"/>
  <c r="F872" i="3"/>
  <c r="K871" i="3"/>
  <c r="H871" i="3"/>
  <c r="F871" i="3"/>
  <c r="K870" i="3"/>
  <c r="H870" i="3"/>
  <c r="F870" i="3"/>
  <c r="K869" i="3"/>
  <c r="H869" i="3"/>
  <c r="F869" i="3"/>
  <c r="K868" i="3"/>
  <c r="H868" i="3"/>
  <c r="F868" i="3"/>
  <c r="K867" i="3"/>
  <c r="H867" i="3"/>
  <c r="F867" i="3"/>
  <c r="K866" i="3"/>
  <c r="H866" i="3"/>
  <c r="F866" i="3"/>
  <c r="K865" i="3"/>
  <c r="H865" i="3"/>
  <c r="F865" i="3"/>
  <c r="K864" i="3"/>
  <c r="H864" i="3"/>
  <c r="F864" i="3"/>
  <c r="K863" i="3"/>
  <c r="H863" i="3"/>
  <c r="F863" i="3"/>
  <c r="K862" i="3"/>
  <c r="H862" i="3"/>
  <c r="F862" i="3"/>
  <c r="K861" i="3"/>
  <c r="H861" i="3"/>
  <c r="F861" i="3"/>
  <c r="K860" i="3"/>
  <c r="H860" i="3"/>
  <c r="F860" i="3"/>
  <c r="K859" i="3"/>
  <c r="H859" i="3"/>
  <c r="F859" i="3"/>
  <c r="K858" i="3"/>
  <c r="H858" i="3"/>
  <c r="F858" i="3"/>
  <c r="K857" i="3"/>
  <c r="H857" i="3"/>
  <c r="F857" i="3"/>
  <c r="K856" i="3"/>
  <c r="H856" i="3"/>
  <c r="F856" i="3"/>
  <c r="K855" i="3"/>
  <c r="H855" i="3"/>
  <c r="F855" i="3"/>
  <c r="K854" i="3"/>
  <c r="H854" i="3"/>
  <c r="F854" i="3"/>
  <c r="K853" i="3"/>
  <c r="H853" i="3"/>
  <c r="F853" i="3"/>
  <c r="K852" i="3"/>
  <c r="H852" i="3"/>
  <c r="F852" i="3"/>
  <c r="K851" i="3"/>
  <c r="H851" i="3"/>
  <c r="F851" i="3"/>
  <c r="K850" i="3"/>
  <c r="H850" i="3"/>
  <c r="F850" i="3"/>
  <c r="K849" i="3"/>
  <c r="H849" i="3"/>
  <c r="F849" i="3"/>
  <c r="K848" i="3"/>
  <c r="H848" i="3"/>
  <c r="F848" i="3"/>
  <c r="K847" i="3"/>
  <c r="H847" i="3"/>
  <c r="F847" i="3"/>
  <c r="K846" i="3"/>
  <c r="H846" i="3"/>
  <c r="F846" i="3"/>
  <c r="K845" i="3"/>
  <c r="H845" i="3"/>
  <c r="F845" i="3"/>
  <c r="K844" i="3"/>
  <c r="H844" i="3"/>
  <c r="F844" i="3"/>
  <c r="K843" i="3"/>
  <c r="H843" i="3"/>
  <c r="F843" i="3"/>
  <c r="K842" i="3"/>
  <c r="H842" i="3"/>
  <c r="F842" i="3"/>
  <c r="K841" i="3"/>
  <c r="H841" i="3"/>
  <c r="F841" i="3"/>
  <c r="K840" i="3"/>
  <c r="H840" i="3"/>
  <c r="F840" i="3"/>
  <c r="K839" i="3"/>
  <c r="H839" i="3"/>
  <c r="F839" i="3"/>
  <c r="K838" i="3"/>
  <c r="H838" i="3"/>
  <c r="F838" i="3"/>
  <c r="K837" i="3"/>
  <c r="H837" i="3"/>
  <c r="F837" i="3"/>
  <c r="K836" i="3"/>
  <c r="H836" i="3"/>
  <c r="F836" i="3"/>
  <c r="K835" i="3"/>
  <c r="H835" i="3"/>
  <c r="F835" i="3"/>
  <c r="K834" i="3"/>
  <c r="H834" i="3"/>
  <c r="F834" i="3"/>
  <c r="K833" i="3"/>
  <c r="H833" i="3"/>
  <c r="F833" i="3"/>
  <c r="K832" i="3"/>
  <c r="H832" i="3"/>
  <c r="F832" i="3"/>
  <c r="K831" i="3"/>
  <c r="H831" i="3"/>
  <c r="F831" i="3"/>
  <c r="K830" i="3"/>
  <c r="H830" i="3"/>
  <c r="F830" i="3"/>
  <c r="K829" i="3"/>
  <c r="H829" i="3"/>
  <c r="F829" i="3"/>
  <c r="K828" i="3"/>
  <c r="H828" i="3"/>
  <c r="F828" i="3"/>
  <c r="K827" i="3"/>
  <c r="H827" i="3"/>
  <c r="F827" i="3"/>
  <c r="K826" i="3"/>
  <c r="H826" i="3"/>
  <c r="F826" i="3"/>
  <c r="K825" i="3"/>
  <c r="H825" i="3"/>
  <c r="F825" i="3"/>
  <c r="K824" i="3"/>
  <c r="H824" i="3"/>
  <c r="F824" i="3"/>
  <c r="K823" i="3"/>
  <c r="H823" i="3"/>
  <c r="F823" i="3"/>
  <c r="K822" i="3"/>
  <c r="H822" i="3"/>
  <c r="F822" i="3"/>
  <c r="K821" i="3"/>
  <c r="H821" i="3"/>
  <c r="F821" i="3"/>
  <c r="K820" i="3"/>
  <c r="H820" i="3"/>
  <c r="F820" i="3"/>
  <c r="K819" i="3"/>
  <c r="H819" i="3"/>
  <c r="F819" i="3"/>
  <c r="K818" i="3"/>
  <c r="H818" i="3"/>
  <c r="F818" i="3"/>
  <c r="K817" i="3"/>
  <c r="H817" i="3"/>
  <c r="F817" i="3"/>
  <c r="K816" i="3"/>
  <c r="H816" i="3"/>
  <c r="F816" i="3"/>
  <c r="K815" i="3"/>
  <c r="H815" i="3"/>
  <c r="F815" i="3"/>
  <c r="K814" i="3"/>
  <c r="H814" i="3"/>
  <c r="F814" i="3"/>
  <c r="K813" i="3"/>
  <c r="H813" i="3"/>
  <c r="F813" i="3"/>
  <c r="K812" i="3"/>
  <c r="H812" i="3"/>
  <c r="F812" i="3"/>
  <c r="K811" i="3"/>
  <c r="H811" i="3"/>
  <c r="F811" i="3"/>
  <c r="K810" i="3"/>
  <c r="H810" i="3"/>
  <c r="F810" i="3"/>
  <c r="K809" i="3"/>
  <c r="H809" i="3"/>
  <c r="F809" i="3"/>
  <c r="K808" i="3"/>
  <c r="H808" i="3"/>
  <c r="F808" i="3"/>
  <c r="K807" i="3"/>
  <c r="H807" i="3"/>
  <c r="F807" i="3"/>
  <c r="K806" i="3"/>
  <c r="H806" i="3"/>
  <c r="F806" i="3"/>
  <c r="K805" i="3"/>
  <c r="H805" i="3"/>
  <c r="F805" i="3"/>
  <c r="K804" i="3"/>
  <c r="H804" i="3"/>
  <c r="F804" i="3"/>
  <c r="K803" i="3"/>
  <c r="H803" i="3"/>
  <c r="F803" i="3"/>
  <c r="K802" i="3"/>
  <c r="H802" i="3"/>
  <c r="F802" i="3"/>
  <c r="K801" i="3"/>
  <c r="H801" i="3"/>
  <c r="F801" i="3"/>
  <c r="K800" i="3"/>
  <c r="H800" i="3"/>
  <c r="F800" i="3"/>
  <c r="K799" i="3"/>
  <c r="H799" i="3"/>
  <c r="F799" i="3"/>
  <c r="K798" i="3"/>
  <c r="H798" i="3"/>
  <c r="F798" i="3"/>
  <c r="K797" i="3"/>
  <c r="H797" i="3"/>
  <c r="F797" i="3"/>
  <c r="K796" i="3"/>
  <c r="H796" i="3"/>
  <c r="F796" i="3"/>
  <c r="K795" i="3"/>
  <c r="H795" i="3"/>
  <c r="F795" i="3"/>
  <c r="K794" i="3"/>
  <c r="H794" i="3"/>
  <c r="F794" i="3"/>
  <c r="K793" i="3"/>
  <c r="H793" i="3"/>
  <c r="F793" i="3"/>
  <c r="K792" i="3"/>
  <c r="H792" i="3"/>
  <c r="F792" i="3"/>
  <c r="K791" i="3"/>
  <c r="H791" i="3"/>
  <c r="F791" i="3"/>
  <c r="K790" i="3"/>
  <c r="H790" i="3"/>
  <c r="F790" i="3"/>
  <c r="K789" i="3"/>
  <c r="H789" i="3"/>
  <c r="F789" i="3"/>
  <c r="K788" i="3"/>
  <c r="H788" i="3"/>
  <c r="F788" i="3"/>
  <c r="K787" i="3"/>
  <c r="H787" i="3"/>
  <c r="F787" i="3"/>
  <c r="K786" i="3"/>
  <c r="H786" i="3"/>
  <c r="F786" i="3"/>
  <c r="K785" i="3"/>
  <c r="H785" i="3"/>
  <c r="F785" i="3"/>
  <c r="K784" i="3"/>
  <c r="H784" i="3"/>
  <c r="F784" i="3"/>
  <c r="K783" i="3"/>
  <c r="H783" i="3"/>
  <c r="F783" i="3"/>
  <c r="K782" i="3"/>
  <c r="H782" i="3"/>
  <c r="F782" i="3"/>
  <c r="K781" i="3"/>
  <c r="H781" i="3"/>
  <c r="F781" i="3"/>
  <c r="K780" i="3"/>
  <c r="H780" i="3"/>
  <c r="F780" i="3"/>
  <c r="K779" i="3"/>
  <c r="H779" i="3"/>
  <c r="F779" i="3"/>
  <c r="K778" i="3"/>
  <c r="H778" i="3"/>
  <c r="F778" i="3"/>
  <c r="K777" i="3"/>
  <c r="H777" i="3"/>
  <c r="F777" i="3"/>
  <c r="K776" i="3"/>
  <c r="H776" i="3"/>
  <c r="F776" i="3"/>
  <c r="K775" i="3"/>
  <c r="H775" i="3"/>
  <c r="F775" i="3"/>
  <c r="K774" i="3"/>
  <c r="H774" i="3"/>
  <c r="F774" i="3"/>
  <c r="K773" i="3"/>
  <c r="H773" i="3"/>
  <c r="F773" i="3"/>
  <c r="K772" i="3"/>
  <c r="H772" i="3"/>
  <c r="F772" i="3"/>
  <c r="K771" i="3"/>
  <c r="H771" i="3"/>
  <c r="F771" i="3"/>
  <c r="K770" i="3"/>
  <c r="H770" i="3"/>
  <c r="F770" i="3"/>
  <c r="K769" i="3"/>
  <c r="H769" i="3"/>
  <c r="F769" i="3"/>
  <c r="K768" i="3"/>
  <c r="H768" i="3"/>
  <c r="F768" i="3"/>
  <c r="K767" i="3"/>
  <c r="H767" i="3"/>
  <c r="F767" i="3"/>
  <c r="K766" i="3"/>
  <c r="H766" i="3"/>
  <c r="F766" i="3"/>
  <c r="K765" i="3"/>
  <c r="H765" i="3"/>
  <c r="F765" i="3"/>
  <c r="K764" i="3"/>
  <c r="H764" i="3"/>
  <c r="F764" i="3"/>
  <c r="K763" i="3"/>
  <c r="H763" i="3"/>
  <c r="F763" i="3"/>
  <c r="K762" i="3"/>
  <c r="H762" i="3"/>
  <c r="F762" i="3"/>
  <c r="K761" i="3"/>
  <c r="H761" i="3"/>
  <c r="F761" i="3"/>
  <c r="K760" i="3"/>
  <c r="H760" i="3"/>
  <c r="F760" i="3"/>
  <c r="K759" i="3"/>
  <c r="H759" i="3"/>
  <c r="F759" i="3"/>
  <c r="K758" i="3"/>
  <c r="H758" i="3"/>
  <c r="F758" i="3"/>
  <c r="K757" i="3"/>
  <c r="H757" i="3"/>
  <c r="F757" i="3"/>
  <c r="K756" i="3"/>
  <c r="H756" i="3"/>
  <c r="F756" i="3"/>
  <c r="K755" i="3"/>
  <c r="H755" i="3"/>
  <c r="F755" i="3"/>
  <c r="K754" i="3"/>
  <c r="H754" i="3"/>
  <c r="F754" i="3"/>
  <c r="K753" i="3"/>
  <c r="H753" i="3"/>
  <c r="F753" i="3"/>
  <c r="K752" i="3"/>
  <c r="H752" i="3"/>
  <c r="F752" i="3"/>
  <c r="K751" i="3"/>
  <c r="H751" i="3"/>
  <c r="F751" i="3"/>
  <c r="K750" i="3"/>
  <c r="H750" i="3"/>
  <c r="F750" i="3"/>
  <c r="K749" i="3"/>
  <c r="H749" i="3"/>
  <c r="F749" i="3"/>
  <c r="K748" i="3"/>
  <c r="H748" i="3"/>
  <c r="F748" i="3"/>
  <c r="K747" i="3"/>
  <c r="H747" i="3"/>
  <c r="F747" i="3"/>
  <c r="K746" i="3"/>
  <c r="H746" i="3"/>
  <c r="F746" i="3"/>
  <c r="K745" i="3"/>
  <c r="H745" i="3"/>
  <c r="F745" i="3"/>
  <c r="K744" i="3"/>
  <c r="H744" i="3"/>
  <c r="F744" i="3"/>
  <c r="K743" i="3"/>
  <c r="H743" i="3"/>
  <c r="F743" i="3"/>
  <c r="K742" i="3"/>
  <c r="H742" i="3"/>
  <c r="F742" i="3"/>
  <c r="K741" i="3"/>
  <c r="H741" i="3"/>
  <c r="F741" i="3"/>
  <c r="K740" i="3"/>
  <c r="H740" i="3"/>
  <c r="F740" i="3"/>
  <c r="K739" i="3"/>
  <c r="H739" i="3"/>
  <c r="F739" i="3"/>
  <c r="K738" i="3"/>
  <c r="H738" i="3"/>
  <c r="F738" i="3"/>
  <c r="K737" i="3"/>
  <c r="H737" i="3"/>
  <c r="F737" i="3"/>
  <c r="K736" i="3"/>
  <c r="H736" i="3"/>
  <c r="F736" i="3"/>
  <c r="K735" i="3"/>
  <c r="H735" i="3"/>
  <c r="F735" i="3"/>
  <c r="K734" i="3"/>
  <c r="H734" i="3"/>
  <c r="F734" i="3"/>
  <c r="K733" i="3"/>
  <c r="H733" i="3"/>
  <c r="F733" i="3"/>
  <c r="K732" i="3"/>
  <c r="H732" i="3"/>
  <c r="F732" i="3"/>
  <c r="K731" i="3"/>
  <c r="H731" i="3"/>
  <c r="F731" i="3"/>
  <c r="K730" i="3"/>
  <c r="H730" i="3"/>
  <c r="F730" i="3"/>
  <c r="K729" i="3"/>
  <c r="H729" i="3"/>
  <c r="F729" i="3"/>
  <c r="K728" i="3"/>
  <c r="H728" i="3"/>
  <c r="F728" i="3"/>
  <c r="K727" i="3"/>
  <c r="H727" i="3"/>
  <c r="F727" i="3"/>
  <c r="K726" i="3"/>
  <c r="H726" i="3"/>
  <c r="F726" i="3"/>
  <c r="K725" i="3"/>
  <c r="H725" i="3"/>
  <c r="F725" i="3"/>
  <c r="K724" i="3"/>
  <c r="H724" i="3"/>
  <c r="F724" i="3"/>
  <c r="K723" i="3"/>
  <c r="H723" i="3"/>
  <c r="F723" i="3"/>
  <c r="K722" i="3"/>
  <c r="H722" i="3"/>
  <c r="F722" i="3"/>
  <c r="K721" i="3"/>
  <c r="H721" i="3"/>
  <c r="F721" i="3"/>
  <c r="K720" i="3"/>
  <c r="H720" i="3"/>
  <c r="F720" i="3"/>
  <c r="K719" i="3"/>
  <c r="H719" i="3"/>
  <c r="F719" i="3"/>
  <c r="K718" i="3"/>
  <c r="H718" i="3"/>
  <c r="F718" i="3"/>
  <c r="K717" i="3"/>
  <c r="H717" i="3"/>
  <c r="F717" i="3"/>
  <c r="K716" i="3"/>
  <c r="H716" i="3"/>
  <c r="F716" i="3"/>
  <c r="K715" i="3"/>
  <c r="H715" i="3"/>
  <c r="F715" i="3"/>
  <c r="K714" i="3"/>
  <c r="H714" i="3"/>
  <c r="F714" i="3"/>
  <c r="K713" i="3"/>
  <c r="H713" i="3"/>
  <c r="F713" i="3"/>
  <c r="K712" i="3"/>
  <c r="H712" i="3"/>
  <c r="F712" i="3"/>
  <c r="K711" i="3"/>
  <c r="H711" i="3"/>
  <c r="F711" i="3"/>
  <c r="K710" i="3"/>
  <c r="H710" i="3"/>
  <c r="F710" i="3"/>
  <c r="K709" i="3"/>
  <c r="H709" i="3"/>
  <c r="F709" i="3"/>
  <c r="K708" i="3"/>
  <c r="H708" i="3"/>
  <c r="F708" i="3"/>
  <c r="K707" i="3"/>
  <c r="H707" i="3"/>
  <c r="F707" i="3"/>
  <c r="K706" i="3"/>
  <c r="H706" i="3"/>
  <c r="F706" i="3"/>
  <c r="K705" i="3"/>
  <c r="H705" i="3"/>
  <c r="F705" i="3"/>
  <c r="K704" i="3"/>
  <c r="H704" i="3"/>
  <c r="F704" i="3"/>
  <c r="K703" i="3"/>
  <c r="H703" i="3"/>
  <c r="F703" i="3"/>
  <c r="K702" i="3"/>
  <c r="H702" i="3"/>
  <c r="F702" i="3"/>
  <c r="K701" i="3"/>
  <c r="H701" i="3"/>
  <c r="F701" i="3"/>
  <c r="K700" i="3"/>
  <c r="H700" i="3"/>
  <c r="F700" i="3"/>
  <c r="K699" i="3"/>
  <c r="H699" i="3"/>
  <c r="F699" i="3"/>
  <c r="K698" i="3"/>
  <c r="H698" i="3"/>
  <c r="F698" i="3"/>
  <c r="K697" i="3"/>
  <c r="H697" i="3"/>
  <c r="F697" i="3"/>
  <c r="K696" i="3"/>
  <c r="H696" i="3"/>
  <c r="F696" i="3"/>
  <c r="K695" i="3"/>
  <c r="H695" i="3"/>
  <c r="F695" i="3"/>
  <c r="K694" i="3"/>
  <c r="H694" i="3"/>
  <c r="F694" i="3"/>
  <c r="K693" i="3"/>
  <c r="H693" i="3"/>
  <c r="F693" i="3"/>
  <c r="K692" i="3"/>
  <c r="H692" i="3"/>
  <c r="F692" i="3"/>
  <c r="K691" i="3"/>
  <c r="H691" i="3"/>
  <c r="F691" i="3"/>
  <c r="K690" i="3"/>
  <c r="H690" i="3"/>
  <c r="F690" i="3"/>
  <c r="K689" i="3"/>
  <c r="H689" i="3"/>
  <c r="F689" i="3"/>
  <c r="K688" i="3"/>
  <c r="H688" i="3"/>
  <c r="F688" i="3"/>
  <c r="K687" i="3"/>
  <c r="H687" i="3"/>
  <c r="F687" i="3"/>
  <c r="K686" i="3"/>
  <c r="H686" i="3"/>
  <c r="F686" i="3"/>
  <c r="K685" i="3"/>
  <c r="H685" i="3"/>
  <c r="F685" i="3"/>
  <c r="K684" i="3"/>
  <c r="H684" i="3"/>
  <c r="F684" i="3"/>
  <c r="K683" i="3"/>
  <c r="H683" i="3"/>
  <c r="F683" i="3"/>
  <c r="K682" i="3"/>
  <c r="H682" i="3"/>
  <c r="F682" i="3"/>
  <c r="K681" i="3"/>
  <c r="H681" i="3"/>
  <c r="F681" i="3"/>
  <c r="K680" i="3"/>
  <c r="H680" i="3"/>
  <c r="F680" i="3"/>
  <c r="K679" i="3"/>
  <c r="H679" i="3"/>
  <c r="F679" i="3"/>
  <c r="K678" i="3"/>
  <c r="H678" i="3"/>
  <c r="F678" i="3"/>
  <c r="K677" i="3"/>
  <c r="H677" i="3"/>
  <c r="F677" i="3"/>
  <c r="K676" i="3"/>
  <c r="H676" i="3"/>
  <c r="F676" i="3"/>
  <c r="K675" i="3"/>
  <c r="H675" i="3"/>
  <c r="F675" i="3"/>
  <c r="K674" i="3"/>
  <c r="P5" i="7" s="1"/>
  <c r="H674" i="3"/>
  <c r="F674" i="3"/>
  <c r="K673" i="3"/>
  <c r="H673" i="3"/>
  <c r="F673" i="3"/>
  <c r="K672" i="3"/>
  <c r="H672" i="3"/>
  <c r="F672" i="3"/>
  <c r="K671" i="3"/>
  <c r="H671" i="3"/>
  <c r="F671" i="3"/>
  <c r="K670" i="3"/>
  <c r="H670" i="3"/>
  <c r="F670" i="3"/>
  <c r="K669" i="3"/>
  <c r="H669" i="3"/>
  <c r="F669" i="3"/>
  <c r="K668" i="3"/>
  <c r="H668" i="3"/>
  <c r="F668" i="3"/>
  <c r="K667" i="3"/>
  <c r="H667" i="3"/>
  <c r="F667" i="3"/>
  <c r="K666" i="3"/>
  <c r="H666" i="3"/>
  <c r="F666" i="3"/>
  <c r="K665" i="3"/>
  <c r="H665" i="3"/>
  <c r="F665" i="3"/>
  <c r="K664" i="3"/>
  <c r="H664" i="3"/>
  <c r="F664" i="3"/>
  <c r="K663" i="3"/>
  <c r="H663" i="3"/>
  <c r="F663" i="3"/>
  <c r="K662" i="3"/>
  <c r="H662" i="3"/>
  <c r="F662" i="3"/>
  <c r="K661" i="3"/>
  <c r="H661" i="3"/>
  <c r="F661" i="3"/>
  <c r="K660" i="3"/>
  <c r="H660" i="3"/>
  <c r="F660" i="3"/>
  <c r="K659" i="3"/>
  <c r="H659" i="3"/>
  <c r="F659" i="3"/>
  <c r="K658" i="3"/>
  <c r="H658" i="3"/>
  <c r="F658" i="3"/>
  <c r="K657" i="3"/>
  <c r="H657" i="3"/>
  <c r="F657" i="3"/>
  <c r="K656" i="3"/>
  <c r="H656" i="3"/>
  <c r="F656" i="3"/>
  <c r="K655" i="3"/>
  <c r="H655" i="3"/>
  <c r="F655" i="3"/>
  <c r="K654" i="3"/>
  <c r="H654" i="3"/>
  <c r="F654" i="3"/>
  <c r="K653" i="3"/>
  <c r="H653" i="3"/>
  <c r="F653" i="3"/>
  <c r="K652" i="3"/>
  <c r="H652" i="3"/>
  <c r="F652" i="3"/>
  <c r="K651" i="3"/>
  <c r="H651" i="3"/>
  <c r="F651" i="3"/>
  <c r="K650" i="3"/>
  <c r="H650" i="3"/>
  <c r="F650" i="3"/>
  <c r="K649" i="3"/>
  <c r="H649" i="3"/>
  <c r="F649" i="3"/>
  <c r="K648" i="3"/>
  <c r="H648" i="3"/>
  <c r="F648" i="3"/>
  <c r="K647" i="3"/>
  <c r="H647" i="3"/>
  <c r="F647" i="3"/>
  <c r="K646" i="3"/>
  <c r="H646" i="3"/>
  <c r="F646" i="3"/>
  <c r="K645" i="3"/>
  <c r="H645" i="3"/>
  <c r="F645" i="3"/>
  <c r="K644" i="3"/>
  <c r="H644" i="3"/>
  <c r="F644" i="3"/>
  <c r="K643" i="3"/>
  <c r="H643" i="3"/>
  <c r="F643" i="3"/>
  <c r="K642" i="3"/>
  <c r="H642" i="3"/>
  <c r="F642" i="3"/>
  <c r="K641" i="3"/>
  <c r="H641" i="3"/>
  <c r="F641" i="3"/>
  <c r="K640" i="3"/>
  <c r="H640" i="3"/>
  <c r="F640" i="3"/>
  <c r="K639" i="3"/>
  <c r="H639" i="3"/>
  <c r="F639" i="3"/>
  <c r="K638" i="3"/>
  <c r="H638" i="3"/>
  <c r="F638" i="3"/>
  <c r="K637" i="3"/>
  <c r="H637" i="3"/>
  <c r="F637" i="3"/>
  <c r="K636" i="3"/>
  <c r="H636" i="3"/>
  <c r="F636" i="3"/>
  <c r="K635" i="3"/>
  <c r="H635" i="3"/>
  <c r="F635" i="3"/>
  <c r="K634" i="3"/>
  <c r="H634" i="3"/>
  <c r="F634" i="3"/>
  <c r="K633" i="3"/>
  <c r="H633" i="3"/>
  <c r="F633" i="3"/>
  <c r="K632" i="3"/>
  <c r="H632" i="3"/>
  <c r="F632" i="3"/>
  <c r="K631" i="3"/>
  <c r="H631" i="3"/>
  <c r="F631" i="3"/>
  <c r="K630" i="3"/>
  <c r="H630" i="3"/>
  <c r="F630" i="3"/>
  <c r="K629" i="3"/>
  <c r="H629" i="3"/>
  <c r="F629" i="3"/>
  <c r="K628" i="3"/>
  <c r="H628" i="3"/>
  <c r="F628" i="3"/>
  <c r="K627" i="3"/>
  <c r="H627" i="3"/>
  <c r="F627" i="3"/>
  <c r="K626" i="3"/>
  <c r="H626" i="3"/>
  <c r="F626" i="3"/>
  <c r="K625" i="3"/>
  <c r="H625" i="3"/>
  <c r="F625" i="3"/>
  <c r="K624" i="3"/>
  <c r="H624" i="3"/>
  <c r="F624" i="3"/>
  <c r="K623" i="3"/>
  <c r="H623" i="3"/>
  <c r="F623" i="3"/>
  <c r="K622" i="3"/>
  <c r="H622" i="3"/>
  <c r="F622" i="3"/>
  <c r="K621" i="3"/>
  <c r="H621" i="3"/>
  <c r="F621" i="3"/>
  <c r="K620" i="3"/>
  <c r="H620" i="3"/>
  <c r="F620" i="3"/>
  <c r="K619" i="3"/>
  <c r="H619" i="3"/>
  <c r="F619" i="3"/>
  <c r="K618" i="3"/>
  <c r="H618" i="3"/>
  <c r="F618" i="3"/>
  <c r="K617" i="3"/>
  <c r="H617" i="3"/>
  <c r="F617" i="3"/>
  <c r="K616" i="3"/>
  <c r="H616" i="3"/>
  <c r="F616" i="3"/>
  <c r="K615" i="3"/>
  <c r="H615" i="3"/>
  <c r="F615" i="3"/>
  <c r="K614" i="3"/>
  <c r="H614" i="3"/>
  <c r="F614" i="3"/>
  <c r="K613" i="3"/>
  <c r="H613" i="3"/>
  <c r="F613" i="3"/>
  <c r="K612" i="3"/>
  <c r="H612" i="3"/>
  <c r="F612" i="3"/>
  <c r="K611" i="3"/>
  <c r="H611" i="3"/>
  <c r="F611" i="3"/>
  <c r="K610" i="3"/>
  <c r="H610" i="3"/>
  <c r="F610" i="3"/>
  <c r="K609" i="3"/>
  <c r="H609" i="3"/>
  <c r="F609" i="3"/>
  <c r="K608" i="3"/>
  <c r="H608" i="3"/>
  <c r="F608" i="3"/>
  <c r="K607" i="3"/>
  <c r="H607" i="3"/>
  <c r="F607" i="3"/>
  <c r="K606" i="3"/>
  <c r="H606" i="3"/>
  <c r="F606" i="3"/>
  <c r="K605" i="3"/>
  <c r="H605" i="3"/>
  <c r="F605" i="3"/>
  <c r="K604" i="3"/>
  <c r="H604" i="3"/>
  <c r="F604" i="3"/>
  <c r="K603" i="3"/>
  <c r="H603" i="3"/>
  <c r="F603" i="3"/>
  <c r="K602" i="3"/>
  <c r="H602" i="3"/>
  <c r="F602" i="3"/>
  <c r="K601" i="3"/>
  <c r="H601" i="3"/>
  <c r="F601" i="3"/>
  <c r="K600" i="3"/>
  <c r="H600" i="3"/>
  <c r="F600" i="3"/>
  <c r="K599" i="3"/>
  <c r="H599" i="3"/>
  <c r="F599" i="3"/>
  <c r="K598" i="3"/>
  <c r="H598" i="3"/>
  <c r="F598" i="3"/>
  <c r="K597" i="3"/>
  <c r="H597" i="3"/>
  <c r="F597" i="3"/>
  <c r="K596" i="3"/>
  <c r="H596" i="3"/>
  <c r="F596" i="3"/>
  <c r="K595" i="3"/>
  <c r="H595" i="3"/>
  <c r="F595" i="3"/>
  <c r="K594" i="3"/>
  <c r="H594" i="3"/>
  <c r="F594" i="3"/>
  <c r="K593" i="3"/>
  <c r="H593" i="3"/>
  <c r="F593" i="3"/>
  <c r="K592" i="3"/>
  <c r="H592" i="3"/>
  <c r="F592" i="3"/>
  <c r="K591" i="3"/>
  <c r="H591" i="3"/>
  <c r="F591" i="3"/>
  <c r="K590" i="3"/>
  <c r="H590" i="3"/>
  <c r="F590" i="3"/>
  <c r="K589" i="3"/>
  <c r="H589" i="3"/>
  <c r="F589" i="3"/>
  <c r="K588" i="3"/>
  <c r="H588" i="3"/>
  <c r="F588" i="3"/>
  <c r="K587" i="3"/>
  <c r="H587" i="3"/>
  <c r="F587" i="3"/>
  <c r="K586" i="3"/>
  <c r="H586" i="3"/>
  <c r="F586" i="3"/>
  <c r="K585" i="3"/>
  <c r="H585" i="3"/>
  <c r="F585" i="3"/>
  <c r="K584" i="3"/>
  <c r="H584" i="3"/>
  <c r="F584" i="3"/>
  <c r="K583" i="3"/>
  <c r="H583" i="3"/>
  <c r="F583" i="3"/>
  <c r="K582" i="3"/>
  <c r="H582" i="3"/>
  <c r="F582" i="3"/>
  <c r="K581" i="3"/>
  <c r="H581" i="3"/>
  <c r="F581" i="3"/>
  <c r="K580" i="3"/>
  <c r="H580" i="3"/>
  <c r="F580" i="3"/>
  <c r="K579" i="3"/>
  <c r="H579" i="3"/>
  <c r="F579" i="3"/>
  <c r="K578" i="3"/>
  <c r="H578" i="3"/>
  <c r="F578" i="3"/>
  <c r="K577" i="3"/>
  <c r="H577" i="3"/>
  <c r="F577" i="3"/>
  <c r="K576" i="3"/>
  <c r="H576" i="3"/>
  <c r="F576" i="3"/>
  <c r="K575" i="3"/>
  <c r="H575" i="3"/>
  <c r="F575" i="3"/>
  <c r="K574" i="3"/>
  <c r="H574" i="3"/>
  <c r="F574" i="3"/>
  <c r="K573" i="3"/>
  <c r="H573" i="3"/>
  <c r="F573" i="3"/>
  <c r="K572" i="3"/>
  <c r="H572" i="3"/>
  <c r="F572" i="3"/>
  <c r="K571" i="3"/>
  <c r="H571" i="3"/>
  <c r="F571" i="3"/>
  <c r="K570" i="3"/>
  <c r="H570" i="3"/>
  <c r="F570" i="3"/>
  <c r="K569" i="3"/>
  <c r="H569" i="3"/>
  <c r="F569" i="3"/>
  <c r="K568" i="3"/>
  <c r="H568" i="3"/>
  <c r="F568" i="3"/>
  <c r="K567" i="3"/>
  <c r="H567" i="3"/>
  <c r="F567" i="3"/>
  <c r="K566" i="3"/>
  <c r="H566" i="3"/>
  <c r="F566" i="3"/>
  <c r="K565" i="3"/>
  <c r="H565" i="3"/>
  <c r="F565" i="3"/>
  <c r="K564" i="3"/>
  <c r="H564" i="3"/>
  <c r="F564" i="3"/>
  <c r="K563" i="3"/>
  <c r="H563" i="3"/>
  <c r="F563" i="3"/>
  <c r="K562" i="3"/>
  <c r="H562" i="3"/>
  <c r="F562" i="3"/>
  <c r="K561" i="3"/>
  <c r="H561" i="3"/>
  <c r="F561" i="3"/>
  <c r="K560" i="3"/>
  <c r="H560" i="3"/>
  <c r="F560" i="3"/>
  <c r="K559" i="3"/>
  <c r="H559" i="3"/>
  <c r="F559" i="3"/>
  <c r="K558" i="3"/>
  <c r="H558" i="3"/>
  <c r="F558" i="3"/>
  <c r="K557" i="3"/>
  <c r="H557" i="3"/>
  <c r="F557" i="3"/>
  <c r="K556" i="3"/>
  <c r="H556" i="3"/>
  <c r="F556" i="3"/>
  <c r="K555" i="3"/>
  <c r="H555" i="3"/>
  <c r="F555" i="3"/>
  <c r="K554" i="3"/>
  <c r="H554" i="3"/>
  <c r="F554" i="3"/>
  <c r="K553" i="3"/>
  <c r="H553" i="3"/>
  <c r="F553" i="3"/>
  <c r="K552" i="3"/>
  <c r="H552" i="3"/>
  <c r="F552" i="3"/>
  <c r="K551" i="3"/>
  <c r="H551" i="3"/>
  <c r="F551" i="3"/>
  <c r="K550" i="3"/>
  <c r="H550" i="3"/>
  <c r="F550" i="3"/>
  <c r="K549" i="3"/>
  <c r="H549" i="3"/>
  <c r="F549" i="3"/>
  <c r="K548" i="3"/>
  <c r="H548" i="3"/>
  <c r="F548" i="3"/>
  <c r="K547" i="3"/>
  <c r="H547" i="3"/>
  <c r="F547" i="3"/>
  <c r="K546" i="3"/>
  <c r="H546" i="3"/>
  <c r="F546" i="3"/>
  <c r="K545" i="3"/>
  <c r="H545" i="3"/>
  <c r="F545" i="3"/>
  <c r="K544" i="3"/>
  <c r="H544" i="3"/>
  <c r="F544" i="3"/>
  <c r="K543" i="3"/>
  <c r="H543" i="3"/>
  <c r="F543" i="3"/>
  <c r="K542" i="3"/>
  <c r="H542" i="3"/>
  <c r="F542" i="3"/>
  <c r="K541" i="3"/>
  <c r="H541" i="3"/>
  <c r="F541" i="3"/>
  <c r="K540" i="3"/>
  <c r="H540" i="3"/>
  <c r="F540" i="3"/>
  <c r="K539" i="3"/>
  <c r="H539" i="3"/>
  <c r="F539" i="3"/>
  <c r="K538" i="3"/>
  <c r="H538" i="3"/>
  <c r="F538" i="3"/>
  <c r="K537" i="3"/>
  <c r="H537" i="3"/>
  <c r="F537" i="3"/>
  <c r="K536" i="3"/>
  <c r="H536" i="3"/>
  <c r="F536" i="3"/>
  <c r="K535" i="3"/>
  <c r="H535" i="3"/>
  <c r="F535" i="3"/>
  <c r="K534" i="3"/>
  <c r="H534" i="3"/>
  <c r="F534" i="3"/>
  <c r="K533" i="3"/>
  <c r="H533" i="3"/>
  <c r="F533" i="3"/>
  <c r="K532" i="3"/>
  <c r="H532" i="3"/>
  <c r="F532" i="3"/>
  <c r="K531" i="3"/>
  <c r="H531" i="3"/>
  <c r="F531" i="3"/>
  <c r="K530" i="3"/>
  <c r="H530" i="3"/>
  <c r="F530" i="3"/>
  <c r="K529" i="3"/>
  <c r="H529" i="3"/>
  <c r="F529" i="3"/>
  <c r="K528" i="3"/>
  <c r="H528" i="3"/>
  <c r="F528" i="3"/>
  <c r="K527" i="3"/>
  <c r="H527" i="3"/>
  <c r="F527" i="3"/>
  <c r="K526" i="3"/>
  <c r="H526" i="3"/>
  <c r="F526" i="3"/>
  <c r="K525" i="3"/>
  <c r="H525" i="3"/>
  <c r="F525" i="3"/>
  <c r="K524" i="3"/>
  <c r="H524" i="3"/>
  <c r="F524" i="3"/>
  <c r="K523" i="3"/>
  <c r="H523" i="3"/>
  <c r="F523" i="3"/>
  <c r="K522" i="3"/>
  <c r="H522" i="3"/>
  <c r="F522" i="3"/>
  <c r="K521" i="3"/>
  <c r="H521" i="3"/>
  <c r="F521" i="3"/>
  <c r="K520" i="3"/>
  <c r="H520" i="3"/>
  <c r="F520" i="3"/>
  <c r="K519" i="3"/>
  <c r="H519" i="3"/>
  <c r="F519" i="3"/>
  <c r="K518" i="3"/>
  <c r="H518" i="3"/>
  <c r="F518" i="3"/>
  <c r="K517" i="3"/>
  <c r="H517" i="3"/>
  <c r="F517" i="3"/>
  <c r="K516" i="3"/>
  <c r="H516" i="3"/>
  <c r="F516" i="3"/>
  <c r="K515" i="3"/>
  <c r="H515" i="3"/>
  <c r="F515" i="3"/>
  <c r="K514" i="3"/>
  <c r="H514" i="3"/>
  <c r="F514" i="3"/>
  <c r="K513" i="3"/>
  <c r="H513" i="3"/>
  <c r="F513" i="3"/>
  <c r="K512" i="3"/>
  <c r="H512" i="3"/>
  <c r="F512" i="3"/>
  <c r="K511" i="3"/>
  <c r="H511" i="3"/>
  <c r="F511" i="3"/>
  <c r="K510" i="3"/>
  <c r="H510" i="3"/>
  <c r="F510" i="3"/>
  <c r="K509" i="3"/>
  <c r="H509" i="3"/>
  <c r="F509" i="3"/>
  <c r="K508" i="3"/>
  <c r="H508" i="3"/>
  <c r="F508" i="3"/>
  <c r="K507" i="3"/>
  <c r="H507" i="3"/>
  <c r="F507" i="3"/>
  <c r="K506" i="3"/>
  <c r="H506" i="3"/>
  <c r="F506" i="3"/>
  <c r="K505" i="3"/>
  <c r="H505" i="3"/>
  <c r="F505" i="3"/>
  <c r="K504" i="3"/>
  <c r="H504" i="3"/>
  <c r="F504" i="3"/>
  <c r="K503" i="3"/>
  <c r="H503" i="3"/>
  <c r="F503" i="3"/>
  <c r="K502" i="3"/>
  <c r="H502" i="3"/>
  <c r="F502" i="3"/>
  <c r="K501" i="3"/>
  <c r="H501" i="3"/>
  <c r="F501" i="3"/>
  <c r="K500" i="3"/>
  <c r="H500" i="3"/>
  <c r="F500" i="3"/>
  <c r="K499" i="3"/>
  <c r="H499" i="3"/>
  <c r="F499" i="3"/>
  <c r="K498" i="3"/>
  <c r="H498" i="3"/>
  <c r="F498" i="3"/>
  <c r="K497" i="3"/>
  <c r="H497" i="3"/>
  <c r="F497" i="3"/>
  <c r="K496" i="3"/>
  <c r="H496" i="3"/>
  <c r="F496" i="3"/>
  <c r="K495" i="3"/>
  <c r="H495" i="3"/>
  <c r="F495" i="3"/>
  <c r="K494" i="3"/>
  <c r="H494" i="3"/>
  <c r="F494" i="3"/>
  <c r="K493" i="3"/>
  <c r="H493" i="3"/>
  <c r="F493" i="3"/>
  <c r="K492" i="3"/>
  <c r="H492" i="3"/>
  <c r="F492" i="3"/>
  <c r="K491" i="3"/>
  <c r="H491" i="3"/>
  <c r="F491" i="3"/>
  <c r="K490" i="3"/>
  <c r="H490" i="3"/>
  <c r="F490" i="3"/>
  <c r="K489" i="3"/>
  <c r="H489" i="3"/>
  <c r="F489" i="3"/>
  <c r="K488" i="3"/>
  <c r="H488" i="3"/>
  <c r="F488" i="3"/>
  <c r="K487" i="3"/>
  <c r="H487" i="3"/>
  <c r="F487" i="3"/>
  <c r="K486" i="3"/>
  <c r="H486" i="3"/>
  <c r="F486" i="3"/>
  <c r="K485" i="3"/>
  <c r="H485" i="3"/>
  <c r="F485" i="3"/>
  <c r="K484" i="3"/>
  <c r="H484" i="3"/>
  <c r="F484" i="3"/>
  <c r="K483" i="3"/>
  <c r="H483" i="3"/>
  <c r="F483" i="3"/>
  <c r="K482" i="3"/>
  <c r="H482" i="3"/>
  <c r="F482" i="3"/>
  <c r="K481" i="3"/>
  <c r="H481" i="3"/>
  <c r="F481" i="3"/>
  <c r="K480" i="3"/>
  <c r="H480" i="3"/>
  <c r="F480" i="3"/>
  <c r="K479" i="3"/>
  <c r="H479" i="3"/>
  <c r="F479" i="3"/>
  <c r="K478" i="3"/>
  <c r="H478" i="3"/>
  <c r="F478" i="3"/>
  <c r="K477" i="3"/>
  <c r="H477" i="3"/>
  <c r="F477" i="3"/>
  <c r="K476" i="3"/>
  <c r="H476" i="3"/>
  <c r="F476" i="3"/>
  <c r="K475" i="3"/>
  <c r="H475" i="3"/>
  <c r="F475" i="3"/>
  <c r="K474" i="3"/>
  <c r="H474" i="3"/>
  <c r="F474" i="3"/>
  <c r="K473" i="3"/>
  <c r="H473" i="3"/>
  <c r="F473" i="3"/>
  <c r="K472" i="3"/>
  <c r="H472" i="3"/>
  <c r="F472" i="3"/>
  <c r="K471" i="3"/>
  <c r="H471" i="3"/>
  <c r="F471" i="3"/>
  <c r="K470" i="3"/>
  <c r="H470" i="3"/>
  <c r="F470" i="3"/>
  <c r="K469" i="3"/>
  <c r="H469" i="3"/>
  <c r="F469" i="3"/>
  <c r="K468" i="3"/>
  <c r="H468" i="3"/>
  <c r="F468" i="3"/>
  <c r="K467" i="3"/>
  <c r="H467" i="3"/>
  <c r="F467" i="3"/>
  <c r="K466" i="3"/>
  <c r="H466" i="3"/>
  <c r="F466" i="3"/>
  <c r="K465" i="3"/>
  <c r="H465" i="3"/>
  <c r="F465" i="3"/>
  <c r="K464" i="3"/>
  <c r="H464" i="3"/>
  <c r="F464" i="3"/>
  <c r="K463" i="3"/>
  <c r="H463" i="3"/>
  <c r="F463" i="3"/>
  <c r="K462" i="3"/>
  <c r="H462" i="3"/>
  <c r="F462" i="3"/>
  <c r="K461" i="3"/>
  <c r="H461" i="3"/>
  <c r="F461" i="3"/>
  <c r="K460" i="3"/>
  <c r="H460" i="3"/>
  <c r="F460" i="3"/>
  <c r="K459" i="3"/>
  <c r="H459" i="3"/>
  <c r="F459" i="3"/>
  <c r="K458" i="3"/>
  <c r="H458" i="3"/>
  <c r="F458" i="3"/>
  <c r="K457" i="3"/>
  <c r="H457" i="3"/>
  <c r="F457" i="3"/>
  <c r="K456" i="3"/>
  <c r="H456" i="3"/>
  <c r="F456" i="3"/>
  <c r="K455" i="3"/>
  <c r="H455" i="3"/>
  <c r="F455" i="3"/>
  <c r="K454" i="3"/>
  <c r="H454" i="3"/>
  <c r="F454" i="3"/>
  <c r="K453" i="3"/>
  <c r="H453" i="3"/>
  <c r="F453" i="3"/>
  <c r="K452" i="3"/>
  <c r="H452" i="3"/>
  <c r="F452" i="3"/>
  <c r="K451" i="3"/>
  <c r="H451" i="3"/>
  <c r="F451" i="3"/>
  <c r="K450" i="3"/>
  <c r="H450" i="3"/>
  <c r="F450" i="3"/>
  <c r="K449" i="3"/>
  <c r="H449" i="3"/>
  <c r="F449" i="3"/>
  <c r="K448" i="3"/>
  <c r="H448" i="3"/>
  <c r="F448" i="3"/>
  <c r="K447" i="3"/>
  <c r="H447" i="3"/>
  <c r="F447" i="3"/>
  <c r="K446" i="3"/>
  <c r="H446" i="3"/>
  <c r="F446" i="3"/>
  <c r="K445" i="3"/>
  <c r="H445" i="3"/>
  <c r="F445" i="3"/>
  <c r="K444" i="3"/>
  <c r="H444" i="3"/>
  <c r="F444" i="3"/>
  <c r="K443" i="3"/>
  <c r="H443" i="3"/>
  <c r="F443" i="3"/>
  <c r="K442" i="3"/>
  <c r="H442" i="3"/>
  <c r="F442" i="3"/>
  <c r="K441" i="3"/>
  <c r="H441" i="3"/>
  <c r="F441" i="3"/>
  <c r="K440" i="3"/>
  <c r="H440" i="3"/>
  <c r="F440" i="3"/>
  <c r="K439" i="3"/>
  <c r="H439" i="3"/>
  <c r="F439" i="3"/>
  <c r="K438" i="3"/>
  <c r="H438" i="3"/>
  <c r="F438" i="3"/>
  <c r="K437" i="3"/>
  <c r="H437" i="3"/>
  <c r="F437" i="3"/>
  <c r="K436" i="3"/>
  <c r="H436" i="3"/>
  <c r="F436" i="3"/>
  <c r="K435" i="3"/>
  <c r="H435" i="3"/>
  <c r="F435" i="3"/>
  <c r="K434" i="3"/>
  <c r="H434" i="3"/>
  <c r="F434" i="3"/>
  <c r="K433" i="3"/>
  <c r="H433" i="3"/>
  <c r="F433" i="3"/>
  <c r="K432" i="3"/>
  <c r="H432" i="3"/>
  <c r="F432" i="3"/>
  <c r="K431" i="3"/>
  <c r="H431" i="3"/>
  <c r="F431" i="3"/>
  <c r="K430" i="3"/>
  <c r="H430" i="3"/>
  <c r="F430" i="3"/>
  <c r="K429" i="3"/>
  <c r="H429" i="3"/>
  <c r="F429" i="3"/>
  <c r="K428" i="3"/>
  <c r="H428" i="3"/>
  <c r="F428" i="3"/>
  <c r="K427" i="3"/>
  <c r="H427" i="3"/>
  <c r="F427" i="3"/>
  <c r="K426" i="3"/>
  <c r="H426" i="3"/>
  <c r="F426" i="3"/>
  <c r="K425" i="3"/>
  <c r="H425" i="3"/>
  <c r="F425" i="3"/>
  <c r="K424" i="3"/>
  <c r="H424" i="3"/>
  <c r="F424" i="3"/>
  <c r="K423" i="3"/>
  <c r="H423" i="3"/>
  <c r="F423" i="3"/>
  <c r="K422" i="3"/>
  <c r="H422" i="3"/>
  <c r="F422" i="3"/>
  <c r="K421" i="3"/>
  <c r="H421" i="3"/>
  <c r="F421" i="3"/>
  <c r="K420" i="3"/>
  <c r="H420" i="3"/>
  <c r="F420" i="3"/>
  <c r="K419" i="3"/>
  <c r="H419" i="3"/>
  <c r="F419" i="3"/>
  <c r="K418" i="3"/>
  <c r="H418" i="3"/>
  <c r="F418" i="3"/>
  <c r="K417" i="3"/>
  <c r="H417" i="3"/>
  <c r="F417" i="3"/>
  <c r="K416" i="3"/>
  <c r="H416" i="3"/>
  <c r="F416" i="3"/>
  <c r="K415" i="3"/>
  <c r="H415" i="3"/>
  <c r="F415" i="3"/>
  <c r="K414" i="3"/>
  <c r="H414" i="3"/>
  <c r="F414" i="3"/>
  <c r="K413" i="3"/>
  <c r="H413" i="3"/>
  <c r="F413" i="3"/>
  <c r="K412" i="3"/>
  <c r="H412" i="3"/>
  <c r="F412" i="3"/>
  <c r="K411" i="3"/>
  <c r="H411" i="3"/>
  <c r="F411" i="3"/>
  <c r="K410" i="3"/>
  <c r="H410" i="3"/>
  <c r="F410" i="3"/>
  <c r="K409" i="3"/>
  <c r="H409" i="3"/>
  <c r="F409" i="3"/>
  <c r="K408" i="3"/>
  <c r="H408" i="3"/>
  <c r="F408" i="3"/>
  <c r="K407" i="3"/>
  <c r="H407" i="3"/>
  <c r="F407" i="3"/>
  <c r="K406" i="3"/>
  <c r="H406" i="3"/>
  <c r="F406" i="3"/>
  <c r="K405" i="3"/>
  <c r="H405" i="3"/>
  <c r="F405" i="3"/>
  <c r="K404" i="3"/>
  <c r="H404" i="3"/>
  <c r="F404" i="3"/>
  <c r="K403" i="3"/>
  <c r="H403" i="3"/>
  <c r="F403" i="3"/>
  <c r="K402" i="3"/>
  <c r="H402" i="3"/>
  <c r="F402" i="3"/>
  <c r="K401" i="3"/>
  <c r="H401" i="3"/>
  <c r="F401" i="3"/>
  <c r="K400" i="3"/>
  <c r="H400" i="3"/>
  <c r="F400" i="3"/>
  <c r="K399" i="3"/>
  <c r="H399" i="3"/>
  <c r="F399" i="3"/>
  <c r="K398" i="3"/>
  <c r="H398" i="3"/>
  <c r="F398" i="3"/>
  <c r="K397" i="3"/>
  <c r="H397" i="3"/>
  <c r="F397" i="3"/>
  <c r="K396" i="3"/>
  <c r="H396" i="3"/>
  <c r="F396" i="3"/>
  <c r="K395" i="3"/>
  <c r="H395" i="3"/>
  <c r="F395" i="3"/>
  <c r="K394" i="3"/>
  <c r="H394" i="3"/>
  <c r="F394" i="3"/>
  <c r="K393" i="3"/>
  <c r="H393" i="3"/>
  <c r="F393" i="3"/>
  <c r="K392" i="3"/>
  <c r="H392" i="3"/>
  <c r="F392" i="3"/>
  <c r="K391" i="3"/>
  <c r="H391" i="3"/>
  <c r="F391" i="3"/>
  <c r="K390" i="3"/>
  <c r="H390" i="3"/>
  <c r="F390" i="3"/>
  <c r="K389" i="3"/>
  <c r="H389" i="3"/>
  <c r="F389" i="3"/>
  <c r="K388" i="3"/>
  <c r="H388" i="3"/>
  <c r="F388" i="3"/>
  <c r="K387" i="3"/>
  <c r="H387" i="3"/>
  <c r="F387" i="3"/>
  <c r="K386" i="3"/>
  <c r="H386" i="3"/>
  <c r="F386" i="3"/>
  <c r="K385" i="3"/>
  <c r="H385" i="3"/>
  <c r="F385" i="3"/>
  <c r="K384" i="3"/>
  <c r="H384" i="3"/>
  <c r="F384" i="3"/>
  <c r="K383" i="3"/>
  <c r="H383" i="3"/>
  <c r="F383" i="3"/>
  <c r="K382" i="3"/>
  <c r="H382" i="3"/>
  <c r="F382" i="3"/>
  <c r="K381" i="3"/>
  <c r="H381" i="3"/>
  <c r="F381" i="3"/>
  <c r="K380" i="3"/>
  <c r="H380" i="3"/>
  <c r="F380" i="3"/>
  <c r="K379" i="3"/>
  <c r="H379" i="3"/>
  <c r="F379" i="3"/>
  <c r="K378" i="3"/>
  <c r="H378" i="3"/>
  <c r="F378" i="3"/>
  <c r="K377" i="3"/>
  <c r="H377" i="3"/>
  <c r="F377" i="3"/>
  <c r="K376" i="3"/>
  <c r="H376" i="3"/>
  <c r="F376" i="3"/>
  <c r="K375" i="3"/>
  <c r="H375" i="3"/>
  <c r="F375" i="3"/>
  <c r="K374" i="3"/>
  <c r="H374" i="3"/>
  <c r="F374" i="3"/>
  <c r="K373" i="3"/>
  <c r="H373" i="3"/>
  <c r="F373" i="3"/>
  <c r="K372" i="3"/>
  <c r="H372" i="3"/>
  <c r="F372" i="3"/>
  <c r="K371" i="3"/>
  <c r="H371" i="3"/>
  <c r="F371" i="3"/>
  <c r="K370" i="3"/>
  <c r="H370" i="3"/>
  <c r="F370" i="3"/>
  <c r="K369" i="3"/>
  <c r="H369" i="3"/>
  <c r="F369" i="3"/>
  <c r="K368" i="3"/>
  <c r="H368" i="3"/>
  <c r="F368" i="3"/>
  <c r="K367" i="3"/>
  <c r="H367" i="3"/>
  <c r="F367" i="3"/>
  <c r="K366" i="3"/>
  <c r="H366" i="3"/>
  <c r="F366" i="3"/>
  <c r="K365" i="3"/>
  <c r="H365" i="3"/>
  <c r="F365" i="3"/>
  <c r="K364" i="3"/>
  <c r="H364" i="3"/>
  <c r="F364" i="3"/>
  <c r="K363" i="3"/>
  <c r="H363" i="3"/>
  <c r="F363" i="3"/>
  <c r="K362" i="3"/>
  <c r="H362" i="3"/>
  <c r="F362" i="3"/>
  <c r="K361" i="3"/>
  <c r="H361" i="3"/>
  <c r="F361" i="3"/>
  <c r="K360" i="3"/>
  <c r="H360" i="3"/>
  <c r="F360" i="3"/>
  <c r="K359" i="3"/>
  <c r="H359" i="3"/>
  <c r="F359" i="3"/>
  <c r="K358" i="3"/>
  <c r="H358" i="3"/>
  <c r="F358" i="3"/>
  <c r="K357" i="3"/>
  <c r="H357" i="3"/>
  <c r="F357" i="3"/>
  <c r="K356" i="3"/>
  <c r="H356" i="3"/>
  <c r="F356" i="3"/>
  <c r="K355" i="3"/>
  <c r="H355" i="3"/>
  <c r="F355" i="3"/>
  <c r="K354" i="3"/>
  <c r="H354" i="3"/>
  <c r="F354" i="3"/>
  <c r="K353" i="3"/>
  <c r="H353" i="3"/>
  <c r="F353" i="3"/>
  <c r="K352" i="3"/>
  <c r="H352" i="3"/>
  <c r="F352" i="3"/>
  <c r="K351" i="3"/>
  <c r="H351" i="3"/>
  <c r="F351" i="3"/>
  <c r="K350" i="3"/>
  <c r="H350" i="3"/>
  <c r="F350" i="3"/>
  <c r="K349" i="3"/>
  <c r="H349" i="3"/>
  <c r="F349" i="3"/>
  <c r="K348" i="3"/>
  <c r="H348" i="3"/>
  <c r="F348" i="3"/>
  <c r="K347" i="3"/>
  <c r="H347" i="3"/>
  <c r="F347" i="3"/>
  <c r="K346" i="3"/>
  <c r="H346" i="3"/>
  <c r="F346" i="3"/>
  <c r="K345" i="3"/>
  <c r="H345" i="3"/>
  <c r="F345" i="3"/>
  <c r="K344" i="3"/>
  <c r="H344" i="3"/>
  <c r="F344" i="3"/>
  <c r="K343" i="3"/>
  <c r="H343" i="3"/>
  <c r="F343" i="3"/>
  <c r="K342" i="3"/>
  <c r="H342" i="3"/>
  <c r="F342" i="3"/>
  <c r="K341" i="3"/>
  <c r="H341" i="3"/>
  <c r="F341" i="3"/>
  <c r="K340" i="3"/>
  <c r="H340" i="3"/>
  <c r="F340" i="3"/>
  <c r="K339" i="3"/>
  <c r="H339" i="3"/>
  <c r="F339" i="3"/>
  <c r="K338" i="3"/>
  <c r="H338" i="3"/>
  <c r="F338" i="3"/>
  <c r="K337" i="3"/>
  <c r="H337" i="3"/>
  <c r="F337" i="3"/>
  <c r="K336" i="3"/>
  <c r="H336" i="3"/>
  <c r="F336" i="3"/>
  <c r="K335" i="3"/>
  <c r="H335" i="3"/>
  <c r="F335" i="3"/>
  <c r="K334" i="3"/>
  <c r="H334" i="3"/>
  <c r="F334" i="3"/>
  <c r="K333" i="3"/>
  <c r="H333" i="3"/>
  <c r="F333" i="3"/>
  <c r="K332" i="3"/>
  <c r="H332" i="3"/>
  <c r="F332" i="3"/>
  <c r="K331" i="3"/>
  <c r="H331" i="3"/>
  <c r="F331" i="3"/>
  <c r="K330" i="3"/>
  <c r="H330" i="3"/>
  <c r="F330" i="3"/>
  <c r="K329" i="3"/>
  <c r="H329" i="3"/>
  <c r="F329" i="3"/>
  <c r="K328" i="3"/>
  <c r="H328" i="3"/>
  <c r="F328" i="3"/>
  <c r="K327" i="3"/>
  <c r="H327" i="3"/>
  <c r="F327" i="3"/>
  <c r="K326" i="3"/>
  <c r="H326" i="3"/>
  <c r="F326" i="3"/>
  <c r="K325" i="3"/>
  <c r="H325" i="3"/>
  <c r="F325" i="3"/>
  <c r="K324" i="3"/>
  <c r="H324" i="3"/>
  <c r="F324" i="3"/>
  <c r="K323" i="3"/>
  <c r="H323" i="3"/>
  <c r="F323" i="3"/>
  <c r="K322" i="3"/>
  <c r="H322" i="3"/>
  <c r="F322" i="3"/>
  <c r="K321" i="3"/>
  <c r="H321" i="3"/>
  <c r="F321" i="3"/>
  <c r="K320" i="3"/>
  <c r="H320" i="3"/>
  <c r="F320" i="3"/>
  <c r="K319" i="3"/>
  <c r="H319" i="3"/>
  <c r="F319" i="3"/>
  <c r="K318" i="3"/>
  <c r="H318" i="3"/>
  <c r="F318" i="3"/>
  <c r="K317" i="3"/>
  <c r="H317" i="3"/>
  <c r="F317" i="3"/>
  <c r="K316" i="3"/>
  <c r="H316" i="3"/>
  <c r="F316" i="3"/>
  <c r="K315" i="3"/>
  <c r="H315" i="3"/>
  <c r="F315" i="3"/>
  <c r="K314" i="3"/>
  <c r="H314" i="3"/>
  <c r="F314" i="3"/>
  <c r="K313" i="3"/>
  <c r="H313" i="3"/>
  <c r="F313" i="3"/>
  <c r="K312" i="3"/>
  <c r="H312" i="3"/>
  <c r="F312" i="3"/>
  <c r="K311" i="3"/>
  <c r="H311" i="3"/>
  <c r="F311" i="3"/>
  <c r="K310" i="3"/>
  <c r="H310" i="3"/>
  <c r="F310" i="3"/>
  <c r="K309" i="3"/>
  <c r="H309" i="3"/>
  <c r="F309" i="3"/>
  <c r="K308" i="3"/>
  <c r="H308" i="3"/>
  <c r="F308" i="3"/>
  <c r="K307" i="3"/>
  <c r="H307" i="3"/>
  <c r="F307" i="3"/>
  <c r="K306" i="3"/>
  <c r="H306" i="3"/>
  <c r="F306" i="3"/>
  <c r="K305" i="3"/>
  <c r="H305" i="3"/>
  <c r="F305" i="3"/>
  <c r="K304" i="3"/>
  <c r="H304" i="3"/>
  <c r="F304" i="3"/>
  <c r="K303" i="3"/>
  <c r="H303" i="3"/>
  <c r="F303" i="3"/>
  <c r="K302" i="3"/>
  <c r="H302" i="3"/>
  <c r="F302" i="3"/>
  <c r="K301" i="3"/>
  <c r="H301" i="3"/>
  <c r="F301" i="3"/>
  <c r="K300" i="3"/>
  <c r="H300" i="3"/>
  <c r="F300" i="3"/>
  <c r="K299" i="3"/>
  <c r="H299" i="3"/>
  <c r="F299" i="3"/>
  <c r="K298" i="3"/>
  <c r="H298" i="3"/>
  <c r="F298" i="3"/>
  <c r="K297" i="3"/>
  <c r="H297" i="3"/>
  <c r="F297" i="3"/>
  <c r="K296" i="3"/>
  <c r="H296" i="3"/>
  <c r="F296" i="3"/>
  <c r="K295" i="3"/>
  <c r="H295" i="3"/>
  <c r="F295" i="3"/>
  <c r="K294" i="3"/>
  <c r="H294" i="3"/>
  <c r="F294" i="3"/>
  <c r="K293" i="3"/>
  <c r="H293" i="3"/>
  <c r="F293" i="3"/>
  <c r="K292" i="3"/>
  <c r="H292" i="3"/>
  <c r="F292" i="3"/>
  <c r="K291" i="3"/>
  <c r="H291" i="3"/>
  <c r="F291" i="3"/>
  <c r="K290" i="3"/>
  <c r="H290" i="3"/>
  <c r="F290" i="3"/>
  <c r="K289" i="3"/>
  <c r="H289" i="3"/>
  <c r="F289" i="3"/>
  <c r="K288" i="3"/>
  <c r="H288" i="3"/>
  <c r="F288" i="3"/>
  <c r="K287" i="3"/>
  <c r="H287" i="3"/>
  <c r="F287" i="3"/>
  <c r="K286" i="3"/>
  <c r="H286" i="3"/>
  <c r="F286" i="3"/>
  <c r="K285" i="3"/>
  <c r="H285" i="3"/>
  <c r="F285" i="3"/>
  <c r="K284" i="3"/>
  <c r="H284" i="3"/>
  <c r="F284" i="3"/>
  <c r="K283" i="3"/>
  <c r="H283" i="3"/>
  <c r="F283" i="3"/>
  <c r="K282" i="3"/>
  <c r="H282" i="3"/>
  <c r="F282" i="3"/>
  <c r="K281" i="3"/>
  <c r="H281" i="3"/>
  <c r="F281" i="3"/>
  <c r="K280" i="3"/>
  <c r="H280" i="3"/>
  <c r="F280" i="3"/>
  <c r="K279" i="3"/>
  <c r="H279" i="3"/>
  <c r="F279" i="3"/>
  <c r="K278" i="3"/>
  <c r="H278" i="3"/>
  <c r="F278" i="3"/>
  <c r="K277" i="3"/>
  <c r="H277" i="3"/>
  <c r="F277" i="3"/>
  <c r="K276" i="3"/>
  <c r="H276" i="3"/>
  <c r="F276" i="3"/>
  <c r="K275" i="3"/>
  <c r="H275" i="3"/>
  <c r="F275" i="3"/>
  <c r="K274" i="3"/>
  <c r="H274" i="3"/>
  <c r="F274" i="3"/>
  <c r="K273" i="3"/>
  <c r="H273" i="3"/>
  <c r="F273" i="3"/>
  <c r="K272" i="3"/>
  <c r="H272" i="3"/>
  <c r="F272" i="3"/>
  <c r="K271" i="3"/>
  <c r="H271" i="3"/>
  <c r="F271" i="3"/>
  <c r="K270" i="3"/>
  <c r="H270" i="3"/>
  <c r="F270" i="3"/>
  <c r="K269" i="3"/>
  <c r="H269" i="3"/>
  <c r="F269" i="3"/>
  <c r="K268" i="3"/>
  <c r="H268" i="3"/>
  <c r="F268" i="3"/>
  <c r="K267" i="3"/>
  <c r="H267" i="3"/>
  <c r="F267" i="3"/>
  <c r="K266" i="3"/>
  <c r="H266" i="3"/>
  <c r="F266" i="3"/>
  <c r="K265" i="3"/>
  <c r="H265" i="3"/>
  <c r="F265" i="3"/>
  <c r="K264" i="3"/>
  <c r="H264" i="3"/>
  <c r="F264" i="3"/>
  <c r="K263" i="3"/>
  <c r="H263" i="3"/>
  <c r="F263" i="3"/>
  <c r="K262" i="3"/>
  <c r="H262" i="3"/>
  <c r="F262" i="3"/>
  <c r="K261" i="3"/>
  <c r="H261" i="3"/>
  <c r="F261" i="3"/>
  <c r="K260" i="3"/>
  <c r="H260" i="3"/>
  <c r="F260" i="3"/>
  <c r="K259" i="3"/>
  <c r="H259" i="3"/>
  <c r="F259" i="3"/>
  <c r="K258" i="3"/>
  <c r="H258" i="3"/>
  <c r="F258" i="3"/>
  <c r="K257" i="3"/>
  <c r="H257" i="3"/>
  <c r="F257" i="3"/>
  <c r="K256" i="3"/>
  <c r="H256" i="3"/>
  <c r="F256" i="3"/>
  <c r="K255" i="3"/>
  <c r="H255" i="3"/>
  <c r="F255" i="3"/>
  <c r="K254" i="3"/>
  <c r="H254" i="3"/>
  <c r="F254" i="3"/>
  <c r="K253" i="3"/>
  <c r="H253" i="3"/>
  <c r="F253" i="3"/>
  <c r="K252" i="3"/>
  <c r="H252" i="3"/>
  <c r="F252" i="3"/>
  <c r="K251" i="3"/>
  <c r="H251" i="3"/>
  <c r="F251" i="3"/>
  <c r="K250" i="3"/>
  <c r="H250" i="3"/>
  <c r="F250" i="3"/>
  <c r="K249" i="3"/>
  <c r="H249" i="3"/>
  <c r="F249" i="3"/>
  <c r="K248" i="3"/>
  <c r="H248" i="3"/>
  <c r="F248" i="3"/>
  <c r="K247" i="3"/>
  <c r="H247" i="3"/>
  <c r="F247" i="3"/>
  <c r="K246" i="3"/>
  <c r="H246" i="3"/>
  <c r="F246" i="3"/>
  <c r="K245" i="3"/>
  <c r="H245" i="3"/>
  <c r="F245" i="3"/>
  <c r="K244" i="3"/>
  <c r="H244" i="3"/>
  <c r="F244" i="3"/>
  <c r="K243" i="3"/>
  <c r="H243" i="3"/>
  <c r="F243" i="3"/>
  <c r="K242" i="3"/>
  <c r="H242" i="3"/>
  <c r="F242" i="3"/>
  <c r="K241" i="3"/>
  <c r="H241" i="3"/>
  <c r="F241" i="3"/>
  <c r="K240" i="3"/>
  <c r="H240" i="3"/>
  <c r="F240" i="3"/>
  <c r="K239" i="3"/>
  <c r="H239" i="3"/>
  <c r="F239" i="3"/>
  <c r="K238" i="3"/>
  <c r="H238" i="3"/>
  <c r="F238" i="3"/>
  <c r="K237" i="3"/>
  <c r="H237" i="3"/>
  <c r="F237" i="3"/>
  <c r="K236" i="3"/>
  <c r="H236" i="3"/>
  <c r="F236" i="3"/>
  <c r="K235" i="3"/>
  <c r="H235" i="3"/>
  <c r="F235" i="3"/>
  <c r="K234" i="3"/>
  <c r="H234" i="3"/>
  <c r="F234" i="3"/>
  <c r="K233" i="3"/>
  <c r="H233" i="3"/>
  <c r="F233" i="3"/>
  <c r="K232" i="3"/>
  <c r="H232" i="3"/>
  <c r="F232" i="3"/>
  <c r="K231" i="3"/>
  <c r="H231" i="3"/>
  <c r="F231" i="3"/>
  <c r="K230" i="3"/>
  <c r="H230" i="3"/>
  <c r="F230" i="3"/>
  <c r="K229" i="3"/>
  <c r="H229" i="3"/>
  <c r="F229" i="3"/>
  <c r="K228" i="3"/>
  <c r="H228" i="3"/>
  <c r="F228" i="3"/>
  <c r="K227" i="3"/>
  <c r="H227" i="3"/>
  <c r="F227" i="3"/>
  <c r="K226" i="3"/>
  <c r="H226" i="3"/>
  <c r="F226" i="3"/>
  <c r="K225" i="3"/>
  <c r="H225" i="3"/>
  <c r="F225" i="3"/>
  <c r="K224" i="3"/>
  <c r="H224" i="3"/>
  <c r="F224" i="3"/>
  <c r="K223" i="3"/>
  <c r="H223" i="3"/>
  <c r="F223" i="3"/>
  <c r="K222" i="3"/>
  <c r="H222" i="3"/>
  <c r="F222" i="3"/>
  <c r="K221" i="3"/>
  <c r="H221" i="3"/>
  <c r="F221" i="3"/>
  <c r="K220" i="3"/>
  <c r="H220" i="3"/>
  <c r="F220" i="3"/>
  <c r="K219" i="3"/>
  <c r="H219" i="3"/>
  <c r="F219" i="3"/>
  <c r="K218" i="3"/>
  <c r="H218" i="3"/>
  <c r="F218" i="3"/>
  <c r="K217" i="3"/>
  <c r="H217" i="3"/>
  <c r="F217" i="3"/>
  <c r="K216" i="3"/>
  <c r="H216" i="3"/>
  <c r="F216" i="3"/>
  <c r="K215" i="3"/>
  <c r="H215" i="3"/>
  <c r="F215" i="3"/>
  <c r="K214" i="3"/>
  <c r="H214" i="3"/>
  <c r="F214" i="3"/>
  <c r="K213" i="3"/>
  <c r="H213" i="3"/>
  <c r="F213" i="3"/>
  <c r="K212" i="3"/>
  <c r="H212" i="3"/>
  <c r="F212" i="3"/>
  <c r="K211" i="3"/>
  <c r="H211" i="3"/>
  <c r="F211" i="3"/>
  <c r="K210" i="3"/>
  <c r="H210" i="3"/>
  <c r="F210" i="3"/>
  <c r="K209" i="3"/>
  <c r="H209" i="3"/>
  <c r="F209" i="3"/>
  <c r="K208" i="3"/>
  <c r="H208" i="3"/>
  <c r="F208" i="3"/>
  <c r="K207" i="3"/>
  <c r="H207" i="3"/>
  <c r="F207" i="3"/>
  <c r="K206" i="3"/>
  <c r="H206" i="3"/>
  <c r="F206" i="3"/>
  <c r="K205" i="3"/>
  <c r="H205" i="3"/>
  <c r="F205" i="3"/>
  <c r="K204" i="3"/>
  <c r="H204" i="3"/>
  <c r="F204" i="3"/>
  <c r="K203" i="3"/>
  <c r="H203" i="3"/>
  <c r="F203" i="3"/>
  <c r="K202" i="3"/>
  <c r="H202" i="3"/>
  <c r="F202" i="3"/>
  <c r="K201" i="3"/>
  <c r="H201" i="3"/>
  <c r="F201" i="3"/>
  <c r="K200" i="3"/>
  <c r="H200" i="3"/>
  <c r="F200" i="3"/>
  <c r="K199" i="3"/>
  <c r="H199" i="3"/>
  <c r="F199" i="3"/>
  <c r="K198" i="3"/>
  <c r="H198" i="3"/>
  <c r="F198" i="3"/>
  <c r="K197" i="3"/>
  <c r="H197" i="3"/>
  <c r="F197" i="3"/>
  <c r="K196" i="3"/>
  <c r="H196" i="3"/>
  <c r="F196" i="3"/>
  <c r="K195" i="3"/>
  <c r="H195" i="3"/>
  <c r="F195" i="3"/>
  <c r="K194" i="3"/>
  <c r="H194" i="3"/>
  <c r="F194" i="3"/>
  <c r="K193" i="3"/>
  <c r="H193" i="3"/>
  <c r="F193" i="3"/>
  <c r="K192" i="3"/>
  <c r="H192" i="3"/>
  <c r="F192" i="3"/>
  <c r="K191" i="3"/>
  <c r="H191" i="3"/>
  <c r="F191" i="3"/>
  <c r="K190" i="3"/>
  <c r="H190" i="3"/>
  <c r="F190" i="3"/>
  <c r="K189" i="3"/>
  <c r="H189" i="3"/>
  <c r="F189" i="3"/>
  <c r="K188" i="3"/>
  <c r="H188" i="3"/>
  <c r="F188" i="3"/>
  <c r="K187" i="3"/>
  <c r="H187" i="3"/>
  <c r="F187" i="3"/>
  <c r="K186" i="3"/>
  <c r="H186" i="3"/>
  <c r="F186" i="3"/>
  <c r="K185" i="3"/>
  <c r="H185" i="3"/>
  <c r="F185" i="3"/>
  <c r="K184" i="3"/>
  <c r="H184" i="3"/>
  <c r="F184" i="3"/>
  <c r="K183" i="3"/>
  <c r="H183" i="3"/>
  <c r="F183" i="3"/>
  <c r="K182" i="3"/>
  <c r="H182" i="3"/>
  <c r="F182" i="3"/>
  <c r="K181" i="3"/>
  <c r="H181" i="3"/>
  <c r="F181" i="3"/>
  <c r="K180" i="3"/>
  <c r="H180" i="3"/>
  <c r="F180" i="3"/>
  <c r="K179" i="3"/>
  <c r="H179" i="3"/>
  <c r="F179" i="3"/>
  <c r="K178" i="3"/>
  <c r="H178" i="3"/>
  <c r="F178" i="3"/>
  <c r="K177" i="3"/>
  <c r="H177" i="3"/>
  <c r="F177" i="3"/>
  <c r="K176" i="3"/>
  <c r="H176" i="3"/>
  <c r="F176" i="3"/>
  <c r="K175" i="3"/>
  <c r="H175" i="3"/>
  <c r="F175" i="3"/>
  <c r="K174" i="3"/>
  <c r="H174" i="3"/>
  <c r="F174" i="3"/>
  <c r="K173" i="3"/>
  <c r="H173" i="3"/>
  <c r="F173" i="3"/>
  <c r="K172" i="3"/>
  <c r="H172" i="3"/>
  <c r="F172" i="3"/>
  <c r="K171" i="3"/>
  <c r="H171" i="3"/>
  <c r="F171" i="3"/>
  <c r="K170" i="3"/>
  <c r="H170" i="3"/>
  <c r="F170" i="3"/>
  <c r="K169" i="3"/>
  <c r="H169" i="3"/>
  <c r="F169" i="3"/>
  <c r="K168" i="3"/>
  <c r="H168" i="3"/>
  <c r="F168" i="3"/>
  <c r="K167" i="3"/>
  <c r="H167" i="3"/>
  <c r="F167" i="3"/>
  <c r="K166" i="3"/>
  <c r="H166" i="3"/>
  <c r="F166" i="3"/>
  <c r="K165" i="3"/>
  <c r="H165" i="3"/>
  <c r="F165" i="3"/>
  <c r="K164" i="3"/>
  <c r="H164" i="3"/>
  <c r="F164" i="3"/>
  <c r="K163" i="3"/>
  <c r="H163" i="3"/>
  <c r="F163" i="3"/>
  <c r="K162" i="3"/>
  <c r="H162" i="3"/>
  <c r="F162" i="3"/>
  <c r="K161" i="3"/>
  <c r="H161" i="3"/>
  <c r="F161" i="3"/>
  <c r="K160" i="3"/>
  <c r="H160" i="3"/>
  <c r="F160" i="3"/>
  <c r="K159" i="3"/>
  <c r="H159" i="3"/>
  <c r="F159" i="3"/>
  <c r="K158" i="3"/>
  <c r="H158" i="3"/>
  <c r="F158" i="3"/>
  <c r="K157" i="3"/>
  <c r="H157" i="3"/>
  <c r="F157" i="3"/>
  <c r="K156" i="3"/>
  <c r="H156" i="3"/>
  <c r="F156" i="3"/>
  <c r="K155" i="3"/>
  <c r="H155" i="3"/>
  <c r="F155" i="3"/>
  <c r="K154" i="3"/>
  <c r="H154" i="3"/>
  <c r="F154" i="3"/>
  <c r="K153" i="3"/>
  <c r="H153" i="3"/>
  <c r="F153" i="3"/>
  <c r="K152" i="3"/>
  <c r="H152" i="3"/>
  <c r="F152" i="3"/>
  <c r="K151" i="3"/>
  <c r="H151" i="3"/>
  <c r="F151" i="3"/>
  <c r="K150" i="3"/>
  <c r="H150" i="3"/>
  <c r="F150" i="3"/>
  <c r="K149" i="3"/>
  <c r="H149" i="3"/>
  <c r="F149" i="3"/>
  <c r="K148" i="3"/>
  <c r="H148" i="3"/>
  <c r="F148" i="3"/>
  <c r="K147" i="3"/>
  <c r="H147" i="3"/>
  <c r="F147" i="3"/>
  <c r="K146" i="3"/>
  <c r="H146" i="3"/>
  <c r="F146" i="3"/>
  <c r="K145" i="3"/>
  <c r="H145" i="3"/>
  <c r="F145" i="3"/>
  <c r="K144" i="3"/>
  <c r="H144" i="3"/>
  <c r="F144" i="3"/>
  <c r="K143" i="3"/>
  <c r="H143" i="3"/>
  <c r="F143" i="3"/>
  <c r="K142" i="3"/>
  <c r="H142" i="3"/>
  <c r="F142" i="3"/>
  <c r="K141" i="3"/>
  <c r="H141" i="3"/>
  <c r="F141" i="3"/>
  <c r="K140" i="3"/>
  <c r="H140" i="3"/>
  <c r="F140" i="3"/>
  <c r="R139" i="3"/>
  <c r="K139" i="3"/>
  <c r="H139" i="3"/>
  <c r="F139" i="3"/>
  <c r="R138" i="3"/>
  <c r="K138" i="3"/>
  <c r="H138" i="3"/>
  <c r="F138" i="3"/>
  <c r="R137" i="3"/>
  <c r="K137" i="3"/>
  <c r="H137" i="3"/>
  <c r="F137" i="3"/>
  <c r="R136" i="3"/>
  <c r="K136" i="3"/>
  <c r="H136" i="3"/>
  <c r="F136" i="3"/>
  <c r="R135" i="3"/>
  <c r="K135" i="3"/>
  <c r="H135" i="3"/>
  <c r="F135" i="3"/>
  <c r="R134" i="3"/>
  <c r="K134" i="3"/>
  <c r="H134" i="3"/>
  <c r="F134" i="3"/>
  <c r="R133" i="3"/>
  <c r="K133" i="3"/>
  <c r="H133" i="3"/>
  <c r="F133" i="3"/>
  <c r="R132" i="3"/>
  <c r="K132" i="3"/>
  <c r="H132" i="3"/>
  <c r="F132" i="3"/>
  <c r="R131" i="3"/>
  <c r="K131" i="3"/>
  <c r="H131" i="3"/>
  <c r="F131" i="3"/>
  <c r="R130" i="3"/>
  <c r="K130" i="3"/>
  <c r="H130" i="3"/>
  <c r="F130" i="3"/>
  <c r="R129" i="3"/>
  <c r="K129" i="3"/>
  <c r="H129" i="3"/>
  <c r="F129" i="3"/>
  <c r="R128" i="3"/>
  <c r="K128" i="3"/>
  <c r="H128" i="3"/>
  <c r="F128" i="3"/>
  <c r="R127" i="3"/>
  <c r="K127" i="3"/>
  <c r="H127" i="3"/>
  <c r="F127" i="3"/>
  <c r="R126" i="3"/>
  <c r="K126" i="3"/>
  <c r="H126" i="3"/>
  <c r="F126" i="3"/>
  <c r="R125" i="3"/>
  <c r="K125" i="3"/>
  <c r="H125" i="3"/>
  <c r="F125" i="3"/>
  <c r="R124" i="3"/>
  <c r="K124" i="3"/>
  <c r="H124" i="3"/>
  <c r="F124" i="3"/>
  <c r="R123" i="3"/>
  <c r="K123" i="3"/>
  <c r="H123" i="3"/>
  <c r="F123" i="3"/>
  <c r="K122" i="3"/>
  <c r="H122" i="3"/>
  <c r="F122" i="3"/>
  <c r="K121" i="3"/>
  <c r="H121" i="3"/>
  <c r="F121" i="3"/>
  <c r="K120" i="3"/>
  <c r="H120" i="3"/>
  <c r="F120" i="3"/>
  <c r="K119" i="3"/>
  <c r="H119" i="3"/>
  <c r="F119" i="3"/>
  <c r="R118" i="3"/>
  <c r="Q118" i="3"/>
  <c r="K118" i="3"/>
  <c r="H118" i="3"/>
  <c r="F118" i="3"/>
  <c r="R117" i="3"/>
  <c r="Q117" i="3"/>
  <c r="K117" i="3"/>
  <c r="H117" i="3"/>
  <c r="F117" i="3"/>
  <c r="R116" i="3"/>
  <c r="Q116" i="3"/>
  <c r="K116" i="3"/>
  <c r="H116" i="3"/>
  <c r="F116" i="3"/>
  <c r="R115" i="3"/>
  <c r="Q115" i="3"/>
  <c r="K115" i="3"/>
  <c r="H115" i="3"/>
  <c r="F115" i="3"/>
  <c r="R114" i="3"/>
  <c r="Q114" i="3"/>
  <c r="K114" i="3"/>
  <c r="H114" i="3"/>
  <c r="F114" i="3"/>
  <c r="R113" i="3"/>
  <c r="Q113" i="3"/>
  <c r="K113" i="3"/>
  <c r="H113" i="3"/>
  <c r="F113" i="3"/>
  <c r="R112" i="3"/>
  <c r="Q112" i="3"/>
  <c r="K112" i="3"/>
  <c r="H112" i="3"/>
  <c r="F112" i="3"/>
  <c r="R111" i="3"/>
  <c r="Q111" i="3"/>
  <c r="K111" i="3"/>
  <c r="H111" i="3"/>
  <c r="F111" i="3"/>
  <c r="R110" i="3"/>
  <c r="Q110" i="3"/>
  <c r="K110" i="3"/>
  <c r="H110" i="3"/>
  <c r="F110" i="3"/>
  <c r="R109" i="3"/>
  <c r="Q109" i="3"/>
  <c r="K109" i="3"/>
  <c r="H109" i="3"/>
  <c r="F109" i="3"/>
  <c r="R108" i="3"/>
  <c r="Q108" i="3"/>
  <c r="K108" i="3"/>
  <c r="H108" i="3"/>
  <c r="F108" i="3"/>
  <c r="R107" i="3"/>
  <c r="Q107" i="3"/>
  <c r="K107" i="3"/>
  <c r="H107" i="3"/>
  <c r="F107" i="3"/>
  <c r="R106" i="3"/>
  <c r="Q106" i="3"/>
  <c r="K106" i="3"/>
  <c r="H106" i="3"/>
  <c r="F106" i="3"/>
  <c r="K105" i="3"/>
  <c r="H105" i="3"/>
  <c r="F105" i="3"/>
  <c r="K104" i="3"/>
  <c r="H104" i="3"/>
  <c r="F104" i="3"/>
  <c r="K103" i="3"/>
  <c r="H103" i="3"/>
  <c r="F103" i="3"/>
  <c r="K102" i="3"/>
  <c r="H102" i="3"/>
  <c r="F102" i="3"/>
  <c r="K101" i="3"/>
  <c r="H101" i="3"/>
  <c r="F101" i="3"/>
  <c r="K100" i="3"/>
  <c r="H100" i="3"/>
  <c r="F100" i="3"/>
  <c r="K99" i="3"/>
  <c r="H99" i="3"/>
  <c r="F99" i="3"/>
  <c r="K98" i="3"/>
  <c r="H98" i="3"/>
  <c r="F98" i="3"/>
  <c r="K97" i="3"/>
  <c r="H97" i="3"/>
  <c r="F97" i="3"/>
  <c r="K96" i="3"/>
  <c r="H96" i="3"/>
  <c r="F96" i="3"/>
  <c r="K95" i="3"/>
  <c r="H95" i="3"/>
  <c r="F95" i="3"/>
  <c r="K94" i="3"/>
  <c r="H94" i="3"/>
  <c r="F94" i="3"/>
  <c r="K93" i="3"/>
  <c r="H93" i="3"/>
  <c r="F93" i="3"/>
  <c r="K92" i="3"/>
  <c r="H92" i="3"/>
  <c r="F92" i="3"/>
  <c r="K91" i="3"/>
  <c r="H91" i="3"/>
  <c r="F91" i="3"/>
  <c r="K90" i="3"/>
  <c r="H90" i="3"/>
  <c r="F90" i="3"/>
  <c r="K89" i="3"/>
  <c r="H89" i="3"/>
  <c r="F89" i="3"/>
  <c r="K88" i="3"/>
  <c r="H88" i="3"/>
  <c r="F88" i="3"/>
  <c r="K87" i="3"/>
  <c r="H87" i="3"/>
  <c r="F87" i="3"/>
  <c r="K86" i="3"/>
  <c r="H86" i="3"/>
  <c r="F86" i="3"/>
  <c r="K85" i="3"/>
  <c r="H85" i="3"/>
  <c r="F85" i="3"/>
  <c r="K84" i="3"/>
  <c r="H84" i="3"/>
  <c r="F84" i="3"/>
  <c r="K83" i="3"/>
  <c r="H83" i="3"/>
  <c r="F83" i="3"/>
  <c r="K82" i="3"/>
  <c r="H82" i="3"/>
  <c r="F82" i="3"/>
  <c r="K81" i="3"/>
  <c r="H81" i="3"/>
  <c r="F81" i="3"/>
  <c r="K80" i="3"/>
  <c r="H80" i="3"/>
  <c r="F80" i="3"/>
  <c r="K79" i="3"/>
  <c r="H79" i="3"/>
  <c r="F79" i="3"/>
  <c r="K78" i="3"/>
  <c r="H78" i="3"/>
  <c r="F78" i="3"/>
  <c r="K77" i="3"/>
  <c r="H77" i="3"/>
  <c r="F77" i="3"/>
  <c r="K76" i="3"/>
  <c r="H76" i="3"/>
  <c r="F76" i="3"/>
  <c r="Q75" i="3"/>
  <c r="K75" i="3"/>
  <c r="H75" i="3"/>
  <c r="F75" i="3"/>
  <c r="Q74" i="3"/>
  <c r="K74" i="3"/>
  <c r="H74" i="3"/>
  <c r="F74" i="3"/>
  <c r="K73" i="3"/>
  <c r="H73" i="3"/>
  <c r="F73" i="3"/>
  <c r="K72" i="3"/>
  <c r="H72" i="3"/>
  <c r="F72" i="3"/>
  <c r="K71" i="3"/>
  <c r="H71" i="3"/>
  <c r="F71" i="3"/>
  <c r="K70" i="3"/>
  <c r="H70" i="3"/>
  <c r="F70" i="3"/>
  <c r="K69" i="3"/>
  <c r="H69" i="3"/>
  <c r="F69" i="3"/>
  <c r="K68" i="3"/>
  <c r="H68" i="3"/>
  <c r="F68" i="3"/>
  <c r="K67" i="3"/>
  <c r="H67" i="3"/>
  <c r="F67" i="3"/>
  <c r="K66" i="3"/>
  <c r="H66" i="3"/>
  <c r="F66" i="3"/>
  <c r="K65" i="3"/>
  <c r="H65" i="3"/>
  <c r="F65" i="3"/>
  <c r="K64" i="3"/>
  <c r="H64" i="3"/>
  <c r="F64" i="3"/>
  <c r="K63" i="3"/>
  <c r="H63" i="3"/>
  <c r="F63" i="3"/>
  <c r="K62" i="3"/>
  <c r="H62" i="3"/>
  <c r="F62" i="3"/>
  <c r="K61" i="3"/>
  <c r="G28" i="7" s="1"/>
  <c r="H61" i="3"/>
  <c r="F61" i="3"/>
  <c r="K60" i="3"/>
  <c r="H60" i="3"/>
  <c r="F60" i="3"/>
  <c r="K59" i="3"/>
  <c r="H59" i="3"/>
  <c r="F59" i="3"/>
  <c r="K58" i="3"/>
  <c r="H58" i="3"/>
  <c r="F58" i="3"/>
  <c r="K57" i="3"/>
  <c r="H57" i="3"/>
  <c r="F57" i="3"/>
  <c r="K56" i="3"/>
  <c r="H56" i="3"/>
  <c r="F56" i="3"/>
  <c r="K55" i="3"/>
  <c r="H55" i="3"/>
  <c r="F55" i="3"/>
  <c r="K54" i="3"/>
  <c r="H54" i="3"/>
  <c r="F54" i="3"/>
  <c r="K53" i="3"/>
  <c r="H53" i="3"/>
  <c r="F53" i="3"/>
  <c r="K52" i="3"/>
  <c r="W7" i="7" s="1"/>
  <c r="H52" i="3"/>
  <c r="F52" i="3"/>
  <c r="K51" i="3"/>
  <c r="H51" i="3"/>
  <c r="F51" i="3"/>
  <c r="K50" i="3"/>
  <c r="H50" i="3"/>
  <c r="F50" i="3"/>
  <c r="K49" i="3"/>
  <c r="H49" i="3"/>
  <c r="F49" i="3"/>
  <c r="K48" i="3"/>
  <c r="H48" i="3"/>
  <c r="F48" i="3"/>
  <c r="K47" i="3"/>
  <c r="H47" i="3"/>
  <c r="F47" i="3"/>
  <c r="K46" i="3"/>
  <c r="H46" i="3"/>
  <c r="F46" i="3"/>
  <c r="K45" i="3"/>
  <c r="H45" i="3"/>
  <c r="F45" i="3"/>
  <c r="K44" i="3"/>
  <c r="H44" i="3"/>
  <c r="F44" i="3"/>
  <c r="K43" i="3"/>
  <c r="D28" i="7" s="1"/>
  <c r="H43" i="3"/>
  <c r="F43" i="3"/>
  <c r="K42" i="3"/>
  <c r="H42" i="3"/>
  <c r="F42" i="3"/>
  <c r="K41" i="3"/>
  <c r="H41" i="3"/>
  <c r="F41" i="3"/>
  <c r="K40" i="3"/>
  <c r="H40" i="3"/>
  <c r="F40" i="3"/>
  <c r="K39" i="3"/>
  <c r="H39" i="3"/>
  <c r="F39" i="3"/>
  <c r="K38" i="3"/>
  <c r="H38" i="3"/>
  <c r="F38" i="3"/>
  <c r="K37" i="3"/>
  <c r="H37" i="3"/>
  <c r="F37" i="3"/>
  <c r="K36" i="3"/>
  <c r="H36" i="3"/>
  <c r="F36" i="3"/>
  <c r="K35" i="3"/>
  <c r="H35" i="3"/>
  <c r="F35" i="3"/>
  <c r="K34" i="3"/>
  <c r="H34" i="3"/>
  <c r="F34" i="3"/>
  <c r="K33" i="3"/>
  <c r="H15" i="7" s="1"/>
  <c r="H33" i="3"/>
  <c r="F33" i="3"/>
  <c r="K32" i="3"/>
  <c r="F20" i="7" s="1"/>
  <c r="H32" i="3"/>
  <c r="F32" i="3"/>
  <c r="K31" i="3"/>
  <c r="H31" i="3"/>
  <c r="F31" i="3"/>
  <c r="K30" i="3"/>
  <c r="H30" i="3"/>
  <c r="F30" i="3"/>
  <c r="K29" i="3"/>
  <c r="H29" i="3"/>
  <c r="F29" i="3"/>
  <c r="K28" i="3"/>
  <c r="H28" i="3"/>
  <c r="F28" i="3"/>
  <c r="K27" i="3"/>
  <c r="H27" i="3"/>
  <c r="F27" i="3"/>
  <c r="K26" i="3"/>
  <c r="H26" i="3"/>
  <c r="F26" i="3"/>
  <c r="K25" i="3"/>
  <c r="H25" i="3"/>
  <c r="F25" i="3"/>
  <c r="K24" i="3"/>
  <c r="H24" i="3"/>
  <c r="F24" i="3"/>
  <c r="K23" i="3"/>
  <c r="H23" i="3"/>
  <c r="F23" i="3"/>
  <c r="K22" i="3"/>
  <c r="H22" i="3"/>
  <c r="F22" i="3"/>
  <c r="Q21" i="3"/>
  <c r="K21" i="3"/>
  <c r="H21" i="3"/>
  <c r="F21" i="3"/>
  <c r="Q20" i="3"/>
  <c r="K20" i="3"/>
  <c r="H20" i="3"/>
  <c r="F20" i="3"/>
  <c r="R19" i="3"/>
  <c r="Q19" i="3"/>
  <c r="K19" i="3"/>
  <c r="H19" i="3"/>
  <c r="F19" i="3"/>
  <c r="Q18" i="3"/>
  <c r="K18" i="3"/>
  <c r="H18" i="3"/>
  <c r="F18" i="3"/>
  <c r="R17" i="3"/>
  <c r="Q17" i="3"/>
  <c r="K17" i="3"/>
  <c r="H17" i="3"/>
  <c r="F17" i="3"/>
  <c r="K16" i="3"/>
  <c r="H16" i="3"/>
  <c r="E16" i="2" s="1"/>
  <c r="F16" i="3"/>
  <c r="K15" i="3"/>
  <c r="H15" i="3"/>
  <c r="F15" i="3"/>
  <c r="K14" i="3"/>
  <c r="H14" i="3"/>
  <c r="F14" i="3"/>
  <c r="K13" i="3"/>
  <c r="H13" i="3"/>
  <c r="F13" i="3"/>
  <c r="K12" i="3"/>
  <c r="H12" i="3"/>
  <c r="F12" i="3"/>
  <c r="K11" i="3"/>
  <c r="H11" i="3"/>
  <c r="F11" i="3"/>
  <c r="K10" i="3"/>
  <c r="H10" i="3"/>
  <c r="F10" i="3"/>
  <c r="K9" i="3"/>
  <c r="H9" i="3"/>
  <c r="F9" i="3"/>
  <c r="K8" i="3"/>
  <c r="H8" i="3"/>
  <c r="F8" i="3"/>
  <c r="K7" i="3"/>
  <c r="H7" i="3"/>
  <c r="D6" i="2" s="1"/>
  <c r="F7" i="3"/>
  <c r="E32" i="2" s="1"/>
  <c r="Q6" i="3"/>
  <c r="K6" i="3"/>
  <c r="H6" i="3"/>
  <c r="F6" i="3"/>
  <c r="Q5" i="3"/>
  <c r="K5" i="3"/>
  <c r="H5" i="3"/>
  <c r="F5" i="3"/>
  <c r="K4" i="3"/>
  <c r="H4" i="3"/>
  <c r="F4" i="3"/>
  <c r="Q40" i="3" s="1"/>
  <c r="K3" i="3"/>
  <c r="H3" i="3"/>
  <c r="F3" i="3"/>
  <c r="K2" i="3"/>
  <c r="H2" i="3"/>
  <c r="F2" i="3"/>
  <c r="E47" i="2"/>
  <c r="C47" i="2"/>
  <c r="D47" i="2" s="1"/>
  <c r="E46" i="2"/>
  <c r="C46" i="2"/>
  <c r="D46" i="2" s="1"/>
  <c r="E45" i="2"/>
  <c r="D45" i="2"/>
  <c r="C45" i="2"/>
  <c r="E44" i="2"/>
  <c r="D44" i="2"/>
  <c r="C44" i="2"/>
  <c r="E43" i="2"/>
  <c r="C43" i="2"/>
  <c r="D43" i="2" s="1"/>
  <c r="E42" i="2"/>
  <c r="C42" i="2"/>
  <c r="D42" i="2" s="1"/>
  <c r="E41" i="2"/>
  <c r="C41" i="2"/>
  <c r="D41" i="2" s="1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C36" i="2"/>
  <c r="D36" i="2" s="1"/>
  <c r="E24" i="2"/>
  <c r="C24" i="2"/>
  <c r="D24" i="2" s="1"/>
  <c r="D23" i="2"/>
  <c r="C23" i="2"/>
  <c r="D22" i="2"/>
  <c r="C22" i="2"/>
  <c r="D21" i="2"/>
  <c r="C21" i="2"/>
  <c r="D20" i="2"/>
  <c r="C20" i="2"/>
  <c r="C16" i="2"/>
  <c r="D15" i="2"/>
  <c r="C15" i="2"/>
  <c r="E11" i="2"/>
  <c r="D11" i="2"/>
  <c r="C11" i="2"/>
  <c r="E10" i="2"/>
  <c r="C10" i="2"/>
  <c r="D10" i="2" s="1"/>
  <c r="B6" i="2"/>
  <c r="D16" i="2" s="1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AX52" i="4"/>
  <c r="AW52" i="4"/>
  <c r="AV52" i="4"/>
  <c r="AU52" i="4"/>
  <c r="AS52" i="4"/>
  <c r="AR52" i="4"/>
  <c r="AR49" i="4" s="1"/>
  <c r="AI52" i="4"/>
  <c r="AH52" i="4"/>
  <c r="AG52" i="4"/>
  <c r="AF52" i="4"/>
  <c r="AE52" i="4"/>
  <c r="AD52" i="4"/>
  <c r="AC52" i="4"/>
  <c r="AB52" i="4"/>
  <c r="AA52" i="4"/>
  <c r="U52" i="4"/>
  <c r="T52" i="4"/>
  <c r="S52" i="4"/>
  <c r="R52" i="4"/>
  <c r="Q52" i="4"/>
  <c r="AX51" i="4"/>
  <c r="AW51" i="4"/>
  <c r="AW49" i="4" s="1"/>
  <c r="AU51" i="4"/>
  <c r="AU49" i="4" s="1"/>
  <c r="AR51" i="4"/>
  <c r="AN51" i="4"/>
  <c r="AM51" i="4"/>
  <c r="AL51" i="4"/>
  <c r="AJ51" i="4"/>
  <c r="AI51" i="4"/>
  <c r="AG51" i="4"/>
  <c r="AF51" i="4"/>
  <c r="AD51" i="4"/>
  <c r="Z51" i="4"/>
  <c r="U51" i="4"/>
  <c r="S51" i="4"/>
  <c r="R51" i="4"/>
  <c r="Q51" i="4"/>
  <c r="AW50" i="4"/>
  <c r="AV50" i="4"/>
  <c r="AU50" i="4"/>
  <c r="AT50" i="4"/>
  <c r="AS50" i="4"/>
  <c r="AR50" i="4"/>
  <c r="AN50" i="4"/>
  <c r="AL50" i="4"/>
  <c r="AL49" i="4" s="1"/>
  <c r="AI50" i="4"/>
  <c r="AH50" i="4"/>
  <c r="AF50" i="4"/>
  <c r="AE50" i="4"/>
  <c r="AD50" i="4"/>
  <c r="AC50" i="4"/>
  <c r="Z50" i="4"/>
  <c r="U50" i="4"/>
  <c r="T50" i="4"/>
  <c r="Q50" i="4"/>
  <c r="AI49" i="4"/>
  <c r="AH49" i="4"/>
  <c r="AF49" i="4"/>
  <c r="AE49" i="4"/>
  <c r="Z49" i="4"/>
  <c r="U49" i="4"/>
  <c r="T49" i="4"/>
  <c r="S49" i="4"/>
  <c r="Q49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O52" i="4" s="1"/>
  <c r="AN44" i="4"/>
  <c r="AN52" i="4" s="1"/>
  <c r="AM44" i="4"/>
  <c r="AM52" i="4" s="1"/>
  <c r="AL44" i="4"/>
  <c r="AL52" i="4" s="1"/>
  <c r="AK44" i="4"/>
  <c r="AJ44" i="4"/>
  <c r="AI44" i="4"/>
  <c r="AH44" i="4"/>
  <c r="AH51" i="4" s="1"/>
  <c r="AG44" i="4"/>
  <c r="AG50" i="4" s="1"/>
  <c r="AF44" i="4"/>
  <c r="AE44" i="4"/>
  <c r="AE51" i="4" s="1"/>
  <c r="AD44" i="4"/>
  <c r="AC44" i="4"/>
  <c r="AB44" i="4"/>
  <c r="AB49" i="4" s="1"/>
  <c r="AA44" i="4"/>
  <c r="AA49" i="4" s="1"/>
  <c r="Z44" i="4"/>
  <c r="Y44" i="4"/>
  <c r="Y49" i="4" s="1"/>
  <c r="X44" i="4"/>
  <c r="X49" i="4" s="1"/>
  <c r="W44" i="4"/>
  <c r="W49" i="4" s="1"/>
  <c r="V44" i="4"/>
  <c r="V49" i="4" s="1"/>
  <c r="U44" i="4"/>
  <c r="T44" i="4"/>
  <c r="S44" i="4"/>
  <c r="R44" i="4"/>
  <c r="R49" i="4" s="1"/>
  <c r="Q44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AA30" i="4" s="1"/>
  <c r="Z37" i="4"/>
  <c r="Y37" i="4"/>
  <c r="X37" i="4"/>
  <c r="W37" i="4"/>
  <c r="V37" i="4"/>
  <c r="V30" i="4" s="1"/>
  <c r="V28" i="4" s="1"/>
  <c r="U37" i="4"/>
  <c r="T37" i="4"/>
  <c r="S37" i="4"/>
  <c r="R37" i="4"/>
  <c r="Q37" i="4"/>
  <c r="Q30" i="4" s="1"/>
  <c r="P37" i="4"/>
  <c r="P30" i="4" s="1"/>
  <c r="O37" i="4"/>
  <c r="N37" i="4"/>
  <c r="M37" i="4"/>
  <c r="M30" i="4" s="1"/>
  <c r="L37" i="4"/>
  <c r="L30" i="4" s="1"/>
  <c r="K37" i="4"/>
  <c r="J37" i="4"/>
  <c r="I37" i="4"/>
  <c r="H37" i="4"/>
  <c r="H30" i="4" s="1"/>
  <c r="H28" i="4" s="1"/>
  <c r="G37" i="4"/>
  <c r="G30" i="4" s="1"/>
  <c r="G28" i="4" s="1"/>
  <c r="F37" i="4"/>
  <c r="E37" i="4"/>
  <c r="E30" i="4" s="1"/>
  <c r="AJ35" i="4"/>
  <c r="AJ32" i="4" s="1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I32" i="4"/>
  <c r="AH32" i="4"/>
  <c r="AG32" i="4"/>
  <c r="AF32" i="4"/>
  <c r="AE32" i="4"/>
  <c r="AD32" i="4"/>
  <c r="AC32" i="4"/>
  <c r="AB32" i="4"/>
  <c r="AA32" i="4"/>
  <c r="AA29" i="4" s="1"/>
  <c r="AA28" i="4" s="1"/>
  <c r="Z32" i="4"/>
  <c r="Z29" i="4" s="1"/>
  <c r="Z28" i="4" s="1"/>
  <c r="Y32" i="4"/>
  <c r="Y29" i="4" s="1"/>
  <c r="X32" i="4"/>
  <c r="X29" i="4" s="1"/>
  <c r="W32" i="4"/>
  <c r="W29" i="4" s="1"/>
  <c r="W28" i="4" s="1"/>
  <c r="V32" i="4"/>
  <c r="U32" i="4"/>
  <c r="T32" i="4"/>
  <c r="S32" i="4"/>
  <c r="R32" i="4"/>
  <c r="Q32" i="4"/>
  <c r="P32" i="4"/>
  <c r="O32" i="4"/>
  <c r="O29" i="4" s="1"/>
  <c r="O28" i="4" s="1"/>
  <c r="N32" i="4"/>
  <c r="N29" i="4" s="1"/>
  <c r="N28" i="4" s="1"/>
  <c r="M32" i="4"/>
  <c r="L32" i="4"/>
  <c r="L29" i="4" s="1"/>
  <c r="L28" i="4" s="1"/>
  <c r="K32" i="4"/>
  <c r="K29" i="4" s="1"/>
  <c r="K28" i="4" s="1"/>
  <c r="J32" i="4"/>
  <c r="J29" i="4" s="1"/>
  <c r="I32" i="4"/>
  <c r="I29" i="4" s="1"/>
  <c r="I28" i="4" s="1"/>
  <c r="H32" i="4"/>
  <c r="G32" i="4"/>
  <c r="F32" i="4"/>
  <c r="E32" i="4"/>
  <c r="AB30" i="4"/>
  <c r="Z30" i="4"/>
  <c r="Y30" i="4"/>
  <c r="X30" i="4"/>
  <c r="X28" i="4" s="1"/>
  <c r="W30" i="4"/>
  <c r="U30" i="4"/>
  <c r="T30" i="4"/>
  <c r="T28" i="4" s="1"/>
  <c r="S30" i="4"/>
  <c r="R30" i="4"/>
  <c r="O30" i="4"/>
  <c r="N30" i="4"/>
  <c r="K30" i="4"/>
  <c r="J30" i="4"/>
  <c r="I30" i="4"/>
  <c r="F30" i="4"/>
  <c r="AJ29" i="4"/>
  <c r="AJ28" i="4" s="1"/>
  <c r="AB29" i="4"/>
  <c r="AB28" i="4" s="1"/>
  <c r="V29" i="4"/>
  <c r="U29" i="4"/>
  <c r="U28" i="4" s="1"/>
  <c r="T29" i="4"/>
  <c r="S29" i="4"/>
  <c r="R29" i="4"/>
  <c r="R28" i="4" s="1"/>
  <c r="Q29" i="4"/>
  <c r="P29" i="4"/>
  <c r="P28" i="4" s="1"/>
  <c r="M29" i="4"/>
  <c r="M28" i="4" s="1"/>
  <c r="H29" i="4"/>
  <c r="G29" i="4"/>
  <c r="F29" i="4"/>
  <c r="F28" i="4" s="1"/>
  <c r="E29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I28" i="4"/>
  <c r="AH28" i="4"/>
  <c r="AG28" i="4"/>
  <c r="AF28" i="4"/>
  <c r="AE28" i="4"/>
  <c r="AD28" i="4"/>
  <c r="AC28" i="4"/>
  <c r="Y28" i="4"/>
  <c r="S28" i="4"/>
  <c r="J28" i="4"/>
  <c r="AW26" i="4"/>
  <c r="AP26" i="4"/>
  <c r="AO26" i="4"/>
  <c r="AI26" i="4"/>
  <c r="AF26" i="4"/>
  <c r="AE26" i="4"/>
  <c r="AB26" i="4"/>
  <c r="AA26" i="4"/>
  <c r="Z26" i="4"/>
  <c r="U26" i="4"/>
  <c r="U23" i="4" s="1"/>
  <c r="T26" i="4"/>
  <c r="Q26" i="4"/>
  <c r="M26" i="4"/>
  <c r="L26" i="4"/>
  <c r="G26" i="4"/>
  <c r="F26" i="4"/>
  <c r="E26" i="4"/>
  <c r="AW25" i="4"/>
  <c r="AV25" i="4"/>
  <c r="AU25" i="4"/>
  <c r="AT25" i="4"/>
  <c r="AS25" i="4"/>
  <c r="AS23" i="4" s="1"/>
  <c r="AR25" i="4"/>
  <c r="AN25" i="4"/>
  <c r="AI25" i="4"/>
  <c r="AH25" i="4"/>
  <c r="AF25" i="4"/>
  <c r="AF23" i="4" s="1"/>
  <c r="AE25" i="4"/>
  <c r="AE23" i="4" s="1"/>
  <c r="Z25" i="4"/>
  <c r="U25" i="4"/>
  <c r="T25" i="4"/>
  <c r="Q25" i="4"/>
  <c r="M25" i="4"/>
  <c r="H25" i="4"/>
  <c r="G25" i="4"/>
  <c r="AX24" i="4"/>
  <c r="AW24" i="4"/>
  <c r="AW23" i="4" s="1"/>
  <c r="AU24" i="4"/>
  <c r="AU23" i="4" s="1"/>
  <c r="AT24" i="4"/>
  <c r="AS24" i="4"/>
  <c r="AP24" i="4"/>
  <c r="AO24" i="4"/>
  <c r="AI24" i="4"/>
  <c r="AG24" i="4"/>
  <c r="AF24" i="4"/>
  <c r="AE24" i="4"/>
  <c r="AB24" i="4"/>
  <c r="AA24" i="4"/>
  <c r="Z24" i="4"/>
  <c r="Z23" i="4" s="1"/>
  <c r="U24" i="4"/>
  <c r="S24" i="4"/>
  <c r="R24" i="4"/>
  <c r="Q24" i="4"/>
  <c r="Q23" i="4" s="1"/>
  <c r="N24" i="4"/>
  <c r="M24" i="4"/>
  <c r="L24" i="4"/>
  <c r="L23" i="4" s="1"/>
  <c r="G24" i="4"/>
  <c r="AI23" i="4"/>
  <c r="G23" i="4"/>
  <c r="AK21" i="4"/>
  <c r="AJ21" i="4"/>
  <c r="AK19" i="4"/>
  <c r="AK18" i="4" s="1"/>
  <c r="AZ18" i="4"/>
  <c r="AY18" i="4"/>
  <c r="AX18" i="4"/>
  <c r="AW18" i="4"/>
  <c r="AV18" i="4"/>
  <c r="AU18" i="4"/>
  <c r="AU26" i="4" s="1"/>
  <c r="AT18" i="4"/>
  <c r="AT52" i="4" s="1"/>
  <c r="AS18" i="4"/>
  <c r="AS26" i="4" s="1"/>
  <c r="AR18" i="4"/>
  <c r="AR24" i="4" s="1"/>
  <c r="AQ18" i="4"/>
  <c r="AQ25" i="4" s="1"/>
  <c r="AP18" i="4"/>
  <c r="AP25" i="4" s="1"/>
  <c r="AO18" i="4"/>
  <c r="AO25" i="4" s="1"/>
  <c r="AN18" i="4"/>
  <c r="AN26" i="4" s="1"/>
  <c r="AM18" i="4"/>
  <c r="AM24" i="4" s="1"/>
  <c r="AL18" i="4"/>
  <c r="AL24" i="4" s="1"/>
  <c r="AJ18" i="4"/>
  <c r="AI18" i="4"/>
  <c r="AH18" i="4"/>
  <c r="AH24" i="4" s="1"/>
  <c r="AG18" i="4"/>
  <c r="AG25" i="4" s="1"/>
  <c r="AF18" i="4"/>
  <c r="AE18" i="4"/>
  <c r="AD18" i="4"/>
  <c r="AD49" i="4" s="1"/>
  <c r="AC18" i="4"/>
  <c r="AC49" i="4" s="1"/>
  <c r="AB18" i="4"/>
  <c r="AA18" i="4"/>
  <c r="Z18" i="4"/>
  <c r="Z52" i="4" s="1"/>
  <c r="Y18" i="4"/>
  <c r="Y25" i="4" s="1"/>
  <c r="X18" i="4"/>
  <c r="X51" i="4" s="1"/>
  <c r="W18" i="4"/>
  <c r="V18" i="4"/>
  <c r="U18" i="4"/>
  <c r="T18" i="4"/>
  <c r="S18" i="4"/>
  <c r="S26" i="4" s="1"/>
  <c r="R18" i="4"/>
  <c r="R50" i="4" s="1"/>
  <c r="Q18" i="4"/>
  <c r="B5" i="6" s="1"/>
  <c r="P18" i="4"/>
  <c r="P26" i="4" s="1"/>
  <c r="O18" i="4"/>
  <c r="O25" i="4" s="1"/>
  <c r="N18" i="4"/>
  <c r="N25" i="4" s="1"/>
  <c r="M18" i="4"/>
  <c r="L18" i="4"/>
  <c r="L25" i="4" s="1"/>
  <c r="K18" i="4"/>
  <c r="K26" i="4" s="1"/>
  <c r="J18" i="4"/>
  <c r="I18" i="4"/>
  <c r="I24" i="4" s="1"/>
  <c r="H18" i="4"/>
  <c r="G18" i="4"/>
  <c r="F18" i="4"/>
  <c r="F24" i="4" s="1"/>
  <c r="E18" i="4"/>
  <c r="E24" i="4" s="1"/>
  <c r="AC11" i="4"/>
  <c r="P11" i="4"/>
  <c r="O11" i="4"/>
  <c r="N11" i="4"/>
  <c r="M11" i="4"/>
  <c r="L11" i="4"/>
  <c r="K11" i="4"/>
  <c r="J11" i="4"/>
  <c r="I11" i="4"/>
  <c r="H11" i="4"/>
  <c r="G11" i="4"/>
  <c r="F11" i="4"/>
  <c r="E11" i="4"/>
  <c r="P9" i="4"/>
  <c r="O9" i="4"/>
  <c r="N9" i="4"/>
  <c r="M9" i="4"/>
  <c r="L9" i="4"/>
  <c r="K9" i="4"/>
  <c r="J9" i="4"/>
  <c r="I9" i="4"/>
  <c r="H9" i="4"/>
  <c r="G9" i="4"/>
  <c r="F9" i="4"/>
  <c r="E9" i="4"/>
  <c r="AC8" i="4"/>
  <c r="AC7" i="4"/>
  <c r="R7" i="4"/>
  <c r="Q7" i="4"/>
  <c r="AD6" i="4"/>
  <c r="AD7" i="4" s="1"/>
  <c r="F20" i="6" l="1"/>
  <c r="F13" i="6"/>
  <c r="E11" i="6"/>
  <c r="E17" i="6"/>
  <c r="P16" i="7"/>
  <c r="E7" i="6"/>
  <c r="F8" i="6"/>
  <c r="E18" i="6"/>
  <c r="T6" i="7"/>
  <c r="E19" i="6"/>
  <c r="E18" i="7"/>
  <c r="I19" i="7"/>
  <c r="F30" i="6"/>
  <c r="S124" i="3"/>
  <c r="AD11" i="4"/>
  <c r="AD9" i="4"/>
  <c r="AE6" i="4"/>
  <c r="AE7" i="4" s="1"/>
  <c r="AD8" i="4"/>
  <c r="AK25" i="4"/>
  <c r="AK26" i="4"/>
  <c r="E28" i="4"/>
  <c r="AR23" i="4"/>
  <c r="R8" i="4"/>
  <c r="S6" i="4"/>
  <c r="J26" i="4"/>
  <c r="J24" i="4"/>
  <c r="Q8" i="4"/>
  <c r="R6" i="4"/>
  <c r="R9" i="4"/>
  <c r="W52" i="4"/>
  <c r="W24" i="4"/>
  <c r="AY52" i="4"/>
  <c r="AY24" i="4"/>
  <c r="AY23" i="4" s="1"/>
  <c r="AY50" i="4"/>
  <c r="AY25" i="4"/>
  <c r="W25" i="4"/>
  <c r="AM26" i="4"/>
  <c r="U13" i="7"/>
  <c r="T13" i="7"/>
  <c r="S13" i="7"/>
  <c r="Q13" i="7"/>
  <c r="L13" i="7"/>
  <c r="G13" i="7"/>
  <c r="F13" i="7"/>
  <c r="D13" i="7"/>
  <c r="P13" i="7"/>
  <c r="O13" i="7"/>
  <c r="E13" i="7"/>
  <c r="R35" i="3"/>
  <c r="I23" i="7"/>
  <c r="F9" i="6"/>
  <c r="E9" i="6"/>
  <c r="AZ51" i="4"/>
  <c r="AZ50" i="4"/>
  <c r="AZ25" i="4"/>
  <c r="AZ52" i="4"/>
  <c r="AZ24" i="4"/>
  <c r="C28" i="2"/>
  <c r="D28" i="2" s="1"/>
  <c r="J25" i="7"/>
  <c r="Q44" i="3"/>
  <c r="G19" i="7"/>
  <c r="E19" i="7"/>
  <c r="W10" i="7"/>
  <c r="J10" i="7"/>
  <c r="S7" i="4"/>
  <c r="R75" i="3"/>
  <c r="AC25" i="4"/>
  <c r="AR26" i="4"/>
  <c r="AQ50" i="4"/>
  <c r="AQ51" i="4"/>
  <c r="AO51" i="4"/>
  <c r="E28" i="2"/>
  <c r="L10" i="7"/>
  <c r="Q32" i="3"/>
  <c r="D12" i="7"/>
  <c r="X12" i="7"/>
  <c r="L12" i="7"/>
  <c r="J12" i="7"/>
  <c r="AC24" i="4"/>
  <c r="W26" i="4"/>
  <c r="AQ26" i="4"/>
  <c r="AP50" i="4"/>
  <c r="AP51" i="4"/>
  <c r="H29" i="7"/>
  <c r="G29" i="7"/>
  <c r="D29" i="7"/>
  <c r="S32" i="3"/>
  <c r="Q11" i="4"/>
  <c r="AA51" i="4"/>
  <c r="AA50" i="4"/>
  <c r="AA25" i="4"/>
  <c r="X26" i="4"/>
  <c r="T123" i="3"/>
  <c r="AC51" i="4"/>
  <c r="E30" i="2"/>
  <c r="C30" i="2"/>
  <c r="D30" i="2" s="1"/>
  <c r="S35" i="3"/>
  <c r="E29" i="2"/>
  <c r="C29" i="2"/>
  <c r="D29" i="2" s="1"/>
  <c r="C32" i="2"/>
  <c r="D32" i="2" s="1"/>
  <c r="Q43" i="3"/>
  <c r="R36" i="3"/>
  <c r="E31" i="2"/>
  <c r="Q36" i="3"/>
  <c r="C31" i="2"/>
  <c r="D31" i="2" s="1"/>
  <c r="D26" i="7"/>
  <c r="I26" i="7"/>
  <c r="R11" i="4"/>
  <c r="AB50" i="4"/>
  <c r="AB25" i="4"/>
  <c r="AB51" i="4"/>
  <c r="K24" i="4"/>
  <c r="I25" i="4"/>
  <c r="I23" i="4" s="1"/>
  <c r="AD25" i="4"/>
  <c r="R5" i="3"/>
  <c r="E21" i="2"/>
  <c r="E15" i="2"/>
  <c r="R74" i="3"/>
  <c r="I21" i="7"/>
  <c r="R11" i="7"/>
  <c r="D11" i="7"/>
  <c r="P11" i="7"/>
  <c r="V11" i="7"/>
  <c r="H11" i="7"/>
  <c r="S11" i="7"/>
  <c r="E11" i="7"/>
  <c r="W11" i="7"/>
  <c r="U11" i="7"/>
  <c r="T11" i="7"/>
  <c r="O11" i="7"/>
  <c r="M11" i="7"/>
  <c r="I11" i="7"/>
  <c r="G11" i="7"/>
  <c r="Z11" i="7"/>
  <c r="F11" i="7"/>
  <c r="X11" i="7"/>
  <c r="Y11" i="7"/>
  <c r="N11" i="7"/>
  <c r="L11" i="7"/>
  <c r="K11" i="7"/>
  <c r="J11" i="7"/>
  <c r="S123" i="3"/>
  <c r="F31" i="6"/>
  <c r="E31" i="6"/>
  <c r="C6" i="2"/>
  <c r="E20" i="2"/>
  <c r="R17" i="7"/>
  <c r="AD33" i="7"/>
  <c r="P33" i="7"/>
  <c r="AC33" i="7"/>
  <c r="O33" i="7"/>
  <c r="AA33" i="7"/>
  <c r="M33" i="7"/>
  <c r="B33" i="7"/>
  <c r="S33" i="7"/>
  <c r="S5" i="7"/>
  <c r="Q33" i="7"/>
  <c r="Q5" i="7"/>
  <c r="N33" i="7"/>
  <c r="I5" i="7"/>
  <c r="E33" i="7"/>
  <c r="V5" i="7"/>
  <c r="T5" i="7"/>
  <c r="M13" i="7"/>
  <c r="W9" i="7"/>
  <c r="D9" i="7"/>
  <c r="U9" i="7"/>
  <c r="AB9" i="7"/>
  <c r="T9" i="7"/>
  <c r="G9" i="7"/>
  <c r="F9" i="7"/>
  <c r="M23" i="4"/>
  <c r="AO23" i="4"/>
  <c r="AN49" i="4"/>
  <c r="R20" i="3"/>
  <c r="E21" i="6"/>
  <c r="F21" i="6"/>
  <c r="AK8" i="7"/>
  <c r="W8" i="7"/>
  <c r="I8" i="7"/>
  <c r="AJ8" i="7"/>
  <c r="V8" i="7"/>
  <c r="H8" i="7"/>
  <c r="AI8" i="7"/>
  <c r="U8" i="7"/>
  <c r="G8" i="7"/>
  <c r="AA8" i="7"/>
  <c r="M8" i="7"/>
  <c r="AL8" i="7"/>
  <c r="X8" i="7"/>
  <c r="J8" i="7"/>
  <c r="AH8" i="7"/>
  <c r="O8" i="7"/>
  <c r="AG8" i="7"/>
  <c r="N8" i="7"/>
  <c r="AF8" i="7"/>
  <c r="L8" i="7"/>
  <c r="AE8" i="7"/>
  <c r="K8" i="7"/>
  <c r="AC8" i="7"/>
  <c r="E8" i="7"/>
  <c r="T8" i="7"/>
  <c r="S8" i="7"/>
  <c r="R8" i="7"/>
  <c r="AM8" i="7"/>
  <c r="P8" i="7"/>
  <c r="Y8" i="7"/>
  <c r="Q8" i="7"/>
  <c r="F8" i="7"/>
  <c r="D8" i="7"/>
  <c r="AN8" i="7"/>
  <c r="AB8" i="7"/>
  <c r="AD8" i="7"/>
  <c r="Z8" i="7"/>
  <c r="R13" i="7"/>
  <c r="O20" i="7"/>
  <c r="G20" i="7"/>
  <c r="D20" i="7"/>
  <c r="N20" i="7"/>
  <c r="M20" i="7"/>
  <c r="L20" i="7"/>
  <c r="J20" i="7"/>
  <c r="E20" i="7"/>
  <c r="K20" i="7"/>
  <c r="I20" i="7"/>
  <c r="H20" i="7"/>
  <c r="Y26" i="4"/>
  <c r="Y52" i="4"/>
  <c r="Y24" i="4"/>
  <c r="J25" i="4"/>
  <c r="AY26" i="4"/>
  <c r="W51" i="4"/>
  <c r="D22" i="7"/>
  <c r="N22" i="7"/>
  <c r="K22" i="7"/>
  <c r="F22" i="7"/>
  <c r="E22" i="7"/>
  <c r="AD26" i="4"/>
  <c r="AD24" i="4"/>
  <c r="AD23" i="4" s="1"/>
  <c r="AC26" i="4"/>
  <c r="Y51" i="4"/>
  <c r="P24" i="4"/>
  <c r="P23" i="4" s="1"/>
  <c r="AP23" i="4"/>
  <c r="I26" i="4"/>
  <c r="AO50" i="4"/>
  <c r="AO49" i="4" s="1"/>
  <c r="AY51" i="4"/>
  <c r="E6" i="2"/>
  <c r="P14" i="7"/>
  <c r="U16" i="7"/>
  <c r="X52" i="4"/>
  <c r="X24" i="4"/>
  <c r="AA23" i="4"/>
  <c r="X25" i="4"/>
  <c r="K25" i="4"/>
  <c r="AZ26" i="4"/>
  <c r="AM50" i="4"/>
  <c r="AM49" i="4" s="1"/>
  <c r="O16" i="7"/>
  <c r="L24" i="7"/>
  <c r="S34" i="3"/>
  <c r="AM23" i="4"/>
  <c r="O26" i="4"/>
  <c r="O24" i="4"/>
  <c r="R18" i="3"/>
  <c r="E23" i="2"/>
  <c r="AQ24" i="4"/>
  <c r="AQ23" i="4" s="1"/>
  <c r="P25" i="4"/>
  <c r="AL25" i="4"/>
  <c r="AL23" i="4" s="1"/>
  <c r="W50" i="4"/>
  <c r="AP52" i="4"/>
  <c r="AM25" i="4"/>
  <c r="Q28" i="4"/>
  <c r="AJ49" i="4"/>
  <c r="AJ52" i="4"/>
  <c r="AJ50" i="4"/>
  <c r="X50" i="4"/>
  <c r="AQ52" i="4"/>
  <c r="H23" i="7"/>
  <c r="E9" i="7"/>
  <c r="I12" i="7"/>
  <c r="Q41" i="3"/>
  <c r="Q45" i="3" s="1"/>
  <c r="I9" i="7"/>
  <c r="N12" i="7"/>
  <c r="E22" i="2"/>
  <c r="R6" i="3"/>
  <c r="R21" i="3"/>
  <c r="AK24" i="4"/>
  <c r="AK23" i="4" s="1"/>
  <c r="AB23" i="4"/>
  <c r="AK51" i="4"/>
  <c r="AK50" i="4"/>
  <c r="AK52" i="4"/>
  <c r="Y50" i="4"/>
  <c r="Q9" i="4"/>
  <c r="H26" i="4"/>
  <c r="H24" i="4"/>
  <c r="H23" i="4" s="1"/>
  <c r="V26" i="4"/>
  <c r="V51" i="4"/>
  <c r="V50" i="4"/>
  <c r="V25" i="4"/>
  <c r="V52" i="4"/>
  <c r="V24" i="4"/>
  <c r="V23" i="4" s="1"/>
  <c r="AJ24" i="4"/>
  <c r="AJ23" i="4" s="1"/>
  <c r="AJ25" i="4"/>
  <c r="AX26" i="4"/>
  <c r="AX50" i="4"/>
  <c r="AX49" i="4" s="1"/>
  <c r="AX25" i="4"/>
  <c r="AX23" i="4" s="1"/>
  <c r="N26" i="4"/>
  <c r="N23" i="4" s="1"/>
  <c r="AL26" i="4"/>
  <c r="R14" i="7"/>
  <c r="H14" i="7"/>
  <c r="S25" i="4"/>
  <c r="S23" i="4" s="1"/>
  <c r="AT26" i="4"/>
  <c r="AT23" i="4" s="1"/>
  <c r="S50" i="4"/>
  <c r="W6" i="7"/>
  <c r="E28" i="6"/>
  <c r="V6" i="7"/>
  <c r="Q7" i="7"/>
  <c r="M15" i="7"/>
  <c r="Q17" i="7"/>
  <c r="T18" i="7"/>
  <c r="E25" i="4"/>
  <c r="E23" i="4" s="1"/>
  <c r="F6" i="6"/>
  <c r="E6" i="6"/>
  <c r="T51" i="4"/>
  <c r="T24" i="4"/>
  <c r="T23" i="4" s="1"/>
  <c r="AV51" i="4"/>
  <c r="AV49" i="4" s="1"/>
  <c r="AV24" i="4"/>
  <c r="AV23" i="4" s="1"/>
  <c r="F25" i="4"/>
  <c r="F23" i="4" s="1"/>
  <c r="R26" i="4"/>
  <c r="R23" i="4" s="1"/>
  <c r="AG26" i="4"/>
  <c r="AG23" i="4" s="1"/>
  <c r="AV26" i="4"/>
  <c r="AS51" i="4"/>
  <c r="AS49" i="4" s="1"/>
  <c r="G23" i="7"/>
  <c r="F23" i="7"/>
  <c r="E23" i="7"/>
  <c r="Q34" i="3"/>
  <c r="AC10" i="7"/>
  <c r="O10" i="7"/>
  <c r="AB10" i="7"/>
  <c r="N10" i="7"/>
  <c r="AA10" i="7"/>
  <c r="M10" i="7"/>
  <c r="AG10" i="7"/>
  <c r="S10" i="7"/>
  <c r="E10" i="7"/>
  <c r="AD10" i="7"/>
  <c r="P10" i="7"/>
  <c r="AN10" i="7"/>
  <c r="U10" i="7"/>
  <c r="AM10" i="7"/>
  <c r="T10" i="7"/>
  <c r="AL10" i="7"/>
  <c r="R10" i="7"/>
  <c r="AK10" i="7"/>
  <c r="Q10" i="7"/>
  <c r="AI10" i="7"/>
  <c r="K10" i="7"/>
  <c r="Z10" i="7"/>
  <c r="G10" i="7"/>
  <c r="Y10" i="7"/>
  <c r="F10" i="7"/>
  <c r="X10" i="7"/>
  <c r="D10" i="7"/>
  <c r="V10" i="7"/>
  <c r="U15" i="7"/>
  <c r="V18" i="7"/>
  <c r="N23" i="7"/>
  <c r="G24" i="7"/>
  <c r="T33" i="7"/>
  <c r="R15" i="7"/>
  <c r="S36" i="3"/>
  <c r="P7" i="7"/>
  <c r="O7" i="7"/>
  <c r="N7" i="7"/>
  <c r="S125" i="3"/>
  <c r="T124" i="3"/>
  <c r="AC9" i="4"/>
  <c r="AN24" i="4"/>
  <c r="AN23" i="4" s="1"/>
  <c r="AH26" i="4"/>
  <c r="AH23" i="4" s="1"/>
  <c r="AT51" i="4"/>
  <c r="AT49" i="4" s="1"/>
  <c r="I28" i="7"/>
  <c r="H28" i="7"/>
  <c r="F28" i="7"/>
  <c r="R34" i="3"/>
  <c r="E20" i="6"/>
  <c r="Z7" i="7"/>
  <c r="H10" i="7"/>
  <c r="AB18" i="7"/>
  <c r="K24" i="7"/>
  <c r="AJ31" i="7"/>
  <c r="V31" i="7"/>
  <c r="H31" i="7"/>
  <c r="AI31" i="7"/>
  <c r="U31" i="7"/>
  <c r="G31" i="7"/>
  <c r="AH31" i="7"/>
  <c r="T31" i="7"/>
  <c r="F31" i="7"/>
  <c r="AN31" i="7"/>
  <c r="Z31" i="7"/>
  <c r="L31" i="7"/>
  <c r="AM31" i="7"/>
  <c r="Y31" i="7"/>
  <c r="K31" i="7"/>
  <c r="AK31" i="7"/>
  <c r="W31" i="7"/>
  <c r="I31" i="7"/>
  <c r="O31" i="7"/>
  <c r="AL31" i="7"/>
  <c r="N31" i="7"/>
  <c r="AG31" i="7"/>
  <c r="M31" i="7"/>
  <c r="AF31" i="7"/>
  <c r="J31" i="7"/>
  <c r="AD31" i="7"/>
  <c r="D31" i="7"/>
  <c r="X31" i="7"/>
  <c r="S31" i="7"/>
  <c r="R31" i="7"/>
  <c r="P31" i="7"/>
  <c r="I10" i="7"/>
  <c r="K16" i="7"/>
  <c r="AH21" i="7"/>
  <c r="T21" i="7"/>
  <c r="F21" i="7"/>
  <c r="AG21" i="7"/>
  <c r="S21" i="7"/>
  <c r="E21" i="7"/>
  <c r="AF21" i="7"/>
  <c r="R21" i="7"/>
  <c r="D21" i="7"/>
  <c r="AL21" i="7"/>
  <c r="X21" i="7"/>
  <c r="J21" i="7"/>
  <c r="AI21" i="7"/>
  <c r="U21" i="7"/>
  <c r="G21" i="7"/>
  <c r="AK21" i="7"/>
  <c r="N21" i="7"/>
  <c r="AJ21" i="7"/>
  <c r="M21" i="7"/>
  <c r="AE21" i="7"/>
  <c r="L21" i="7"/>
  <c r="AD21" i="7"/>
  <c r="K21" i="7"/>
  <c r="AB21" i="7"/>
  <c r="H21" i="7"/>
  <c r="W21" i="7"/>
  <c r="V21" i="7"/>
  <c r="Q21" i="7"/>
  <c r="AM21" i="7"/>
  <c r="O21" i="7"/>
  <c r="E31" i="7"/>
  <c r="S9" i="7"/>
  <c r="W12" i="7"/>
  <c r="AJ26" i="4"/>
  <c r="AG49" i="4"/>
  <c r="R32" i="3"/>
  <c r="Q35" i="3"/>
  <c r="T125" i="3"/>
  <c r="F14" i="6"/>
  <c r="AE10" i="7"/>
  <c r="F19" i="7"/>
  <c r="Z21" i="7"/>
  <c r="E28" i="7"/>
  <c r="AC31" i="7"/>
  <c r="M14" i="7"/>
  <c r="N14" i="7"/>
  <c r="F14" i="7"/>
  <c r="E14" i="7"/>
  <c r="W14" i="7"/>
  <c r="D14" i="7"/>
  <c r="V14" i="7"/>
  <c r="T14" i="7"/>
  <c r="O14" i="7"/>
  <c r="J14" i="7"/>
  <c r="I14" i="7"/>
  <c r="G14" i="7"/>
  <c r="O17" i="7"/>
  <c r="N17" i="7"/>
  <c r="M17" i="7"/>
  <c r="J17" i="7"/>
  <c r="U5" i="7"/>
  <c r="AE6" i="7"/>
  <c r="S14" i="7"/>
  <c r="K6" i="7"/>
  <c r="U14" i="7"/>
  <c r="S17" i="7"/>
  <c r="AM18" i="7"/>
  <c r="Y18" i="7"/>
  <c r="K18" i="7"/>
  <c r="AL18" i="7"/>
  <c r="X18" i="7"/>
  <c r="J18" i="7"/>
  <c r="AK18" i="7"/>
  <c r="W18" i="7"/>
  <c r="I18" i="7"/>
  <c r="AC18" i="7"/>
  <c r="O18" i="7"/>
  <c r="AN18" i="7"/>
  <c r="Z18" i="7"/>
  <c r="L18" i="7"/>
  <c r="AG18" i="7"/>
  <c r="M18" i="7"/>
  <c r="AF18" i="7"/>
  <c r="H18" i="7"/>
  <c r="AE18" i="7"/>
  <c r="G18" i="7"/>
  <c r="AD18" i="7"/>
  <c r="F18" i="7"/>
  <c r="AA18" i="7"/>
  <c r="D18" i="7"/>
  <c r="S18" i="7"/>
  <c r="R18" i="7"/>
  <c r="AJ18" i="7"/>
  <c r="Q18" i="7"/>
  <c r="AH18" i="7"/>
  <c r="N18" i="7"/>
  <c r="C32" i="6"/>
  <c r="E5" i="6"/>
  <c r="S6" i="7"/>
  <c r="Y7" i="7"/>
  <c r="K17" i="7"/>
  <c r="E15" i="7"/>
  <c r="D15" i="7"/>
  <c r="V15" i="7"/>
  <c r="S15" i="7"/>
  <c r="K15" i="7"/>
  <c r="J15" i="7"/>
  <c r="I15" i="7"/>
  <c r="G15" i="7"/>
  <c r="R25" i="4"/>
  <c r="Q42" i="3"/>
  <c r="S33" i="3"/>
  <c r="R33" i="3"/>
  <c r="Q33" i="3"/>
  <c r="I16" i="7"/>
  <c r="T16" i="7"/>
  <c r="F16" i="7"/>
  <c r="H16" i="7"/>
  <c r="G16" i="7"/>
  <c r="N16" i="7"/>
  <c r="M16" i="7"/>
  <c r="L16" i="7"/>
  <c r="J16" i="7"/>
  <c r="J24" i="7"/>
  <c r="I24" i="7"/>
  <c r="H24" i="7"/>
  <c r="F24" i="7"/>
  <c r="L25" i="7"/>
  <c r="M7" i="7"/>
  <c r="L15" i="7"/>
  <c r="P17" i="7"/>
  <c r="P18" i="7"/>
  <c r="D23" i="7"/>
  <c r="E30" i="6"/>
  <c r="H5" i="7"/>
  <c r="AE5" i="7"/>
  <c r="J6" i="7"/>
  <c r="L7" i="7"/>
  <c r="AE7" i="7"/>
  <c r="S19" i="7"/>
  <c r="AL19" i="7"/>
  <c r="AN23" i="7"/>
  <c r="Z23" i="7"/>
  <c r="L23" i="7"/>
  <c r="AM23" i="7"/>
  <c r="Y23" i="7"/>
  <c r="K23" i="7"/>
  <c r="AL23" i="7"/>
  <c r="X23" i="7"/>
  <c r="J23" i="7"/>
  <c r="AD23" i="7"/>
  <c r="P23" i="7"/>
  <c r="AA23" i="7"/>
  <c r="M23" i="7"/>
  <c r="V23" i="7"/>
  <c r="I25" i="7"/>
  <c r="G27" i="7"/>
  <c r="AG27" i="7"/>
  <c r="D33" i="7"/>
  <c r="F26" i="6"/>
  <c r="J5" i="7"/>
  <c r="L6" i="7"/>
  <c r="K25" i="7"/>
  <c r="F33" i="7"/>
  <c r="E13" i="6"/>
  <c r="K5" i="7"/>
  <c r="M6" i="7"/>
  <c r="AN9" i="7"/>
  <c r="Z9" i="7"/>
  <c r="L9" i="7"/>
  <c r="AM9" i="7"/>
  <c r="Y9" i="7"/>
  <c r="K9" i="7"/>
  <c r="AL9" i="7"/>
  <c r="X9" i="7"/>
  <c r="J9" i="7"/>
  <c r="AD9" i="7"/>
  <c r="P9" i="7"/>
  <c r="AA9" i="7"/>
  <c r="M9" i="7"/>
  <c r="V9" i="7"/>
  <c r="AI12" i="7"/>
  <c r="U12" i="7"/>
  <c r="G12" i="7"/>
  <c r="AH12" i="7"/>
  <c r="T12" i="7"/>
  <c r="F12" i="7"/>
  <c r="AG12" i="7"/>
  <c r="S12" i="7"/>
  <c r="E12" i="7"/>
  <c r="AM12" i="7"/>
  <c r="Y12" i="7"/>
  <c r="K12" i="7"/>
  <c r="AJ12" i="7"/>
  <c r="V12" i="7"/>
  <c r="H12" i="7"/>
  <c r="AA12" i="7"/>
  <c r="AK22" i="7"/>
  <c r="W22" i="7"/>
  <c r="I22" i="7"/>
  <c r="AJ22" i="7"/>
  <c r="V22" i="7"/>
  <c r="H22" i="7"/>
  <c r="AI22" i="7"/>
  <c r="U22" i="7"/>
  <c r="G22" i="7"/>
  <c r="AA22" i="7"/>
  <c r="M22" i="7"/>
  <c r="AL22" i="7"/>
  <c r="X22" i="7"/>
  <c r="J22" i="7"/>
  <c r="Z22" i="7"/>
  <c r="AI26" i="7"/>
  <c r="U26" i="7"/>
  <c r="G26" i="7"/>
  <c r="AH26" i="7"/>
  <c r="T26" i="7"/>
  <c r="F26" i="7"/>
  <c r="AG26" i="7"/>
  <c r="S26" i="7"/>
  <c r="E26" i="7"/>
  <c r="AM26" i="7"/>
  <c r="Y26" i="7"/>
  <c r="K26" i="7"/>
  <c r="AL26" i="7"/>
  <c r="X26" i="7"/>
  <c r="J26" i="7"/>
  <c r="AJ26" i="7"/>
  <c r="V26" i="7"/>
  <c r="H26" i="7"/>
  <c r="AC26" i="7"/>
  <c r="G33" i="7"/>
  <c r="N6" i="7"/>
  <c r="AB19" i="7"/>
  <c r="N19" i="7"/>
  <c r="AA19" i="7"/>
  <c r="M19" i="7"/>
  <c r="AN19" i="7"/>
  <c r="Z19" i="7"/>
  <c r="L19" i="7"/>
  <c r="AF19" i="7"/>
  <c r="R19" i="7"/>
  <c r="D19" i="7"/>
  <c r="AC19" i="7"/>
  <c r="O19" i="7"/>
  <c r="W19" i="7"/>
  <c r="H33" i="7"/>
  <c r="I33" i="7"/>
  <c r="H9" i="7"/>
  <c r="AF9" i="7"/>
  <c r="M12" i="7"/>
  <c r="AF12" i="7"/>
  <c r="H19" i="7"/>
  <c r="AE19" i="7"/>
  <c r="L22" i="7"/>
  <c r="AF22" i="7"/>
  <c r="O23" i="7"/>
  <c r="AI23" i="7"/>
  <c r="N26" i="7"/>
  <c r="AN26" i="7"/>
  <c r="R33" i="7"/>
  <c r="AC6" i="7"/>
  <c r="O6" i="7"/>
  <c r="U6" i="7"/>
  <c r="G6" i="7"/>
  <c r="R6" i="7"/>
  <c r="D6" i="7"/>
  <c r="D32" i="6"/>
  <c r="F32" i="6" s="1"/>
  <c r="AN33" i="7"/>
  <c r="Z33" i="7"/>
  <c r="L33" i="7"/>
  <c r="AB5" i="7"/>
  <c r="N5" i="7"/>
  <c r="AM33" i="7"/>
  <c r="Y33" i="7"/>
  <c r="K33" i="7"/>
  <c r="AA5" i="7"/>
  <c r="M5" i="7"/>
  <c r="AL33" i="7"/>
  <c r="X33" i="7"/>
  <c r="J33" i="7"/>
  <c r="AN5" i="7"/>
  <c r="Z5" i="7"/>
  <c r="L5" i="7"/>
  <c r="AF5" i="7"/>
  <c r="R5" i="7"/>
  <c r="D5" i="7"/>
  <c r="AC5" i="7"/>
  <c r="O5" i="7"/>
  <c r="W5" i="7"/>
  <c r="E6" i="7"/>
  <c r="Y6" i="7"/>
  <c r="AH7" i="7"/>
  <c r="T7" i="7"/>
  <c r="F7" i="7"/>
  <c r="AG7" i="7"/>
  <c r="S7" i="7"/>
  <c r="E7" i="7"/>
  <c r="AF7" i="7"/>
  <c r="R7" i="7"/>
  <c r="D7" i="7"/>
  <c r="AL7" i="7"/>
  <c r="X7" i="7"/>
  <c r="J7" i="7"/>
  <c r="AI7" i="7"/>
  <c r="U7" i="7"/>
  <c r="G7" i="7"/>
  <c r="AA7" i="7"/>
  <c r="N9" i="7"/>
  <c r="AH9" i="7"/>
  <c r="O12" i="7"/>
  <c r="AL12" i="7"/>
  <c r="J19" i="7"/>
  <c r="AH19" i="7"/>
  <c r="O22" i="7"/>
  <c r="AH22" i="7"/>
  <c r="P26" i="7"/>
  <c r="AL27" i="7"/>
  <c r="X27" i="7"/>
  <c r="J27" i="7"/>
  <c r="AK27" i="7"/>
  <c r="W27" i="7"/>
  <c r="I27" i="7"/>
  <c r="AJ27" i="7"/>
  <c r="V27" i="7"/>
  <c r="H27" i="7"/>
  <c r="AB27" i="7"/>
  <c r="N27" i="7"/>
  <c r="AA27" i="7"/>
  <c r="M27" i="7"/>
  <c r="AM27" i="7"/>
  <c r="Y27" i="7"/>
  <c r="K27" i="7"/>
  <c r="AC27" i="7"/>
  <c r="AK33" i="7"/>
  <c r="AJ33" i="7"/>
  <c r="AI33" i="7"/>
  <c r="AH33" i="7"/>
  <c r="AG33" i="7"/>
  <c r="AF33" i="7"/>
  <c r="AE33" i="7"/>
  <c r="AB33" i="7"/>
  <c r="E8" i="6"/>
  <c r="E5" i="7"/>
  <c r="X5" i="7"/>
  <c r="F6" i="7"/>
  <c r="Z6" i="7"/>
  <c r="H7" i="7"/>
  <c r="AB7" i="7"/>
  <c r="O9" i="7"/>
  <c r="AI9" i="7"/>
  <c r="P12" i="7"/>
  <c r="AN12" i="7"/>
  <c r="AJ17" i="7"/>
  <c r="V17" i="7"/>
  <c r="H17" i="7"/>
  <c r="AI17" i="7"/>
  <c r="U17" i="7"/>
  <c r="G17" i="7"/>
  <c r="AH17" i="7"/>
  <c r="T17" i="7"/>
  <c r="F17" i="7"/>
  <c r="AN17" i="7"/>
  <c r="Z17" i="7"/>
  <c r="L17" i="7"/>
  <c r="AK17" i="7"/>
  <c r="W17" i="7"/>
  <c r="I17" i="7"/>
  <c r="AA17" i="7"/>
  <c r="K19" i="7"/>
  <c r="AI19" i="7"/>
  <c r="P22" i="7"/>
  <c r="AM22" i="7"/>
  <c r="S23" i="7"/>
  <c r="Q26" i="7"/>
  <c r="D27" i="7"/>
  <c r="AD27" i="7"/>
  <c r="U33" i="7"/>
  <c r="D25" i="7"/>
  <c r="H25" i="7"/>
  <c r="G25" i="7"/>
  <c r="E25" i="7"/>
  <c r="F5" i="6"/>
  <c r="F15" i="6"/>
  <c r="F5" i="7"/>
  <c r="Y5" i="7"/>
  <c r="H6" i="7"/>
  <c r="AA6" i="7"/>
  <c r="I7" i="7"/>
  <c r="AC7" i="7"/>
  <c r="Q9" i="7"/>
  <c r="AJ9" i="7"/>
  <c r="Q12" i="7"/>
  <c r="D17" i="7"/>
  <c r="AB17" i="7"/>
  <c r="P19" i="7"/>
  <c r="AJ19" i="7"/>
  <c r="Q22" i="7"/>
  <c r="AN22" i="7"/>
  <c r="T23" i="7"/>
  <c r="AC24" i="7"/>
  <c r="O24" i="7"/>
  <c r="AB24" i="7"/>
  <c r="N24" i="7"/>
  <c r="AA24" i="7"/>
  <c r="M24" i="7"/>
  <c r="AG24" i="7"/>
  <c r="S24" i="7"/>
  <c r="E24" i="7"/>
  <c r="AD24" i="7"/>
  <c r="P24" i="7"/>
  <c r="W24" i="7"/>
  <c r="R26" i="7"/>
  <c r="E27" i="7"/>
  <c r="AE27" i="7"/>
  <c r="V33" i="7"/>
  <c r="F12" i="6"/>
  <c r="E16" i="6"/>
  <c r="F29" i="6"/>
  <c r="G5" i="7"/>
  <c r="AD5" i="7"/>
  <c r="I6" i="7"/>
  <c r="AB6" i="7"/>
  <c r="K7" i="7"/>
  <c r="AD7" i="7"/>
  <c r="R9" i="7"/>
  <c r="AK9" i="7"/>
  <c r="R12" i="7"/>
  <c r="AL13" i="7"/>
  <c r="X13" i="7"/>
  <c r="J13" i="7"/>
  <c r="AK13" i="7"/>
  <c r="W13" i="7"/>
  <c r="I13" i="7"/>
  <c r="AJ13" i="7"/>
  <c r="V13" i="7"/>
  <c r="H13" i="7"/>
  <c r="AB13" i="7"/>
  <c r="N13" i="7"/>
  <c r="AM13" i="7"/>
  <c r="Y13" i="7"/>
  <c r="K13" i="7"/>
  <c r="Z13" i="7"/>
  <c r="E17" i="7"/>
  <c r="AC17" i="7"/>
  <c r="Q19" i="7"/>
  <c r="AK19" i="7"/>
  <c r="R22" i="7"/>
  <c r="U23" i="7"/>
  <c r="D24" i="7"/>
  <c r="X24" i="7"/>
  <c r="F25" i="7"/>
  <c r="W26" i="7"/>
  <c r="F27" i="7"/>
  <c r="AF27" i="7"/>
  <c r="W33" i="7"/>
  <c r="Q15" i="7"/>
  <c r="AE15" i="7"/>
  <c r="Q29" i="7"/>
  <c r="AE29" i="7"/>
  <c r="E29" i="7"/>
  <c r="S29" i="7"/>
  <c r="AG29" i="7"/>
  <c r="Q14" i="7"/>
  <c r="AE14" i="7"/>
  <c r="F15" i="7"/>
  <c r="T15" i="7"/>
  <c r="AH15" i="7"/>
  <c r="Q28" i="7"/>
  <c r="AE28" i="7"/>
  <c r="F29" i="7"/>
  <c r="T29" i="7"/>
  <c r="AH29" i="7"/>
  <c r="K14" i="7"/>
  <c r="Y14" i="7"/>
  <c r="AM14" i="7"/>
  <c r="N15" i="7"/>
  <c r="AB15" i="7"/>
  <c r="Q16" i="7"/>
  <c r="AE16" i="7"/>
  <c r="K28" i="7"/>
  <c r="Y28" i="7"/>
  <c r="AM28" i="7"/>
  <c r="N29" i="7"/>
  <c r="AB29" i="7"/>
  <c r="Q30" i="7"/>
  <c r="AE30" i="7"/>
  <c r="P6" i="7"/>
  <c r="AD6" i="7"/>
  <c r="Q11" i="7"/>
  <c r="L14" i="7"/>
  <c r="Z14" i="7"/>
  <c r="O15" i="7"/>
  <c r="AC15" i="7"/>
  <c r="D16" i="7"/>
  <c r="R16" i="7"/>
  <c r="AF16" i="7"/>
  <c r="P20" i="7"/>
  <c r="AD20" i="7"/>
  <c r="Q25" i="7"/>
  <c r="L28" i="7"/>
  <c r="Z28" i="7"/>
  <c r="O29" i="7"/>
  <c r="AC29" i="7"/>
  <c r="D30" i="7"/>
  <c r="R30" i="7"/>
  <c r="AF30" i="7"/>
  <c r="Q6" i="7"/>
  <c r="P15" i="7"/>
  <c r="E16" i="7"/>
  <c r="S16" i="7"/>
  <c r="Q20" i="7"/>
  <c r="P29" i="7"/>
  <c r="E30" i="7"/>
  <c r="S30" i="7"/>
  <c r="J23" i="4" l="1"/>
  <c r="U123" i="3"/>
  <c r="V123" i="3"/>
  <c r="AC23" i="4"/>
  <c r="T7" i="4"/>
  <c r="S8" i="4"/>
  <c r="S11" i="4"/>
  <c r="T6" i="4"/>
  <c r="S9" i="4"/>
  <c r="E32" i="6"/>
  <c r="Y23" i="4"/>
  <c r="AY49" i="4"/>
  <c r="V125" i="3"/>
  <c r="U125" i="3"/>
  <c r="S37" i="3"/>
  <c r="W23" i="4"/>
  <c r="R37" i="3"/>
  <c r="AZ23" i="4"/>
  <c r="V124" i="3"/>
  <c r="U124" i="3"/>
  <c r="X23" i="4"/>
  <c r="K23" i="4"/>
  <c r="Q37" i="3"/>
  <c r="AK49" i="4"/>
  <c r="AQ49" i="4"/>
  <c r="B7" i="6"/>
  <c r="B6" i="6"/>
  <c r="B8" i="6"/>
  <c r="O23" i="4"/>
  <c r="AP49" i="4"/>
  <c r="AZ49" i="4"/>
  <c r="AE8" i="4"/>
  <c r="AE11" i="4"/>
  <c r="AF6" i="4"/>
  <c r="AF7" i="4" s="1"/>
  <c r="AE9" i="4"/>
  <c r="B9" i="6" l="1"/>
  <c r="T9" i="4"/>
  <c r="T8" i="4"/>
  <c r="U6" i="4"/>
  <c r="T11" i="4"/>
  <c r="U7" i="4"/>
  <c r="AG6" i="4"/>
  <c r="AG7" i="4" s="1"/>
  <c r="AF8" i="4"/>
  <c r="AF11" i="4"/>
  <c r="AF9" i="4"/>
  <c r="S126" i="3"/>
  <c r="T126" i="3"/>
  <c r="S127" i="3"/>
  <c r="V126" i="3" l="1"/>
  <c r="U126" i="3"/>
  <c r="AG9" i="4"/>
  <c r="AG8" i="4"/>
  <c r="AH6" i="4"/>
  <c r="AH7" i="4" s="1"/>
  <c r="AG11" i="4"/>
  <c r="T127" i="3"/>
  <c r="S128" i="3"/>
  <c r="U11" i="4"/>
  <c r="U8" i="4"/>
  <c r="V6" i="4"/>
  <c r="U9" i="4"/>
  <c r="V7" i="4"/>
  <c r="B10" i="6"/>
  <c r="V127" i="3" l="1"/>
  <c r="U127" i="3"/>
  <c r="V11" i="4"/>
  <c r="V8" i="4"/>
  <c r="W6" i="4"/>
  <c r="W7" i="4"/>
  <c r="V9" i="4"/>
  <c r="B11" i="6"/>
  <c r="AH8" i="4"/>
  <c r="AH9" i="4"/>
  <c r="AI6" i="4"/>
  <c r="AI7" i="4" s="1"/>
  <c r="AH11" i="4"/>
  <c r="T128" i="3"/>
  <c r="W11" i="4" l="1"/>
  <c r="W8" i="4"/>
  <c r="X6" i="4"/>
  <c r="X7" i="4"/>
  <c r="W9" i="4"/>
  <c r="U128" i="3"/>
  <c r="V128" i="3"/>
  <c r="AI9" i="4"/>
  <c r="AI8" i="4"/>
  <c r="AJ6" i="4"/>
  <c r="AJ7" i="4" s="1"/>
  <c r="AI11" i="4"/>
  <c r="S129" i="3"/>
  <c r="T129" i="3"/>
  <c r="V129" i="3" l="1"/>
  <c r="U129" i="3"/>
  <c r="AJ11" i="4"/>
  <c r="AK6" i="4"/>
  <c r="AK7" i="4" s="1"/>
  <c r="AJ9" i="4"/>
  <c r="AJ8" i="4"/>
  <c r="S130" i="3"/>
  <c r="Y7" i="4"/>
  <c r="X11" i="4"/>
  <c r="X8" i="4"/>
  <c r="Y6" i="4"/>
  <c r="X9" i="4"/>
  <c r="T130" i="3"/>
  <c r="B13" i="6"/>
  <c r="B12" i="6"/>
  <c r="T131" i="3"/>
  <c r="U130" i="3" l="1"/>
  <c r="V130" i="3"/>
  <c r="AK11" i="4"/>
  <c r="AK9" i="4"/>
  <c r="AK8" i="4"/>
  <c r="AL6" i="4"/>
  <c r="AL7" i="4" s="1"/>
  <c r="Y9" i="4"/>
  <c r="Y11" i="4"/>
  <c r="Z7" i="4"/>
  <c r="Y8" i="4"/>
  <c r="Z6" i="4"/>
  <c r="AL11" i="4" l="1"/>
  <c r="AL9" i="4"/>
  <c r="AL8" i="4"/>
  <c r="AM6" i="4"/>
  <c r="AM7" i="4" s="1"/>
  <c r="S133" i="3"/>
  <c r="Z8" i="4"/>
  <c r="AA6" i="4"/>
  <c r="AA7" i="4"/>
  <c r="Z9" i="4"/>
  <c r="Z11" i="4"/>
  <c r="AM11" i="4" l="1"/>
  <c r="AM9" i="4"/>
  <c r="AM8" i="4"/>
  <c r="AN6" i="4"/>
  <c r="AN7" i="4" s="1"/>
  <c r="AA11" i="4"/>
  <c r="AB7" i="4"/>
  <c r="AA9" i="4"/>
  <c r="AB6" i="4"/>
  <c r="AA8" i="4"/>
  <c r="AB9" i="4" l="1"/>
  <c r="AB11" i="4"/>
  <c r="AB8" i="4"/>
  <c r="AN9" i="4"/>
  <c r="AN8" i="4"/>
  <c r="AN11" i="4"/>
  <c r="AO6" i="4"/>
  <c r="AO7" i="4" s="1"/>
  <c r="AO11" i="4" l="1"/>
  <c r="AP6" i="4"/>
  <c r="AP7" i="4" s="1"/>
  <c r="AO9" i="4"/>
  <c r="AO8" i="4"/>
  <c r="AP9" i="4" l="1"/>
  <c r="AP8" i="4"/>
  <c r="AQ6" i="4"/>
  <c r="AQ7" i="4" s="1"/>
  <c r="AP11" i="4"/>
  <c r="AQ9" i="4" l="1"/>
  <c r="AQ8" i="4"/>
  <c r="AR6" i="4"/>
  <c r="AR7" i="4" s="1"/>
  <c r="AQ11" i="4"/>
  <c r="AR9" i="4" l="1"/>
  <c r="AR8" i="4"/>
  <c r="AS6" i="4"/>
  <c r="AS7" i="4" s="1"/>
  <c r="AR11" i="4"/>
  <c r="AS8" i="4" l="1"/>
  <c r="AT6" i="4"/>
  <c r="AT7" i="4" s="1"/>
  <c r="AS11" i="4"/>
  <c r="AS9" i="4"/>
  <c r="AU6" i="4" l="1"/>
  <c r="AU7" i="4" s="1"/>
  <c r="AT11" i="4"/>
  <c r="AT8" i="4"/>
  <c r="AT9" i="4"/>
  <c r="AU9" i="4" l="1"/>
  <c r="AU8" i="4"/>
  <c r="AV6" i="4"/>
  <c r="AV7" i="4" s="1"/>
  <c r="AU11" i="4"/>
  <c r="AV8" i="4" l="1"/>
  <c r="AW6" i="4"/>
  <c r="AW7" i="4" s="1"/>
  <c r="AV9" i="4"/>
  <c r="AV11" i="4"/>
  <c r="AW8" i="4" l="1"/>
  <c r="AX6" i="4"/>
  <c r="AX7" i="4" s="1"/>
  <c r="AW11" i="4"/>
  <c r="AW9" i="4"/>
  <c r="T137" i="3" l="1"/>
  <c r="S138" i="3"/>
  <c r="S131" i="3"/>
  <c r="S134" i="3"/>
  <c r="S135" i="3"/>
  <c r="S136" i="3"/>
  <c r="T132" i="3"/>
  <c r="S132" i="3"/>
  <c r="T136" i="3"/>
  <c r="T134" i="3"/>
  <c r="S137" i="3"/>
  <c r="T135" i="3"/>
  <c r="T133" i="3"/>
  <c r="T139" i="3"/>
  <c r="T138" i="3"/>
  <c r="S139" i="3"/>
  <c r="AX9" i="4"/>
  <c r="AY6" i="4"/>
  <c r="AY7" i="4" s="1"/>
  <c r="AX8" i="4"/>
  <c r="AX11" i="4"/>
  <c r="U133" i="3" l="1"/>
  <c r="V133" i="3"/>
  <c r="V139" i="3"/>
  <c r="U139" i="3"/>
  <c r="V135" i="3"/>
  <c r="U135" i="3"/>
  <c r="V134" i="3"/>
  <c r="U134" i="3"/>
  <c r="U136" i="3"/>
  <c r="V136" i="3"/>
  <c r="U132" i="3"/>
  <c r="V132" i="3"/>
  <c r="AY11" i="4"/>
  <c r="AY8" i="4"/>
  <c r="AZ6" i="4"/>
  <c r="AY9" i="4"/>
  <c r="V131" i="3"/>
  <c r="U131" i="3"/>
  <c r="U138" i="3"/>
  <c r="V138" i="3"/>
  <c r="V137" i="3"/>
  <c r="U137" i="3"/>
  <c r="AZ7" i="4" l="1"/>
  <c r="B20" i="6"/>
  <c r="B28" i="6"/>
  <c r="B14" i="6"/>
  <c r="B21" i="6"/>
  <c r="B29" i="6"/>
  <c r="B30" i="6"/>
  <c r="B31" i="6"/>
  <c r="B25" i="6"/>
  <c r="B23" i="6"/>
  <c r="B18" i="6"/>
  <c r="B22" i="6"/>
  <c r="B26" i="6"/>
  <c r="B27" i="6"/>
  <c r="B15" i="6"/>
  <c r="B16" i="6"/>
  <c r="B17" i="6"/>
  <c r="B19" i="6"/>
  <c r="B24" i="6"/>
  <c r="B32" i="6" l="1"/>
  <c r="AZ11" i="4"/>
  <c r="AZ9" i="4"/>
  <c r="AZ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 Karina Nájera Arenas</author>
    <author>Natalia Londoño Angarita</author>
  </authors>
  <commentList>
    <comment ref="AJ18" authorId="0" shapeId="0" xr:uid="{00000000-0006-0000-0300-000002000000}">
      <text>
        <r>
          <rPr>
            <sz val="10"/>
            <rFont val="Arial"/>
            <family val="2"/>
          </rPr>
          <t>VEMO:
Cerramos con 150 pero tuvimos 16 preventas</t>
        </r>
      </text>
    </comment>
    <comment ref="AK18" authorId="0" shapeId="0" xr:uid="{00000000-0006-0000-0300-000003000000}">
      <text>
        <r>
          <rPr>
            <sz val="10"/>
            <rFont val="Arial"/>
            <family val="2"/>
          </rPr>
          <t xml:space="preserve">VEMO:
Reales son 172 menos 16 unidades del mes pasado más 24 autos firmados en octubre pero reconocidos en septiembre = 180 </t>
        </r>
      </text>
    </comment>
    <comment ref="AL18" authorId="0" shapeId="0" xr:uid="{00000000-0006-0000-0300-000004000000}">
      <text>
        <r>
          <rPr>
            <sz val="10"/>
            <rFont val="Arial"/>
            <family val="2"/>
          </rPr>
          <t xml:space="preserve">VEMO:
Reales son 172 menos 16 unidades del mes pasado más 24 autos firmados en octubre pero reconocidos en septiembre = 180 </t>
        </r>
      </text>
    </comment>
    <comment ref="U21" authorId="1" shapeId="0" xr:uid="{00000000-0006-0000-0300-000001000000}">
      <text>
        <r>
          <rPr>
            <sz val="10"/>
            <rFont val="Arial"/>
            <family val="2"/>
          </rPr>
          <t xml:space="preserve">VEMO:
Acceleration of Electric Vehicle Placements
</t>
        </r>
      </text>
    </comment>
  </commentList>
</comments>
</file>

<file path=xl/sharedStrings.xml><?xml version="1.0" encoding="utf-8"?>
<sst xmlns="http://schemas.openxmlformats.org/spreadsheetml/2006/main" count="25075" uniqueCount="3907">
  <si>
    <t>Cliente</t>
  </si>
  <si>
    <t>Sexo</t>
  </si>
  <si>
    <t>Contrato</t>
  </si>
  <si>
    <t>Estado</t>
  </si>
  <si>
    <t>Cosecha</t>
  </si>
  <si>
    <t>Mes envio recuperación</t>
  </si>
  <si>
    <t>Meses transcurridos</t>
  </si>
  <si>
    <t>Estatus recuperación</t>
  </si>
  <si>
    <t>Mes recuperación</t>
  </si>
  <si>
    <t>Plate</t>
  </si>
  <si>
    <t>Modelo</t>
  </si>
  <si>
    <t>Plataforma</t>
  </si>
  <si>
    <t>. RODRIGUEZ VICENTE</t>
  </si>
  <si>
    <t>Hombre</t>
  </si>
  <si>
    <t>2519AF</t>
  </si>
  <si>
    <t>BAJA CALIFORNIA</t>
  </si>
  <si>
    <t>04-2023</t>
  </si>
  <si>
    <t>04-2026</t>
  </si>
  <si>
    <t>Efectivo</t>
  </si>
  <si>
    <t>BGH042A</t>
  </si>
  <si>
    <t>ATTITUDE</t>
  </si>
  <si>
    <t>UBER</t>
  </si>
  <si>
    <t>6812AF</t>
  </si>
  <si>
    <t>01-2026</t>
  </si>
  <si>
    <t>CBY512A</t>
  </si>
  <si>
    <t>CHEVROLET AVEO</t>
  </si>
  <si>
    <t>DIDI</t>
  </si>
  <si>
    <t>ACEVES OSUNA FRANCISCO XAVIER</t>
  </si>
  <si>
    <t>4990AF</t>
  </si>
  <si>
    <t>06-2025</t>
  </si>
  <si>
    <t>03-2026</t>
  </si>
  <si>
    <t>BYG580A</t>
  </si>
  <si>
    <t>ACOSTA CALDERON FERNANDO</t>
  </si>
  <si>
    <t>3908AF</t>
  </si>
  <si>
    <t>CDMX Y AREA METROPOLITANA</t>
  </si>
  <si>
    <t>10-2024</t>
  </si>
  <si>
    <t>10-2025</t>
  </si>
  <si>
    <t>11-2025</t>
  </si>
  <si>
    <t>C34BPX</t>
  </si>
  <si>
    <t>TOYOTA AVANZA</t>
  </si>
  <si>
    <t>ACOSTA MARTINEZ MIGUEL ANGEL</t>
  </si>
  <si>
    <t>5944AF</t>
  </si>
  <si>
    <t>Pendiente</t>
  </si>
  <si>
    <t>51G505</t>
  </si>
  <si>
    <t>GAC AION S</t>
  </si>
  <si>
    <t>ADAME SALINAS MICHEL ALBERTO</t>
  </si>
  <si>
    <t>4523AF</t>
  </si>
  <si>
    <t>03-2025</t>
  </si>
  <si>
    <t>39G976</t>
  </si>
  <si>
    <t>ADAME TRUJILLO CHRISTIAN ARIEL</t>
  </si>
  <si>
    <t>4399AF</t>
  </si>
  <si>
    <t>02-2025</t>
  </si>
  <si>
    <t>02-2026</t>
  </si>
  <si>
    <t>31G452</t>
  </si>
  <si>
    <t>AGAMA MEJIA ARTEMIO</t>
  </si>
  <si>
    <t>5022AF</t>
  </si>
  <si>
    <t>D96BRR</t>
  </si>
  <si>
    <t>AGUILAR GONZALEZ MARCO ANTONIO</t>
  </si>
  <si>
    <t>5011AF</t>
  </si>
  <si>
    <t>A84BMP</t>
  </si>
  <si>
    <t>AGUILAR GONZALEZ MIGUEL ANGEL</t>
  </si>
  <si>
    <t>3889AF</t>
  </si>
  <si>
    <t>07-2025</t>
  </si>
  <si>
    <t>BSG377A</t>
  </si>
  <si>
    <t>AGUILAR LOPEZ ALFONSO</t>
  </si>
  <si>
    <t>4270AF</t>
  </si>
  <si>
    <t>01-2025</t>
  </si>
  <si>
    <t>31G972</t>
  </si>
  <si>
    <t>AGUILAR REZA DIEGO ABRAHAM</t>
  </si>
  <si>
    <t>6245AF</t>
  </si>
  <si>
    <t>05-2026</t>
  </si>
  <si>
    <t>62G480</t>
  </si>
  <si>
    <t>BYD E5</t>
  </si>
  <si>
    <t>AGUILAR TREJO ADAN</t>
  </si>
  <si>
    <t>5909AF</t>
  </si>
  <si>
    <t>CAJ035A</t>
  </si>
  <si>
    <t>AGUILAR VERA OSCAR MAURICIO</t>
  </si>
  <si>
    <t>4247AF</t>
  </si>
  <si>
    <t>JALISCO</t>
  </si>
  <si>
    <t>HWS688A</t>
  </si>
  <si>
    <t>AGUIRRE AVALOS CARLOS ALBERTO</t>
  </si>
  <si>
    <t>4078AF</t>
  </si>
  <si>
    <t>12-2024</t>
  </si>
  <si>
    <t>HWS689A</t>
  </si>
  <si>
    <t>AGUIRRE VELAZQUEZ MARIA ANTONIETA</t>
  </si>
  <si>
    <t>Mujer</t>
  </si>
  <si>
    <t>6862AF</t>
  </si>
  <si>
    <t>29G385</t>
  </si>
  <si>
    <t>AGUIRRE ZAZUETA XIUMARA SERAIN</t>
  </si>
  <si>
    <t>5875AF</t>
  </si>
  <si>
    <t>NUEVO LEON</t>
  </si>
  <si>
    <t>RXW058C</t>
  </si>
  <si>
    <t>ALAMILLO CONTRERAS DANIEL</t>
  </si>
  <si>
    <t>4082AF</t>
  </si>
  <si>
    <t>TFP758B</t>
  </si>
  <si>
    <t>ALANIS ARELLANO LUIS GERARDO</t>
  </si>
  <si>
    <t>5589AF</t>
  </si>
  <si>
    <t>08-2025</t>
  </si>
  <si>
    <t>RWL277C</t>
  </si>
  <si>
    <t>ALANIS SANTILLAN VICTOR MANUEL</t>
  </si>
  <si>
    <t>4282AF</t>
  </si>
  <si>
    <t>R25BRD</t>
  </si>
  <si>
    <t>ALARCON MARTINEZ ABRAHAM DANIEL</t>
  </si>
  <si>
    <t>4771AF</t>
  </si>
  <si>
    <t>05-2025</t>
  </si>
  <si>
    <t>E68BRR</t>
  </si>
  <si>
    <t>ALATORRE MARQUEZ JORGE ALEJANDRO</t>
  </si>
  <si>
    <t>2944AF</t>
  </si>
  <si>
    <t>01-2024</t>
  </si>
  <si>
    <t>Cancelado</t>
  </si>
  <si>
    <t>HSJ725A</t>
  </si>
  <si>
    <t>ALBA PARAMO NOE</t>
  </si>
  <si>
    <t>5625AF</t>
  </si>
  <si>
    <t>12-2025</t>
  </si>
  <si>
    <t>48G241</t>
  </si>
  <si>
    <t>BYD MINIDOLPHIN</t>
  </si>
  <si>
    <t>ALCALA NOVEROLA MARIO JONATHAN</t>
  </si>
  <si>
    <t>5784AF</t>
  </si>
  <si>
    <t>09-2025</t>
  </si>
  <si>
    <t>10K823</t>
  </si>
  <si>
    <t>ALCANTAR SILVA ARMANDO</t>
  </si>
  <si>
    <t>2745AF</t>
  </si>
  <si>
    <t>09-2023</t>
  </si>
  <si>
    <t>BJX359A</t>
  </si>
  <si>
    <t>ALCANTARA SANCHEZ ENRIQUE ABRAHAM</t>
  </si>
  <si>
    <t>5800AF</t>
  </si>
  <si>
    <t>10K840</t>
  </si>
  <si>
    <t>ALCANTARA SEGURA JUAN</t>
  </si>
  <si>
    <t>4370AF</t>
  </si>
  <si>
    <t>19G586</t>
  </si>
  <si>
    <t>BYD D1</t>
  </si>
  <si>
    <t>ALCIBAR PEÑA DANIEL</t>
  </si>
  <si>
    <t>4368AF</t>
  </si>
  <si>
    <t>04-2025</t>
  </si>
  <si>
    <t>31G788</t>
  </si>
  <si>
    <t>ALDANA RUIZ ISRAEL</t>
  </si>
  <si>
    <t>5409AF</t>
  </si>
  <si>
    <t>48G145</t>
  </si>
  <si>
    <t>ALDAPE BARCENAS ILSE ABIGAIL</t>
  </si>
  <si>
    <t>5889AF</t>
  </si>
  <si>
    <t>RXC615C</t>
  </si>
  <si>
    <t>ALEJANDRE GABRIEL DIEGO</t>
  </si>
  <si>
    <t>6382AF</t>
  </si>
  <si>
    <t>RZB056C</t>
  </si>
  <si>
    <t>ALEMAN CONTRERAS MANUEL ALEJANDRO</t>
  </si>
  <si>
    <t>6440AF</t>
  </si>
  <si>
    <t>51G818</t>
  </si>
  <si>
    <t>ALFARO MARTINEZ LUIS ENRIQUE</t>
  </si>
  <si>
    <t>3767AF</t>
  </si>
  <si>
    <t>09-2024</t>
  </si>
  <si>
    <t>05G231</t>
  </si>
  <si>
    <t>ALMANZA VITE OCTAVIO DAMIAN</t>
  </si>
  <si>
    <t>4506AF</t>
  </si>
  <si>
    <t>Y47BNL</t>
  </si>
  <si>
    <t>ALONSO ALONSO ROSA CARMEN</t>
  </si>
  <si>
    <t>4904AF</t>
  </si>
  <si>
    <t>RUB750C</t>
  </si>
  <si>
    <t>ALONSO DEL ANGEL ALEJANDRO</t>
  </si>
  <si>
    <t>4167AF</t>
  </si>
  <si>
    <t>19G518</t>
  </si>
  <si>
    <t>ALONSO GUERRA LUIS ALONSO</t>
  </si>
  <si>
    <t>5550AF</t>
  </si>
  <si>
    <t>RVX593C</t>
  </si>
  <si>
    <t>ALONSO ROJAS LUIS ENRIQUE</t>
  </si>
  <si>
    <t>3032AF</t>
  </si>
  <si>
    <t>02-2024</t>
  </si>
  <si>
    <t>T14BNL</t>
  </si>
  <si>
    <t>ALTAMIRANO FLORES ANGEL EDUARDO</t>
  </si>
  <si>
    <t>5058AF</t>
  </si>
  <si>
    <t>B87BPD</t>
  </si>
  <si>
    <t>ALVA RAMIREZ GABRIEL ALEJANDRO</t>
  </si>
  <si>
    <t>6507AF</t>
  </si>
  <si>
    <t>KDM116A</t>
  </si>
  <si>
    <t>ALVARADO CERVANTES JONATHAN JACOB</t>
  </si>
  <si>
    <t>4571AF</t>
  </si>
  <si>
    <t>BWX672A</t>
  </si>
  <si>
    <t>ALVARADO DE LA ROCHA CARLOS ALBERTO</t>
  </si>
  <si>
    <t>3962AF</t>
  </si>
  <si>
    <t>11-2024</t>
  </si>
  <si>
    <t>13G727</t>
  </si>
  <si>
    <t>ALVARADO DIAZ ADRIAN</t>
  </si>
  <si>
    <t>4125AF</t>
  </si>
  <si>
    <t>19G588</t>
  </si>
  <si>
    <t>ALVARADO FLORES ERIK</t>
  </si>
  <si>
    <t>3871AF</t>
  </si>
  <si>
    <t>E10BPT</t>
  </si>
  <si>
    <t>ALVARADO JUAREZ LUIS ADAN</t>
  </si>
  <si>
    <t>5633AF</t>
  </si>
  <si>
    <t>48G289</t>
  </si>
  <si>
    <t>ALVARADO MARTINEZ ENRIQUE ALFREDO</t>
  </si>
  <si>
    <t>6374AF</t>
  </si>
  <si>
    <t>RYJ862C</t>
  </si>
  <si>
    <t>ALVARADO MORENO FRANCISCO JAVIER</t>
  </si>
  <si>
    <t>4202AF</t>
  </si>
  <si>
    <t>TCV544B</t>
  </si>
  <si>
    <t>ONIX</t>
  </si>
  <si>
    <t>ALVARADO ORDUÑA LUIS</t>
  </si>
  <si>
    <t>4252AF</t>
  </si>
  <si>
    <t>A08BNM</t>
  </si>
  <si>
    <t>ALVARADO SANTIBAÑEZ ALAN MANUEL</t>
  </si>
  <si>
    <t>6486AF</t>
  </si>
  <si>
    <t>15K091</t>
  </si>
  <si>
    <t>ALVARADO SORIA MARCOS GAMALIEL</t>
  </si>
  <si>
    <t>5095AF</t>
  </si>
  <si>
    <t>28G728</t>
  </si>
  <si>
    <t>ALVAREZ BARROSO LUIS ARTURO</t>
  </si>
  <si>
    <t>5379AF</t>
  </si>
  <si>
    <t>48G159</t>
  </si>
  <si>
    <t>ALVAREZ BONES OSVALDO</t>
  </si>
  <si>
    <t>4899AF</t>
  </si>
  <si>
    <t>13G735</t>
  </si>
  <si>
    <t>ALVAREZ HUIPE GABINO</t>
  </si>
  <si>
    <t>5933AF</t>
  </si>
  <si>
    <t>BVG822A</t>
  </si>
  <si>
    <t>ALVAREZ MERIDA GABINO</t>
  </si>
  <si>
    <t>4184AF</t>
  </si>
  <si>
    <t>19G598</t>
  </si>
  <si>
    <t>ALVAREZ NARVAEZ WILLIAM</t>
  </si>
  <si>
    <t>6479AF</t>
  </si>
  <si>
    <t>56S304</t>
  </si>
  <si>
    <t>ALVAREZ RAMIREZ JUAN LUIS</t>
  </si>
  <si>
    <t>4021AF</t>
  </si>
  <si>
    <t>13G876</t>
  </si>
  <si>
    <t>ALVAREZ RUIZ JOSE JOEL</t>
  </si>
  <si>
    <t>6555AF</t>
  </si>
  <si>
    <t>CBL128A</t>
  </si>
  <si>
    <t>AMARO CARRILLO ABEL</t>
  </si>
  <si>
    <t>5694AF</t>
  </si>
  <si>
    <t>09K866</t>
  </si>
  <si>
    <t>AMAYA HUERTA ERIK ALFREDO</t>
  </si>
  <si>
    <t>5531AF</t>
  </si>
  <si>
    <t>48G183</t>
  </si>
  <si>
    <t>AMBROSIO ESPINOSA DAVID</t>
  </si>
  <si>
    <t>4875AF</t>
  </si>
  <si>
    <t>47G524</t>
  </si>
  <si>
    <t>ANGELES GARCIA JOSE EDUARDO</t>
  </si>
  <si>
    <t>5661AF</t>
  </si>
  <si>
    <t>31G794</t>
  </si>
  <si>
    <t>APARICIO GALENO HERIBERTO</t>
  </si>
  <si>
    <t>4152AF</t>
  </si>
  <si>
    <t>81F233</t>
  </si>
  <si>
    <t>SUZUKI ERTIGA</t>
  </si>
  <si>
    <t>AQUINO LOPEZ TOMAS</t>
  </si>
  <si>
    <t>3319AF</t>
  </si>
  <si>
    <t>05-2024</t>
  </si>
  <si>
    <t>BPC077A</t>
  </si>
  <si>
    <t>ARAGON POLANCO HECTOR MANUEL</t>
  </si>
  <si>
    <t>2893AF</t>
  </si>
  <si>
    <t>11-2023</t>
  </si>
  <si>
    <t>BKM644A</t>
  </si>
  <si>
    <t>ARELLANO CERVANTES JUAN PABLO</t>
  </si>
  <si>
    <t>3454AF</t>
  </si>
  <si>
    <t>07-2024</t>
  </si>
  <si>
    <t>HWE170A</t>
  </si>
  <si>
    <t>ARELLANO JIMENEZ EDUARDO</t>
  </si>
  <si>
    <t>4573AF</t>
  </si>
  <si>
    <t>BWX671A</t>
  </si>
  <si>
    <t>ARENAS MACIAS RICARDO</t>
  </si>
  <si>
    <t>2149AF</t>
  </si>
  <si>
    <t>06-2022</t>
  </si>
  <si>
    <t>JSX3949</t>
  </si>
  <si>
    <t>AREVALO DATTOLI RAFAEL</t>
  </si>
  <si>
    <t>6243AF</t>
  </si>
  <si>
    <t>62G237</t>
  </si>
  <si>
    <t>AREVALO GARCIA ISRAEL JONATHAN</t>
  </si>
  <si>
    <t>4944AF</t>
  </si>
  <si>
    <t>47G512</t>
  </si>
  <si>
    <t>AREVALO HERNANDEZ MARCOS DANIEL</t>
  </si>
  <si>
    <t>5332AF</t>
  </si>
  <si>
    <t>31G619</t>
  </si>
  <si>
    <t>ARGUELLES AGUIRRE ISAAC ANGEL</t>
  </si>
  <si>
    <t>5211AF</t>
  </si>
  <si>
    <t>BYY747A</t>
  </si>
  <si>
    <t>ARIAS CABRERA LUIS ALBERTO</t>
  </si>
  <si>
    <t>3140AF</t>
  </si>
  <si>
    <t>03-2024</t>
  </si>
  <si>
    <t>84F061</t>
  </si>
  <si>
    <t>ARIAS VILLALPANDO ERICK LEOBARDO</t>
  </si>
  <si>
    <t>5686AF</t>
  </si>
  <si>
    <t>RXN889C</t>
  </si>
  <si>
    <t>ARREDON BATTA ROBERTO</t>
  </si>
  <si>
    <t>5583AF</t>
  </si>
  <si>
    <t>JNU148A</t>
  </si>
  <si>
    <t>ARREDONDO SOLORIO JUAN ALBERTO</t>
  </si>
  <si>
    <t>4107AF</t>
  </si>
  <si>
    <t>19G469</t>
  </si>
  <si>
    <t>ARREDONDO VILLANUEVA JORGE DAMIAN</t>
  </si>
  <si>
    <t>4154AF</t>
  </si>
  <si>
    <t>19G361</t>
  </si>
  <si>
    <t>ARREOLA TORRES DIEGO</t>
  </si>
  <si>
    <t>2199AF</t>
  </si>
  <si>
    <t>08-2022</t>
  </si>
  <si>
    <t>J12BMZ</t>
  </si>
  <si>
    <t>IGNIS</t>
  </si>
  <si>
    <t>ARRIAGA DIAZ ALEJANDRO</t>
  </si>
  <si>
    <t>5860AF</t>
  </si>
  <si>
    <t>11K502</t>
  </si>
  <si>
    <t>ARZATE JIMENEZ JOSE ANTONIO</t>
  </si>
  <si>
    <t>4148AF</t>
  </si>
  <si>
    <t>19G582</t>
  </si>
  <si>
    <t>ASCENCIO AMPARANO SERGIO ALEJANDRO</t>
  </si>
  <si>
    <t>2825AF</t>
  </si>
  <si>
    <t>10-2023</t>
  </si>
  <si>
    <t>BKB317A</t>
  </si>
  <si>
    <t>AVALOS CALIXTO SALVADOR</t>
  </si>
  <si>
    <t>4423AF</t>
  </si>
  <si>
    <t>31G769</t>
  </si>
  <si>
    <t>AVALOS HERNANDEZ AGUSTIN</t>
  </si>
  <si>
    <t>5209AF</t>
  </si>
  <si>
    <t>RUW804C</t>
  </si>
  <si>
    <t>AVALOS HERNANDEZ GERARDO</t>
  </si>
  <si>
    <t>5793AF</t>
  </si>
  <si>
    <t>RXC633C</t>
  </si>
  <si>
    <t>AVELINO QUEZADA ARTURO</t>
  </si>
  <si>
    <t>5624AF</t>
  </si>
  <si>
    <t>48G299</t>
  </si>
  <si>
    <t>AVENDAÑO LOPEZ MARCELO</t>
  </si>
  <si>
    <t>3972AF</t>
  </si>
  <si>
    <t>D70BPN</t>
  </si>
  <si>
    <t>AVILA ALVA HECTOR RAFAEL</t>
  </si>
  <si>
    <t>4196AF</t>
  </si>
  <si>
    <t>M84BRD</t>
  </si>
  <si>
    <t>AVILA ANGULO OMAR</t>
  </si>
  <si>
    <t>6445AF</t>
  </si>
  <si>
    <t>CBL126A</t>
  </si>
  <si>
    <t>AVILA COLUNGA MIGUEL ESTEBAN</t>
  </si>
  <si>
    <t>5086AF</t>
  </si>
  <si>
    <t>RUW785C</t>
  </si>
  <si>
    <t>AVIÑA PADILLA CARLOS AUGUSTO</t>
  </si>
  <si>
    <t>5023AF</t>
  </si>
  <si>
    <t>JAY052A</t>
  </si>
  <si>
    <t>AYALA JIMENEZ RICARDO ROBERTO</t>
  </si>
  <si>
    <t>5872AF</t>
  </si>
  <si>
    <t>CAD713A</t>
  </si>
  <si>
    <t>AYALA SANCHEZ IGNACIO</t>
  </si>
  <si>
    <t>4341AF</t>
  </si>
  <si>
    <t>31G717</t>
  </si>
  <si>
    <t>BADILLO PEREZ CHRISTOPHER ALEXIS</t>
  </si>
  <si>
    <t>5857AF</t>
  </si>
  <si>
    <t>11K500</t>
  </si>
  <si>
    <t>BADILLO VALLE ZAIRA</t>
  </si>
  <si>
    <t>3528AF</t>
  </si>
  <si>
    <t>89F764</t>
  </si>
  <si>
    <t>BALTAZAR QUIROZ FELIPE</t>
  </si>
  <si>
    <t>4210AF</t>
  </si>
  <si>
    <t>62F589</t>
  </si>
  <si>
    <t>BAÑOS HERNANDEZ GERARDO</t>
  </si>
  <si>
    <t>5004AF</t>
  </si>
  <si>
    <t>31G853</t>
  </si>
  <si>
    <t>BAÑUELOS MENDOZA RICARDO</t>
  </si>
  <si>
    <t>4437AF</t>
  </si>
  <si>
    <t>31G708</t>
  </si>
  <si>
    <t>BARON BARAHONA FRANCISCO</t>
  </si>
  <si>
    <t>4570AF</t>
  </si>
  <si>
    <t>BWX659A</t>
  </si>
  <si>
    <t>BARONA RAMIREZ ANDRES ABELINO</t>
  </si>
  <si>
    <t>2762AF</t>
  </si>
  <si>
    <t>63F847</t>
  </si>
  <si>
    <t>BARRANCO GALLEGOS ISRAEL</t>
  </si>
  <si>
    <t>5340AF</t>
  </si>
  <si>
    <t>50G522</t>
  </si>
  <si>
    <t>BARRETO CORONA RICARDO MANUEL</t>
  </si>
  <si>
    <t>2464AF</t>
  </si>
  <si>
    <t>QUERETARO</t>
  </si>
  <si>
    <t>02-2023</t>
  </si>
  <si>
    <t>UNU601H</t>
  </si>
  <si>
    <t>BARRIOS MONDRAGON CRISTIAN</t>
  </si>
  <si>
    <t>4306AF</t>
  </si>
  <si>
    <t>13G826</t>
  </si>
  <si>
    <t>BARRIOS SARAZUA JULIAN</t>
  </si>
  <si>
    <t>3285AF</t>
  </si>
  <si>
    <t>BNE981A</t>
  </si>
  <si>
    <t>BASTIDA MORAN OLAF</t>
  </si>
  <si>
    <t>4679AF</t>
  </si>
  <si>
    <t>41G437</t>
  </si>
  <si>
    <t>BASTIDA SANCHEZ HECTOR HUGO</t>
  </si>
  <si>
    <t>3439AF</t>
  </si>
  <si>
    <t>E49BPF</t>
  </si>
  <si>
    <t>BAUTISTA MANCILLA PATRICIA</t>
  </si>
  <si>
    <t>5546AF</t>
  </si>
  <si>
    <t>JNU127A</t>
  </si>
  <si>
    <t>BAUTISTA ROSALES JAIME</t>
  </si>
  <si>
    <t>4629AF</t>
  </si>
  <si>
    <t>38G295</t>
  </si>
  <si>
    <t>BECERRA HERNANDEZ JUAN CARLOS</t>
  </si>
  <si>
    <t>3822AF</t>
  </si>
  <si>
    <t>08G190</t>
  </si>
  <si>
    <t>BECERRIL MERCADO JUAN</t>
  </si>
  <si>
    <t>3231AF</t>
  </si>
  <si>
    <t>B32BNY</t>
  </si>
  <si>
    <t>BELLO VALDEZ SALVADOR</t>
  </si>
  <si>
    <t>2233AF</t>
  </si>
  <si>
    <t>09-2022</t>
  </si>
  <si>
    <t>P05BMY</t>
  </si>
  <si>
    <t>BELMONT ARREGUIN FERNANDO GUADALUPE</t>
  </si>
  <si>
    <t>5932AF</t>
  </si>
  <si>
    <t>39G813</t>
  </si>
  <si>
    <t>BELTRAN GUADARRAMA VICTOR MANUEL</t>
  </si>
  <si>
    <t>4329AF</t>
  </si>
  <si>
    <t>E22BRJ</t>
  </si>
  <si>
    <t>BENITEZ MATIAS JUAN MANUEL</t>
  </si>
  <si>
    <t>5448AF</t>
  </si>
  <si>
    <t>47G498</t>
  </si>
  <si>
    <t>BERMUDEZ CARREON JORGE MANUEL</t>
  </si>
  <si>
    <t>5316AF</t>
  </si>
  <si>
    <t>29G226</t>
  </si>
  <si>
    <t>BERNALDEZ MALDONADO MAURICIO</t>
  </si>
  <si>
    <t>4453AF</t>
  </si>
  <si>
    <t>19G633</t>
  </si>
  <si>
    <t>BETANZOS CASTRO VICTOR MARIO</t>
  </si>
  <si>
    <t>4218AF</t>
  </si>
  <si>
    <t>56F792</t>
  </si>
  <si>
    <t>BIBIANO GALICIA RUBEN</t>
  </si>
  <si>
    <t>3031AF</t>
  </si>
  <si>
    <t>T96BNL</t>
  </si>
  <si>
    <t>BLANCAS AGONIZANTE ERNESTO TEOFILO</t>
  </si>
  <si>
    <t>4225AF</t>
  </si>
  <si>
    <t>P48BRD</t>
  </si>
  <si>
    <t>BLANDO QUIJADA BRAYAN ALTAIR</t>
  </si>
  <si>
    <t>5129AF</t>
  </si>
  <si>
    <t>47G977</t>
  </si>
  <si>
    <t>BLASI VELAZQUEZ CESAR SALVADOR</t>
  </si>
  <si>
    <t>4433AF</t>
  </si>
  <si>
    <t>19G624</t>
  </si>
  <si>
    <t>BONILLA ALARCON SAUL</t>
  </si>
  <si>
    <t>5634AF</t>
  </si>
  <si>
    <t>48G105</t>
  </si>
  <si>
    <t>BORBOLLA CAMARENA KARLA ALEJANDRA</t>
  </si>
  <si>
    <t>5076AF</t>
  </si>
  <si>
    <t>47G843</t>
  </si>
  <si>
    <t>BRAVO JIMENEZ EDGAR ADRIAN</t>
  </si>
  <si>
    <t>2811AF</t>
  </si>
  <si>
    <t>57F969</t>
  </si>
  <si>
    <t>BRIONES GALVAN PEDRO</t>
  </si>
  <si>
    <t>5119AF</t>
  </si>
  <si>
    <t>47G556</t>
  </si>
  <si>
    <t>BRITO SOSA ALVARO EFREN</t>
  </si>
  <si>
    <t>2852AF</t>
  </si>
  <si>
    <t>A91BND</t>
  </si>
  <si>
    <t>BUCIO GONZALEZ JULIO ALEJANDRO</t>
  </si>
  <si>
    <t>3733AF</t>
  </si>
  <si>
    <t>HXC200A</t>
  </si>
  <si>
    <t>BUENDIA CORONEL JOSE OSCAR</t>
  </si>
  <si>
    <t>5112AF</t>
  </si>
  <si>
    <t>47G968</t>
  </si>
  <si>
    <t>BUENFIL SAGASTEGUI GABRIEL NAPOLEON</t>
  </si>
  <si>
    <t>6358AF</t>
  </si>
  <si>
    <t>53S661</t>
  </si>
  <si>
    <t>BUENO PEREZ EDWIN ISAI</t>
  </si>
  <si>
    <t>4311AF</t>
  </si>
  <si>
    <t>E67BRJ</t>
  </si>
  <si>
    <t>CABRERA GONZALEZ LUIS EDER</t>
  </si>
  <si>
    <t>3186AF</t>
  </si>
  <si>
    <t>04-2024</t>
  </si>
  <si>
    <t>A16BNM</t>
  </si>
  <si>
    <t>CABRERA MEDLEG SALVADOR ANDRES</t>
  </si>
  <si>
    <t>3387AF</t>
  </si>
  <si>
    <t>06-2024</t>
  </si>
  <si>
    <t>84F283</t>
  </si>
  <si>
    <t>CADENA SANCHEZ JUAN ISMAEL</t>
  </si>
  <si>
    <t>2777AF</t>
  </si>
  <si>
    <t>BGL987A</t>
  </si>
  <si>
    <t>CADIZ AVILES EDGAR</t>
  </si>
  <si>
    <t>6168AF</t>
  </si>
  <si>
    <t>CAS981A</t>
  </si>
  <si>
    <t>CALDERON DIAZ SAID SAUL</t>
  </si>
  <si>
    <t>3541AF</t>
  </si>
  <si>
    <t>89F763</t>
  </si>
  <si>
    <t>CALDERON LOPEZ MANUEL GERVASIO</t>
  </si>
  <si>
    <t>5472AF</t>
  </si>
  <si>
    <t>48G143</t>
  </si>
  <si>
    <t>CALDERON SANTOYO ALFONSO</t>
  </si>
  <si>
    <t>4439AF</t>
  </si>
  <si>
    <t>19G687</t>
  </si>
  <si>
    <t>CALLEJAS MARTINEZ MIGUEL</t>
  </si>
  <si>
    <t>5656AF</t>
  </si>
  <si>
    <t>09K372</t>
  </si>
  <si>
    <t>CALVA GUTIERREZ MARTIN EVERARDO</t>
  </si>
  <si>
    <t>4597AF</t>
  </si>
  <si>
    <t>27G744</t>
  </si>
  <si>
    <t>CALVILLO CORDERO ARLEY FEDERICO</t>
  </si>
  <si>
    <t>4165AF</t>
  </si>
  <si>
    <t>19G325</t>
  </si>
  <si>
    <t>CAMACHO DIAZ ALEXIS</t>
  </si>
  <si>
    <t>4666AF</t>
  </si>
  <si>
    <t>41G418</t>
  </si>
  <si>
    <t>CAMACHO DIAZ ARTURO</t>
  </si>
  <si>
    <t>3321AF</t>
  </si>
  <si>
    <t>84F099</t>
  </si>
  <si>
    <t>CAMACHO GARCIA STIF ALEJANDRO</t>
  </si>
  <si>
    <t>5969AF</t>
  </si>
  <si>
    <t>JZK638A</t>
  </si>
  <si>
    <t>CAMACHO GONZALEZ CARLOS ALEJANDRO</t>
  </si>
  <si>
    <t>4356AF</t>
  </si>
  <si>
    <t>B74BNY</t>
  </si>
  <si>
    <t>CAMARGO ARTEAGA JUAN CESAREO</t>
  </si>
  <si>
    <t>3572AF</t>
  </si>
  <si>
    <t>08-2024</t>
  </si>
  <si>
    <t>89F796</t>
  </si>
  <si>
    <t>CAMARGO MEJIA JOSE MANUEL</t>
  </si>
  <si>
    <t>4946AF</t>
  </si>
  <si>
    <t>41G533</t>
  </si>
  <si>
    <t>CAMARGO NAVARRETE LUIS ALBERTO</t>
  </si>
  <si>
    <t>3762AF</t>
  </si>
  <si>
    <t>BSG230A</t>
  </si>
  <si>
    <t>CAMPOS PEREZ JORGE MICHEL</t>
  </si>
  <si>
    <t>6211AF</t>
  </si>
  <si>
    <t>RXW251C</t>
  </si>
  <si>
    <t>CAMPOS ZUÑIGA SERGIO EFRAIN</t>
  </si>
  <si>
    <t>5473AF</t>
  </si>
  <si>
    <t>48G166</t>
  </si>
  <si>
    <t>CAMPUZANO BORJA ALAN</t>
  </si>
  <si>
    <t>4598AF</t>
  </si>
  <si>
    <t>27G704</t>
  </si>
  <si>
    <t>CANALES GARCIA MARIO ALBERTO</t>
  </si>
  <si>
    <t>5856AF</t>
  </si>
  <si>
    <t>11K170</t>
  </si>
  <si>
    <t>CANCHOLA GUADARRAMA JOSE LUIS</t>
  </si>
  <si>
    <t>5417AF</t>
  </si>
  <si>
    <t>28G708</t>
  </si>
  <si>
    <t>CANDELARIA LINERIO ALEJANDRO</t>
  </si>
  <si>
    <t>5269AF</t>
  </si>
  <si>
    <t>43G806</t>
  </si>
  <si>
    <t>CANDELARIA RODRIGUEZ ALEJANDRO</t>
  </si>
  <si>
    <t>5990AF</t>
  </si>
  <si>
    <t>15K196</t>
  </si>
  <si>
    <t>CANELA GUZMAN ESTEBAN</t>
  </si>
  <si>
    <t>4728AF</t>
  </si>
  <si>
    <t>BXT278A</t>
  </si>
  <si>
    <t>CANO MENDOZA CARLOS MAURICIO</t>
  </si>
  <si>
    <t>3615AF</t>
  </si>
  <si>
    <t>89F858</t>
  </si>
  <si>
    <t>CARDENAS CORTEZ JOSE LUIS</t>
  </si>
  <si>
    <t>6213AF</t>
  </si>
  <si>
    <t>RXW247C</t>
  </si>
  <si>
    <t>CARDIEL HERNANDEZ EDUARDO</t>
  </si>
  <si>
    <t>4662AF</t>
  </si>
  <si>
    <t>38G351</t>
  </si>
  <si>
    <t>CARDONA LOPEZ LUIS ANGEL</t>
  </si>
  <si>
    <t>5814AF</t>
  </si>
  <si>
    <t>10K839</t>
  </si>
  <si>
    <t>CARDOSO TAPIA RUBEN</t>
  </si>
  <si>
    <t>5406AF</t>
  </si>
  <si>
    <t>RVX601C</t>
  </si>
  <si>
    <t>CARIÑO HERRERA ALAN CHRISTIAN</t>
  </si>
  <si>
    <t>2632AF</t>
  </si>
  <si>
    <t>07-2023</t>
  </si>
  <si>
    <t>J45BMC</t>
  </si>
  <si>
    <t>CARLON JUAREZ ALAN EFRAIN</t>
  </si>
  <si>
    <t>4670AF</t>
  </si>
  <si>
    <t>41G424</t>
  </si>
  <si>
    <t>CARRANZA BUSTOS LUIS MIGUEL</t>
  </si>
  <si>
    <t>2403AF</t>
  </si>
  <si>
    <t>01-2023</t>
  </si>
  <si>
    <t>JTP5824</t>
  </si>
  <si>
    <t>CARRANZA DAMIAN JONHATAN DAVID</t>
  </si>
  <si>
    <t>4268AF</t>
  </si>
  <si>
    <t>27G510</t>
  </si>
  <si>
    <t>CARREON VELAZQUEZ CESAR ADRIAN</t>
  </si>
  <si>
    <t>5942AF</t>
  </si>
  <si>
    <t>51G536</t>
  </si>
  <si>
    <t>CARRERA SERRANO RAUL</t>
  </si>
  <si>
    <t>4834AF</t>
  </si>
  <si>
    <t>D15BRR</t>
  </si>
  <si>
    <t>CARRILLO ALVAREZ BRANDON IRVIN</t>
  </si>
  <si>
    <t>5449AF</t>
  </si>
  <si>
    <t>RVX604C</t>
  </si>
  <si>
    <t>CARRILLO CAMPOS CHRISTOFER ALAN</t>
  </si>
  <si>
    <t>3742AF</t>
  </si>
  <si>
    <t>94F912</t>
  </si>
  <si>
    <t>CARRILLO CASTRO HECTOR VALENTIN</t>
  </si>
  <si>
    <t>4554AF</t>
  </si>
  <si>
    <t>C68BRH</t>
  </si>
  <si>
    <t>CARRILLO CLAUDIO HEBER PAUL</t>
  </si>
  <si>
    <t>6511AF</t>
  </si>
  <si>
    <t>F99BSP</t>
  </si>
  <si>
    <t>CARRILLO FUENTES NOE RAUL JUNIOR</t>
  </si>
  <si>
    <t>5712AF</t>
  </si>
  <si>
    <t>RXW061C</t>
  </si>
  <si>
    <t>CARRILLO GUERRA GREGORIO</t>
  </si>
  <si>
    <t>6291AF</t>
  </si>
  <si>
    <t>15K506</t>
  </si>
  <si>
    <t>CARRILLO JIMENEZ SERGIO</t>
  </si>
  <si>
    <t>4285AF</t>
  </si>
  <si>
    <t>HZT605A</t>
  </si>
  <si>
    <t>CARRILLO LECHERO HUGO RUBEN</t>
  </si>
  <si>
    <t>4276AF</t>
  </si>
  <si>
    <t>CARRILLO MEDINA OCTAVIO</t>
  </si>
  <si>
    <t>3251AF</t>
  </si>
  <si>
    <t>A40BNM</t>
  </si>
  <si>
    <t>CARRILLO ROMERO CESAR</t>
  </si>
  <si>
    <t>3923AF</t>
  </si>
  <si>
    <t>C24BPN</t>
  </si>
  <si>
    <t>CARRIZAL DOMINGUEZ FRANCISCO JAVIER</t>
  </si>
  <si>
    <t>6044AF</t>
  </si>
  <si>
    <t>51G590</t>
  </si>
  <si>
    <t>CASAS TIAHUEL ALAIN OCTAVIO</t>
  </si>
  <si>
    <t>5319AF</t>
  </si>
  <si>
    <t>29G293</t>
  </si>
  <si>
    <t>CASIMIRO HUERTERO JOSE ALBERTO</t>
  </si>
  <si>
    <t>5355AF</t>
  </si>
  <si>
    <t>43G996</t>
  </si>
  <si>
    <t>CASPETA CAMARGO MARIO ISMAEL</t>
  </si>
  <si>
    <t>3612AF</t>
  </si>
  <si>
    <t>89F729</t>
  </si>
  <si>
    <t>CASTAÑEDA RODRIGUEZ JUAN ANTONIO</t>
  </si>
  <si>
    <t>4865AF</t>
  </si>
  <si>
    <t>50G782</t>
  </si>
  <si>
    <t>CASTAÑEDA ZEPEDA ISRAEL ALEJANDRO</t>
  </si>
  <si>
    <t>4323AF</t>
  </si>
  <si>
    <t>HZT599A</t>
  </si>
  <si>
    <t>CASTELAN VALADEZ LAURA ELENA</t>
  </si>
  <si>
    <t>5256AF</t>
  </si>
  <si>
    <t>43G849</t>
  </si>
  <si>
    <t>CASTELLANOS SANCHEZ JESUS</t>
  </si>
  <si>
    <t>3607AF</t>
  </si>
  <si>
    <t>BRH510A</t>
  </si>
  <si>
    <t>CASTELLANOS VELAZQUEZ CARLOS IGNACIO</t>
  </si>
  <si>
    <t>2815AF</t>
  </si>
  <si>
    <t>JTU1504</t>
  </si>
  <si>
    <t>CASTILLO CHAVEZ PEDRO ABAD</t>
  </si>
  <si>
    <t>5093AF</t>
  </si>
  <si>
    <t>BYN536A</t>
  </si>
  <si>
    <t>CASTILLO GONZALEZ RIZARDO</t>
  </si>
  <si>
    <t>4950AF</t>
  </si>
  <si>
    <t>47G591</t>
  </si>
  <si>
    <t>CASTILLO LARRONDO DAVID ISRAEL</t>
  </si>
  <si>
    <t>5515AF</t>
  </si>
  <si>
    <t>29G355</t>
  </si>
  <si>
    <t>CASTILLO MEDINA IVAN</t>
  </si>
  <si>
    <t>6230AF</t>
  </si>
  <si>
    <t>15K068</t>
  </si>
  <si>
    <t>CASTILLO REBOLLO MIGUEL ANGEL</t>
  </si>
  <si>
    <t>3094AF</t>
  </si>
  <si>
    <t>UMF784J</t>
  </si>
  <si>
    <t>CASTILLO SOBERANES OMAR</t>
  </si>
  <si>
    <t>5927AF</t>
  </si>
  <si>
    <t>11K501</t>
  </si>
  <si>
    <t>CASTOREÑO LOPEZ FABIAN</t>
  </si>
  <si>
    <t>4076AF</t>
  </si>
  <si>
    <t>14G445</t>
  </si>
  <si>
    <t>CASTREJON JURADO RAMSES ABRAHAM</t>
  </si>
  <si>
    <t>4521AF</t>
  </si>
  <si>
    <t>39G970</t>
  </si>
  <si>
    <t>CASTRILLO PEREZ MIGUEL ANGEL</t>
  </si>
  <si>
    <t>4441AF</t>
  </si>
  <si>
    <t>19G622</t>
  </si>
  <si>
    <t>CASTRO HERRERA LUIS ALBERTO</t>
  </si>
  <si>
    <t>5294AF</t>
  </si>
  <si>
    <t>SEX504B</t>
  </si>
  <si>
    <t>CASTRO TABARES MARIO</t>
  </si>
  <si>
    <t>4303AF</t>
  </si>
  <si>
    <t>31G946</t>
  </si>
  <si>
    <t>CAVAZOS INDALECIO ANA LUCIA</t>
  </si>
  <si>
    <t>3651AF</t>
  </si>
  <si>
    <t>TDS728B</t>
  </si>
  <si>
    <t>CEDEÑO REYES GUILLERMO</t>
  </si>
  <si>
    <t>2212AF</t>
  </si>
  <si>
    <t>AYR458A</t>
  </si>
  <si>
    <t>CEDILLO ALCANTARA ADRIAN BENJAMIN</t>
  </si>
  <si>
    <t>3565AF</t>
  </si>
  <si>
    <t>89F825</t>
  </si>
  <si>
    <t>CEDILLO SANCHEZ ARMANDO</t>
  </si>
  <si>
    <t>3837AF</t>
  </si>
  <si>
    <t>08G186</t>
  </si>
  <si>
    <t>CERDA MALO JESSY</t>
  </si>
  <si>
    <t>4402AF</t>
  </si>
  <si>
    <t>BWG810A</t>
  </si>
  <si>
    <t>CERON ESTRADA JULIO CESAR</t>
  </si>
  <si>
    <t>4344AF</t>
  </si>
  <si>
    <t>31G905</t>
  </si>
  <si>
    <t>CERON LOPEZ JOSE ARTURO</t>
  </si>
  <si>
    <t>5253AF</t>
  </si>
  <si>
    <t>38G202</t>
  </si>
  <si>
    <t>CERRILLO CHAPARRO ROBERTO CARLOS</t>
  </si>
  <si>
    <t>5243AF</t>
  </si>
  <si>
    <t>BYY745A</t>
  </si>
  <si>
    <t>CERVANTES REAL GERARDO ENRIQUE</t>
  </si>
  <si>
    <t>4430AF</t>
  </si>
  <si>
    <t>14G492</t>
  </si>
  <si>
    <t>CERVANTES SUAREZ JULIO CESAR</t>
  </si>
  <si>
    <t>4644AF</t>
  </si>
  <si>
    <t>38G237</t>
  </si>
  <si>
    <t>CERVANTES TORRES CHRISTIAN ISRAEL</t>
  </si>
  <si>
    <t>3777AF</t>
  </si>
  <si>
    <t>13G570</t>
  </si>
  <si>
    <t>CHACON ESTUDILLO ANDRES JAVIER</t>
  </si>
  <si>
    <t>5437AF</t>
  </si>
  <si>
    <t>48G035</t>
  </si>
  <si>
    <t>CHACON VANEGAS JUAN CARLOS</t>
  </si>
  <si>
    <t>6367AF</t>
  </si>
  <si>
    <t>62G354</t>
  </si>
  <si>
    <t>CHANFREAU HERNANDEZ JORGE</t>
  </si>
  <si>
    <t>3553AF</t>
  </si>
  <si>
    <t>G11BPF</t>
  </si>
  <si>
    <t>CHAVERO GONZALEZ LUIS EDUARDO</t>
  </si>
  <si>
    <t>6046AF</t>
  </si>
  <si>
    <t>15K439</t>
  </si>
  <si>
    <t>CHAVEZ ALAMILLA JULIO MANUEL</t>
  </si>
  <si>
    <t>4509AF</t>
  </si>
  <si>
    <t>B03BMP</t>
  </si>
  <si>
    <t>CHAVEZ CRUZ IGNACIO</t>
  </si>
  <si>
    <t>5500AF</t>
  </si>
  <si>
    <t>48G192</t>
  </si>
  <si>
    <t>CHAVEZ HINOJOSA DANIEL</t>
  </si>
  <si>
    <t>5519AF</t>
  </si>
  <si>
    <t>CHAVEZ LOBATO LUIS</t>
  </si>
  <si>
    <t>3460AF</t>
  </si>
  <si>
    <t>89F642</t>
  </si>
  <si>
    <t>CHIPREZ CAMPOS JOSE ALFREDO</t>
  </si>
  <si>
    <t>5398AF</t>
  </si>
  <si>
    <t>BYZ940A</t>
  </si>
  <si>
    <t>CHORA HERRERA ULISES</t>
  </si>
  <si>
    <t>5722AF</t>
  </si>
  <si>
    <t>10K418</t>
  </si>
  <si>
    <t>CIMBRON REYES DANIEL</t>
  </si>
  <si>
    <t>4158AF</t>
  </si>
  <si>
    <t>19G374</t>
  </si>
  <si>
    <t>CIRIACO GUIDO JUAN CARLOS</t>
  </si>
  <si>
    <t>4013AF</t>
  </si>
  <si>
    <t>R83BKY</t>
  </si>
  <si>
    <t>CIRIO MENDOZA LUIS EDUARDO</t>
  </si>
  <si>
    <t>5288AF</t>
  </si>
  <si>
    <t>BYZ578A</t>
  </si>
  <si>
    <t>CISNEROS SALAS JOSE IVAN</t>
  </si>
  <si>
    <t>4376AF</t>
  </si>
  <si>
    <t>AWF365A</t>
  </si>
  <si>
    <t>RIO</t>
  </si>
  <si>
    <t>COLIN SANCHEZ JOSE ANTONIO</t>
  </si>
  <si>
    <t>4764AF</t>
  </si>
  <si>
    <t>41G467</t>
  </si>
  <si>
    <t>COLINA RIVERO ELIASSIB ENRIQUE</t>
  </si>
  <si>
    <t>4520AF</t>
  </si>
  <si>
    <t>31G734</t>
  </si>
  <si>
    <t>COLLAZO FLORES TLALOC XOCHITIOTZIN</t>
  </si>
  <si>
    <t>3198AF</t>
  </si>
  <si>
    <t>HUL790A</t>
  </si>
  <si>
    <t>CONDE OSORIO LINO FRANCISCO</t>
  </si>
  <si>
    <t>4452AF</t>
  </si>
  <si>
    <t>19G615</t>
  </si>
  <si>
    <t>CONTRERAS MUÑOZ JUAN PABLO</t>
  </si>
  <si>
    <t>3312AF</t>
  </si>
  <si>
    <t>HWD956A</t>
  </si>
  <si>
    <t>CONTRERAS NOLASCO DANIEL</t>
  </si>
  <si>
    <t>4730AF</t>
  </si>
  <si>
    <t>BXT306A</t>
  </si>
  <si>
    <t>CONTRERAS SUAREZ CARLOS</t>
  </si>
  <si>
    <t>3033AF</t>
  </si>
  <si>
    <t>S39BNL</t>
  </si>
  <si>
    <t>COPADO REYES GERMAN ARMANDO</t>
  </si>
  <si>
    <t>3829AF</t>
  </si>
  <si>
    <t>08G123</t>
  </si>
  <si>
    <t>CORDERO GALICIA ARMANDO</t>
  </si>
  <si>
    <t>5376AF</t>
  </si>
  <si>
    <t>48G130</t>
  </si>
  <si>
    <t>CORDOVA BARRERA FRANCO</t>
  </si>
  <si>
    <t>5416AF</t>
  </si>
  <si>
    <t>29G280</t>
  </si>
  <si>
    <t>CORDOVA RIVERA MARIANO IVAN</t>
  </si>
  <si>
    <t>6161AF</t>
  </si>
  <si>
    <t>62G364</t>
  </si>
  <si>
    <t>CORDOVA SANDOVAL JORGE ALBERTO</t>
  </si>
  <si>
    <t>4980AF</t>
  </si>
  <si>
    <t>RUW772C</t>
  </si>
  <si>
    <t>CORONA MARTINEZ JORGE ISAIR</t>
  </si>
  <si>
    <t>5743AF</t>
  </si>
  <si>
    <t>CORONA MEDINA FRANCISCO JAVIER</t>
  </si>
  <si>
    <t>5369AF</t>
  </si>
  <si>
    <t>50G605</t>
  </si>
  <si>
    <t>CORREA RUELAS JUAN PABLO</t>
  </si>
  <si>
    <t>3654AF</t>
  </si>
  <si>
    <t>HXC197A</t>
  </si>
  <si>
    <t>CORTES ALFARO JOSE ANTONIO</t>
  </si>
  <si>
    <t>4492AF</t>
  </si>
  <si>
    <t>27G442</t>
  </si>
  <si>
    <t>CORTES CERVANTES KARLA PATRICIA</t>
  </si>
  <si>
    <t>3488AF</t>
  </si>
  <si>
    <t>89F644</t>
  </si>
  <si>
    <t>CORTES GAYTAN ENRIQUE</t>
  </si>
  <si>
    <t>2932AF</t>
  </si>
  <si>
    <t>12-2023</t>
  </si>
  <si>
    <t>SRJ679B</t>
  </si>
  <si>
    <t>CORTES MARTINEZ ANGEL ANDRES</t>
  </si>
  <si>
    <t>6244AF</t>
  </si>
  <si>
    <t>62G314</t>
  </si>
  <si>
    <t>CORTEZ ISLAS ARTURO</t>
  </si>
  <si>
    <t>5085AF</t>
  </si>
  <si>
    <t>RUW784C</t>
  </si>
  <si>
    <t>CORTEZ SERRANO JOSE JUAN</t>
  </si>
  <si>
    <t>5089AF</t>
  </si>
  <si>
    <t>BYN538A</t>
  </si>
  <si>
    <t>COVA CAMACHO BRAYAN ADRIAN</t>
  </si>
  <si>
    <t>2496AF</t>
  </si>
  <si>
    <t>03-2023</t>
  </si>
  <si>
    <t>C47BKM</t>
  </si>
  <si>
    <t>CRUZ ALVAREZ BRAULIO</t>
  </si>
  <si>
    <t>4017AF</t>
  </si>
  <si>
    <t>13G787</t>
  </si>
  <si>
    <t>CRUZ APARICIO JESUS ALEXIS</t>
  </si>
  <si>
    <t>4705AF</t>
  </si>
  <si>
    <t>47G462</t>
  </si>
  <si>
    <t>CRUZ AVILA JUAN MANUEL</t>
  </si>
  <si>
    <t>3897AF</t>
  </si>
  <si>
    <t>08G153</t>
  </si>
  <si>
    <t>CRUZ AYALA FRANCISCO ELEAZAR</t>
  </si>
  <si>
    <t>4711AF</t>
  </si>
  <si>
    <t>E35BRR</t>
  </si>
  <si>
    <t>CRUZ CIRIO MARIO</t>
  </si>
  <si>
    <t>3687AF</t>
  </si>
  <si>
    <t>05G282</t>
  </si>
  <si>
    <t>CRUZ CORRAL MANUEL</t>
  </si>
  <si>
    <t>3161AF</t>
  </si>
  <si>
    <t>B98BNM</t>
  </si>
  <si>
    <t>CRUZ GARCIA JUAN</t>
  </si>
  <si>
    <t>5946AF</t>
  </si>
  <si>
    <t>10K416</t>
  </si>
  <si>
    <t>CRUZ GREZ HUMBERTO</t>
  </si>
  <si>
    <t>5248AF</t>
  </si>
  <si>
    <t>E13BRR</t>
  </si>
  <si>
    <t>CRUZ GUTIERREZ MOISES JACOB</t>
  </si>
  <si>
    <t>3013AF</t>
  </si>
  <si>
    <t>H99BND</t>
  </si>
  <si>
    <t>CRUZ HERNANDEZ JOSE BENIGNO ALFREDO</t>
  </si>
  <si>
    <t>3302AF</t>
  </si>
  <si>
    <t>B54BNY</t>
  </si>
  <si>
    <t>CRUZ LOPEZ JORGE</t>
  </si>
  <si>
    <t>5622AF</t>
  </si>
  <si>
    <t>48G272</t>
  </si>
  <si>
    <t>CRUZ LOYA JAVIER NORBERTO</t>
  </si>
  <si>
    <t>4357AF</t>
  </si>
  <si>
    <t>31G740</t>
  </si>
  <si>
    <t>CRUZ MARTINEZ RAFAEL</t>
  </si>
  <si>
    <t>4576AF</t>
  </si>
  <si>
    <t>39G696</t>
  </si>
  <si>
    <t>CRUZ MEJIA JUAN CARLOS</t>
  </si>
  <si>
    <t>4655AF</t>
  </si>
  <si>
    <t>38G343</t>
  </si>
  <si>
    <t>CRUZ PEREZ SERGIO</t>
  </si>
  <si>
    <t>5200AF</t>
  </si>
  <si>
    <t>43G850</t>
  </si>
  <si>
    <t>CRUZ ROBLEDO ERICK ALBERTO</t>
  </si>
  <si>
    <t>6381AF</t>
  </si>
  <si>
    <t>51G510</t>
  </si>
  <si>
    <t>CRUZ RODRÍGUEZ DIEGO SAMUEL</t>
  </si>
  <si>
    <t>7224AF</t>
  </si>
  <si>
    <t>24K752</t>
  </si>
  <si>
    <t>CRUZ SANCHEZ RUBEN ROSSEMBERG</t>
  </si>
  <si>
    <t>5210AF</t>
  </si>
  <si>
    <t>BYY751A</t>
  </si>
  <si>
    <t>CRUZ TORRES MARTIN ALEJANDRO</t>
  </si>
  <si>
    <t>3621AF</t>
  </si>
  <si>
    <t>E67BPF</t>
  </si>
  <si>
    <t>CRUZ VELAZQUEZ MARCO ANTONIO</t>
  </si>
  <si>
    <t>5036AF</t>
  </si>
  <si>
    <t>41G613</t>
  </si>
  <si>
    <t>CUETO BARROETA ARMANDO SAMUEL</t>
  </si>
  <si>
    <t>6105AF</t>
  </si>
  <si>
    <t>62G338</t>
  </si>
  <si>
    <t>CUEVAS REYES ENRIQUE</t>
  </si>
  <si>
    <t>6280AF</t>
  </si>
  <si>
    <t>CAT834A</t>
  </si>
  <si>
    <t>CUEVAS ZAVALA GERARD GERMAN</t>
  </si>
  <si>
    <t>3883AF</t>
  </si>
  <si>
    <t>D04BPN</t>
  </si>
  <si>
    <t>CURIEL TORRES EFRAIN</t>
  </si>
  <si>
    <t>2773AF</t>
  </si>
  <si>
    <t>63F972</t>
  </si>
  <si>
    <t>DANACHE MARTINEZ JUAN PABLO</t>
  </si>
  <si>
    <t>3479AF</t>
  </si>
  <si>
    <t>89F698</t>
  </si>
  <si>
    <t>DARIO SANDOVAL CESAR OSWALDO</t>
  </si>
  <si>
    <t>4915AF</t>
  </si>
  <si>
    <t>BYG559A</t>
  </si>
  <si>
    <t>DAVILA HERNANDEZ ARMANDO</t>
  </si>
  <si>
    <t>3104AF</t>
  </si>
  <si>
    <t>Y13BNL</t>
  </si>
  <si>
    <t>DAVILA MALDONADO PERLA CECILIA</t>
  </si>
  <si>
    <t>2916AF</t>
  </si>
  <si>
    <t>SSV801B</t>
  </si>
  <si>
    <t>DE AQUINO GONZALEZ JOSAFAT DANTON</t>
  </si>
  <si>
    <t>4032AF</t>
  </si>
  <si>
    <t>13G965</t>
  </si>
  <si>
    <t>DE LA CRUZ CEFERINO EDUARDO ASUNCION</t>
  </si>
  <si>
    <t>5795AF</t>
  </si>
  <si>
    <t>RXW243C</t>
  </si>
  <si>
    <t>DE LEON ALVAREZ MIGUEL ANGEL</t>
  </si>
  <si>
    <t>5520AF</t>
  </si>
  <si>
    <t>RVX595C</t>
  </si>
  <si>
    <t>DE LEON VERA LUIS ANTONIO</t>
  </si>
  <si>
    <t>4215AF</t>
  </si>
  <si>
    <t>20G808</t>
  </si>
  <si>
    <t>DE MARCOS ANICETO GREGORIO</t>
  </si>
  <si>
    <t>5001AF</t>
  </si>
  <si>
    <t>50G967</t>
  </si>
  <si>
    <t>DEHESA PEREZ VICTOR PEDRO</t>
  </si>
  <si>
    <t>6147AF</t>
  </si>
  <si>
    <t>62G215</t>
  </si>
  <si>
    <t>DEL ANGEL DOMINGUEZ JAVIER</t>
  </si>
  <si>
    <t>3275AF</t>
  </si>
  <si>
    <t>T07BNL</t>
  </si>
  <si>
    <t>DEL CARPIO SANTANA FRANCISCO JAVIER</t>
  </si>
  <si>
    <t>2266AF</t>
  </si>
  <si>
    <t>JTF9139</t>
  </si>
  <si>
    <t>DEL SOLAR BUSTILLOS ERIK ALBERTO</t>
  </si>
  <si>
    <t>4541AF</t>
  </si>
  <si>
    <t>40G146</t>
  </si>
  <si>
    <t>DEL TORO AVILA HUGO</t>
  </si>
  <si>
    <t>6683AF</t>
  </si>
  <si>
    <t>W19BRU</t>
  </si>
  <si>
    <t>DELGADILLO GUEVARA CARLOS IVAN</t>
  </si>
  <si>
    <t>4425AF</t>
  </si>
  <si>
    <t>89F821</t>
  </si>
  <si>
    <t>DELGADO GUERRA JUAN JOSE</t>
  </si>
  <si>
    <t>6668AF</t>
  </si>
  <si>
    <t>51G627</t>
  </si>
  <si>
    <t>DELGADO MENDOZA EMILIO</t>
  </si>
  <si>
    <t>3202AF</t>
  </si>
  <si>
    <t>BNB426A</t>
  </si>
  <si>
    <t>DEMECIO HERNANDEZ EDGAR OMAR</t>
  </si>
  <si>
    <t>5017AF</t>
  </si>
  <si>
    <t>14G427</t>
  </si>
  <si>
    <t>DEMESA DE LA CRUZ MARCO ANTONIO</t>
  </si>
  <si>
    <t>3431AF</t>
  </si>
  <si>
    <t>89F547</t>
  </si>
  <si>
    <t>DESALES CABRERA FELIPE DE JESUS</t>
  </si>
  <si>
    <t>4419AF</t>
  </si>
  <si>
    <t>BWG814A</t>
  </si>
  <si>
    <t>DIAZ ALBINO JULIO</t>
  </si>
  <si>
    <t>3611AF</t>
  </si>
  <si>
    <t>89F741</t>
  </si>
  <si>
    <t>DIAZ DE LEON GONZALEZ SAUL</t>
  </si>
  <si>
    <t>5543AF</t>
  </si>
  <si>
    <t>42G701</t>
  </si>
  <si>
    <t>DIAZ GARCIA LUIS ANTONIO</t>
  </si>
  <si>
    <t>3183AF</t>
  </si>
  <si>
    <t>X09BNL</t>
  </si>
  <si>
    <t>DIAZ HERNANDEZ EDDIE FERNANDO</t>
  </si>
  <si>
    <t>5742AF</t>
  </si>
  <si>
    <t>RXC628C</t>
  </si>
  <si>
    <t>DIAZ MORENO MIGUEL ANGEL</t>
  </si>
  <si>
    <t>5377AF</t>
  </si>
  <si>
    <t>48G173</t>
  </si>
  <si>
    <t>DIAZ SANCHEZ EDUARDO</t>
  </si>
  <si>
    <t>2956AF</t>
  </si>
  <si>
    <t>E12BNL</t>
  </si>
  <si>
    <t>DIAZ VELAZQUEZ LUIS FELIPE</t>
  </si>
  <si>
    <t>5330AF</t>
  </si>
  <si>
    <t>48G048</t>
  </si>
  <si>
    <t>DIMAS ARRIOJA DIEGO</t>
  </si>
  <si>
    <t>6344AF</t>
  </si>
  <si>
    <t>CBL122A</t>
  </si>
  <si>
    <t>DOMINGUEZ ALVAREZ JUAN ARMANDO</t>
  </si>
  <si>
    <t>5832AF</t>
  </si>
  <si>
    <t>51G506</t>
  </si>
  <si>
    <t>DOMINGUEZ AMAYO ERNESTO JESUS</t>
  </si>
  <si>
    <t>3569AF</t>
  </si>
  <si>
    <t>DOMINGUEZ CANSINO ERIC</t>
  </si>
  <si>
    <t>3467AF</t>
  </si>
  <si>
    <t>E98BPF</t>
  </si>
  <si>
    <t>DOMINGUEZ GUTIERREZ MAURICIO</t>
  </si>
  <si>
    <t>4117AF</t>
  </si>
  <si>
    <t>13G924</t>
  </si>
  <si>
    <t>DOMINGUEZ HERNANDEZ CRISTIAM DANIEL</t>
  </si>
  <si>
    <t>2392AF</t>
  </si>
  <si>
    <t>BEH486A</t>
  </si>
  <si>
    <t>DOMINGUEZ MARTINEZ JOSUE ELISEO</t>
  </si>
  <si>
    <t>6453AF</t>
  </si>
  <si>
    <t>RXW249C</t>
  </si>
  <si>
    <t>DOMINGUEZ SANDOVAL OSCAR</t>
  </si>
  <si>
    <t>4538AF</t>
  </si>
  <si>
    <t>27G678</t>
  </si>
  <si>
    <t>DORANTES LARA ALEJANDRO</t>
  </si>
  <si>
    <t>4147AF</t>
  </si>
  <si>
    <t>19G341</t>
  </si>
  <si>
    <t>DUEÑAS NIÑO DANIEL</t>
  </si>
  <si>
    <t>2251AF</t>
  </si>
  <si>
    <t>JTF9138</t>
  </si>
  <si>
    <t>DUEÑAS PEREZ JORGE</t>
  </si>
  <si>
    <t>4799AF</t>
  </si>
  <si>
    <t>BNB420A</t>
  </si>
  <si>
    <t>DUQUE ALVAREZ ERICK ANTONIO</t>
  </si>
  <si>
    <t>5045AF</t>
  </si>
  <si>
    <t>50G950</t>
  </si>
  <si>
    <t>DURAN RENTERIA JOSE LUIS</t>
  </si>
  <si>
    <t>6224AF</t>
  </si>
  <si>
    <t>CAT823A</t>
  </si>
  <si>
    <t>DURON ALONZO CHRISTOPHER AZAEL</t>
  </si>
  <si>
    <t>6301AF</t>
  </si>
  <si>
    <t>53S668</t>
  </si>
  <si>
    <t>ELIAS ZUÑIGA NICOLAS</t>
  </si>
  <si>
    <t>4678AF</t>
  </si>
  <si>
    <t>47G430</t>
  </si>
  <si>
    <t>ELIZALDE DEL MURO EDER ULISES</t>
  </si>
  <si>
    <t>4182AF</t>
  </si>
  <si>
    <t>19G453</t>
  </si>
  <si>
    <t>ENCISO HERNANDEZ ALBINO</t>
  </si>
  <si>
    <t>4043AF</t>
  </si>
  <si>
    <t>13G848</t>
  </si>
  <si>
    <t>ENDOQUI GARCIA JAVIER ALEJANDRO</t>
  </si>
  <si>
    <t>3079AF</t>
  </si>
  <si>
    <t>84F042</t>
  </si>
  <si>
    <t>ENRIQUEZ GARCIA JAVIER</t>
  </si>
  <si>
    <t>6120AF</t>
  </si>
  <si>
    <t>CAS980A</t>
  </si>
  <si>
    <t>ENRIQUEZ ROMERO SAMUEL</t>
  </si>
  <si>
    <t>6624AF</t>
  </si>
  <si>
    <t>JZK645A</t>
  </si>
  <si>
    <t>ENRIQUEZ TORRES OMAR</t>
  </si>
  <si>
    <t>5183AF</t>
  </si>
  <si>
    <t>50G675</t>
  </si>
  <si>
    <t>ESCALANTE ROCHA ANDRES</t>
  </si>
  <si>
    <t>4767AF</t>
  </si>
  <si>
    <t>41G301</t>
  </si>
  <si>
    <t>ESCAMILLA MORALES MARIO ALFONSO</t>
  </si>
  <si>
    <t>6806AF</t>
  </si>
  <si>
    <t>16K684</t>
  </si>
  <si>
    <t>ESCAREÑO VILLARREAL HECTOR HUGO</t>
  </si>
  <si>
    <t>3982AF</t>
  </si>
  <si>
    <t>TCS207B</t>
  </si>
  <si>
    <t>ESCOBAR VILLA JUAN JOSE</t>
  </si>
  <si>
    <t>5854AF</t>
  </si>
  <si>
    <t>11K507</t>
  </si>
  <si>
    <t>ESLAVA MENESES JORGE LUIS</t>
  </si>
  <si>
    <t>5468AF</t>
  </si>
  <si>
    <t>44G096</t>
  </si>
  <si>
    <t>ESPINOSA ROLDAN GUSTAVO</t>
  </si>
  <si>
    <t>5006AF</t>
  </si>
  <si>
    <t>41G609</t>
  </si>
  <si>
    <t>ESPINOZA . JESUS ALEJANDRO</t>
  </si>
  <si>
    <t>6174AF</t>
  </si>
  <si>
    <t>CAT836A</t>
  </si>
  <si>
    <t>ESPINOZA BARBOSA BRAYAN ALEJANDRO</t>
  </si>
  <si>
    <t>6239AF</t>
  </si>
  <si>
    <t>38G290</t>
  </si>
  <si>
    <t>ESPINOZA MORENO FERNANDO JONATHAN</t>
  </si>
  <si>
    <t>5715AF</t>
  </si>
  <si>
    <t>CAD703A</t>
  </si>
  <si>
    <t>ESPINOZA RIVERA DAVID SEFERINO</t>
  </si>
  <si>
    <t>5166AF</t>
  </si>
  <si>
    <t>BLX621A</t>
  </si>
  <si>
    <t>ESPINOZA TOLENTINO IVAN</t>
  </si>
  <si>
    <t>4881AF</t>
  </si>
  <si>
    <t>47G510</t>
  </si>
  <si>
    <t>ESQUIVEL RANGEL DAVID</t>
  </si>
  <si>
    <t>4353AF</t>
  </si>
  <si>
    <t>E59BRJ</t>
  </si>
  <si>
    <t>ESQUIVEL RAZO JUAN MANUEL</t>
  </si>
  <si>
    <t>2622AF</t>
  </si>
  <si>
    <t>H43BMC</t>
  </si>
  <si>
    <t>ESTEFES LIRA HUGO ALBERTO</t>
  </si>
  <si>
    <t>4528AF</t>
  </si>
  <si>
    <t>27G777</t>
  </si>
  <si>
    <t>ESTEVEZ QUINTANAR MOISES JACOB</t>
  </si>
  <si>
    <t>2726AF</t>
  </si>
  <si>
    <t>S77BMD</t>
  </si>
  <si>
    <t>ESTRADA BETANZOS PAULINO ARMANDO</t>
  </si>
  <si>
    <t>5077AF</t>
  </si>
  <si>
    <t>47G565</t>
  </si>
  <si>
    <t>ESTRADA DOMINGUEZ MARIO</t>
  </si>
  <si>
    <t>5241AF</t>
  </si>
  <si>
    <t>BYY746A</t>
  </si>
  <si>
    <t>ESTRADA HERNANDEZ FRANCISCO</t>
  </si>
  <si>
    <t>4557AF</t>
  </si>
  <si>
    <t>JAW371A</t>
  </si>
  <si>
    <t>ESTRADA LEYVA LUIS ALBERTO</t>
  </si>
  <si>
    <t>6255AF</t>
  </si>
  <si>
    <t>BYN542A</t>
  </si>
  <si>
    <t>ESTRADA LOPEZ YOSTHIN</t>
  </si>
  <si>
    <t>5962AF</t>
  </si>
  <si>
    <t>51G648</t>
  </si>
  <si>
    <t>ESTRADA MARTINEZ JOSE MIGUEL</t>
  </si>
  <si>
    <t>4109AF</t>
  </si>
  <si>
    <t>HWS683A</t>
  </si>
  <si>
    <t>ESTRADA RESENDIZ JOSE RAUL</t>
  </si>
  <si>
    <t>4029AF</t>
  </si>
  <si>
    <t>13G955</t>
  </si>
  <si>
    <t>ESTRADA SANCHEZ ROSALIO</t>
  </si>
  <si>
    <t>5931AF</t>
  </si>
  <si>
    <t>51G542</t>
  </si>
  <si>
    <t>ESTRADA SANCHEZ SAIRON</t>
  </si>
  <si>
    <t>4026AF</t>
  </si>
  <si>
    <t>ESTRADA VALENCIA BRUNO ENRIQUE</t>
  </si>
  <si>
    <t>4526AF</t>
  </si>
  <si>
    <t>27G732</t>
  </si>
  <si>
    <t>EUSEBIO CASTILLO ANDRES</t>
  </si>
  <si>
    <t>2691AF</t>
  </si>
  <si>
    <t>08-2023</t>
  </si>
  <si>
    <t>S55BMJ</t>
  </si>
  <si>
    <t>FACUNDO CRUZ EDUARDO</t>
  </si>
  <si>
    <t>5861AF</t>
  </si>
  <si>
    <t>51G544</t>
  </si>
  <si>
    <t>FARIAS BARRON ROMAN ALEJANDRO</t>
  </si>
  <si>
    <t>6320AF</t>
  </si>
  <si>
    <t>53S670</t>
  </si>
  <si>
    <t>FARIAS SALAZAR GERARDO</t>
  </si>
  <si>
    <t>2801AF</t>
  </si>
  <si>
    <t>JTT9638</t>
  </si>
  <si>
    <t>FELICIANO RUIZ OSCAR</t>
  </si>
  <si>
    <t>3608AF</t>
  </si>
  <si>
    <t>BRH506A</t>
  </si>
  <si>
    <t>FERNANDEZ JIMENEZ LUIS DANIEL</t>
  </si>
  <si>
    <t>5407AF</t>
  </si>
  <si>
    <t>FERNANDEZ MARTINEZ ENRIQUE</t>
  </si>
  <si>
    <t>3378AF</t>
  </si>
  <si>
    <t>BNJ622A</t>
  </si>
  <si>
    <t>FERNANDEZ RIOS FRANCISCO</t>
  </si>
  <si>
    <t>4775AF</t>
  </si>
  <si>
    <t>RLW871C</t>
  </si>
  <si>
    <t>FERNANDEZ URIOSTEGUI FRANCISCO JAVIER</t>
  </si>
  <si>
    <t>6901AF</t>
  </si>
  <si>
    <t>31G841</t>
  </si>
  <si>
    <t>FLORES CONTRERAS JUAN FRANCISCO</t>
  </si>
  <si>
    <t>5563AF</t>
  </si>
  <si>
    <t>FLORES CRUZ EDUARDO AGUSTIN</t>
  </si>
  <si>
    <t>5592AF</t>
  </si>
  <si>
    <t>BZA438A</t>
  </si>
  <si>
    <t>FLORES DIEGO JONATHAN DANIEL</t>
  </si>
  <si>
    <t>5977AF</t>
  </si>
  <si>
    <t>JNU138A</t>
  </si>
  <si>
    <t>FLORES GONZALEZ ERNESTO GERARDO</t>
  </si>
  <si>
    <t>4333AF</t>
  </si>
  <si>
    <t>31G757</t>
  </si>
  <si>
    <t>FLORES MENDOZA JUAN CARLOS</t>
  </si>
  <si>
    <t>3778AF</t>
  </si>
  <si>
    <t>13G519</t>
  </si>
  <si>
    <t>FLORES OREGON FERNANDO</t>
  </si>
  <si>
    <t>2903AF</t>
  </si>
  <si>
    <t>D34BNH</t>
  </si>
  <si>
    <t>FLORES PALACIOS ERNESTO GABRIEL</t>
  </si>
  <si>
    <t>5650AF</t>
  </si>
  <si>
    <t>08K011</t>
  </si>
  <si>
    <t>FLORES PORTILLO ISIDORO ANTONIO</t>
  </si>
  <si>
    <t>5063AF</t>
  </si>
  <si>
    <t>RUW777C</t>
  </si>
  <si>
    <t>FLORES SANDOVAL ALFREDO.</t>
  </si>
  <si>
    <t>6392AF</t>
  </si>
  <si>
    <t>CBL056A</t>
  </si>
  <si>
    <t>FLORES SANDOVAL JUSSEP URIEL</t>
  </si>
  <si>
    <t>4068AF</t>
  </si>
  <si>
    <t>19G358</t>
  </si>
  <si>
    <t>FLORES SILVA EDGAR EDUARDO</t>
  </si>
  <si>
    <t>6273AF</t>
  </si>
  <si>
    <t>53S726</t>
  </si>
  <si>
    <t>FLORES TAFOLLA BRANDON</t>
  </si>
  <si>
    <t>5698AF</t>
  </si>
  <si>
    <t>13G810</t>
  </si>
  <si>
    <t>FLORIN MORALES ISRAEL</t>
  </si>
  <si>
    <t>5518AF</t>
  </si>
  <si>
    <t>19G554</t>
  </si>
  <si>
    <t>FRAGOSO LOPEZ PABLO BENJAMIN</t>
  </si>
  <si>
    <t>4862AF</t>
  </si>
  <si>
    <t>50G774</t>
  </si>
  <si>
    <t>FRANCISCO ALVARADO JORGE</t>
  </si>
  <si>
    <t>5702AF</t>
  </si>
  <si>
    <t>CAD040A</t>
  </si>
  <si>
    <t>FRONTANA CASTRO CHRISTIAN ADALBERTO</t>
  </si>
  <si>
    <t>4335AF</t>
  </si>
  <si>
    <t>31G713</t>
  </si>
  <si>
    <t>FUENTES BOY JUAN MANUEL</t>
  </si>
  <si>
    <t>6463AF</t>
  </si>
  <si>
    <t>52G090</t>
  </si>
  <si>
    <t>GABRIEL GOMEZ ALFREDO</t>
  </si>
  <si>
    <t>4663AF</t>
  </si>
  <si>
    <t>38G391</t>
  </si>
  <si>
    <t>GALAN BARRERA ANTONIO</t>
  </si>
  <si>
    <t>5855AF</t>
  </si>
  <si>
    <t>11K503</t>
  </si>
  <si>
    <t>GALAN MERCADO DIEGO ARMANDO</t>
  </si>
  <si>
    <t>5470AF</t>
  </si>
  <si>
    <t>28G913</t>
  </si>
  <si>
    <t>GALARZA VEGA HECTOR MIGUEL</t>
  </si>
  <si>
    <t>4330AF</t>
  </si>
  <si>
    <t>E63BRH</t>
  </si>
  <si>
    <t>GALEANA CHABELA RAYMUNDO</t>
  </si>
  <si>
    <t>3760AF</t>
  </si>
  <si>
    <t>BSG237A</t>
  </si>
  <si>
    <t>GALEANA FLORES PEDRO</t>
  </si>
  <si>
    <t>5522AF</t>
  </si>
  <si>
    <t>BZA445A</t>
  </si>
  <si>
    <t>GALICIA INCLAN ERNESTO</t>
  </si>
  <si>
    <t>5759AF</t>
  </si>
  <si>
    <t>10K112</t>
  </si>
  <si>
    <t>GALICIA MENDOZA JESUS JULIAN</t>
  </si>
  <si>
    <t>5668AF</t>
  </si>
  <si>
    <t>07K824</t>
  </si>
  <si>
    <t>GALINDO MEDINA GIOVANNY</t>
  </si>
  <si>
    <t>5127AF</t>
  </si>
  <si>
    <t>47G956</t>
  </si>
  <si>
    <t>GALINDO RODRIGUEZ OMAR</t>
  </si>
  <si>
    <t>2735AF</t>
  </si>
  <si>
    <t>T66BMD</t>
  </si>
  <si>
    <t>GALLEGOS GONZALEZ MICHELLE</t>
  </si>
  <si>
    <t>4668AF</t>
  </si>
  <si>
    <t>GALVAN ESPINOSA HORACIO</t>
  </si>
  <si>
    <t>4654AF</t>
  </si>
  <si>
    <t>38G375</t>
  </si>
  <si>
    <t>GALVAN FIGUEROA JAVIER</t>
  </si>
  <si>
    <t>4773AF</t>
  </si>
  <si>
    <t>D84BRR</t>
  </si>
  <si>
    <t>GALVAN LEDESMA ALAN RODRIGO</t>
  </si>
  <si>
    <t>4682AF</t>
  </si>
  <si>
    <t>Z65BRP</t>
  </si>
  <si>
    <t>GALVAN QUINTERO DIANA ZITLALY</t>
  </si>
  <si>
    <t>5794AF</t>
  </si>
  <si>
    <t>RXW056C</t>
  </si>
  <si>
    <t>GALVAN SALAZAR EDGAR AGMED</t>
  </si>
  <si>
    <t>4012AF</t>
  </si>
  <si>
    <t>TFP757B</t>
  </si>
  <si>
    <t>GALVEZ RODAS MARCO ANTONIO</t>
  </si>
  <si>
    <t>6281AF</t>
  </si>
  <si>
    <t>CAT845A</t>
  </si>
  <si>
    <t>GALVEZ SOTO SERGIO ALBERTO</t>
  </si>
  <si>
    <t>4471AF</t>
  </si>
  <si>
    <t>31G815</t>
  </si>
  <si>
    <t>GAMIZ DIAZ ERICK</t>
  </si>
  <si>
    <t>5405AF</t>
  </si>
  <si>
    <t>JAY041A</t>
  </si>
  <si>
    <t>GARAY SOBERANES JOSE ANTONIO</t>
  </si>
  <si>
    <t>4805AF</t>
  </si>
  <si>
    <t>41G447</t>
  </si>
  <si>
    <t>GARCIA ACEVEDO GABRIEL</t>
  </si>
  <si>
    <t>2604AF</t>
  </si>
  <si>
    <t>06-2023</t>
  </si>
  <si>
    <t>H58BMC</t>
  </si>
  <si>
    <t>GARCIA ALVAREZ MARTIN</t>
  </si>
  <si>
    <t>7226AF</t>
  </si>
  <si>
    <t>SBG008C</t>
  </si>
  <si>
    <t>GARCIA ALVAREZ SERGIO JONATHAN</t>
  </si>
  <si>
    <t>3986AF</t>
  </si>
  <si>
    <t>13G737</t>
  </si>
  <si>
    <t>GARCIA ARROYO CESAR DAVID</t>
  </si>
  <si>
    <t>4743AF</t>
  </si>
  <si>
    <t>38G337</t>
  </si>
  <si>
    <t>GARCIA BLANCAS EVER ABISAY</t>
  </si>
  <si>
    <t>3476AF</t>
  </si>
  <si>
    <t>H98BLM</t>
  </si>
  <si>
    <t>GARCIA CALATA MIGUEL ANGEL</t>
  </si>
  <si>
    <t>3979AF</t>
  </si>
  <si>
    <t>HXC207A</t>
  </si>
  <si>
    <t>GARCIA CARRASCO OSCAR ALEXIS</t>
  </si>
  <si>
    <t>5240AF</t>
  </si>
  <si>
    <t>BYZ203A</t>
  </si>
  <si>
    <t>GARCIA CASIANO JORGE ALBERTO</t>
  </si>
  <si>
    <t>5113AF</t>
  </si>
  <si>
    <t>47G712</t>
  </si>
  <si>
    <t>GARCIA CRUZ FRANCISCO JAVIER</t>
  </si>
  <si>
    <t>4699AF</t>
  </si>
  <si>
    <t>41G540</t>
  </si>
  <si>
    <t>GARCIA CRUZ MARCO ANTONIO</t>
  </si>
  <si>
    <t>2846AF</t>
  </si>
  <si>
    <t>26F426</t>
  </si>
  <si>
    <t>EJ7</t>
  </si>
  <si>
    <t>GARCIA DE JESUS JOSE EDUARDO</t>
  </si>
  <si>
    <t>4953AF</t>
  </si>
  <si>
    <t>41G451</t>
  </si>
  <si>
    <t>GARCIA DIAZ CARLOS DANIEL</t>
  </si>
  <si>
    <t>3881AF</t>
  </si>
  <si>
    <t>JTK2202</t>
  </si>
  <si>
    <t>GARCIA DURAN LUIS JOHNNATAN</t>
  </si>
  <si>
    <t>5505AF</t>
  </si>
  <si>
    <t>48G102</t>
  </si>
  <si>
    <t>GARCIA FERMOSO ALFREDO LEON</t>
  </si>
  <si>
    <t>3885AF</t>
  </si>
  <si>
    <t>94F904</t>
  </si>
  <si>
    <t>GARCIA FLORES JORGE ARMANDO</t>
  </si>
  <si>
    <t>5115AF</t>
  </si>
  <si>
    <t>84F049</t>
  </si>
  <si>
    <t>GARCIA FONSECA GUADALUPE</t>
  </si>
  <si>
    <t>4298AF</t>
  </si>
  <si>
    <t>31G988</t>
  </si>
  <si>
    <t>GARCIA GONZALEZ CARLOS JAVIER</t>
  </si>
  <si>
    <t>4272AF</t>
  </si>
  <si>
    <t>31G686</t>
  </si>
  <si>
    <t>GARCIA GUZMAN JOSE CRISTHIAN</t>
  </si>
  <si>
    <t>4948AF</t>
  </si>
  <si>
    <t>41G658</t>
  </si>
  <si>
    <t>GARCIA HERNANDEZ ORLANDO ALFREDO</t>
  </si>
  <si>
    <t>5651AF</t>
  </si>
  <si>
    <t>09K340</t>
  </si>
  <si>
    <t>GARCIA LOPEZ JOSE ANGEL</t>
  </si>
  <si>
    <t>5266AF</t>
  </si>
  <si>
    <t>50G505</t>
  </si>
  <si>
    <t>GARCIA MONROY OSCAR</t>
  </si>
  <si>
    <t>3327AF</t>
  </si>
  <si>
    <t>84F004</t>
  </si>
  <si>
    <t>GARCIA MONROY ROMULO</t>
  </si>
  <si>
    <t>4216AF</t>
  </si>
  <si>
    <t>20G834</t>
  </si>
  <si>
    <t>GARCIA MORALES IVAN</t>
  </si>
  <si>
    <t>4052AF</t>
  </si>
  <si>
    <t>13G947</t>
  </si>
  <si>
    <t>GARCIA MORENO CARLOS</t>
  </si>
  <si>
    <t>4292AF</t>
  </si>
  <si>
    <t>31G957</t>
  </si>
  <si>
    <t>GARCIA NAVARRO JOSE LUIS</t>
  </si>
  <si>
    <t>2543AF</t>
  </si>
  <si>
    <t>05-2023</t>
  </si>
  <si>
    <t>BGH367A</t>
  </si>
  <si>
    <t>GARCIA ORTA JULIO CESAR</t>
  </si>
  <si>
    <t>6131AF</t>
  </si>
  <si>
    <t>62G316</t>
  </si>
  <si>
    <t>GARCIA ORTEGA MIGUEL ANGEL</t>
  </si>
  <si>
    <t>4737AF</t>
  </si>
  <si>
    <t>42G899</t>
  </si>
  <si>
    <t>GARCIA PALMA ERICK</t>
  </si>
  <si>
    <t>3821AF</t>
  </si>
  <si>
    <t>08G192</t>
  </si>
  <si>
    <t>GARCIA RIVERA HECTOR</t>
  </si>
  <si>
    <t>4140AF</t>
  </si>
  <si>
    <t>19G415</t>
  </si>
  <si>
    <t>GARCIA RODRIGUEZ SPENCER</t>
  </si>
  <si>
    <t>4499AF</t>
  </si>
  <si>
    <t>RRG972C</t>
  </si>
  <si>
    <t>GARCIA RODRIGUEZ VICTOR MANUEL</t>
  </si>
  <si>
    <t>5777AF</t>
  </si>
  <si>
    <t>51G582</t>
  </si>
  <si>
    <t>GARCIA RUELAS HECTOR JULIAN</t>
  </si>
  <si>
    <t>5871AF</t>
  </si>
  <si>
    <t>CAD702A</t>
  </si>
  <si>
    <t>GARCIA SALAZAR JUAN MANUEL</t>
  </si>
  <si>
    <t>6073AF</t>
  </si>
  <si>
    <t>31G624</t>
  </si>
  <si>
    <t>GARCIA SALGADO ALAN JAIR</t>
  </si>
  <si>
    <t>6141AF</t>
  </si>
  <si>
    <t>47G479</t>
  </si>
  <si>
    <t>GARCIA SANCHEZ ALAN MICHELLE</t>
  </si>
  <si>
    <t>5682AF</t>
  </si>
  <si>
    <t>48G257</t>
  </si>
  <si>
    <t>GARCIA SANDOVAL DANY MISAEL</t>
  </si>
  <si>
    <t>4250AF</t>
  </si>
  <si>
    <t>BUR871A</t>
  </si>
  <si>
    <t>GARCIA TORRES MARIO YAIR</t>
  </si>
  <si>
    <t>4217AF</t>
  </si>
  <si>
    <t>20G811</t>
  </si>
  <si>
    <t>GARCIA VAZQUEZ ALFREDO</t>
  </si>
  <si>
    <t>4185AF</t>
  </si>
  <si>
    <t>19G533</t>
  </si>
  <si>
    <t>GARCIA VEGA CELEDONIO</t>
  </si>
  <si>
    <t>4467AF</t>
  </si>
  <si>
    <t>27G507</t>
  </si>
  <si>
    <t>GARDUÑO LERIN MARCO VINICIO</t>
  </si>
  <si>
    <t>4827AF</t>
  </si>
  <si>
    <t>14G281</t>
  </si>
  <si>
    <t>GARFIAS HERNANDEZ MIGUEL ANGEL</t>
  </si>
  <si>
    <t>4646AF</t>
  </si>
  <si>
    <t>37G930</t>
  </si>
  <si>
    <t>GARRIDO CRUZ GABRIEL</t>
  </si>
  <si>
    <t>5303AF</t>
  </si>
  <si>
    <t>47G746</t>
  </si>
  <si>
    <t>GARRIDO ROCHA JUAN MANUEL</t>
  </si>
  <si>
    <t>4536AF</t>
  </si>
  <si>
    <t>39G345</t>
  </si>
  <si>
    <t>GASPAR HERNANDEZ LUIS MIGUEL</t>
  </si>
  <si>
    <t>3490AF</t>
  </si>
  <si>
    <t>TCV541B</t>
  </si>
  <si>
    <t>GASPAR ONOFRE VICTOR HUGO</t>
  </si>
  <si>
    <t>6376AF</t>
  </si>
  <si>
    <t>RXW248C</t>
  </si>
  <si>
    <t>GASTELUM FELIX LUIS ALBERTO</t>
  </si>
  <si>
    <t>4916AF</t>
  </si>
  <si>
    <t>BYG581A</t>
  </si>
  <si>
    <t>GAYTAN TOLENTINO GUILLERMO</t>
  </si>
  <si>
    <t>5559AF</t>
  </si>
  <si>
    <t>48G111</t>
  </si>
  <si>
    <t>GIL MORALES EUGENIO GERARDO</t>
  </si>
  <si>
    <t>3103AF</t>
  </si>
  <si>
    <t>X94BNL</t>
  </si>
  <si>
    <t>GOMEZ BAEZA GREGORIO</t>
  </si>
  <si>
    <t>5955AF</t>
  </si>
  <si>
    <t>51G504</t>
  </si>
  <si>
    <t>GOMEZ ESCOBAR LUIS FERNANDO</t>
  </si>
  <si>
    <t>5165AF</t>
  </si>
  <si>
    <t>BZB787A</t>
  </si>
  <si>
    <t>GOMEZ GONZALEZ ARTURO</t>
  </si>
  <si>
    <t>3911AF</t>
  </si>
  <si>
    <t>B66BPX</t>
  </si>
  <si>
    <t>GOMEZ GONZALEZ MARIO ALBERTO</t>
  </si>
  <si>
    <t>3078AF</t>
  </si>
  <si>
    <t>84F033</t>
  </si>
  <si>
    <t>GOMEZ MARQUEZ TEODULO PABLO</t>
  </si>
  <si>
    <t>5528AF</t>
  </si>
  <si>
    <t>42G765</t>
  </si>
  <si>
    <t>GOMEZ MEDINA MIGUEL ANGEL</t>
  </si>
  <si>
    <t>4348AF</t>
  </si>
  <si>
    <t>19G552</t>
  </si>
  <si>
    <t>GOMEZ MOHEDANO JOSE</t>
  </si>
  <si>
    <t>3368AF</t>
  </si>
  <si>
    <t>A58BNM</t>
  </si>
  <si>
    <t>GOMEZ MORALES WILLIAN ALEXIS</t>
  </si>
  <si>
    <t>5461AF</t>
  </si>
  <si>
    <t>BZA451A</t>
  </si>
  <si>
    <t>GOMEZ OCHOA PEDRO FABIAN</t>
  </si>
  <si>
    <t>6171AF</t>
  </si>
  <si>
    <t>CAT832A</t>
  </si>
  <si>
    <t>GOMEZ OLMOS EDGAR ALEJANDRO</t>
  </si>
  <si>
    <t>3119AF</t>
  </si>
  <si>
    <t>B15BNM</t>
  </si>
  <si>
    <t>GOMEZ POZOS DANIEL</t>
  </si>
  <si>
    <t>4457AF</t>
  </si>
  <si>
    <t>19G403</t>
  </si>
  <si>
    <t>GOMEZ RODRIGUEZ AARON LEONARDO</t>
  </si>
  <si>
    <t>6332AF</t>
  </si>
  <si>
    <t>62G375</t>
  </si>
  <si>
    <t>GOMEZ RODRIGUEZ AXEL</t>
  </si>
  <si>
    <t>6058AF</t>
  </si>
  <si>
    <t>Z44BPC</t>
  </si>
  <si>
    <t>GOMEZ ZACARIAS JUAN CARLOS</t>
  </si>
  <si>
    <t>5346AF</t>
  </si>
  <si>
    <t>47G993</t>
  </si>
  <si>
    <t>GOMORA RUIZ ENRIQUE</t>
  </si>
  <si>
    <t>4365AF</t>
  </si>
  <si>
    <t>32G993</t>
  </si>
  <si>
    <t>GONZALEZ ALFARO RAUL GERARDO</t>
  </si>
  <si>
    <t>4038AF</t>
  </si>
  <si>
    <t>13G806</t>
  </si>
  <si>
    <t>GONZALEZ BRISEÑO ANICETO</t>
  </si>
  <si>
    <t>3856AF</t>
  </si>
  <si>
    <t>F77BPT</t>
  </si>
  <si>
    <t>GONZALEZ CABRERA JOSE ALBERTO</t>
  </si>
  <si>
    <t>2491AF</t>
  </si>
  <si>
    <t>UPT747H</t>
  </si>
  <si>
    <t>GONZALEZ CARRILLO YOEL BALAM</t>
  </si>
  <si>
    <t>5008AF</t>
  </si>
  <si>
    <t>50G881</t>
  </si>
  <si>
    <t>GONZALEZ CENTENO LUIS ALBERTO</t>
  </si>
  <si>
    <t>4781AF</t>
  </si>
  <si>
    <t>BXT311A</t>
  </si>
  <si>
    <t>GONZALEZ CISNEROS LUIS ENRIQUE</t>
  </si>
  <si>
    <t>4726AF</t>
  </si>
  <si>
    <t>BXT277A</t>
  </si>
  <si>
    <t>GONZALEZ DIAZ DARIO</t>
  </si>
  <si>
    <t>4712AF</t>
  </si>
  <si>
    <t>F23BRR</t>
  </si>
  <si>
    <t>GONZALEZ DOMINGUEZ VICTOR MANUEL</t>
  </si>
  <si>
    <t>3655AF</t>
  </si>
  <si>
    <t>HXC199A</t>
  </si>
  <si>
    <t>GONZALEZ DUEÑAS SAMUEL</t>
  </si>
  <si>
    <t>5574AF</t>
  </si>
  <si>
    <t>42G736</t>
  </si>
  <si>
    <t>GONZALEZ GARCIA URIEL JOMAIR</t>
  </si>
  <si>
    <t>3668AF</t>
  </si>
  <si>
    <t>89F999</t>
  </si>
  <si>
    <t>GONZALEZ GONZALEZ ANGEL IVAN</t>
  </si>
  <si>
    <t>4648AF</t>
  </si>
  <si>
    <t>38G280</t>
  </si>
  <si>
    <t>GONZALEZ GONZALEZ EDGAR ADRIAN</t>
  </si>
  <si>
    <t>3519AF</t>
  </si>
  <si>
    <t>E45BPF</t>
  </si>
  <si>
    <t>GONZALEZ HERNANDEZ APOLINAR</t>
  </si>
  <si>
    <t>3644AF</t>
  </si>
  <si>
    <t>P69BPH</t>
  </si>
  <si>
    <t>GONZALEZ HERNANDEZ JACOBO ABRAHAM</t>
  </si>
  <si>
    <t>5560AF</t>
  </si>
  <si>
    <t>48G139</t>
  </si>
  <si>
    <t>GONZALEZ MACIEL CARLOS ALFONSO</t>
  </si>
  <si>
    <t>3524AF</t>
  </si>
  <si>
    <t>HWE351A</t>
  </si>
  <si>
    <t>GONZALEZ MAGDALENO EDUARDO</t>
  </si>
  <si>
    <t>5140AF</t>
  </si>
  <si>
    <t>50G849</t>
  </si>
  <si>
    <t>GONZALEZ MARTINEZ CLEORACLIO</t>
  </si>
  <si>
    <t>3642AF</t>
  </si>
  <si>
    <t>R10BPH</t>
  </si>
  <si>
    <t>GONZALEZ MOSQUEDA ROBERTO ALEJANDRO</t>
  </si>
  <si>
    <t>3932AF</t>
  </si>
  <si>
    <t>13G873</t>
  </si>
  <si>
    <t>GONZALEZ MURCIA JOSE ALFONSO</t>
  </si>
  <si>
    <t>3252AF</t>
  </si>
  <si>
    <t>A07BNM</t>
  </si>
  <si>
    <t>GONZALEZ OREA ADAN</t>
  </si>
  <si>
    <t>5817AF</t>
  </si>
  <si>
    <t>11K119</t>
  </si>
  <si>
    <t>GONZALEZ PATLAN RAMON RUBEN</t>
  </si>
  <si>
    <t>5427AF</t>
  </si>
  <si>
    <t>GONZALEZ RANGEL DANIEL</t>
  </si>
  <si>
    <t>5046AF</t>
  </si>
  <si>
    <t>50G673</t>
  </si>
  <si>
    <t>GONZALEZ ROMERO ARTURO</t>
  </si>
  <si>
    <t>3399AF</t>
  </si>
  <si>
    <t>A02BNM</t>
  </si>
  <si>
    <t>GONZALEZ SANCHEZ JESUS GIOVANNI</t>
  </si>
  <si>
    <t>5426AF</t>
  </si>
  <si>
    <t>GONZALEZ SOSA LUIS</t>
  </si>
  <si>
    <t>4490AF</t>
  </si>
  <si>
    <t>19G541</t>
  </si>
  <si>
    <t>GONZALEZ VARGAS ROBERTO JACIEL</t>
  </si>
  <si>
    <t>4887AF</t>
  </si>
  <si>
    <t>RLW866C</t>
  </si>
  <si>
    <t>GONZALEZ VAZQUEZ NESTOR DANIEL</t>
  </si>
  <si>
    <t>4491AF</t>
  </si>
  <si>
    <t>19G385</t>
  </si>
  <si>
    <t>GONZALEZ VELEZ OMAR EDUARDO</t>
  </si>
  <si>
    <t>3162AF</t>
  </si>
  <si>
    <t>HUL785A</t>
  </si>
  <si>
    <t>GONZALEZ ZAMORA CARLOS CRUZ</t>
  </si>
  <si>
    <t>4461AF</t>
  </si>
  <si>
    <t>19G726</t>
  </si>
  <si>
    <t>GONZALEZ ZARAGOZA DAVID ISAIAS</t>
  </si>
  <si>
    <t>6162AF</t>
  </si>
  <si>
    <t>CAS984A</t>
  </si>
  <si>
    <t>GONZALEZ ZARAGOZA GERSON EMMANUEL</t>
  </si>
  <si>
    <t>6119AF</t>
  </si>
  <si>
    <t>CAS976A</t>
  </si>
  <si>
    <t>GONZALEZ ZAVALA JAIR ALEJANDRO</t>
  </si>
  <si>
    <t>5234AF</t>
  </si>
  <si>
    <t>89F836</t>
  </si>
  <si>
    <t>GRACIA ALVAREZ NOE ISAAC</t>
  </si>
  <si>
    <t>2705AF</t>
  </si>
  <si>
    <t>62F103</t>
  </si>
  <si>
    <t>GRAJALES MOLINA HENRY YAIR</t>
  </si>
  <si>
    <t>1980AF</t>
  </si>
  <si>
    <t>02-2022</t>
  </si>
  <si>
    <t>JSY4729</t>
  </si>
  <si>
    <t>GRANJA LARRAGA PAVEL</t>
  </si>
  <si>
    <t>3581AF</t>
  </si>
  <si>
    <t>89F628</t>
  </si>
  <si>
    <t>GUADARRAMA JIMENEZ JOSUE</t>
  </si>
  <si>
    <t>5363AF</t>
  </si>
  <si>
    <t>43G983</t>
  </si>
  <si>
    <t>GUADARRAMA RAMIREZ RAFAEL</t>
  </si>
  <si>
    <t>5921AF</t>
  </si>
  <si>
    <t>51G689</t>
  </si>
  <si>
    <t>GUERRA BAHENA RODRIGO DANIEL</t>
  </si>
  <si>
    <t>3230AF</t>
  </si>
  <si>
    <t>BNE875A</t>
  </si>
  <si>
    <t>GUERRERO SALAZAR JOSE GUADALUPE</t>
  </si>
  <si>
    <t>6395AF</t>
  </si>
  <si>
    <t>M20BSF</t>
  </si>
  <si>
    <t>GUILLEN HERNANDEZ JOSE LUIS</t>
  </si>
  <si>
    <t>4937AF</t>
  </si>
  <si>
    <t>50G980</t>
  </si>
  <si>
    <t>GUIZAR REYES GUSTAVO ARMANDO</t>
  </si>
  <si>
    <t>4405AF</t>
  </si>
  <si>
    <t>19G571</t>
  </si>
  <si>
    <t>GUTIERREZ AMBRIZ ANGEL</t>
  </si>
  <si>
    <t>5263AF</t>
  </si>
  <si>
    <t>47G984</t>
  </si>
  <si>
    <t>GUTIERREZ CANOVAS JUAN JESUS</t>
  </si>
  <si>
    <t>3882AF</t>
  </si>
  <si>
    <t>R37BPH</t>
  </si>
  <si>
    <t>GUTIERREZ COLLAZO JAVIER FELIPE</t>
  </si>
  <si>
    <t>3987AF</t>
  </si>
  <si>
    <t>13G891</t>
  </si>
  <si>
    <t>GUTIERREZ HERNANDEZ ALEJANDRO</t>
  </si>
  <si>
    <t>5961AF</t>
  </si>
  <si>
    <t>11K164</t>
  </si>
  <si>
    <t>GUTIERREZ HILARIO MAURICIO</t>
  </si>
  <si>
    <t>4336AF</t>
  </si>
  <si>
    <t>GUTIERREZ HUERTA SERGIO</t>
  </si>
  <si>
    <t>2506AF</t>
  </si>
  <si>
    <t>G45BLM</t>
  </si>
  <si>
    <t>GUTIERREZ LEON JOSE MANUEL</t>
  </si>
  <si>
    <t>5751AF</t>
  </si>
  <si>
    <t>48G300</t>
  </si>
  <si>
    <t>GUTIERREZ LUNA EDGAR EFREN</t>
  </si>
  <si>
    <t>4128AF</t>
  </si>
  <si>
    <t>19G364</t>
  </si>
  <si>
    <t>GUTIERREZ MEDINA JOSE ALBERTO</t>
  </si>
  <si>
    <t>4261AF</t>
  </si>
  <si>
    <t>19G534</t>
  </si>
  <si>
    <t>GUTIERREZ MONTES LUIS ALBERTO</t>
  </si>
  <si>
    <t>4549AF</t>
  </si>
  <si>
    <t>40G186</t>
  </si>
  <si>
    <t>GUTIERREZ OSORIO LUIS ANTONIO</t>
  </si>
  <si>
    <t>2709AF</t>
  </si>
  <si>
    <t>ULK417H</t>
  </si>
  <si>
    <t>GUTIERREZ PONCE DANIEL</t>
  </si>
  <si>
    <t>4307AF</t>
  </si>
  <si>
    <t>GUTIERREZ RAÑO BRIAN JESUS</t>
  </si>
  <si>
    <t>4537AF</t>
  </si>
  <si>
    <t>39G932</t>
  </si>
  <si>
    <t>GUTIERREZ SANTIAGO BRIAN MAURICIO</t>
  </si>
  <si>
    <t>5169AF</t>
  </si>
  <si>
    <t>47G950</t>
  </si>
  <si>
    <t>GUTIERREZ TEOFILO JONATHAN</t>
  </si>
  <si>
    <t>5874AF</t>
  </si>
  <si>
    <t>CAJ001A</t>
  </si>
  <si>
    <t>GUZMAN CORTES EFREN</t>
  </si>
  <si>
    <t>3100AF</t>
  </si>
  <si>
    <t>HSN693A</t>
  </si>
  <si>
    <t>GUZMAN FELIPE ISMAEL MICHEL</t>
  </si>
  <si>
    <t>6218AF</t>
  </si>
  <si>
    <t>08K015</t>
  </si>
  <si>
    <t>GUZMAN PARTIDA JORGE PAULINO</t>
  </si>
  <si>
    <t>2917AF</t>
  </si>
  <si>
    <t>BKS708A</t>
  </si>
  <si>
    <t>GUZMAN RIVERA JOSE ALBERTO</t>
  </si>
  <si>
    <t>4274AF</t>
  </si>
  <si>
    <t>31G628</t>
  </si>
  <si>
    <t>HEREDIA ORTEGA LUIS FELIPE</t>
  </si>
  <si>
    <t>5829AF</t>
  </si>
  <si>
    <t>CAJ006A</t>
  </si>
  <si>
    <t>HERNANDEZ ACOSTA DANIEL EFREN</t>
  </si>
  <si>
    <t>4037AF</t>
  </si>
  <si>
    <t>13G910</t>
  </si>
  <si>
    <t>HERNANDEZ ALANIS JONATHAN ALEXIS</t>
  </si>
  <si>
    <t>5010AF</t>
  </si>
  <si>
    <t>RUW773C</t>
  </si>
  <si>
    <t>HERNANDEZ ALCANTARA OSCAR</t>
  </si>
  <si>
    <t>6449AF</t>
  </si>
  <si>
    <t>K43BSJ</t>
  </si>
  <si>
    <t>HERNANDEZ BARRIOS DAVID ALEJANDRO</t>
  </si>
  <si>
    <t>2349AF</t>
  </si>
  <si>
    <t>11-2022</t>
  </si>
  <si>
    <t>JTK9817</t>
  </si>
  <si>
    <t>HERNANDEZ BERNAL JORGE ENRIQUE</t>
  </si>
  <si>
    <t>5966AF</t>
  </si>
  <si>
    <t>RXC618C</t>
  </si>
  <si>
    <t>HERNANDEZ CABRERA RODRIGO</t>
  </si>
  <si>
    <t>4755AF</t>
  </si>
  <si>
    <t>50G945</t>
  </si>
  <si>
    <t>HERNANDEZ CABRERA VICTOR HUGO</t>
  </si>
  <si>
    <t>3464AF</t>
  </si>
  <si>
    <t>89F700</t>
  </si>
  <si>
    <t>HERNANDEZ CANO ABEL ISAAC</t>
  </si>
  <si>
    <t>4429AF</t>
  </si>
  <si>
    <t>19G565</t>
  </si>
  <si>
    <t>HERNANDEZ CASTAÑEDA JHONATAN</t>
  </si>
  <si>
    <t>5703AF</t>
  </si>
  <si>
    <t>BYZ204A</t>
  </si>
  <si>
    <t>HERNANDEZ CAUDILLO JAHIRO</t>
  </si>
  <si>
    <t>5068AF</t>
  </si>
  <si>
    <t>50G406</t>
  </si>
  <si>
    <t>HERNANDEZ CORDOVA LUIS SALOMON</t>
  </si>
  <si>
    <t>2391AF</t>
  </si>
  <si>
    <t>JTN4628</t>
  </si>
  <si>
    <t>HERNANDEZ ELEUTERIO IVAN IGNACIO</t>
  </si>
  <si>
    <t>4228AF</t>
  </si>
  <si>
    <t>E89BPF</t>
  </si>
  <si>
    <t>HERNANDEZ FAVILA EDUARDO</t>
  </si>
  <si>
    <t>5918AF</t>
  </si>
  <si>
    <t>11K126</t>
  </si>
  <si>
    <t>HERNANDEZ FLORES GUILLERMO</t>
  </si>
  <si>
    <t>5339AF</t>
  </si>
  <si>
    <t>43G999</t>
  </si>
  <si>
    <t>HERNANDEZ GOMEZ ERNESTO</t>
  </si>
  <si>
    <t>2889AF</t>
  </si>
  <si>
    <t>BKM796A</t>
  </si>
  <si>
    <t>HERNANDEZ GOMEZ FELIPE</t>
  </si>
  <si>
    <t>6151AF</t>
  </si>
  <si>
    <t>62G232</t>
  </si>
  <si>
    <t>HERNANDEZ GONZALEZ EDGAR YAIR</t>
  </si>
  <si>
    <t>5117AF</t>
  </si>
  <si>
    <t>F09BRR</t>
  </si>
  <si>
    <t>HERNANDEZ GONZALEZ LUIS MIGUEL</t>
  </si>
  <si>
    <t>3779AF</t>
  </si>
  <si>
    <t>13G575</t>
  </si>
  <si>
    <t>HERNANDEZ GRANADOS ABRAHAM</t>
  </si>
  <si>
    <t>3840AF</t>
  </si>
  <si>
    <t>08G116</t>
  </si>
  <si>
    <t>HERNANDEZ HAWK JOSE PABLO</t>
  </si>
  <si>
    <t>5463AF</t>
  </si>
  <si>
    <t>44G007</t>
  </si>
  <si>
    <t>HERNANDEZ HERNANDEZ ERIC RICARDO</t>
  </si>
  <si>
    <t>4337AF</t>
  </si>
  <si>
    <t>HERNANDEZ HERNANDEZ LUIS FERNANDO</t>
  </si>
  <si>
    <t>2767AF</t>
  </si>
  <si>
    <t>SSK139B</t>
  </si>
  <si>
    <t>HERNANDEZ HERNANDEZ OSCAR ULISES</t>
  </si>
  <si>
    <t>5232AF</t>
  </si>
  <si>
    <t>13G701</t>
  </si>
  <si>
    <t>HERNANDEZ HUERTA DULCE JEANNETTE</t>
  </si>
  <si>
    <t>5616AF</t>
  </si>
  <si>
    <t>43G887</t>
  </si>
  <si>
    <t>HERNANDEZ JIMENEZ GONZALO</t>
  </si>
  <si>
    <t>3188AF</t>
  </si>
  <si>
    <t>Y24BNL</t>
  </si>
  <si>
    <t>HERNANDEZ LERMA ISAAC</t>
  </si>
  <si>
    <t>4817AF</t>
  </si>
  <si>
    <t>19G375</t>
  </si>
  <si>
    <t>HERNANDEZ LOPEZ FRANCISCO JAVIER</t>
  </si>
  <si>
    <t>4367AF</t>
  </si>
  <si>
    <t>31G830</t>
  </si>
  <si>
    <t>HERNANDEZ MARIANO JOSE JUAN</t>
  </si>
  <si>
    <t>4086AF</t>
  </si>
  <si>
    <t>BKS742A</t>
  </si>
  <si>
    <t>HERNANDEZ MARQUEZ FABIAN IGNACIO</t>
  </si>
  <si>
    <t>4959AF</t>
  </si>
  <si>
    <t>19G363</t>
  </si>
  <si>
    <t>HERNANDEZ MEDINA GERARDO</t>
  </si>
  <si>
    <t>5984AF</t>
  </si>
  <si>
    <t>51G682</t>
  </si>
  <si>
    <t>HERNANDEZ OLVERA VICTOR MANUEL</t>
  </si>
  <si>
    <t>6163AF</t>
  </si>
  <si>
    <t>H33BSF</t>
  </si>
  <si>
    <t>HERNANDEZ PAEZ LUIS ANTONIO</t>
  </si>
  <si>
    <t>4745AF</t>
  </si>
  <si>
    <t>41G556</t>
  </si>
  <si>
    <t>HERNANDEZ PALOMINO SAMUEL ALEJANDRO</t>
  </si>
  <si>
    <t>2275AF</t>
  </si>
  <si>
    <t>AYG683A</t>
  </si>
  <si>
    <t>HERNANDEZ QUINTERO JESUS MARIO</t>
  </si>
  <si>
    <t>3249AF</t>
  </si>
  <si>
    <t>84F122</t>
  </si>
  <si>
    <t>HERNANDEZ RAMIREZ MAURICIO</t>
  </si>
  <si>
    <t>3793AF</t>
  </si>
  <si>
    <t>D80BPN</t>
  </si>
  <si>
    <t>HERNANDEZ RAMIREZ RICARDO</t>
  </si>
  <si>
    <t>5446AF</t>
  </si>
  <si>
    <t>HERNANDEZ RIVAS GILBERTO OMAR</t>
  </si>
  <si>
    <t>4838AF</t>
  </si>
  <si>
    <t>D69BRR</t>
  </si>
  <si>
    <t>HERNANDEZ ROJAS ALFREDO</t>
  </si>
  <si>
    <t>3071AF</t>
  </si>
  <si>
    <t>77F748</t>
  </si>
  <si>
    <t>HERNANDEZ SALADO CARLOS</t>
  </si>
  <si>
    <t>4171AF</t>
  </si>
  <si>
    <t>19G634</t>
  </si>
  <si>
    <t>HERNANDEZ SALOMON FRANCISCO JAVIER</t>
  </si>
  <si>
    <t>3807AF</t>
  </si>
  <si>
    <t>13G683</t>
  </si>
  <si>
    <t>HERNANDEZ SANCHEZ ROMEO</t>
  </si>
  <si>
    <t>5906AF</t>
  </si>
  <si>
    <t>CAJ345A</t>
  </si>
  <si>
    <t>HERNANDEZ SIFUENTES JUAN JOSE</t>
  </si>
  <si>
    <t>5827AF</t>
  </si>
  <si>
    <t>RXC632C</t>
  </si>
  <si>
    <t>HERNANDEZ VARGAS FERNANDO</t>
  </si>
  <si>
    <t>5131AF</t>
  </si>
  <si>
    <t>50G970</t>
  </si>
  <si>
    <t>HERNANDEZ VICTORIA REGINO FRANCISCO</t>
  </si>
  <si>
    <t>4993AF</t>
  </si>
  <si>
    <t>47G517</t>
  </si>
  <si>
    <t>HERRERA ABREGO OSVALDO FELIPE</t>
  </si>
  <si>
    <t>5691AF</t>
  </si>
  <si>
    <t>09K158</t>
  </si>
  <si>
    <t>HERRERA BARRERA JAIR ALEJANDRO</t>
  </si>
  <si>
    <t>6263AF</t>
  </si>
  <si>
    <t>31G992</t>
  </si>
  <si>
    <t>HERRERA GARCIA MARTIN RICARDO</t>
  </si>
  <si>
    <t>6132AF</t>
  </si>
  <si>
    <t>62G315</t>
  </si>
  <si>
    <t>HERRERA LOPEZ ADRIAN DANIEL</t>
  </si>
  <si>
    <t>6326AF</t>
  </si>
  <si>
    <t>62G230</t>
  </si>
  <si>
    <t>HERRERA LOPEZ ISMAEL</t>
  </si>
  <si>
    <t>2851AF</t>
  </si>
  <si>
    <t>Y93BNC</t>
  </si>
  <si>
    <t>HERRERA LUIS FREDDY</t>
  </si>
  <si>
    <t>4364AF</t>
  </si>
  <si>
    <t>TFP748B</t>
  </si>
  <si>
    <t>HERRERA MENDOZA ALFONSO</t>
  </si>
  <si>
    <t>6148AF</t>
  </si>
  <si>
    <t>62G248</t>
  </si>
  <si>
    <t>HERRERA MERCADO MARCO ANTONIO</t>
  </si>
  <si>
    <t>4601AF</t>
  </si>
  <si>
    <t>27G700</t>
  </si>
  <si>
    <t>HILARIO ROJAS JOAQUIN</t>
  </si>
  <si>
    <t>5831AF</t>
  </si>
  <si>
    <t>09K886</t>
  </si>
  <si>
    <t>HINOJOSA CHANEZ RAMON</t>
  </si>
  <si>
    <t>5032AF</t>
  </si>
  <si>
    <t>BYN546A</t>
  </si>
  <si>
    <t>HUERTA CORONEL JUAN EDMUNDO</t>
  </si>
  <si>
    <t>3875AF</t>
  </si>
  <si>
    <t>E69BPT</t>
  </si>
  <si>
    <t>HUERTA SANCHEZ PEDRO</t>
  </si>
  <si>
    <t>4396AF</t>
  </si>
  <si>
    <t>HUITRON RAMIREZ PAVEL</t>
  </si>
  <si>
    <t>4187AF</t>
  </si>
  <si>
    <t>45F573</t>
  </si>
  <si>
    <t>HURTADO AGUILERA JUAN MANUEL</t>
  </si>
  <si>
    <t>3609AF</t>
  </si>
  <si>
    <t>69F729</t>
  </si>
  <si>
    <t>HURTADO RODRIGUEZ CRISTIAN</t>
  </si>
  <si>
    <t>6278AF</t>
  </si>
  <si>
    <t>CAT826A</t>
  </si>
  <si>
    <t>INFANTE JIMENEZ ALEJANDRO</t>
  </si>
  <si>
    <t>3097AF</t>
  </si>
  <si>
    <t>SVZ841B</t>
  </si>
  <si>
    <t>ISLAS ARROYO JOSE RUBEN</t>
  </si>
  <si>
    <t>6676AF</t>
  </si>
  <si>
    <t>G54BSP</t>
  </si>
  <si>
    <t>ISLAS CARRANZA ROBERTO</t>
  </si>
  <si>
    <t>5610AF</t>
  </si>
  <si>
    <t>07K826</t>
  </si>
  <si>
    <t>ITURBE ESQUIVEL ISRAEL</t>
  </si>
  <si>
    <t>3148AF</t>
  </si>
  <si>
    <t>ITURBIDE ROSAS RENORREIS</t>
  </si>
  <si>
    <t>5781AF</t>
  </si>
  <si>
    <t>09K937</t>
  </si>
  <si>
    <t>JAIMES ALONSO MIGUEL ANGEL</t>
  </si>
  <si>
    <t>4676AF</t>
  </si>
  <si>
    <t>47G413</t>
  </si>
  <si>
    <t>JARAMILLO TOLENTINO JOSE EDUARDO</t>
  </si>
  <si>
    <t>4019AF</t>
  </si>
  <si>
    <t>JARDON RIVERA ALEJANDRO</t>
  </si>
  <si>
    <t>3772AF</t>
  </si>
  <si>
    <t>08G197</t>
  </si>
  <si>
    <t>JIMENEZ DE LA CRUZ ERNESTO</t>
  </si>
  <si>
    <t>3866AF</t>
  </si>
  <si>
    <t>08G158</t>
  </si>
  <si>
    <t>JIMENEZ DOMINGUEZ SERGIO JAVIER</t>
  </si>
  <si>
    <t>5663AF</t>
  </si>
  <si>
    <t>41G414</t>
  </si>
  <si>
    <t>JIMENEZ HERNANDEZ EDGAR YOSSIMAR</t>
  </si>
  <si>
    <t>3989AF</t>
  </si>
  <si>
    <t>JIMENEZ JIMENEZ DAVID ARTURO</t>
  </si>
  <si>
    <t>4582AF</t>
  </si>
  <si>
    <t>40G085</t>
  </si>
  <si>
    <t>JIMENEZ MARROQUIN ANTONIO</t>
  </si>
  <si>
    <t>4084AF</t>
  </si>
  <si>
    <t>H17BLM</t>
  </si>
  <si>
    <t>JIMENEZ ORTEGA JUAN MANUEL</t>
  </si>
  <si>
    <t>3043AF</t>
  </si>
  <si>
    <t>HSN692A</t>
  </si>
  <si>
    <t>JIMENEZ ROMERO JORGE ANTONIO</t>
  </si>
  <si>
    <t>5673AF</t>
  </si>
  <si>
    <t>CAD353A</t>
  </si>
  <si>
    <t>JUAREZ BELLO JOSE LUIS</t>
  </si>
  <si>
    <t>4293AF</t>
  </si>
  <si>
    <t>JUAREZ CORTEZ EDGAR JESUS</t>
  </si>
  <si>
    <t>4179AF</t>
  </si>
  <si>
    <t>19G527</t>
  </si>
  <si>
    <t>6858AF</t>
  </si>
  <si>
    <t>JUAREZ DUQUE FRANCISCO JAVIER</t>
  </si>
  <si>
    <t>6685AF</t>
  </si>
  <si>
    <t>RYU282C</t>
  </si>
  <si>
    <t>JUAREZ GARCIA ZAIT CESAR</t>
  </si>
  <si>
    <t>3792AF</t>
  </si>
  <si>
    <t>E99BPN</t>
  </si>
  <si>
    <t>JUAREZ GONZALEZ JOSE MARTIN</t>
  </si>
  <si>
    <t>4630AF</t>
  </si>
  <si>
    <t>27G720</t>
  </si>
  <si>
    <t>JUAREZ GUERRERO ARTURO VIDAL</t>
  </si>
  <si>
    <t>5665AF</t>
  </si>
  <si>
    <t>09K863</t>
  </si>
  <si>
    <t>JUAREZ MARTINEZ OSCAR LEONARDO</t>
  </si>
  <si>
    <t>4059AF</t>
  </si>
  <si>
    <t>13G763</t>
  </si>
  <si>
    <t>JUAREZ MARTINEZ RAFAEL</t>
  </si>
  <si>
    <t>6206AF</t>
  </si>
  <si>
    <t>15K074</t>
  </si>
  <si>
    <t>JUAREZ REYES ALEJANDRO</t>
  </si>
  <si>
    <t>4249AF</t>
  </si>
  <si>
    <t>BUR873A</t>
  </si>
  <si>
    <t>JURADO CALZADA MAURICIO</t>
  </si>
  <si>
    <t>5102AF</t>
  </si>
  <si>
    <t>50G794</t>
  </si>
  <si>
    <t>KINGSTON ORTIZ JUAN CARLOS</t>
  </si>
  <si>
    <t>3509AF</t>
  </si>
  <si>
    <t>89F706</t>
  </si>
  <si>
    <t>LACRUHY ENRIQUEZ JUAN JOSE</t>
  </si>
  <si>
    <t>5064AF</t>
  </si>
  <si>
    <t>BYN544A</t>
  </si>
  <si>
    <t>LAGUNA CAMACHO CARLOS ALBERTO</t>
  </si>
  <si>
    <t>4221AF</t>
  </si>
  <si>
    <t>27G420</t>
  </si>
  <si>
    <t>LARA FLORES OMAR</t>
  </si>
  <si>
    <t>5372AF</t>
  </si>
  <si>
    <t>48G031</t>
  </si>
  <si>
    <t>LARA GARDUÑO VICTOR MANUEL</t>
  </si>
  <si>
    <t>2198AF</t>
  </si>
  <si>
    <t>K36BMZ</t>
  </si>
  <si>
    <t>LARA MEJIA JAIME JEOVANNY</t>
  </si>
  <si>
    <t>3826AF</t>
  </si>
  <si>
    <t>08G149</t>
  </si>
  <si>
    <t>LARA ORTEGA MIGUEL ANGEL</t>
  </si>
  <si>
    <t>5071AF</t>
  </si>
  <si>
    <t>28G749</t>
  </si>
  <si>
    <t>LARA PARAJON JOSE GUADALUPE</t>
  </si>
  <si>
    <t>6666AF</t>
  </si>
  <si>
    <t>51G913</t>
  </si>
  <si>
    <t>LARIOS ALCARAZ VICTOR</t>
  </si>
  <si>
    <t>4613AF</t>
  </si>
  <si>
    <t>BWX666A</t>
  </si>
  <si>
    <t>LEDESMA ORDUÑA CESAR UBALDO</t>
  </si>
  <si>
    <t>4460AF</t>
  </si>
  <si>
    <t>27G449</t>
  </si>
  <si>
    <t>LEDEZMA IZAGUIRRE ALEJANDRO</t>
  </si>
  <si>
    <t>5323AF</t>
  </si>
  <si>
    <t>13G755</t>
  </si>
  <si>
    <t>LEGORRETA HERNANDEZ GERMAN</t>
  </si>
  <si>
    <t>5009AF</t>
  </si>
  <si>
    <t>LEMUS GOMEZ ENRIQUE FABIAN</t>
  </si>
  <si>
    <t>4246AF</t>
  </si>
  <si>
    <t>HWS678A</t>
  </si>
  <si>
    <t>LEON CORNEJO LUIS GUILLERMO</t>
  </si>
  <si>
    <t>3458AF</t>
  </si>
  <si>
    <t>BPW858A</t>
  </si>
  <si>
    <t>LEZA LOPEZ DAVID HORACIO</t>
  </si>
  <si>
    <t>4287AF</t>
  </si>
  <si>
    <t>TFP431B</t>
  </si>
  <si>
    <t>LEZAMA VALLADOLID SERGIO ALEJANDRO</t>
  </si>
  <si>
    <t>4893AF</t>
  </si>
  <si>
    <t>JAY035A</t>
  </si>
  <si>
    <t>LIMA ACEVES DAVID ALEJANDRO</t>
  </si>
  <si>
    <t>3669AF</t>
  </si>
  <si>
    <t>LIMON TAPIA MARIO ALBERTO</t>
  </si>
  <si>
    <t>4449AF</t>
  </si>
  <si>
    <t>19G669</t>
  </si>
  <si>
    <t>LIRA BECERRA JOSE GUADALUPE</t>
  </si>
  <si>
    <t>4191AF</t>
  </si>
  <si>
    <t>20G815</t>
  </si>
  <si>
    <t>LIZARRAGA SOLANO HUGO JESUS</t>
  </si>
  <si>
    <t>3801AF</t>
  </si>
  <si>
    <t>BSG380A</t>
  </si>
  <si>
    <t>LOPEZ ALBA SERGIO ARTURO</t>
  </si>
  <si>
    <t>3204AF</t>
  </si>
  <si>
    <t>X71BNL</t>
  </si>
  <si>
    <t>LOPEZ ALMARAZ LUIS GABRIEL</t>
  </si>
  <si>
    <t>3506AF</t>
  </si>
  <si>
    <t>89F730</t>
  </si>
  <si>
    <t>LOPEZ CARDENAS FRANCISCO OSVALDO</t>
  </si>
  <si>
    <t>5279AF</t>
  </si>
  <si>
    <t>RVX606C</t>
  </si>
  <si>
    <t>LOPEZ ESPINO JUAN</t>
  </si>
  <si>
    <t>5164AF</t>
  </si>
  <si>
    <t>LOPEZ FLORES MARIO ALBERTO</t>
  </si>
  <si>
    <t>4796AF</t>
  </si>
  <si>
    <t>BXT310A</t>
  </si>
  <si>
    <t>LOPEZ GARCIA VICTOR HUGO</t>
  </si>
  <si>
    <t>4622AF</t>
  </si>
  <si>
    <t>37G949</t>
  </si>
  <si>
    <t>LOPEZ GUTIERREZ LEONARDO JESUS</t>
  </si>
  <si>
    <t>4690AF</t>
  </si>
  <si>
    <t>38G288</t>
  </si>
  <si>
    <t>LOPEZ IBARRA PEDRO</t>
  </si>
  <si>
    <t>4041AF</t>
  </si>
  <si>
    <t>13G698</t>
  </si>
  <si>
    <t>LOPEZ JUAREZ MARCO ANTONIO</t>
  </si>
  <si>
    <t>3497AF</t>
  </si>
  <si>
    <t>BPW793A</t>
  </si>
  <si>
    <t>LOPEZ MARTINEZ DIEGO ARMANDO</t>
  </si>
  <si>
    <t>3143AF</t>
  </si>
  <si>
    <t>84F098</t>
  </si>
  <si>
    <t>LOPEZ ORTEGA JESUS</t>
  </si>
  <si>
    <t>3462AF</t>
  </si>
  <si>
    <t>77F025</t>
  </si>
  <si>
    <t>LOPEZ PEREZ SERGIO EDUARDO</t>
  </si>
  <si>
    <t>6076AF</t>
  </si>
  <si>
    <t>15K073</t>
  </si>
  <si>
    <t>LOPEZ PLASCENCIA ARIEL</t>
  </si>
  <si>
    <t>4273AF</t>
  </si>
  <si>
    <t>31G432</t>
  </si>
  <si>
    <t>LOPEZ PLATA JAVIER</t>
  </si>
  <si>
    <t>6719AF</t>
  </si>
  <si>
    <t>V30BSR</t>
  </si>
  <si>
    <t>LOPEZ RAMIREZ JOSE ANTONIO</t>
  </si>
  <si>
    <t>3810AF</t>
  </si>
  <si>
    <t>13G647</t>
  </si>
  <si>
    <t>LOPEZ RICO JOSE FERNANDO</t>
  </si>
  <si>
    <t>4214AF</t>
  </si>
  <si>
    <t>23G320</t>
  </si>
  <si>
    <t>LOPEZ RUDECINO MAURICIO</t>
  </si>
  <si>
    <t>5208AF</t>
  </si>
  <si>
    <t>RUW803C</t>
  </si>
  <si>
    <t>LOPEZ SANCHEZ CARLOS ALBERTO</t>
  </si>
  <si>
    <t>4300AF</t>
  </si>
  <si>
    <t>31G961</t>
  </si>
  <si>
    <t>LOPEZ SANTAMARIA GABRIEL</t>
  </si>
  <si>
    <t>4345AF</t>
  </si>
  <si>
    <t>31G990</t>
  </si>
  <si>
    <t>LOPEZ SANTOS FELIPE UZIEL</t>
  </si>
  <si>
    <t>4369AF</t>
  </si>
  <si>
    <t>19G326</t>
  </si>
  <si>
    <t>LOPEZ SORIANO CARLOS</t>
  </si>
  <si>
    <t>5732AF</t>
  </si>
  <si>
    <t>09K367</t>
  </si>
  <si>
    <t>LOPEZ VERDUGO LUIS ANGEL</t>
  </si>
  <si>
    <t>6292AF</t>
  </si>
  <si>
    <t>CAT840A</t>
  </si>
  <si>
    <t>LORENZO BELLO MARTIN</t>
  </si>
  <si>
    <t>5632AF</t>
  </si>
  <si>
    <t>48G269</t>
  </si>
  <si>
    <t>LOZANO MARTINEZ JUAN CARLOS</t>
  </si>
  <si>
    <t>6130AF</t>
  </si>
  <si>
    <t>62G202</t>
  </si>
  <si>
    <t>LUGO ALVARADO FERNANDO</t>
  </si>
  <si>
    <t>5647AF</t>
  </si>
  <si>
    <t>L62BNL</t>
  </si>
  <si>
    <t>LUGO HERNANDEZ HUGO JOEL</t>
  </si>
  <si>
    <t>3995AF</t>
  </si>
  <si>
    <t>13G875</t>
  </si>
  <si>
    <t>LUGO MARTINEZ PABLO</t>
  </si>
  <si>
    <t>4072AF</t>
  </si>
  <si>
    <t>19G315</t>
  </si>
  <si>
    <t>LUNA AMARILLAS VICTOR MANUEL</t>
  </si>
  <si>
    <t>5278AF</t>
  </si>
  <si>
    <t>LUNA CABRERA MIGUEL ANGEL</t>
  </si>
  <si>
    <t>5370AF</t>
  </si>
  <si>
    <t>43G901</t>
  </si>
  <si>
    <t>LUNA CAMARILLO ENRIQUE</t>
  </si>
  <si>
    <t>4180AF</t>
  </si>
  <si>
    <t>19G474</t>
  </si>
  <si>
    <t>LUNA HERNANDEZ JULIO ARMANDO</t>
  </si>
  <si>
    <t>3318AF</t>
  </si>
  <si>
    <t>BPC076A</t>
  </si>
  <si>
    <t>LUNA MEJIA LUIS ENRIQUE</t>
  </si>
  <si>
    <t>4347AF</t>
  </si>
  <si>
    <t>19G652</t>
  </si>
  <si>
    <t>MADRIGAL SOLARES LEOPOLDO</t>
  </si>
  <si>
    <t>4388AF</t>
  </si>
  <si>
    <t>F17BRJ</t>
  </si>
  <si>
    <t>MAGAÑA MONTES MARCO JIOVANNY</t>
  </si>
  <si>
    <t>4732AF</t>
  </si>
  <si>
    <t>E02BRC</t>
  </si>
  <si>
    <t>MAGDALENO ESCALANTE JOSE IVAN</t>
  </si>
  <si>
    <t>3702AF</t>
  </si>
  <si>
    <t>BRH511A</t>
  </si>
  <si>
    <t>MALDONADO AVILA ABRAHAM ELIAS</t>
  </si>
  <si>
    <t>3819AF</t>
  </si>
  <si>
    <t>TCV549B</t>
  </si>
  <si>
    <t>MALDONADO BUSTAMANTE RAUL ALEJANDRO</t>
  </si>
  <si>
    <t>3864AF</t>
  </si>
  <si>
    <t>08G109</t>
  </si>
  <si>
    <t>MALDONADO RUIZ KEVIN EDUARDO</t>
  </si>
  <si>
    <t>5410AF</t>
  </si>
  <si>
    <t>48G138</t>
  </si>
  <si>
    <t>MANCILLA CHABOLLA DAVID GERSON</t>
  </si>
  <si>
    <t>4884AF</t>
  </si>
  <si>
    <t>MANZANARES DE LA LUZ ROBERTO CARLOS</t>
  </si>
  <si>
    <t>5181AF</t>
  </si>
  <si>
    <t>47G782</t>
  </si>
  <si>
    <t>MANZANO PACHECO FELIX</t>
  </si>
  <si>
    <t>4338AF</t>
  </si>
  <si>
    <t>31G929</t>
  </si>
  <si>
    <t>MARCELINO SUMAYA LUIS ALBERTO</t>
  </si>
  <si>
    <t>5176AF</t>
  </si>
  <si>
    <t>47G865</t>
  </si>
  <si>
    <t>MARIN GARCIA ALBERTO DE JESUS</t>
  </si>
  <si>
    <t>5290AF</t>
  </si>
  <si>
    <t>JBB658A</t>
  </si>
  <si>
    <t>MARIN SALAZAR RAFAEL</t>
  </si>
  <si>
    <t>5173AF</t>
  </si>
  <si>
    <t>47G860</t>
  </si>
  <si>
    <t>MARIN VAZQUEZ ANDRES</t>
  </si>
  <si>
    <t>6268AF</t>
  </si>
  <si>
    <t>15K071</t>
  </si>
  <si>
    <t>MARISCAL VARGAS MARCO ANTONIO</t>
  </si>
  <si>
    <t>5479AF</t>
  </si>
  <si>
    <t>48G148</t>
  </si>
  <si>
    <t>MARQUEZ MENDEZ RAUL</t>
  </si>
  <si>
    <t>4278AF</t>
  </si>
  <si>
    <t>31G966</t>
  </si>
  <si>
    <t>MARQUEZ SANCHEZ ROBERTO FRANCISCO</t>
  </si>
  <si>
    <t>5043AF</t>
  </si>
  <si>
    <t>MARTINEZ AGUIRRE RODOLFO</t>
  </si>
  <si>
    <t>4756AF</t>
  </si>
  <si>
    <t>50G958</t>
  </si>
  <si>
    <t>MARTINEZ ALMAZAN HECTOR</t>
  </si>
  <si>
    <t>3016AF</t>
  </si>
  <si>
    <t>L38BNL</t>
  </si>
  <si>
    <t>MARTINEZ ANAYA LUIS ARMANDO</t>
  </si>
  <si>
    <t>5609AF</t>
  </si>
  <si>
    <t>MARTINEZ BARRERA NESTOR IVAN</t>
  </si>
  <si>
    <t>5073AF</t>
  </si>
  <si>
    <t>29G337</t>
  </si>
  <si>
    <t>MARTINEZ BERNARDINO JULIO CESAR</t>
  </si>
  <si>
    <t>5105AF</t>
  </si>
  <si>
    <t>47G911</t>
  </si>
  <si>
    <t>MARTINEZ DIAZ JOSE OLEGARIO</t>
  </si>
  <si>
    <t>4823AF</t>
  </si>
  <si>
    <t>41G582</t>
  </si>
  <si>
    <t>MARTINEZ ESQUIVEL MIGUEL ANGEL</t>
  </si>
  <si>
    <t>3092AF</t>
  </si>
  <si>
    <t>81F245</t>
  </si>
  <si>
    <t>MARTINEZ ESTRADA NORBERTO</t>
  </si>
  <si>
    <t>5771AF</t>
  </si>
  <si>
    <t>RXN890C</t>
  </si>
  <si>
    <t>MARTINEZ FRANCO AUGUSTO ARIEL</t>
  </si>
  <si>
    <t>5143AF</t>
  </si>
  <si>
    <t>MARTINEZ GARCIA JORGE ALBERTO</t>
  </si>
  <si>
    <t>2376AF</t>
  </si>
  <si>
    <t>12-2022</t>
  </si>
  <si>
    <t>H87BKG</t>
  </si>
  <si>
    <t>MARTINEZ HERNANDEZ MIGUEL ANGEL</t>
  </si>
  <si>
    <t>4632AF</t>
  </si>
  <si>
    <t>27G661</t>
  </si>
  <si>
    <t>MARTINEZ HUERTA JOSE LUIS</t>
  </si>
  <si>
    <t>4212AF</t>
  </si>
  <si>
    <t>23G343</t>
  </si>
  <si>
    <t>MARTINEZ LARA LUIS GUSTAVO</t>
  </si>
  <si>
    <t>3523AF</t>
  </si>
  <si>
    <t>HWE175A</t>
  </si>
  <si>
    <t>MARTINEZ MEJIA ABIMAEL</t>
  </si>
  <si>
    <t>5222AF</t>
  </si>
  <si>
    <t>47G983</t>
  </si>
  <si>
    <t>MARTINEZ MOLINA RICARDO</t>
  </si>
  <si>
    <t>5685AF</t>
  </si>
  <si>
    <t>27G716</t>
  </si>
  <si>
    <t>MARTINEZ MONARREZ CRISTIAN OBET</t>
  </si>
  <si>
    <t>5403AF</t>
  </si>
  <si>
    <t>BYZ942A</t>
  </si>
  <si>
    <t>MARTINEZ MOSQUEDA JORGE LUIS</t>
  </si>
  <si>
    <t>4289AF</t>
  </si>
  <si>
    <t>31G613</t>
  </si>
  <si>
    <t>MARTINEZ ORDAZ MANUEL FEDERICO</t>
  </si>
  <si>
    <t>6643AF</t>
  </si>
  <si>
    <t>62G246</t>
  </si>
  <si>
    <t>MARTINEZ PEREZ GABRIEL HUMBERTO</t>
  </si>
  <si>
    <t>3177AF</t>
  </si>
  <si>
    <t>MARTINEZ PIÑA LUIS ALFREDO</t>
  </si>
  <si>
    <t>4025AF</t>
  </si>
  <si>
    <t>13G813</t>
  </si>
  <si>
    <t>MARTINEZ PUENTE PABLO JESUS</t>
  </si>
  <si>
    <t>5391AF</t>
  </si>
  <si>
    <t>RWG685C</t>
  </si>
  <si>
    <t>MARTINEZ QUINTANA IVAN ALEJANDRO</t>
  </si>
  <si>
    <t>5320AF</t>
  </si>
  <si>
    <t>MARTINEZ QUINTANAR ARTURO</t>
  </si>
  <si>
    <t>4318AF</t>
  </si>
  <si>
    <t>B81BNY</t>
  </si>
  <si>
    <t>MARTINEZ QUINTERO FRANCISCO JAVIER</t>
  </si>
  <si>
    <t>2419AF</t>
  </si>
  <si>
    <t>J09BKG</t>
  </si>
  <si>
    <t>MARTINEZ RAMOS JHONATAN RICARDO</t>
  </si>
  <si>
    <t>5441AF</t>
  </si>
  <si>
    <t>48G083</t>
  </si>
  <si>
    <t>MARTINEZ RAMOS JOSE LUIS</t>
  </si>
  <si>
    <t>3775AF</t>
  </si>
  <si>
    <t>08G142</t>
  </si>
  <si>
    <t>MARTINEZ RESENDIZ LORENZO ENRIQUE</t>
  </si>
  <si>
    <t>3825AF</t>
  </si>
  <si>
    <t>08G117</t>
  </si>
  <si>
    <t>MARTINEZ RIVERA MIGUEL</t>
  </si>
  <si>
    <t>5585AF</t>
  </si>
  <si>
    <t>Z85BNL</t>
  </si>
  <si>
    <t>MARTINEZ RODRIGUEZ MIGUEL ANGEL</t>
  </si>
  <si>
    <t>5813AF</t>
  </si>
  <si>
    <t>10K821</t>
  </si>
  <si>
    <t>MARTINEZ ROMERO CARLOS ALBERTO</t>
  </si>
  <si>
    <t>4169AF</t>
  </si>
  <si>
    <t>19G452</t>
  </si>
  <si>
    <t>MARTINEZ SALINAS ARTURO</t>
  </si>
  <si>
    <t>4688AF</t>
  </si>
  <si>
    <t>19G380</t>
  </si>
  <si>
    <t>MARTINEZ SANCHEZ FIDEL</t>
  </si>
  <si>
    <t>6620AF</t>
  </si>
  <si>
    <t>CBL133A</t>
  </si>
  <si>
    <t>MARTINEZ SEGURA GUSTAVO</t>
  </si>
  <si>
    <t>4176AF</t>
  </si>
  <si>
    <t>19G609</t>
  </si>
  <si>
    <t>MARTINEZ SOLIS SANDRA ERIKA</t>
  </si>
  <si>
    <t>6497AF</t>
  </si>
  <si>
    <t>13G811</t>
  </si>
  <si>
    <t>MARTINEZ VIVEROS JUAN CARLOS</t>
  </si>
  <si>
    <t>4620AF</t>
  </si>
  <si>
    <t>13G671</t>
  </si>
  <si>
    <t>MATADAMAS PEÑA LUIS ERNESTO</t>
  </si>
  <si>
    <t>4811AF</t>
  </si>
  <si>
    <t>50G445</t>
  </si>
  <si>
    <t>MAYO ZEPEDA EDGAR ENRIQUE</t>
  </si>
  <si>
    <t>4738AF</t>
  </si>
  <si>
    <t>38G361</t>
  </si>
  <si>
    <t>MEDINA BELTRAN JOSE LUIS</t>
  </si>
  <si>
    <t>5458AF</t>
  </si>
  <si>
    <t>BZA452A</t>
  </si>
  <si>
    <t>MEDINA HERNANDEZ JUAN DE DIOS</t>
  </si>
  <si>
    <t>5395AF</t>
  </si>
  <si>
    <t>RWG693C</t>
  </si>
  <si>
    <t>MEDINA IBARRA JUAN CARLOS</t>
  </si>
  <si>
    <t>6476AF</t>
  </si>
  <si>
    <t>N82BSF</t>
  </si>
  <si>
    <t>MEDINA NABOR GONZALO</t>
  </si>
  <si>
    <t>4269AF</t>
  </si>
  <si>
    <t>19G605</t>
  </si>
  <si>
    <t>MEDINA OCHOA EZEQUIEL</t>
  </si>
  <si>
    <t>3809AF</t>
  </si>
  <si>
    <t>13G625</t>
  </si>
  <si>
    <t>MEDINA SANCHEZ ANGEL</t>
  </si>
  <si>
    <t>3416AF</t>
  </si>
  <si>
    <t>84F292</t>
  </si>
  <si>
    <t>MEDRANO GUTIERREZ CRISTIAN GIOVANNI</t>
  </si>
  <si>
    <t>4532AF</t>
  </si>
  <si>
    <t>39G926</t>
  </si>
  <si>
    <t>MEJIA ARRONIZ EDUARDO</t>
  </si>
  <si>
    <t>5672AF</t>
  </si>
  <si>
    <t>31G476</t>
  </si>
  <si>
    <t>MEJIA AVILES JUAN DANIEL</t>
  </si>
  <si>
    <t>2795AF</t>
  </si>
  <si>
    <t>B77BMP</t>
  </si>
  <si>
    <t>MEJIA JAIMES ARTURO</t>
  </si>
  <si>
    <t>5005AF</t>
  </si>
  <si>
    <t>MEJIA SANABRIA MARTIN</t>
  </si>
  <si>
    <t>4833AF</t>
  </si>
  <si>
    <t>F66BRR</t>
  </si>
  <si>
    <t>MELENDEZ PEREA FRANCISCO JAVIER</t>
  </si>
  <si>
    <t>3373AF</t>
  </si>
  <si>
    <t>B52BPD</t>
  </si>
  <si>
    <t>MELENDEZ TAMAYO JOSE LUIS</t>
  </si>
  <si>
    <t>4040AF</t>
  </si>
  <si>
    <t>13G945</t>
  </si>
  <si>
    <t>MELGOZA ARIAS ALEJANDRO IDAR</t>
  </si>
  <si>
    <t>5572AF</t>
  </si>
  <si>
    <t>42G711</t>
  </si>
  <si>
    <t>MELLADO GUTIERREZ JACIEL</t>
  </si>
  <si>
    <t>4977AF</t>
  </si>
  <si>
    <t>JAY029A</t>
  </si>
  <si>
    <t>MELO GUTIERREZ MIGUEL ENRIQUE</t>
  </si>
  <si>
    <t>5304AF</t>
  </si>
  <si>
    <t>47G747</t>
  </si>
  <si>
    <t>MENDEZ ALDERETE SERGIO</t>
  </si>
  <si>
    <t>3990AF</t>
  </si>
  <si>
    <t>13G744</t>
  </si>
  <si>
    <t>MENDEZ GONZALEZ GARZA MAURICIO MOISES</t>
  </si>
  <si>
    <t>3499AF</t>
  </si>
  <si>
    <t>89F734</t>
  </si>
  <si>
    <t>MENDEZ LOPEZ JESUS</t>
  </si>
  <si>
    <t>6355AF</t>
  </si>
  <si>
    <t>51G662</t>
  </si>
  <si>
    <t>MENDEZ MERCADO MARIO</t>
  </si>
  <si>
    <t>4634AF</t>
  </si>
  <si>
    <t>Y69BNL</t>
  </si>
  <si>
    <t>MENDEZ RAMIREZ ISRAEL</t>
  </si>
  <si>
    <t>4183AF</t>
  </si>
  <si>
    <t>19G436</t>
  </si>
  <si>
    <t>MENDEZ REYES RUBIEL</t>
  </si>
  <si>
    <t>4286AF</t>
  </si>
  <si>
    <t>HZT608A</t>
  </si>
  <si>
    <t>MENDEZ RIVERA OSMAR</t>
  </si>
  <si>
    <t>4607AF</t>
  </si>
  <si>
    <t>39G864</t>
  </si>
  <si>
    <t>MENDIETA PAEZ JOSE ROBERTO</t>
  </si>
  <si>
    <t>5782AF</t>
  </si>
  <si>
    <t>09K938</t>
  </si>
  <si>
    <t>MENDOZA ARENAS JESUS</t>
  </si>
  <si>
    <t>4243AF</t>
  </si>
  <si>
    <t>27G593</t>
  </si>
  <si>
    <t>MENDOZA COBOS JOSE ENRIQUE</t>
  </si>
  <si>
    <t>6653AF</t>
  </si>
  <si>
    <t>CBL052A</t>
  </si>
  <si>
    <t>MENDOZA JUAREZ SAUL</t>
  </si>
  <si>
    <t>2711AF</t>
  </si>
  <si>
    <t>ULK414H</t>
  </si>
  <si>
    <t>MENDOZA MARBAN MARCO ANTONIO</t>
  </si>
  <si>
    <t>6488AF</t>
  </si>
  <si>
    <t>62G278</t>
  </si>
  <si>
    <t>MENDOZA NAÑEZ CESAR EVERARDO</t>
  </si>
  <si>
    <t>5387AF</t>
  </si>
  <si>
    <t>RVX609C</t>
  </si>
  <si>
    <t>MENDOZA RUIZ JESUS EMILIANO</t>
  </si>
  <si>
    <t>6735AF</t>
  </si>
  <si>
    <t>51G511</t>
  </si>
  <si>
    <t>MENDOZA TREJO JUAN ANTONIO</t>
  </si>
  <si>
    <t>4810AF</t>
  </si>
  <si>
    <t>MENESES CORTES ALFREDO GERMAN</t>
  </si>
  <si>
    <t>3372AF</t>
  </si>
  <si>
    <t>B58BPD</t>
  </si>
  <si>
    <t>MENESES GRACIA ALFONSO</t>
  </si>
  <si>
    <t>2510AF</t>
  </si>
  <si>
    <t>UPT741H</t>
  </si>
  <si>
    <t>MENESES JIMENEZ JUAN CARLOS</t>
  </si>
  <si>
    <t>4739AF</t>
  </si>
  <si>
    <t>38G340</t>
  </si>
  <si>
    <t>MERINO GARCIA JOSE ALFREDO</t>
  </si>
  <si>
    <t>4310AF</t>
  </si>
  <si>
    <t>F85BRJ</t>
  </si>
  <si>
    <t>MERINOS PORTILLO ELEUTERIO</t>
  </si>
  <si>
    <t>4672AF</t>
  </si>
  <si>
    <t>MEZA AVILA CARLOS ANTONIO</t>
  </si>
  <si>
    <t>4574AF</t>
  </si>
  <si>
    <t>BWX670A</t>
  </si>
  <si>
    <t>MEZA PACHECO JULIAN</t>
  </si>
  <si>
    <t>6849AF</t>
  </si>
  <si>
    <t>RZB020C</t>
  </si>
  <si>
    <t>MILLAN MORALES RICARDO</t>
  </si>
  <si>
    <t>3774AF</t>
  </si>
  <si>
    <t>08G198</t>
  </si>
  <si>
    <t>MIRANDA VALENCIA LUIS DANIEL</t>
  </si>
  <si>
    <t>5571AF</t>
  </si>
  <si>
    <t>42G788</t>
  </si>
  <si>
    <t>MIRELES PATONI ERNESTO</t>
  </si>
  <si>
    <t>2913AF</t>
  </si>
  <si>
    <t>E10BNH</t>
  </si>
  <si>
    <t>MOCTEZUMA MARTINEZ DAVID</t>
  </si>
  <si>
    <t>4626AF</t>
  </si>
  <si>
    <t>38G134</t>
  </si>
  <si>
    <t>MOLINA MARTINEZ ANGEL FERNANDO</t>
  </si>
  <si>
    <t>4605AF</t>
  </si>
  <si>
    <t>39G832</t>
  </si>
  <si>
    <t>MONCAYO MAZARIEGO LEONEL HAIL</t>
  </si>
  <si>
    <t>3723AF</t>
  </si>
  <si>
    <t>S63BPH</t>
  </si>
  <si>
    <t>MONDRAGON SEVILLA RANDHY KALID</t>
  </si>
  <si>
    <t>4995AF</t>
  </si>
  <si>
    <t>47G511</t>
  </si>
  <si>
    <t>MONROY FUENTES MARCO ANTONIO</t>
  </si>
  <si>
    <t>3058AF</t>
  </si>
  <si>
    <t>81F277</t>
  </si>
  <si>
    <t>MONROY SANCHEZ RODRIGO ARTURO</t>
  </si>
  <si>
    <t>5038AF</t>
  </si>
  <si>
    <t>47G583</t>
  </si>
  <si>
    <t>MONSALVO CASTILLO LAZARO ALBERTO</t>
  </si>
  <si>
    <t>5356AF</t>
  </si>
  <si>
    <t>47G945</t>
  </si>
  <si>
    <t>MONSIVAIS ESCOBAR ROBERTO GERARDO</t>
  </si>
  <si>
    <t>4850AF</t>
  </si>
  <si>
    <t>RUB737C</t>
  </si>
  <si>
    <t>MONTEFORT MARTINEZ SERGIO GERARDO</t>
  </si>
  <si>
    <t>3332AF</t>
  </si>
  <si>
    <t>A13BNM</t>
  </si>
  <si>
    <t>MONTERO DOMINGUEZ FRANCISCO JAVIER</t>
  </si>
  <si>
    <t>4334AF</t>
  </si>
  <si>
    <t>31G936</t>
  </si>
  <si>
    <t>MONTERO FLORES SAMUEL</t>
  </si>
  <si>
    <t>2817AF</t>
  </si>
  <si>
    <t>JTU1495</t>
  </si>
  <si>
    <t>MONTES AGUILAR OSCAR ZOAR</t>
  </si>
  <si>
    <t>6852AF</t>
  </si>
  <si>
    <t>19K653</t>
  </si>
  <si>
    <t>MONTES ARTEAGA GUILLERMO</t>
  </si>
  <si>
    <t>3225AF</t>
  </si>
  <si>
    <t>HUL787A</t>
  </si>
  <si>
    <t>MONTES GOMEZ JAVIER</t>
  </si>
  <si>
    <t>6845AF</t>
  </si>
  <si>
    <t>89F856</t>
  </si>
  <si>
    <t>MONTES SOLIS ALFONSO ALBERTO</t>
  </si>
  <si>
    <t>4143AF</t>
  </si>
  <si>
    <t>14G365</t>
  </si>
  <si>
    <t>MONTIEL CUEVAS CARLOS IVAN</t>
  </si>
  <si>
    <t>4828AF</t>
  </si>
  <si>
    <t>19G593</t>
  </si>
  <si>
    <t>MONTIEL ORTIZ LEOPOLDO</t>
  </si>
  <si>
    <t>3184AF</t>
  </si>
  <si>
    <t>B49BNM</t>
  </si>
  <si>
    <t>MONTOYA RIOS DANIEL FERNANDO</t>
  </si>
  <si>
    <t>3657AF</t>
  </si>
  <si>
    <t>BRH518A</t>
  </si>
  <si>
    <t>MORA MACEDO ALDO CECILIO</t>
  </si>
  <si>
    <t>4108AF</t>
  </si>
  <si>
    <t>14G411</t>
  </si>
  <si>
    <t>MORA SANCHEZ ALEJANDRO</t>
  </si>
  <si>
    <t>2979AF</t>
  </si>
  <si>
    <t>72F069</t>
  </si>
  <si>
    <t>MORALES BARRERA CLAUDIO LIZANDRO</t>
  </si>
  <si>
    <t>3975AF</t>
  </si>
  <si>
    <t>D14BPN</t>
  </si>
  <si>
    <t>MORALES CALLES LUIS DANIEL</t>
  </si>
  <si>
    <t>5646AF</t>
  </si>
  <si>
    <t>MORALES HERNANDEZ BRANDO JESUS</t>
  </si>
  <si>
    <t>5012AF</t>
  </si>
  <si>
    <t>50G974</t>
  </si>
  <si>
    <t>MORALES ORTEGA DAVID ALFREDO</t>
  </si>
  <si>
    <t>4761AF</t>
  </si>
  <si>
    <t>50G694</t>
  </si>
  <si>
    <t>MORALES PEREZ EVER MARIN</t>
  </si>
  <si>
    <t>5869AF</t>
  </si>
  <si>
    <t>CAJ008A</t>
  </si>
  <si>
    <t>MORALES VAZQUEZ ANDONI ALONSO</t>
  </si>
  <si>
    <t>3089AF</t>
  </si>
  <si>
    <t>BLX740A</t>
  </si>
  <si>
    <t>MORALES VEGA MARCO ANTONIO</t>
  </si>
  <si>
    <t>5051AF</t>
  </si>
  <si>
    <t>47G548</t>
  </si>
  <si>
    <t>MORALES VELARDE JESUS ABRAHAM</t>
  </si>
  <si>
    <t>4567AF</t>
  </si>
  <si>
    <t>BWX664A</t>
  </si>
  <si>
    <t>MORELOS PASALAGUA JORGE ALBERTO</t>
  </si>
  <si>
    <t>4016AF</t>
  </si>
  <si>
    <t>13G758</t>
  </si>
  <si>
    <t>MORENO CARRADA HILDEBERTO</t>
  </si>
  <si>
    <t>6118AF</t>
  </si>
  <si>
    <t>CAS955A</t>
  </si>
  <si>
    <t>MORENO EGUIA EMILIO EMANUEL</t>
  </si>
  <si>
    <t>4846AF</t>
  </si>
  <si>
    <t>RLW864C</t>
  </si>
  <si>
    <t>MORENO GONZALES VICTOR AGEO</t>
  </si>
  <si>
    <t>2890AF</t>
  </si>
  <si>
    <t>BKM797A</t>
  </si>
  <si>
    <t>MORENO SANDOVAL JOEL ENRIQUE</t>
  </si>
  <si>
    <t>5196AF</t>
  </si>
  <si>
    <t>BZB780A</t>
  </si>
  <si>
    <t>MORENO VAZQUEZ JOSE ANTONIO</t>
  </si>
  <si>
    <t>5490AF</t>
  </si>
  <si>
    <t>BZA436A</t>
  </si>
  <si>
    <t>MORGAS PEREZ OSIRIS ANAY</t>
  </si>
  <si>
    <t>6387AF</t>
  </si>
  <si>
    <t>53S658</t>
  </si>
  <si>
    <t>MUÑOZ HERNANDEZ GIOVANNI IVAN</t>
  </si>
  <si>
    <t>3223AF</t>
  </si>
  <si>
    <t>84F301</t>
  </si>
  <si>
    <t>MUÑOZ HERNANDEZ OMAR EDUARDO</t>
  </si>
  <si>
    <t>3064AF</t>
  </si>
  <si>
    <t>81F259</t>
  </si>
  <si>
    <t>MUÑOZ MIRANDA URIEL ISAY</t>
  </si>
  <si>
    <t>5926AF</t>
  </si>
  <si>
    <t>11K124</t>
  </si>
  <si>
    <t>NAJERA PILGRAN LUIS ALEJANDRO</t>
  </si>
  <si>
    <t>4859AF</t>
  </si>
  <si>
    <t>50G748</t>
  </si>
  <si>
    <t>NAÑEZ REYES LUIS ALBERTO</t>
  </si>
  <si>
    <t>6279AF</t>
  </si>
  <si>
    <t>CAT829A</t>
  </si>
  <si>
    <t>NAVA MORENO OSVALDO</t>
  </si>
  <si>
    <t>3374AF</t>
  </si>
  <si>
    <t>B91BNY</t>
  </si>
  <si>
    <t>NAVA OLIVOS MANUEL ALFONSO</t>
  </si>
  <si>
    <t>4696AF</t>
  </si>
  <si>
    <t>41G452</t>
  </si>
  <si>
    <t>NAVA RODRIGUEZ JOSE GILBERTO</t>
  </si>
  <si>
    <t>2895AF</t>
  </si>
  <si>
    <t>37F545</t>
  </si>
  <si>
    <t>NAVARRO ROJAS ALAN OMAR</t>
  </si>
  <si>
    <t>3371AF</t>
  </si>
  <si>
    <t>B35BNY</t>
  </si>
  <si>
    <t>6722AF</t>
  </si>
  <si>
    <t>NAZARIO BELTRAN ADRIAN</t>
  </si>
  <si>
    <t>4238AF</t>
  </si>
  <si>
    <t>62F554</t>
  </si>
  <si>
    <t>NAZARIO RODRIGUEZ VALENTIN</t>
  </si>
  <si>
    <t>2356AF</t>
  </si>
  <si>
    <t>K25BKG</t>
  </si>
  <si>
    <t>NERI MUÑOZ ENRIQUE</t>
  </si>
  <si>
    <t>3307AF</t>
  </si>
  <si>
    <t>NERI ROMO ABRAHAM LAJUD</t>
  </si>
  <si>
    <t>4309AF</t>
  </si>
  <si>
    <t>E94BRJ</t>
  </si>
  <si>
    <t>NI O SOLIS JUAN ANDRES OSVALDO</t>
  </si>
  <si>
    <t>6687AF</t>
  </si>
  <si>
    <t>56S311</t>
  </si>
  <si>
    <t>NICACIO RAMIREZ PEDRO</t>
  </si>
  <si>
    <t>3211AF</t>
  </si>
  <si>
    <t>84F101</t>
  </si>
  <si>
    <t>NIEVA LORENZO OSVALDO DE JESUS</t>
  </si>
  <si>
    <t>3578AF</t>
  </si>
  <si>
    <t>E78BPF</t>
  </si>
  <si>
    <t>NIEVES GUTIERREZ MARTIN</t>
  </si>
  <si>
    <t>5106AF</t>
  </si>
  <si>
    <t>47G896</t>
  </si>
  <si>
    <t>NIÑO ASTELLO ARNULFO</t>
  </si>
  <si>
    <t>3069AF</t>
  </si>
  <si>
    <t>SVZ838B</t>
  </si>
  <si>
    <t>NOLASCO VALDES CONSTANTINO</t>
  </si>
  <si>
    <t>4208AF</t>
  </si>
  <si>
    <t>R85BRD</t>
  </si>
  <si>
    <t>NORIEGA TORRES CLIFF EDUARDO</t>
  </si>
  <si>
    <t>2532AF</t>
  </si>
  <si>
    <t>BGH357A</t>
  </si>
  <si>
    <t>NUÑEZ JURADO JUAN CARLOS</t>
  </si>
  <si>
    <t>4305AF</t>
  </si>
  <si>
    <t>27G520</t>
  </si>
  <si>
    <t>NUÑEZ PUENTE ABRAHAM FABRIZIO</t>
  </si>
  <si>
    <t>2653AF</t>
  </si>
  <si>
    <t>H51BMC</t>
  </si>
  <si>
    <t>NUÑO MEDINA JUAN RAMON</t>
  </si>
  <si>
    <t>3877AF</t>
  </si>
  <si>
    <t>HWR660A</t>
  </si>
  <si>
    <t>NUÑO VARGAS SALVADOR GABRIEL</t>
  </si>
  <si>
    <t>5182AF</t>
  </si>
  <si>
    <t>47G819</t>
  </si>
  <si>
    <t>OCAMPO MONROY LUIS ALBERTO</t>
  </si>
  <si>
    <t>4077AF</t>
  </si>
  <si>
    <t>19G372</t>
  </si>
  <si>
    <t>OCHOA PALACIOS DIEGO DE JESUS</t>
  </si>
  <si>
    <t>4765AF</t>
  </si>
  <si>
    <t>41G410</t>
  </si>
  <si>
    <t>OCHOA RODRIGUEZ PATRICIO ELIFALETH</t>
  </si>
  <si>
    <t>4326AF</t>
  </si>
  <si>
    <t>TDF928B</t>
  </si>
  <si>
    <t>OJEDA BARRANCO VICTOR</t>
  </si>
  <si>
    <t>2361AF</t>
  </si>
  <si>
    <t>G41BKG</t>
  </si>
  <si>
    <t>OJENDIS RAMIREZ JOSE ALBERTO</t>
  </si>
  <si>
    <t>6001AF</t>
  </si>
  <si>
    <t>51G527</t>
  </si>
  <si>
    <t>OLEA HERNANDEZ MISAEL SAHID</t>
  </si>
  <si>
    <t>5217AF</t>
  </si>
  <si>
    <t>43G863</t>
  </si>
  <si>
    <t>OLIVARES BALTIERRA HANSEL SANTIAGO</t>
  </si>
  <si>
    <t>5557AF</t>
  </si>
  <si>
    <t>48G056</t>
  </si>
  <si>
    <t>OLIVARES GALLEGOS FABIAN</t>
  </si>
  <si>
    <t>4534AF</t>
  </si>
  <si>
    <t>40G099</t>
  </si>
  <si>
    <t>OLIVARES RAMOS EZEQUIEL</t>
  </si>
  <si>
    <t>3197AF</t>
  </si>
  <si>
    <t>HUL791A</t>
  </si>
  <si>
    <t>OLIVARES VILLICAÑA EMANUEL ERIC</t>
  </si>
  <si>
    <t>5553AF</t>
  </si>
  <si>
    <t>42G755</t>
  </si>
  <si>
    <t>OLIVAREZ HERNANDEZ JULIO CESAR</t>
  </si>
  <si>
    <t>5510AF</t>
  </si>
  <si>
    <t>BZA446A</t>
  </si>
  <si>
    <t>OLVERA CAMACHO ERICK</t>
  </si>
  <si>
    <t>6540AF</t>
  </si>
  <si>
    <t>RYU482C</t>
  </si>
  <si>
    <t>OLVERA CONTRERAS JESUS EMANUEL</t>
  </si>
  <si>
    <t>2822AF</t>
  </si>
  <si>
    <t>BKB318A</t>
  </si>
  <si>
    <t>OLVERA SILVA CESAR ANTONIO</t>
  </si>
  <si>
    <t>3515AF</t>
  </si>
  <si>
    <t>H22BPF</t>
  </si>
  <si>
    <t>ONOFRE TAFOYA EDUARDO</t>
  </si>
  <si>
    <t>4105AF</t>
  </si>
  <si>
    <t>14G484</t>
  </si>
  <si>
    <t>ORANTES HERNANDEZ CARLOS ALBERTO</t>
  </si>
  <si>
    <t>3634AF</t>
  </si>
  <si>
    <t>BRH520A</t>
  </si>
  <si>
    <t>ORDAZ HERNANDEZ CRESENCIO</t>
  </si>
  <si>
    <t>2747AF</t>
  </si>
  <si>
    <t>BJX367A</t>
  </si>
  <si>
    <t>ORDAZ SANCHEZ YESSER ESLEITTER ROBERTO</t>
  </si>
  <si>
    <t>6356AF</t>
  </si>
  <si>
    <t>53S665</t>
  </si>
  <si>
    <t>ORDOÑEZ CRUZ JOSE JUAN</t>
  </si>
  <si>
    <t>4586AF</t>
  </si>
  <si>
    <t>OROZCO ANDA ALEJANDRO</t>
  </si>
  <si>
    <t>4160AF</t>
  </si>
  <si>
    <t>19G401</t>
  </si>
  <si>
    <t>OROZCO ROCHA MIGUEL ANGEL</t>
  </si>
  <si>
    <t>4427AF</t>
  </si>
  <si>
    <t>19G581</t>
  </si>
  <si>
    <t>ORTEGA ANGELES JOSE CARLOS</t>
  </si>
  <si>
    <t>5053AF</t>
  </si>
  <si>
    <t>41G666</t>
  </si>
  <si>
    <t>ORTEGA CRUZ HECTOR</t>
  </si>
  <si>
    <t>6496AF</t>
  </si>
  <si>
    <t>51G572</t>
  </si>
  <si>
    <t>ORTEGA GOMEZ JOSE LUIS</t>
  </si>
  <si>
    <t>3842AF</t>
  </si>
  <si>
    <t>13G555</t>
  </si>
  <si>
    <t>ORTEGA ISLAS JUAN CARLOS</t>
  </si>
  <si>
    <t>4181AF</t>
  </si>
  <si>
    <t>19G671</t>
  </si>
  <si>
    <t>ORTIZ CASTAÑEDA CHRISTIAN MANUEL</t>
  </si>
  <si>
    <t>4935AF</t>
  </si>
  <si>
    <t>50G903</t>
  </si>
  <si>
    <t>ORTIZ CASTELLANOS CHRISTIAN ADRIAN</t>
  </si>
  <si>
    <t>5110AF</t>
  </si>
  <si>
    <t>47G715</t>
  </si>
  <si>
    <t>ORTIZ FLORES MIGUEL EDUARDO</t>
  </si>
  <si>
    <t>4283AF</t>
  </si>
  <si>
    <t>P42BRD</t>
  </si>
  <si>
    <t>ORTIZ GUTIERREZ RAYMUNDO GABRIEL</t>
  </si>
  <si>
    <t>4005AF</t>
  </si>
  <si>
    <t>R60BPH</t>
  </si>
  <si>
    <t>ORTIZ JACOBO FRANCISCO JAVIER</t>
  </si>
  <si>
    <t>5612AF</t>
  </si>
  <si>
    <t>09k002</t>
  </si>
  <si>
    <t>ORTIZ MENDOZA JORGE ALBERTO</t>
  </si>
  <si>
    <t>3407AF</t>
  </si>
  <si>
    <t>HWE166A</t>
  </si>
  <si>
    <t>ORTIZ RODRIGUEZ CESAR AMOREL</t>
  </si>
  <si>
    <t>5826AF</t>
  </si>
  <si>
    <t>RXW244C</t>
  </si>
  <si>
    <t>ORTIZ TOVAR JUAN ANDRES</t>
  </si>
  <si>
    <t>5950AF</t>
  </si>
  <si>
    <t>RXW062C</t>
  </si>
  <si>
    <t>ORTIZ URIBE MARIO ADAN</t>
  </si>
  <si>
    <t>5938AF</t>
  </si>
  <si>
    <t>ORTIZ VAZQUEZ JUAN CARLOS</t>
  </si>
  <si>
    <t>2408AF</t>
  </si>
  <si>
    <t>BEH488A</t>
  </si>
  <si>
    <t>OSORIO MARTINEZ JULIO CESAR</t>
  </si>
  <si>
    <t>3432AF</t>
  </si>
  <si>
    <t>77F016</t>
  </si>
  <si>
    <t>OTERO DELGADO FABIAN</t>
  </si>
  <si>
    <t>5268AF</t>
  </si>
  <si>
    <t>43G910</t>
  </si>
  <si>
    <t>PABLO LOPEZ DANIEL</t>
  </si>
  <si>
    <t>3663AF</t>
  </si>
  <si>
    <t>89F896</t>
  </si>
  <si>
    <t>PACHECO ESTRADA MIGUEL ANGEL</t>
  </si>
  <si>
    <t>2492AF</t>
  </si>
  <si>
    <t>UPT743H</t>
  </si>
  <si>
    <t>PACHECO ZUÑIGA FAUSTO DANIEL</t>
  </si>
  <si>
    <t>5504AF</t>
  </si>
  <si>
    <t>48G171</t>
  </si>
  <si>
    <t>PADILLA ADORNO EDUARDO</t>
  </si>
  <si>
    <t>5641AF</t>
  </si>
  <si>
    <t>08K017</t>
  </si>
  <si>
    <t>PADILLA HERNANDEZ JESUS EDUARDO</t>
  </si>
  <si>
    <t>4685AF</t>
  </si>
  <si>
    <t>RLW865C</t>
  </si>
  <si>
    <t>PADILLA MARTINEZ YAIR</t>
  </si>
  <si>
    <t>5311AF</t>
  </si>
  <si>
    <t>47G922</t>
  </si>
  <si>
    <t>PADILLA SALON EDWIN</t>
  </si>
  <si>
    <t>3485AF</t>
  </si>
  <si>
    <t>D86BPF</t>
  </si>
  <si>
    <t>PALACIOS PEREZ ELIAS FELIPE DE JESUS</t>
  </si>
  <si>
    <t>4241AF</t>
  </si>
  <si>
    <t>19G646</t>
  </si>
  <si>
    <t>PALAFOX LOPEZ MARCO ADDIEL</t>
  </si>
  <si>
    <t>5283AF</t>
  </si>
  <si>
    <t>BYZ583A</t>
  </si>
  <si>
    <t>PALMA VILLEGAS JUAN MANUEL</t>
  </si>
  <si>
    <t>3836AF</t>
  </si>
  <si>
    <t>08G115</t>
  </si>
  <si>
    <t>PALOMARES MONTANTE MIGUEL ANGEL</t>
  </si>
  <si>
    <t>2595AF</t>
  </si>
  <si>
    <t>E20BLZ</t>
  </si>
  <si>
    <t>PALOMO MARTINEZ ESTEBAN GERARDO</t>
  </si>
  <si>
    <t>4617AF</t>
  </si>
  <si>
    <t>SZM483A</t>
  </si>
  <si>
    <t>PANIAGUA OSORIO GUSTAVO ANTONIO</t>
  </si>
  <si>
    <t>4222AF</t>
  </si>
  <si>
    <t>27G568</t>
  </si>
  <si>
    <t>PANIAGUA SANCHEZ VICTOR HUGO</t>
  </si>
  <si>
    <t>4819AF</t>
  </si>
  <si>
    <t>41G665</t>
  </si>
  <si>
    <t>PARAMO RIOS RICARDO MIGUEL</t>
  </si>
  <si>
    <t>6296AF</t>
  </si>
  <si>
    <t>L77BSF</t>
  </si>
  <si>
    <t>PAREDES GARZA ALAN JOSUE</t>
  </si>
  <si>
    <t>3068AF</t>
  </si>
  <si>
    <t>SVZ837B</t>
  </si>
  <si>
    <t>PAREDES JIMENEZ JAVIER HORACIO</t>
  </si>
  <si>
    <t>5099AF</t>
  </si>
  <si>
    <t>50G954</t>
  </si>
  <si>
    <t>PARRA BARBOZA OSCAR ISAAC</t>
  </si>
  <si>
    <t>5792AF</t>
  </si>
  <si>
    <t>JZK269A</t>
  </si>
  <si>
    <t>PASTOR SIERRA URBANO</t>
  </si>
  <si>
    <t>4120AF</t>
  </si>
  <si>
    <t>19G391</t>
  </si>
  <si>
    <t>PATIÑO PAZ ANTONINO</t>
  </si>
  <si>
    <t>4132AF</t>
  </si>
  <si>
    <t>PEDRAZA GARCIA ARMANDO</t>
  </si>
  <si>
    <t>3980AF</t>
  </si>
  <si>
    <t>TGU462B</t>
  </si>
  <si>
    <t>PEDRAZA GUZMAN JOSE GUADALUPE</t>
  </si>
  <si>
    <t>6125AF</t>
  </si>
  <si>
    <t>JNU135A</t>
  </si>
  <si>
    <t>PEDROZA LOPEZ CARLOS ANDRES</t>
  </si>
  <si>
    <t>5852AF</t>
  </si>
  <si>
    <t>11K166</t>
  </si>
  <si>
    <t>PEINADO JIMENEZ JOEL ARMANDO</t>
  </si>
  <si>
    <t>6059AF</t>
  </si>
  <si>
    <t>CAS978A</t>
  </si>
  <si>
    <t>PELAYO PEREZ JOSE DE JESUS</t>
  </si>
  <si>
    <t>3051AF</t>
  </si>
  <si>
    <t>T20BNL</t>
  </si>
  <si>
    <t>PEÑA CABELLO LUIS EMILIANO</t>
  </si>
  <si>
    <t>6664AF</t>
  </si>
  <si>
    <t>62G373</t>
  </si>
  <si>
    <t>PEÑA GUZMAN JOSE JUAN</t>
  </si>
  <si>
    <t>4119AF</t>
  </si>
  <si>
    <t>19G314</t>
  </si>
  <si>
    <t>PEÑALOZA AVILA NADIA GABRIELA</t>
  </si>
  <si>
    <t>4572AF</t>
  </si>
  <si>
    <t>BWX658A</t>
  </si>
  <si>
    <t>PEÑALOZA REYES MARCELINO</t>
  </si>
  <si>
    <t>6057AF</t>
  </si>
  <si>
    <t>CAS977A</t>
  </si>
  <si>
    <t>PEREZ ALMENDRA DANIEL</t>
  </si>
  <si>
    <t>4233AF</t>
  </si>
  <si>
    <t>BUR877A</t>
  </si>
  <si>
    <t>PEREZ ALVAREZ MOISES</t>
  </si>
  <si>
    <t>3086AF</t>
  </si>
  <si>
    <t>84F035</t>
  </si>
  <si>
    <t>PEREZ CANALES CESAR ARMANDO</t>
  </si>
  <si>
    <t>4740AF</t>
  </si>
  <si>
    <t>38G275</t>
  </si>
  <si>
    <t>PEREZ ESTRADA ERNESTO</t>
  </si>
  <si>
    <t>4905AF</t>
  </si>
  <si>
    <t>RUB736C</t>
  </si>
  <si>
    <t>PEREZ GOMEZ NATANAEL JOAQUIN</t>
  </si>
  <si>
    <t>6238AF</t>
  </si>
  <si>
    <t>51G507</t>
  </si>
  <si>
    <t>PEREZ GOMEZ RUBEN OMAR</t>
  </si>
  <si>
    <t>5201AF</t>
  </si>
  <si>
    <t>PEREZ HERNANDEZ JERONIMO</t>
  </si>
  <si>
    <t>3664AF</t>
  </si>
  <si>
    <t>89F898</t>
  </si>
  <si>
    <t>PEREZ HERNANDEZ JOSE MISAEL</t>
  </si>
  <si>
    <t>4986AF</t>
  </si>
  <si>
    <t>BYG583A</t>
  </si>
  <si>
    <t>PEREZ MARIN MARCO ANTONIO</t>
  </si>
  <si>
    <t>5013AF</t>
  </si>
  <si>
    <t>50G933</t>
  </si>
  <si>
    <t>PEREZ MONTES JOSE GUADALUPE</t>
  </si>
  <si>
    <t>3168AF</t>
  </si>
  <si>
    <t>84F062</t>
  </si>
  <si>
    <t>PEREZ MORENO SERGIO EDUARDO</t>
  </si>
  <si>
    <t>4254AF</t>
  </si>
  <si>
    <t>PEREZ RODRIGUEZ MARCOS PABLO</t>
  </si>
  <si>
    <t>5789AF</t>
  </si>
  <si>
    <t>10K417</t>
  </si>
  <si>
    <t>PEREZ RODRIGUEZ OSCAR ALBERTO</t>
  </si>
  <si>
    <t>4161AF</t>
  </si>
  <si>
    <t>19G464</t>
  </si>
  <si>
    <t>PEREZ SAN LUIS GABRIEL</t>
  </si>
  <si>
    <t>4886AF</t>
  </si>
  <si>
    <t>PEREZ SANTIAGO ABRAHAM AUDBERTO</t>
  </si>
  <si>
    <t>2907AF</t>
  </si>
  <si>
    <t>E71BNH</t>
  </si>
  <si>
    <t>PEREZ SANTIZO RENE ALDAIR</t>
  </si>
  <si>
    <t>3002AF</t>
  </si>
  <si>
    <t>BKM884A</t>
  </si>
  <si>
    <t>PEREZ SOLIS MIGUEL ANGEL</t>
  </si>
  <si>
    <t>5375AF</t>
  </si>
  <si>
    <t>47G901</t>
  </si>
  <si>
    <t>PEREZ TAFOLLA ANGEL DE JESUS</t>
  </si>
  <si>
    <t>2757AF</t>
  </si>
  <si>
    <t>T15BMD</t>
  </si>
  <si>
    <t>PEREZ VALENCIA ISAEL</t>
  </si>
  <si>
    <t>5951AF</t>
  </si>
  <si>
    <t>RXC616C</t>
  </si>
  <si>
    <t>PEREZ ZUÑIGA MIGUEL ANGEL</t>
  </si>
  <si>
    <t>5905AF</t>
  </si>
  <si>
    <t>RXW063C</t>
  </si>
  <si>
    <t>PIETRA SANTA RIVERA RICARDO GONZALO</t>
  </si>
  <si>
    <t>6214AF</t>
  </si>
  <si>
    <t>62G311</t>
  </si>
  <si>
    <t>PILIADO SANCHEZ JUAN CARLOS</t>
  </si>
  <si>
    <t>4473AF</t>
  </si>
  <si>
    <t>31G840</t>
  </si>
  <si>
    <t>PIÑA TOSCANO JORGE</t>
  </si>
  <si>
    <t>3891AF</t>
  </si>
  <si>
    <t>C57BPN</t>
  </si>
  <si>
    <t>PINEDA GATICA GERARDO ISAIAS</t>
  </si>
  <si>
    <t>2584AF</t>
  </si>
  <si>
    <t>G13BLM</t>
  </si>
  <si>
    <t>PIZANO RAMIREZ JORGE DONACIANO</t>
  </si>
  <si>
    <t>3976AF</t>
  </si>
  <si>
    <t>HWR665A</t>
  </si>
  <si>
    <t>PLIEGO PERALTA EDWIN MAURICIO</t>
  </si>
  <si>
    <t>5432AF</t>
  </si>
  <si>
    <t>47G828</t>
  </si>
  <si>
    <t>PLUMEDA ARANGURE YILWEEN ALBERTO</t>
  </si>
  <si>
    <t>5404AF</t>
  </si>
  <si>
    <t>BZA454A</t>
  </si>
  <si>
    <t>POMPA MEZA KEVIN</t>
  </si>
  <si>
    <t>4615AF</t>
  </si>
  <si>
    <t>L05BNL</t>
  </si>
  <si>
    <t>PONCE CERVANTES FERMIN JOSE MARIA</t>
  </si>
  <si>
    <t>5717AF</t>
  </si>
  <si>
    <t>JNU143A</t>
  </si>
  <si>
    <t>PORTES REYES IVAN</t>
  </si>
  <si>
    <t>5228AF</t>
  </si>
  <si>
    <t>47G804</t>
  </si>
  <si>
    <t>PORTILLO LANDEROS DAVID ISRAEL</t>
  </si>
  <si>
    <t>3639AF</t>
  </si>
  <si>
    <t>89F860</t>
  </si>
  <si>
    <t>POZOS VALLE ALEJANDRO</t>
  </si>
  <si>
    <t>3903AF</t>
  </si>
  <si>
    <t>08G105</t>
  </si>
  <si>
    <t>PRADO MARTINEZ CARLOS ALONSO</t>
  </si>
  <si>
    <t>3674AF</t>
  </si>
  <si>
    <t>89F985</t>
  </si>
  <si>
    <t>QUIROZ CRUZ EDGAR JUAN ANTONIO</t>
  </si>
  <si>
    <t>3498AF</t>
  </si>
  <si>
    <t>89F742</t>
  </si>
  <si>
    <t>QUIROZ HERNANDEZ JOSE JUAN</t>
  </si>
  <si>
    <t>4271AF</t>
  </si>
  <si>
    <t>QUIROZ HERNANDEZ ROBERTO</t>
  </si>
  <si>
    <t>5442AF</t>
  </si>
  <si>
    <t>28G917</t>
  </si>
  <si>
    <t>RAMIREZ ALARCON DAVID MOISES</t>
  </si>
  <si>
    <t>5562AF</t>
  </si>
  <si>
    <t>48G053</t>
  </si>
  <si>
    <t>RAMIREZ ANGELES ISMAEL</t>
  </si>
  <si>
    <t>3823AF</t>
  </si>
  <si>
    <t>08G193</t>
  </si>
  <si>
    <t>RAMIREZ ARMENTA ISRAEL</t>
  </si>
  <si>
    <t>4596AF</t>
  </si>
  <si>
    <t>27G736</t>
  </si>
  <si>
    <t>RAMIREZ AYALA CLAUDIA JENNIFER</t>
  </si>
  <si>
    <t>4888AF</t>
  </si>
  <si>
    <t>RAMIREZ BACA JESUS ADRIAN</t>
  </si>
  <si>
    <t>3217AF</t>
  </si>
  <si>
    <t>84F014</t>
  </si>
  <si>
    <t>RAMIREZ BASTIDA MARTIN ALEJANDRO</t>
  </si>
  <si>
    <t>2810AF</t>
  </si>
  <si>
    <t>51F975</t>
  </si>
  <si>
    <t>RAMIREZ CASILLAS JOSE ARMANDO</t>
  </si>
  <si>
    <t>5939AF</t>
  </si>
  <si>
    <t>JNU133A</t>
  </si>
  <si>
    <t>RAMIREZ DURAN SERGIO ANTONIO</t>
  </si>
  <si>
    <t>5497AF</t>
  </si>
  <si>
    <t>48G147</t>
  </si>
  <si>
    <t>RAMIREZ ENRIQUEZ JESUS</t>
  </si>
  <si>
    <t>3872AF</t>
  </si>
  <si>
    <t>F70BPT</t>
  </si>
  <si>
    <t>RAMIREZ GARCIA GUILLERMO ALEJANDRO</t>
  </si>
  <si>
    <t>5517AF</t>
  </si>
  <si>
    <t>39G936</t>
  </si>
  <si>
    <t>RAMIREZ GARCIA OSCAR ALFONSO</t>
  </si>
  <si>
    <t>4889AF</t>
  </si>
  <si>
    <t>13G723</t>
  </si>
  <si>
    <t>RAMIREZ HERNANDEZ FRANCISCO JAVIER</t>
  </si>
  <si>
    <t>6329AF</t>
  </si>
  <si>
    <t>62G292</t>
  </si>
  <si>
    <t>RAMIREZ HERNANDEZ JOSE CARLOS</t>
  </si>
  <si>
    <t>4264AF</t>
  </si>
  <si>
    <t>19G489</t>
  </si>
  <si>
    <t>RAMIREZ HERNANDEZ ROBERTO GREGORIO</t>
  </si>
  <si>
    <t>3123AF</t>
  </si>
  <si>
    <t>RAMIREZ JARA JAVIER ALBERTO</t>
  </si>
  <si>
    <t>2620AF</t>
  </si>
  <si>
    <t>H63BMC</t>
  </si>
  <si>
    <t>RAMIREZ JIMENEZ VICTOR FERNANDO</t>
  </si>
  <si>
    <t>5156AF</t>
  </si>
  <si>
    <t>RUW783C</t>
  </si>
  <si>
    <t>RAMIREZ JUAREZ JESUS ALBERTO</t>
  </si>
  <si>
    <t>5681AF</t>
  </si>
  <si>
    <t>RAMIREZ LICEA JOSE LUIS DAMIAN</t>
  </si>
  <si>
    <t>4689AF</t>
  </si>
  <si>
    <t>38G227</t>
  </si>
  <si>
    <t>RAMIREZ MENDEZ DIEGO ALEJANDRO</t>
  </si>
  <si>
    <t>4906AF</t>
  </si>
  <si>
    <t>RUB745C</t>
  </si>
  <si>
    <t>RAMIREZ MERCADO HECTOR EDUARDO</t>
  </si>
  <si>
    <t>5015AF</t>
  </si>
  <si>
    <t>47G547</t>
  </si>
  <si>
    <t>RAMIREZ MORENO SALVADOR IVAN</t>
  </si>
  <si>
    <t>6744AF</t>
  </si>
  <si>
    <t>52G079</t>
  </si>
  <si>
    <t>RAMIREZ OLASCOAGA BRAULIO JESUS</t>
  </si>
  <si>
    <t>4144AF</t>
  </si>
  <si>
    <t>19G556</t>
  </si>
  <si>
    <t>RAMIREZ RAMIREZ GABRIEL</t>
  </si>
  <si>
    <t>4048AF</t>
  </si>
  <si>
    <t>B72BNH</t>
  </si>
  <si>
    <t>RAMIREZ RODEA CARLOS ENRIQUE</t>
  </si>
  <si>
    <t>2544AF</t>
  </si>
  <si>
    <t>28F715</t>
  </si>
  <si>
    <t>RAMIREZ RUIZ ELENA FAVIOLA</t>
  </si>
  <si>
    <t>3699AF</t>
  </si>
  <si>
    <t>94F979</t>
  </si>
  <si>
    <t>RAMIREZ TRUJILLO VICTOR MANUEL</t>
  </si>
  <si>
    <t>3038AF</t>
  </si>
  <si>
    <t>BLX686A</t>
  </si>
  <si>
    <t>RAMIREZ VAZQUEZ HECTOR RICARDO</t>
  </si>
  <si>
    <t>4339AF</t>
  </si>
  <si>
    <t>31G941</t>
  </si>
  <si>
    <t>RAMIREZ VERGARA JULIO CESAR</t>
  </si>
  <si>
    <t>3531AF</t>
  </si>
  <si>
    <t>89F760</t>
  </si>
  <si>
    <t>RAMIREZ VIZCARRA ALEJANDRO SALVADOR</t>
  </si>
  <si>
    <t>3456AF</t>
  </si>
  <si>
    <t>HWE171A</t>
  </si>
  <si>
    <t>RAMIREZ ZARATE HECTOR</t>
  </si>
  <si>
    <t>4401AF</t>
  </si>
  <si>
    <t>F71BRJ</t>
  </si>
  <si>
    <t>RAMOS ALCANTARA JOSE ALBERTO</t>
  </si>
  <si>
    <t>4047AF</t>
  </si>
  <si>
    <t>13G980</t>
  </si>
  <si>
    <t>RAMOS CANO JUAN PABLO</t>
  </si>
  <si>
    <t>3994AF</t>
  </si>
  <si>
    <t>RAMOS GARCIA GISELA</t>
  </si>
  <si>
    <t>5345AF</t>
  </si>
  <si>
    <t>47G814</t>
  </si>
  <si>
    <t>RAMOS GUZMAN JORGE ALBERTO</t>
  </si>
  <si>
    <t>6304AF</t>
  </si>
  <si>
    <t>N90BSF</t>
  </si>
  <si>
    <t>RAMOS MENDOZA ERIK ADRIAN</t>
  </si>
  <si>
    <t>3554AF</t>
  </si>
  <si>
    <t>G74BPF</t>
  </si>
  <si>
    <t>RAMOS VAZQUEZ JUAN ENRIQUE</t>
  </si>
  <si>
    <t>4031AF</t>
  </si>
  <si>
    <t>13G754</t>
  </si>
  <si>
    <t>RAMOS ZACATECO MIGUEL ANGEL</t>
  </si>
  <si>
    <t>5627AF</t>
  </si>
  <si>
    <t>48G261</t>
  </si>
  <si>
    <t>RANGEL MARTINEZ CARLOS</t>
  </si>
  <si>
    <t>2980AF</t>
  </si>
  <si>
    <t>72F015</t>
  </si>
  <si>
    <t>RAYA ESCOBAR JESUS ALBERTO</t>
  </si>
  <si>
    <t>4542AF</t>
  </si>
  <si>
    <t>39G825</t>
  </si>
  <si>
    <t>RAYAS IBARRA CARLOS</t>
  </si>
  <si>
    <t>5333AF</t>
  </si>
  <si>
    <t>RAZO RODRIGUEZ JOSE DE JESUS</t>
  </si>
  <si>
    <t>4415AF</t>
  </si>
  <si>
    <t>JAW364A</t>
  </si>
  <si>
    <t>RAZO VELAZQUEZ TOMAS ALEJANDRO</t>
  </si>
  <si>
    <t>5713AF</t>
  </si>
  <si>
    <t>JNU129A</t>
  </si>
  <si>
    <t>REMIGIO GOMEZ ALEJANDRO</t>
  </si>
  <si>
    <t>4762AF</t>
  </si>
  <si>
    <t>41G508</t>
  </si>
  <si>
    <t>RESENDIZ ALMARAZ IVAN</t>
  </si>
  <si>
    <t>2863AF</t>
  </si>
  <si>
    <t>ULM699H</t>
  </si>
  <si>
    <t>RESENDIZ MOLINA ADAN</t>
  </si>
  <si>
    <t>5350AF</t>
  </si>
  <si>
    <t>47G923</t>
  </si>
  <si>
    <t>REYES ALBARRAN EMMANUEL</t>
  </si>
  <si>
    <t>3899AF</t>
  </si>
  <si>
    <t>13G684</t>
  </si>
  <si>
    <t>REYES DOMINGUEZ EDGAR</t>
  </si>
  <si>
    <t>4590AF</t>
  </si>
  <si>
    <t>27G755</t>
  </si>
  <si>
    <t>REYES GONZALEZ CESAR AGUSTIN</t>
  </si>
  <si>
    <t>3708AF</t>
  </si>
  <si>
    <t>TFP202B</t>
  </si>
  <si>
    <t>REYES HERNANDEZ CARLOS</t>
  </si>
  <si>
    <t>3377AF</t>
  </si>
  <si>
    <t>BPW799A</t>
  </si>
  <si>
    <t>REYES LARIOS IGNACIO</t>
  </si>
  <si>
    <t>2914AF</t>
  </si>
  <si>
    <t>E48BNH</t>
  </si>
  <si>
    <t>REYES MACEDONIO JONATHAN AXEL</t>
  </si>
  <si>
    <t>5810AF</t>
  </si>
  <si>
    <t>11K118</t>
  </si>
  <si>
    <t>REYES MAUNO JOAN DAVID</t>
  </si>
  <si>
    <t>4627AF</t>
  </si>
  <si>
    <t>38G259</t>
  </si>
  <si>
    <t>REYES PERALES RAUL</t>
  </si>
  <si>
    <t>4126AF</t>
  </si>
  <si>
    <t>REYES SANCHEZ EDUARDO</t>
  </si>
  <si>
    <t>4362AF</t>
  </si>
  <si>
    <t>19G575</t>
  </si>
  <si>
    <t>REYES VEGA EDUARDO</t>
  </si>
  <si>
    <t>4083AF</t>
  </si>
  <si>
    <t>TFP416B</t>
  </si>
  <si>
    <t>REYES VENEGAS JONATAN</t>
  </si>
  <si>
    <t>6632AF</t>
  </si>
  <si>
    <t>62G291</t>
  </si>
  <si>
    <t>REYNA GUZMAN CARLOS ARMANDO</t>
  </si>
  <si>
    <t>3662AF</t>
  </si>
  <si>
    <t>89F973</t>
  </si>
  <si>
    <t>REYNOSO CASTRO ALFREDO GUADALUPE</t>
  </si>
  <si>
    <t>6630AF</t>
  </si>
  <si>
    <t>62G321</t>
  </si>
  <si>
    <t>REYNOSO RIVADENEYRA JORGE</t>
  </si>
  <si>
    <t>4006AF</t>
  </si>
  <si>
    <t>E97BPT</t>
  </si>
  <si>
    <t>RICARDO PLATON HIRAM ITZEN</t>
  </si>
  <si>
    <t>4936AF</t>
  </si>
  <si>
    <t>50G973</t>
  </si>
  <si>
    <t>RICO OLVERA OSVALDO GUADALUPE</t>
  </si>
  <si>
    <t>3550AF</t>
  </si>
  <si>
    <t>HWE176A</t>
  </si>
  <si>
    <t>RINCON DE LA CRUZ ALEJANDRO</t>
  </si>
  <si>
    <t>4190AF</t>
  </si>
  <si>
    <t>57F881</t>
  </si>
  <si>
    <t>RIOS SUAREZ OSCAR ESTEBAN</t>
  </si>
  <si>
    <t>3803AF</t>
  </si>
  <si>
    <t>08G151</t>
  </si>
  <si>
    <t>RIVAS MONTER JESUS BRYAN</t>
  </si>
  <si>
    <t>4969AF</t>
  </si>
  <si>
    <t>41G615</t>
  </si>
  <si>
    <t>RIVAS RIVAS MIGUEL ANGEL</t>
  </si>
  <si>
    <t>4958AF</t>
  </si>
  <si>
    <t>41G620</t>
  </si>
  <si>
    <t>RIVERA ATONDO RICARDO</t>
  </si>
  <si>
    <t>3713AF</t>
  </si>
  <si>
    <t>BSG143A</t>
  </si>
  <si>
    <t>RIVERA BALDENEGRO BRYAN ALBERTO</t>
  </si>
  <si>
    <t>3605AF</t>
  </si>
  <si>
    <t>BRH515A</t>
  </si>
  <si>
    <t>RIVERA GOMEZ ASTRO ROGELIO</t>
  </si>
  <si>
    <t>3798AF</t>
  </si>
  <si>
    <t>TFP410B</t>
  </si>
  <si>
    <t>RIVERA LUJANO JORGE HUMBERTO</t>
  </si>
  <si>
    <t>4647AF</t>
  </si>
  <si>
    <t>38G254</t>
  </si>
  <si>
    <t>RIVERA PATIÑO J FELIX</t>
  </si>
  <si>
    <t>3376AF</t>
  </si>
  <si>
    <t>HWE179A</t>
  </si>
  <si>
    <t>RIVERA REGINO JOSE IVAN</t>
  </si>
  <si>
    <t>5688AF</t>
  </si>
  <si>
    <t>RXN887C</t>
  </si>
  <si>
    <t>RIVERA VILLA JOSE DE JESUS</t>
  </si>
  <si>
    <t>2334AF</t>
  </si>
  <si>
    <t>JTK9302</t>
  </si>
  <si>
    <t>RIVERO DELGADO GUILLERMO ISAHI</t>
  </si>
  <si>
    <t>4163AF</t>
  </si>
  <si>
    <t>19G343</t>
  </si>
  <si>
    <t>ROBLEDO TELLO JESUS FRANCISCO</t>
  </si>
  <si>
    <t>3504AF</t>
  </si>
  <si>
    <t>89F716</t>
  </si>
  <si>
    <t>ROBLERO VELAZQUEZ JUAN CARLOS</t>
  </si>
  <si>
    <t>2753AF</t>
  </si>
  <si>
    <t>BJX360A</t>
  </si>
  <si>
    <t>ROBLES ABONZA FEDERICO</t>
  </si>
  <si>
    <t>6368AF</t>
  </si>
  <si>
    <t>62G288</t>
  </si>
  <si>
    <t>ROBLES CISNEROS JUAN</t>
  </si>
  <si>
    <t>5430AF</t>
  </si>
  <si>
    <t>RWG687C</t>
  </si>
  <si>
    <t>ROCHA . MICHAEL</t>
  </si>
  <si>
    <t>4100AF</t>
  </si>
  <si>
    <t>19G319</t>
  </si>
  <si>
    <t>RODRIGUEZ ALVAREZ KEVIN EDUARDO</t>
  </si>
  <si>
    <t>4813AF</t>
  </si>
  <si>
    <t>41G608</t>
  </si>
  <si>
    <t>RODRIGUEZ CERVANTES ANGEL ISAAC</t>
  </si>
  <si>
    <t>3539AF</t>
  </si>
  <si>
    <t>89F772</t>
  </si>
  <si>
    <t>RODRIGUEZ DE LA ROSA JOSE MIGUEL</t>
  </si>
  <si>
    <t>3263AF</t>
  </si>
  <si>
    <t>HVM533A</t>
  </si>
  <si>
    <t>RODRIGUEZ DIAZ AMERICO</t>
  </si>
  <si>
    <t>5578AF</t>
  </si>
  <si>
    <t>RWG694C</t>
  </si>
  <si>
    <t>RODRIGUEZ DIAZ OSCAR</t>
  </si>
  <si>
    <t>4363AF</t>
  </si>
  <si>
    <t>HZT602A</t>
  </si>
  <si>
    <t>RODRIGUEZ ESTEBAN CRHISTIAN</t>
  </si>
  <si>
    <t>4583AF</t>
  </si>
  <si>
    <t>39G877</t>
  </si>
  <si>
    <t>RODRIGUEZ FLORES CARLOS FRANCISCO</t>
  </si>
  <si>
    <t>6086AF</t>
  </si>
  <si>
    <t>V93BSF</t>
  </si>
  <si>
    <t>RODRIGUEZ GARCIA ABNER</t>
  </si>
  <si>
    <t>3381AF</t>
  </si>
  <si>
    <t>84F195</t>
  </si>
  <si>
    <t>RODRIGUEZ GARCIA EDUARDO ANDRES</t>
  </si>
  <si>
    <t>4497AF</t>
  </si>
  <si>
    <t>HZT604A</t>
  </si>
  <si>
    <t>RODRIGUEZ MEJIA JESUS</t>
  </si>
  <si>
    <t>4814AF</t>
  </si>
  <si>
    <t>41G629</t>
  </si>
  <si>
    <t>RODRIGUEZ MUÑOZ ARTURO</t>
  </si>
  <si>
    <t>4073AF</t>
  </si>
  <si>
    <t>14G404</t>
  </si>
  <si>
    <t>RODRIGUEZ OLMOS OSCAR</t>
  </si>
  <si>
    <t>3580AF</t>
  </si>
  <si>
    <t>E59BPF</t>
  </si>
  <si>
    <t>RODRIGUEZ OVANDO ARMANDO</t>
  </si>
  <si>
    <t>6338AF</t>
  </si>
  <si>
    <t>M30BSF</t>
  </si>
  <si>
    <t>RODRIGUEZ PARRA ISMAEL</t>
  </si>
  <si>
    <t>5075AF</t>
  </si>
  <si>
    <t>47G995</t>
  </si>
  <si>
    <t>RODRIGUEZ PEÑA MARIO</t>
  </si>
  <si>
    <t>4291AF</t>
  </si>
  <si>
    <t>31G411</t>
  </si>
  <si>
    <t>RODRIGUEZ PEREZ DIEGO ENRIQUE</t>
  </si>
  <si>
    <t>4145AF</t>
  </si>
  <si>
    <t>RODRIGUEZ PEREZ JENARO</t>
  </si>
  <si>
    <t>4262AF</t>
  </si>
  <si>
    <t>19G647</t>
  </si>
  <si>
    <t>RODRIGUEZ RAMIREZ JONATHAN</t>
  </si>
  <si>
    <t>4256AF</t>
  </si>
  <si>
    <t>20G872</t>
  </si>
  <si>
    <t>RODRIGUEZ RAMIREZ OSVALDO</t>
  </si>
  <si>
    <t>5061AF</t>
  </si>
  <si>
    <t>HWE169A</t>
  </si>
  <si>
    <t>RODRIGUEZ ROBLEDO HORACIO</t>
  </si>
  <si>
    <t>2654AF</t>
  </si>
  <si>
    <t>H85BMC</t>
  </si>
  <si>
    <t>RODRIGUEZ RODRIGUEZ JUAN CARLOS</t>
  </si>
  <si>
    <t>6443AF</t>
  </si>
  <si>
    <t>62G306</t>
  </si>
  <si>
    <t>RODRIGUEZ SALAZAR DAVID ANGEL</t>
  </si>
  <si>
    <t>4089AF</t>
  </si>
  <si>
    <t>14G396</t>
  </si>
  <si>
    <t>ROJAS ALVAREZ NAHUM</t>
  </si>
  <si>
    <t>6314AF</t>
  </si>
  <si>
    <t>CAT838A</t>
  </si>
  <si>
    <t>ROJAS ANDRADE GABRIEL</t>
  </si>
  <si>
    <t>3933AF</t>
  </si>
  <si>
    <t>13G840</t>
  </si>
  <si>
    <t>ROJAS CRUZ JULIO ALBERTO</t>
  </si>
  <si>
    <t>5225AF</t>
  </si>
  <si>
    <t>47G913</t>
  </si>
  <si>
    <t>ROJAS DIAZ JOSE CARLOS</t>
  </si>
  <si>
    <t>6258AF</t>
  </si>
  <si>
    <t>M91BSF</t>
  </si>
  <si>
    <t>ROJAS FLORES GUILLERMO</t>
  </si>
  <si>
    <t>4319AF</t>
  </si>
  <si>
    <t>C25BRJ</t>
  </si>
  <si>
    <t>ROJAS HERNANDEZ EDUARDO</t>
  </si>
  <si>
    <t>5153AF</t>
  </si>
  <si>
    <t>F18BRR</t>
  </si>
  <si>
    <t>ROMERO ALVAREZ LUIS DANIEL</t>
  </si>
  <si>
    <t>5245AF</t>
  </si>
  <si>
    <t>47G892</t>
  </si>
  <si>
    <t>ROMERO ARREDONDO MARCOS FRANCISCO</t>
  </si>
  <si>
    <t>5389AF</t>
  </si>
  <si>
    <t>RWG691C</t>
  </si>
  <si>
    <t>ROMERO BENITEZ MIGUEL ANGEL</t>
  </si>
  <si>
    <t>5659AF</t>
  </si>
  <si>
    <t>CAD045A</t>
  </si>
  <si>
    <t>ROMERO CASTILLO ARMANDO</t>
  </si>
  <si>
    <t>3666AF</t>
  </si>
  <si>
    <t>89F851</t>
  </si>
  <si>
    <t>ROMERO GARCIA JOSE EDUARDO</t>
  </si>
  <si>
    <t>4322AF</t>
  </si>
  <si>
    <t>HZT597A</t>
  </si>
  <si>
    <t>ROMERO GONZALEZ ENRIQUE</t>
  </si>
  <si>
    <t>5226AF</t>
  </si>
  <si>
    <t>47G778</t>
  </si>
  <si>
    <t>ROMERO PETRICIOLET URIEL</t>
  </si>
  <si>
    <t>5273AF</t>
  </si>
  <si>
    <t>47G936</t>
  </si>
  <si>
    <t>ROMERO SOLIS JORGE EDUARDO</t>
  </si>
  <si>
    <t>4042AF</t>
  </si>
  <si>
    <t>RONDERO GARCIA JORGE LUIS</t>
  </si>
  <si>
    <t>3552AF</t>
  </si>
  <si>
    <t>BRH514A</t>
  </si>
  <si>
    <t>RONQUILLO CASTILLO EDUARDO</t>
  </si>
  <si>
    <t>5597AF</t>
  </si>
  <si>
    <t>08K725</t>
  </si>
  <si>
    <t>ROSALES DE LA CRUZ IVAN</t>
  </si>
  <si>
    <t>5267AF</t>
  </si>
  <si>
    <t>43G947</t>
  </si>
  <si>
    <t>ROSALES SALDAÑA CARLOS CHRISTIAN</t>
  </si>
  <si>
    <t>4839AF</t>
  </si>
  <si>
    <t>D20BRR</t>
  </si>
  <si>
    <t>RUIZ HERNANDEZ EMMANUEL</t>
  </si>
  <si>
    <t>5227AF</t>
  </si>
  <si>
    <t>47G837</t>
  </si>
  <si>
    <t>RUIZ JUACHE RAUL ALFREDO</t>
  </si>
  <si>
    <t>2388AF</t>
  </si>
  <si>
    <t>U66BMZ</t>
  </si>
  <si>
    <t>RUIZ MARTINEZ CHRISTIAN ELHJAER</t>
  </si>
  <si>
    <t>5971AF</t>
  </si>
  <si>
    <t>51G593</t>
  </si>
  <si>
    <t>RUIZ VALDEZ ESMERALDA</t>
  </si>
  <si>
    <t>5978AF</t>
  </si>
  <si>
    <t>RXW067C</t>
  </si>
  <si>
    <t>RUIZ ZUÑIGA RAYMUNDO ELIMELEC</t>
  </si>
  <si>
    <t>4543AF</t>
  </si>
  <si>
    <t>39G795</t>
  </si>
  <si>
    <t>SAAVEDRA GALLARDO JUAN GUILLERMO</t>
  </si>
  <si>
    <t>4069AF</t>
  </si>
  <si>
    <t>14G487</t>
  </si>
  <si>
    <t>SAAVEDRA LOPEZ RAMON</t>
  </si>
  <si>
    <t>3134AF</t>
  </si>
  <si>
    <t>BML834A</t>
  </si>
  <si>
    <t>SAAVEDRA SANCHEZ LEANDRO</t>
  </si>
  <si>
    <t>4358AF</t>
  </si>
  <si>
    <t>31G610</t>
  </si>
  <si>
    <t>SAAVEDRA VELASCO FIDEL ENRIQUE</t>
  </si>
  <si>
    <t>4624AF</t>
  </si>
  <si>
    <t>38G221</t>
  </si>
  <si>
    <t>SAITO VINAGRE LUIS ENRIQUE</t>
  </si>
  <si>
    <t>4111AF</t>
  </si>
  <si>
    <t>TFP428B</t>
  </si>
  <si>
    <t>SALAS ESCOBEDO YAIR BRIAN</t>
  </si>
  <si>
    <t>6198AF</t>
  </si>
  <si>
    <t>15K063</t>
  </si>
  <si>
    <t>SALAS HERNANDEZ TOMAS</t>
  </si>
  <si>
    <t>4094AF</t>
  </si>
  <si>
    <t>14G476</t>
  </si>
  <si>
    <t>SALAS POSADAS ROBERTO</t>
  </si>
  <si>
    <t>3667AF</t>
  </si>
  <si>
    <t>89F854</t>
  </si>
  <si>
    <t>SALAS RAMOS ROBERTO</t>
  </si>
  <si>
    <t>2978AF</t>
  </si>
  <si>
    <t>72F001</t>
  </si>
  <si>
    <t>SALAS URIBE LUIS EDUARDO</t>
  </si>
  <si>
    <t>3309AF</t>
  </si>
  <si>
    <t>HWD957A</t>
  </si>
  <si>
    <t>SALAZAR ARIAS JOSE BENJAMIN</t>
  </si>
  <si>
    <t>2598AF</t>
  </si>
  <si>
    <t>BGA258A</t>
  </si>
  <si>
    <t>SALAZAR FLORES JOEL MAURICIO</t>
  </si>
  <si>
    <t>5937AF</t>
  </si>
  <si>
    <t>51G620</t>
  </si>
  <si>
    <t>SALAZAR GONZALEZ RAMSES LEONARDO</t>
  </si>
  <si>
    <t>3328AF</t>
  </si>
  <si>
    <t>84F045</t>
  </si>
  <si>
    <t>SALAZAR HERNANDEZ MARTIN OSVALDO</t>
  </si>
  <si>
    <t>4714AF</t>
  </si>
  <si>
    <t>F13BRR</t>
  </si>
  <si>
    <t>SALAZAR HERNANDEZ OMAR</t>
  </si>
  <si>
    <t>4189AF</t>
  </si>
  <si>
    <t>23G247</t>
  </si>
  <si>
    <t>SALAZAR LORANCA MARCO ORLANDO</t>
  </si>
  <si>
    <t>3500AF</t>
  </si>
  <si>
    <t>89F712</t>
  </si>
  <si>
    <t>SALAZAR MARTINEZ HORACIO NAHUM</t>
  </si>
  <si>
    <t>5591AF</t>
  </si>
  <si>
    <t>RVX597C</t>
  </si>
  <si>
    <t>SALAZAR MARTINEZ RAUL</t>
  </si>
  <si>
    <t>5902AF</t>
  </si>
  <si>
    <t>11K125</t>
  </si>
  <si>
    <t>SALAZAR MENDEZ MISAEL ALEJANDRO</t>
  </si>
  <si>
    <t>4563AF</t>
  </si>
  <si>
    <t>BWX662A</t>
  </si>
  <si>
    <t>SALCEDA SILVA LUIS ALBERTO</t>
  </si>
  <si>
    <t>3571AF</t>
  </si>
  <si>
    <t>89F834</t>
  </si>
  <si>
    <t>SALDAÑA BETANCOURT ROGER ALEXIS</t>
  </si>
  <si>
    <t>4793AF</t>
  </si>
  <si>
    <t>RSK960C</t>
  </si>
  <si>
    <t>SALDIVAR FIGUEROA EDUARDO JAVIER</t>
  </si>
  <si>
    <t>2906AF</t>
  </si>
  <si>
    <t>E21BNH</t>
  </si>
  <si>
    <t>SALGADO BAHENA JOSE JUAN</t>
  </si>
  <si>
    <t>5247AF</t>
  </si>
  <si>
    <t>47G939</t>
  </si>
  <si>
    <t>SALGADO HERNANDEZ STEPHANIE</t>
  </si>
  <si>
    <t>4831AF</t>
  </si>
  <si>
    <t>50G764</t>
  </si>
  <si>
    <t>SALINAS SEINOS EDUARDO ALFONSO</t>
  </si>
  <si>
    <t>5080AF</t>
  </si>
  <si>
    <t>E56BRR</t>
  </si>
  <si>
    <t>SALVADOR CRUZ JOSE ARMANDO</t>
  </si>
  <si>
    <t>4380AF</t>
  </si>
  <si>
    <t>31G311</t>
  </si>
  <si>
    <t>SALVADOR NAVA ALFREDO EMMANUEL</t>
  </si>
  <si>
    <t>5125AF</t>
  </si>
  <si>
    <t>47G820</t>
  </si>
  <si>
    <t>SALVADOR PERALTA AGUSTIN</t>
  </si>
  <si>
    <t>4015AF</t>
  </si>
  <si>
    <t>39S863</t>
  </si>
  <si>
    <t>SAMPEDRO JIMENEZ SERGIO OSWALDO</t>
  </si>
  <si>
    <t>4290AF</t>
  </si>
  <si>
    <t>31G919</t>
  </si>
  <si>
    <t>SAN JUAN MARTINEZ RAUL</t>
  </si>
  <si>
    <t>2473AF</t>
  </si>
  <si>
    <t>R17BKY</t>
  </si>
  <si>
    <t>SANCHEZ AMBRIZ SALVADOR JUAN CARLOS</t>
  </si>
  <si>
    <t>5582AF</t>
  </si>
  <si>
    <t>JNU147A</t>
  </si>
  <si>
    <t>SANCHEZ AZA ANUAR ANDRES</t>
  </si>
  <si>
    <t>4525AF</t>
  </si>
  <si>
    <t>39G667</t>
  </si>
  <si>
    <t>SANCHEZ BLANCO RAUL</t>
  </si>
  <si>
    <t>5033AF</t>
  </si>
  <si>
    <t>S64BRY</t>
  </si>
  <si>
    <t>SANCHEZ CONTRERAS DIEGO</t>
  </si>
  <si>
    <t>3719AF</t>
  </si>
  <si>
    <t>B47BPN</t>
  </si>
  <si>
    <t>SANCHEZ CORONA FABIAN SALVADOR</t>
  </si>
  <si>
    <t>3616AF</t>
  </si>
  <si>
    <t>SANCHEZ CORRAL EDGAR RAFAEL</t>
  </si>
  <si>
    <t>4366AF</t>
  </si>
  <si>
    <t>31G953</t>
  </si>
  <si>
    <t>SANCHEZ CORTES VICENTE</t>
  </si>
  <si>
    <t>5402AF</t>
  </si>
  <si>
    <t>BYZ938A</t>
  </si>
  <si>
    <t>SANCHEZ DEL ANGEL JAVIER</t>
  </si>
  <si>
    <t>5527AF</t>
  </si>
  <si>
    <t>42G720</t>
  </si>
  <si>
    <t>SANCHEZ DIAZ LUIS EDUARDO</t>
  </si>
  <si>
    <t>5776AF</t>
  </si>
  <si>
    <t>51G512</t>
  </si>
  <si>
    <t>SANCHEZ EUAN BRANDON</t>
  </si>
  <si>
    <t>4769AF</t>
  </si>
  <si>
    <t>47G481</t>
  </si>
  <si>
    <t>SANCHEZ FLORES CHRISTIAN ALEJANDRO</t>
  </si>
  <si>
    <t>5123AF</t>
  </si>
  <si>
    <t>47G754</t>
  </si>
  <si>
    <t>SANCHEZ GOMEZ DAMIAN JONATHAN</t>
  </si>
  <si>
    <t>4371AF</t>
  </si>
  <si>
    <t>19G462</t>
  </si>
  <si>
    <t>SANCHEZ LOPEZ ANGEL DE JESUS</t>
  </si>
  <si>
    <t>5954AF</t>
  </si>
  <si>
    <t>SANCHEZ MERINO DOMINGO NOE</t>
  </si>
  <si>
    <t>5171AF</t>
  </si>
  <si>
    <t>47G579</t>
  </si>
  <si>
    <t>SANCHEZ MIRAMONTES SANDRO</t>
  </si>
  <si>
    <t>4991AF</t>
  </si>
  <si>
    <t>BYG561A</t>
  </si>
  <si>
    <t>SANCHEZ MONDRAGON MARIANA ESTHEFANY</t>
  </si>
  <si>
    <t>3242AF</t>
  </si>
  <si>
    <t>84F249</t>
  </si>
  <si>
    <t>SANCHEZ MUÑOZ ALBERTO</t>
  </si>
  <si>
    <t>4753AF</t>
  </si>
  <si>
    <t>SANCHEZ OCHOA JUAN CARLOS</t>
  </si>
  <si>
    <t>6832AF</t>
  </si>
  <si>
    <t>SANCHEZ OLVERA OSCAR</t>
  </si>
  <si>
    <t>5599AF</t>
  </si>
  <si>
    <t>07K828</t>
  </si>
  <si>
    <t>SANCHEZ OSORIO RACIEL ROMMELT</t>
  </si>
  <si>
    <t>3380AF</t>
  </si>
  <si>
    <t>P80BMY</t>
  </si>
  <si>
    <t>SANCHEZ QUEZADA ERIK</t>
  </si>
  <si>
    <t>3604AF</t>
  </si>
  <si>
    <t>TDS718B</t>
  </si>
  <si>
    <t>SANCHEZ RAZO JOSE AUGUSTO</t>
  </si>
  <si>
    <t>5270AF</t>
  </si>
  <si>
    <t>43G872</t>
  </si>
  <si>
    <t>SANCHEZ RODRIGUEZ JOSE HERIBERTO</t>
  </si>
  <si>
    <t>4090AF</t>
  </si>
  <si>
    <t>SANCHEZ RODRIGUEZ JOSE MANUEL</t>
  </si>
  <si>
    <t>4011AF</t>
  </si>
  <si>
    <t>TCV542B</t>
  </si>
  <si>
    <t>SANCHEZ ROJAS FRANCISCO ANTONIO</t>
  </si>
  <si>
    <t>5478AF</t>
  </si>
  <si>
    <t>48G177</t>
  </si>
  <si>
    <t>SANCHEZ VALENZUELA CRISTIAN BALVANEDO</t>
  </si>
  <si>
    <t>5873AF</t>
  </si>
  <si>
    <t>CAJ002A</t>
  </si>
  <si>
    <t>SANCHEZ VALTIERRA JOSE ALBERTO</t>
  </si>
  <si>
    <t>4618AF</t>
  </si>
  <si>
    <t>SANCHEZ VERGARA ALEJANDRO</t>
  </si>
  <si>
    <t>2527AF</t>
  </si>
  <si>
    <t>C91BLM</t>
  </si>
  <si>
    <t>SANDOVAL LUGO OSCAR</t>
  </si>
  <si>
    <t>5464AF</t>
  </si>
  <si>
    <t>44G166</t>
  </si>
  <si>
    <t>SANJUAN HERNANDEZ REYNALDO</t>
  </si>
  <si>
    <t>4057AF</t>
  </si>
  <si>
    <t>13G940</t>
  </si>
  <si>
    <t>SANJUANICO REYNA JOSE MANUEL</t>
  </si>
  <si>
    <t>5615AF</t>
  </si>
  <si>
    <t>48G158</t>
  </si>
  <si>
    <t>SANSORES CASTRO REYNA ISABEL</t>
  </si>
  <si>
    <t>4115AF</t>
  </si>
  <si>
    <t>BJX372A</t>
  </si>
  <si>
    <t>SANTANA ARZATE LUIS FELIPE</t>
  </si>
  <si>
    <t>4177AF</t>
  </si>
  <si>
    <t>19G635</t>
  </si>
  <si>
    <t>SANTIAGO DIEGO NICOLAS</t>
  </si>
  <si>
    <t>3130AF</t>
  </si>
  <si>
    <t>SVZ848B</t>
  </si>
  <si>
    <t>SANTIAGO HERNANDEZ GUSTAVO ADOLFO</t>
  </si>
  <si>
    <t>5039AF</t>
  </si>
  <si>
    <t>47G566</t>
  </si>
  <si>
    <t>SANTIAGO LEON IVAN</t>
  </si>
  <si>
    <t>6407AF</t>
  </si>
  <si>
    <t>50G853</t>
  </si>
  <si>
    <t>SANTIAGO TOLEDO JOSE ULISES</t>
  </si>
  <si>
    <t>4198AF</t>
  </si>
  <si>
    <t>63F993</t>
  </si>
  <si>
    <t>SANTOS ORTIZ MARIO IVAN</t>
  </si>
  <si>
    <t>3804AF</t>
  </si>
  <si>
    <t>08G189</t>
  </si>
  <si>
    <t>SAUCEDA GUERRERO DIANA JAQUELINE</t>
  </si>
  <si>
    <t>4686AF</t>
  </si>
  <si>
    <t>RLW863C</t>
  </si>
  <si>
    <t>SEGURA CORREA JORGE GUSTAVO</t>
  </si>
  <si>
    <t>4481AF</t>
  </si>
  <si>
    <t>31G906</t>
  </si>
  <si>
    <t>SERAFIN PEREZ JULIO CESAR</t>
  </si>
  <si>
    <t>5637AF</t>
  </si>
  <si>
    <t>08K018</t>
  </si>
  <si>
    <t>SERRANO TRUJILLO FRANCISCO DAVID</t>
  </si>
  <si>
    <t>5711AF</t>
  </si>
  <si>
    <t>RXW060C</t>
  </si>
  <si>
    <t>SERVIN MEZA HORACIO</t>
  </si>
  <si>
    <t>3258AF</t>
  </si>
  <si>
    <t>SVZ845B</t>
  </si>
  <si>
    <t>SERVIN VAZQUEZ EDGAR</t>
  </si>
  <si>
    <t>5035AF</t>
  </si>
  <si>
    <t>47G589</t>
  </si>
  <si>
    <t>SEVILLA CUAUTENCOS CAYETANO</t>
  </si>
  <si>
    <t>5223AF</t>
  </si>
  <si>
    <t>47G862</t>
  </si>
  <si>
    <t>SIERRA MARTINEZ URIEL ESTEBAN</t>
  </si>
  <si>
    <t>2717AF</t>
  </si>
  <si>
    <t>56F072</t>
  </si>
  <si>
    <t>E10X-A</t>
  </si>
  <si>
    <t>SIERRA PALMA LUIS</t>
  </si>
  <si>
    <t>4064AF</t>
  </si>
  <si>
    <t>19G346</t>
  </si>
  <si>
    <t>SILVA CASTILLO JOSE ENRIQUE</t>
  </si>
  <si>
    <t>4788AF</t>
  </si>
  <si>
    <t>F04BRR</t>
  </si>
  <si>
    <t>SILVA MARTELL SERGIO</t>
  </si>
  <si>
    <t>5328AF</t>
  </si>
  <si>
    <t>SILVA ROSALES JORGE</t>
  </si>
  <si>
    <t>4142AF</t>
  </si>
  <si>
    <t>14G313</t>
  </si>
  <si>
    <t>SOLANO PERAL MARCO ANTONIO DANIEL</t>
  </si>
  <si>
    <t>3766AF</t>
  </si>
  <si>
    <t>08G195</t>
  </si>
  <si>
    <t>SOLIS OVANDO JOSE JONATAN</t>
  </si>
  <si>
    <t>3592AF</t>
  </si>
  <si>
    <t>89F883</t>
  </si>
  <si>
    <t>SOLIS PEÑA EDGAR</t>
  </si>
  <si>
    <t>6000AF</t>
  </si>
  <si>
    <t>SOLIS ROSALES GABRIEL</t>
  </si>
  <si>
    <t>3671AF</t>
  </si>
  <si>
    <t>89F975</t>
  </si>
  <si>
    <t>SOLIS TOVAR GERARDO</t>
  </si>
  <si>
    <t>4517AF</t>
  </si>
  <si>
    <t>31G915</t>
  </si>
  <si>
    <t>SONI ROSAS GERARDO EDUARDO</t>
  </si>
  <si>
    <t>3833AF</t>
  </si>
  <si>
    <t>13G553</t>
  </si>
  <si>
    <t>SORIA TORRES CRISTIAN JEOVANI</t>
  </si>
  <si>
    <t>4891AF</t>
  </si>
  <si>
    <t>F29BRR</t>
  </si>
  <si>
    <t>SOSA LIOCHAY ERNESTO</t>
  </si>
  <si>
    <t>3794AF</t>
  </si>
  <si>
    <t>E59BPN</t>
  </si>
  <si>
    <t>SOSA TERRAZAS GENARO DANIEL</t>
  </si>
  <si>
    <t>3338AF</t>
  </si>
  <si>
    <t>UMF787J</t>
  </si>
  <si>
    <t>SOTELO GARCIA JESUS MIGUEL</t>
  </si>
  <si>
    <t>4963AF</t>
  </si>
  <si>
    <t>SOTO ARAUJO SANDRA KARINA</t>
  </si>
  <si>
    <t>2743AF</t>
  </si>
  <si>
    <t>BJX364A</t>
  </si>
  <si>
    <t>SOTO SANTOS MOISES</t>
  </si>
  <si>
    <t>5296AF</t>
  </si>
  <si>
    <t>RUW791C</t>
  </si>
  <si>
    <t>SOTO SERRALDE FRANCISCO JAVIER</t>
  </si>
  <si>
    <t>3292AF</t>
  </si>
  <si>
    <t>84F024</t>
  </si>
  <si>
    <t>SUAREZ ANICETO OSCAR RICARDO</t>
  </si>
  <si>
    <t>5431AF</t>
  </si>
  <si>
    <t>SUAREZ LOPEZ OSCAR</t>
  </si>
  <si>
    <t>3278AF</t>
  </si>
  <si>
    <t>B20BNY</t>
  </si>
  <si>
    <t>4633AF</t>
  </si>
  <si>
    <t>BLX920A</t>
  </si>
  <si>
    <t>SUJUL JIMENEZ LUIS FERNANDO</t>
  </si>
  <si>
    <t>5568AF</t>
  </si>
  <si>
    <t>48G232</t>
  </si>
  <si>
    <t>TALAVERA MARTINEZ ULISES MAURICIO</t>
  </si>
  <si>
    <t>5364AF</t>
  </si>
  <si>
    <t>44G029</t>
  </si>
  <si>
    <t>TAMARIZ IBAÑEZ ISMAEL</t>
  </si>
  <si>
    <t>4164AF</t>
  </si>
  <si>
    <t>TAPIA CORREA JUAN CARLOS</t>
  </si>
  <si>
    <t>4548AF</t>
  </si>
  <si>
    <t>39G911</t>
  </si>
  <si>
    <t>TAPIA SANCHEZ AZUCENA</t>
  </si>
  <si>
    <t>4065AF</t>
  </si>
  <si>
    <t>19G339</t>
  </si>
  <si>
    <t>TEJA GARCIA JOHAAN ALBERTO</t>
  </si>
  <si>
    <t>4744AF</t>
  </si>
  <si>
    <t>41G439</t>
  </si>
  <si>
    <t>TELLEZ CARREÑO ALEXIS</t>
  </si>
  <si>
    <t>3442AF</t>
  </si>
  <si>
    <t>D87BPF</t>
  </si>
  <si>
    <t>TELLEZ ISLAS ALEJANDRO GENARO</t>
  </si>
  <si>
    <t>6233AF</t>
  </si>
  <si>
    <t>K22BSF</t>
  </si>
  <si>
    <t>TELLEZ MIRANDA JORGE</t>
  </si>
  <si>
    <t>6006AF</t>
  </si>
  <si>
    <t>51G541</t>
  </si>
  <si>
    <t>TENORIO CHAVERO SERGIO</t>
  </si>
  <si>
    <t>4259AF</t>
  </si>
  <si>
    <t>19G548</t>
  </si>
  <si>
    <t>TENORIO MARTINEZ CESAR JOVANY</t>
  </si>
  <si>
    <t>4994AF</t>
  </si>
  <si>
    <t>47G528</t>
  </si>
  <si>
    <t>TENORIO VENEGAS GONZALO</t>
  </si>
  <si>
    <t>3567AF</t>
  </si>
  <si>
    <t>89F808</t>
  </si>
  <si>
    <t>TEPEPA RINCON FERNANDO EDUARDO</t>
  </si>
  <si>
    <t>4088AF</t>
  </si>
  <si>
    <t>19G515</t>
  </si>
  <si>
    <t>TEPEPA RINCON OSCAR</t>
  </si>
  <si>
    <t>4240AF</t>
  </si>
  <si>
    <t>19G532</t>
  </si>
  <si>
    <t>TERAN LEON FERNANDO RAFAEL</t>
  </si>
  <si>
    <t>6510AF</t>
  </si>
  <si>
    <t>52G097</t>
  </si>
  <si>
    <t>TOLEDO UGALDE CELSO</t>
  </si>
  <si>
    <t>4822AF</t>
  </si>
  <si>
    <t>41G573</t>
  </si>
  <si>
    <t>TOLENTINO REYES JUAN JESUS</t>
  </si>
  <si>
    <t>4146AF</t>
  </si>
  <si>
    <t>14G414</t>
  </si>
  <si>
    <t>TORIZ MARTINEZ GERARDO HUMBERTO</t>
  </si>
  <si>
    <t>4098AF</t>
  </si>
  <si>
    <t>TORRES ALVAREZ ANGEL DANIEL</t>
  </si>
  <si>
    <t>6041AF</t>
  </si>
  <si>
    <t>14G461</t>
  </si>
  <si>
    <t>TORRES ARRECILLAS HECTOR FRANCISCO</t>
  </si>
  <si>
    <t>4127AF</t>
  </si>
  <si>
    <t>TORRES BLANCAS LUIS ANTONIO</t>
  </si>
  <si>
    <t>5126AF</t>
  </si>
  <si>
    <t>47G855</t>
  </si>
  <si>
    <t>TORRES CASTRO MARCO ANTONIO</t>
  </si>
  <si>
    <t>3333AF</t>
  </si>
  <si>
    <t>84F330</t>
  </si>
  <si>
    <t>TORRES GARCIA JORGE ALDEVARAN</t>
  </si>
  <si>
    <t>4580AF</t>
  </si>
  <si>
    <t>40G125</t>
  </si>
  <si>
    <t>TORRES GARCIA RICARDO DANIEL</t>
  </si>
  <si>
    <t>5190AF</t>
  </si>
  <si>
    <t>RUW781C</t>
  </si>
  <si>
    <t>TORRES GONZALEZ CESAR AUGUSTO</t>
  </si>
  <si>
    <t>5604AF</t>
  </si>
  <si>
    <t>RWL287C</t>
  </si>
  <si>
    <t>TORRES JUAREZ JOEL DAMIAN</t>
  </si>
  <si>
    <t>4804AF</t>
  </si>
  <si>
    <t>47G422</t>
  </si>
  <si>
    <t>TORRES LOREDO HILDA</t>
  </si>
  <si>
    <t>5949AF</t>
  </si>
  <si>
    <t>RXW053C</t>
  </si>
  <si>
    <t>TORRES MALAGON SAMUEL</t>
  </si>
  <si>
    <t>6264AF</t>
  </si>
  <si>
    <t>48G012</t>
  </si>
  <si>
    <t>TORRES MARTINEZ ALEJANDRO</t>
  </si>
  <si>
    <t>6718AF</t>
  </si>
  <si>
    <t>X05BSR</t>
  </si>
  <si>
    <t>TORRES MOLANO ARTURO</t>
  </si>
  <si>
    <t>4806AF</t>
  </si>
  <si>
    <t>41G653</t>
  </si>
  <si>
    <t>TORRES MORENO JUAN MARIO</t>
  </si>
  <si>
    <t>6271AF</t>
  </si>
  <si>
    <t>53S659</t>
  </si>
  <si>
    <t>TORRES REYES BRIAN GUADALUPE</t>
  </si>
  <si>
    <t>5289AF</t>
  </si>
  <si>
    <t>JAY042A</t>
  </si>
  <si>
    <t>TORRES VARGAS ABEL</t>
  </si>
  <si>
    <t>4612AF</t>
  </si>
  <si>
    <t>BWX683A</t>
  </si>
  <si>
    <t>TORRES VILLANUEVA GILBERTO</t>
  </si>
  <si>
    <t>5079AF</t>
  </si>
  <si>
    <t>TOVAR ARAIZA INES</t>
  </si>
  <si>
    <t>3629AF</t>
  </si>
  <si>
    <t>HXC193A</t>
  </si>
  <si>
    <t>TOVAR BONILLA SOFIA</t>
  </si>
  <si>
    <t>2962AF</t>
  </si>
  <si>
    <t>BGL988A</t>
  </si>
  <si>
    <t>TOVAR ESTRELLA GABRIEL</t>
  </si>
  <si>
    <t>4304AF</t>
  </si>
  <si>
    <t>31G987</t>
  </si>
  <si>
    <t>TOVAR VAZQUEZ MIGUEL ANGEL</t>
  </si>
  <si>
    <t>3579AF</t>
  </si>
  <si>
    <t>TREJO PEREZ LUIS</t>
  </si>
  <si>
    <t>4754AF</t>
  </si>
  <si>
    <t>TREJO SANCHEZ CARLOS ELIGIO</t>
  </si>
  <si>
    <t>5989AF</t>
  </si>
  <si>
    <t>15K147</t>
  </si>
  <si>
    <t>TREVILLA ELIZALDE HECTOR</t>
  </si>
  <si>
    <t>3626AF</t>
  </si>
  <si>
    <t>95F018</t>
  </si>
  <si>
    <t>TRONCOSO ARRIAGA ARMANDO</t>
  </si>
  <si>
    <t>5170AF</t>
  </si>
  <si>
    <t>47G899</t>
  </si>
  <si>
    <t>TRONCOSO VEGA MIGUEL ANGEL</t>
  </si>
  <si>
    <t>6028AF</t>
  </si>
  <si>
    <t>CAJ007A</t>
  </si>
  <si>
    <t>TRUJANO VELAZQUEZ ANDRES ARMANDO</t>
  </si>
  <si>
    <t>4244AF</t>
  </si>
  <si>
    <t>P96BRD</t>
  </si>
  <si>
    <t>TRUJILLO CHAVEZ LIZANDRO IVAN</t>
  </si>
  <si>
    <t>5772AF</t>
  </si>
  <si>
    <t>CAD705A</t>
  </si>
  <si>
    <t>UGALDE VARGAS ARMANDO</t>
  </si>
  <si>
    <t>3985AF</t>
  </si>
  <si>
    <t>13G827</t>
  </si>
  <si>
    <t>URBINA RODAS LUIS ANGEL</t>
  </si>
  <si>
    <t>4847AF</t>
  </si>
  <si>
    <t>RRG970C</t>
  </si>
  <si>
    <t>URESTI RODRIGUEZ FRANCISCO JAVIER</t>
  </si>
  <si>
    <t>5238AF</t>
  </si>
  <si>
    <t>SEX506B</t>
  </si>
  <si>
    <t>URIAS BERRELLEZA ROSARIO GUADALUPE</t>
  </si>
  <si>
    <t>5493AF</t>
  </si>
  <si>
    <t>BZA448A</t>
  </si>
  <si>
    <t>URIAS GARCIA CESAR RENE</t>
  </si>
  <si>
    <t>4853AF</t>
  </si>
  <si>
    <t>BXT308A</t>
  </si>
  <si>
    <t>VALADEZ RENTERIA JHONNY ALFREDO</t>
  </si>
  <si>
    <t>5145AF</t>
  </si>
  <si>
    <t>JBB654A</t>
  </si>
  <si>
    <t>VALDESPINO CARDENAS IGNACIO MARCELINO</t>
  </si>
  <si>
    <t>4787AF</t>
  </si>
  <si>
    <t>E22BRR</t>
  </si>
  <si>
    <t>VALDEZ CEJA ARTURO</t>
  </si>
  <si>
    <t>7028AF</t>
  </si>
  <si>
    <t>RZB016C</t>
  </si>
  <si>
    <t>VALDEZ ESPINOSA JORGE ARMANDO</t>
  </si>
  <si>
    <t>3756AF</t>
  </si>
  <si>
    <t>TCV540B</t>
  </si>
  <si>
    <t>VALDEZ MONTAÑO ARTURO</t>
  </si>
  <si>
    <t>5496AF</t>
  </si>
  <si>
    <t>44G151</t>
  </si>
  <si>
    <t>VALDEZ ZEPEDA JOSE RAUL</t>
  </si>
  <si>
    <t>4815AF</t>
  </si>
  <si>
    <t>41G509</t>
  </si>
  <si>
    <t>VALENCIA GARIBAY MIGUEL ANGEL</t>
  </si>
  <si>
    <t>3790AF</t>
  </si>
  <si>
    <t>D20BPN</t>
  </si>
  <si>
    <t>VALENCIA NIEVES JUAN ANTONIO</t>
  </si>
  <si>
    <t>4091AF</t>
  </si>
  <si>
    <t>14G424</t>
  </si>
  <si>
    <t>VALENCIA SANCHEZ DAVID ALBERTO</t>
  </si>
  <si>
    <t>4593AF</t>
  </si>
  <si>
    <t>27G723</t>
  </si>
  <si>
    <t>VALENZUELA LOPEZ CRISTIAN</t>
  </si>
  <si>
    <t>6288AF</t>
  </si>
  <si>
    <t>CAT837A</t>
  </si>
  <si>
    <t>VALERA MONDRAGON FERNANDO VICENTE</t>
  </si>
  <si>
    <t>5916AF</t>
  </si>
  <si>
    <t>51G571</t>
  </si>
  <si>
    <t>VALERA RAMIREZ LUIS EDUARDO</t>
  </si>
  <si>
    <t>4873AF</t>
  </si>
  <si>
    <t>41G561</t>
  </si>
  <si>
    <t>VALLE BLANCO FRANCISCO JOSE</t>
  </si>
  <si>
    <t>4848AF</t>
  </si>
  <si>
    <t>RRN263C</t>
  </si>
  <si>
    <t>VALLEJO RAMIREZ ROBERTO</t>
  </si>
  <si>
    <t>5382AF</t>
  </si>
  <si>
    <t>VARGAS ARENAS REYNALDO</t>
  </si>
  <si>
    <t>3221AF</t>
  </si>
  <si>
    <t>84F203</t>
  </si>
  <si>
    <t>VARGAS AYALA LUIS ANGEL</t>
  </si>
  <si>
    <t>5195AF</t>
  </si>
  <si>
    <t>BYN541A</t>
  </si>
  <si>
    <t>VARGAS CALDERON JOSE DAVID</t>
  </si>
  <si>
    <t>4759AF</t>
  </si>
  <si>
    <t>50G919</t>
  </si>
  <si>
    <t>VARGAS CERVANTES JUAN CARLOS</t>
  </si>
  <si>
    <t>6016AF</t>
  </si>
  <si>
    <t>JZK625A</t>
  </si>
  <si>
    <t>VARGAS DE LA FUENTE GERARDO</t>
  </si>
  <si>
    <t>4489AF</t>
  </si>
  <si>
    <t>19G418</t>
  </si>
  <si>
    <t>VAZQUEZ BERNAL ERICK</t>
  </si>
  <si>
    <t>2886AF</t>
  </si>
  <si>
    <t>BKB420A</t>
  </si>
  <si>
    <t>VAZQUEZ ESQUIVEL VICTOR JESUS</t>
  </si>
  <si>
    <t>3955AF</t>
  </si>
  <si>
    <t>TFP413B</t>
  </si>
  <si>
    <t>VAZQUEZ MUÑOZ MANUEL ALEJANDRO</t>
  </si>
  <si>
    <t>4545AF</t>
  </si>
  <si>
    <t>40G008</t>
  </si>
  <si>
    <t>VAZQUEZ PADILLA JUAN ENRIQUE</t>
  </si>
  <si>
    <t>5840AF</t>
  </si>
  <si>
    <t>51G597</t>
  </si>
  <si>
    <t>VAZQUEZ QUEZADA LINO ARTURO</t>
  </si>
  <si>
    <t>4340AF</t>
  </si>
  <si>
    <t>31G940</t>
  </si>
  <si>
    <t>VAZQUEZ ROJAS RICARDO RAYMUNDO</t>
  </si>
  <si>
    <t>5963AF</t>
  </si>
  <si>
    <t>51G663</t>
  </si>
  <si>
    <t>VAZQUEZ SANCHEZ ERIK ALAN</t>
  </si>
  <si>
    <t>3030AF</t>
  </si>
  <si>
    <t>T54BNL</t>
  </si>
  <si>
    <t>VAZQUEZ TREJO FERNANDO</t>
  </si>
  <si>
    <t>4673AF</t>
  </si>
  <si>
    <t>47G442</t>
  </si>
  <si>
    <t>VEGA BARRERA LUIS ALBERTO</t>
  </si>
  <si>
    <t>3741AF</t>
  </si>
  <si>
    <t>U01BNB</t>
  </si>
  <si>
    <t>VEGA RODRIGUEZ ALBERTO ANTONIO</t>
  </si>
  <si>
    <t>4134AF</t>
  </si>
  <si>
    <t>19G344</t>
  </si>
  <si>
    <t>VELASCO HERNANDEZ EDGAR ALEJANDRO</t>
  </si>
  <si>
    <t>6121AF</t>
  </si>
  <si>
    <t>KDM110A</t>
  </si>
  <si>
    <t>VELASCO LOPEZ PABLO ERIK</t>
  </si>
  <si>
    <t>5021AF</t>
  </si>
  <si>
    <t>F40BRR</t>
  </si>
  <si>
    <t>VELASCO RAMIREZ JORGE ZAMETH</t>
  </si>
  <si>
    <t>4281AF</t>
  </si>
  <si>
    <t>R62BRD</t>
  </si>
  <si>
    <t>VELASCO RIVERA ANTONIO JESUS</t>
  </si>
  <si>
    <t>4265AF</t>
  </si>
  <si>
    <t>19G408</t>
  </si>
  <si>
    <t>VELAZQUEZ CAMARGO RODRIGO</t>
  </si>
  <si>
    <t>5334AF</t>
  </si>
  <si>
    <t>RVX599C</t>
  </si>
  <si>
    <t>VELAZQUEZ ESPINOSA JESUS</t>
  </si>
  <si>
    <t>3412AF</t>
  </si>
  <si>
    <t>BPW801A</t>
  </si>
  <si>
    <t>VELAZQUEZ FUENTES RAUL</t>
  </si>
  <si>
    <t>4651AF</t>
  </si>
  <si>
    <t>38G289</t>
  </si>
  <si>
    <t>VELAZQUEZ GALLARDO CHRISTIAN RICARDO</t>
  </si>
  <si>
    <t>3890AF</t>
  </si>
  <si>
    <t>B89BPN</t>
  </si>
  <si>
    <t>VELAZQUEZ GARCIA JOSE LUIS</t>
  </si>
  <si>
    <t>6571AF</t>
  </si>
  <si>
    <t>CBL050A</t>
  </si>
  <si>
    <t>VELAZQUEZ NUÑEZ CARLOS JULIAN</t>
  </si>
  <si>
    <t>6093AF</t>
  </si>
  <si>
    <t>VELAZQUEZ ROSALES JUAN CARLOS</t>
  </si>
  <si>
    <t>4921AF</t>
  </si>
  <si>
    <t>BYG584A</t>
  </si>
  <si>
    <t>VELAZQUEZ SALAZAR DANIEL ALBERTO</t>
  </si>
  <si>
    <t>5595AF</t>
  </si>
  <si>
    <t>48G234</t>
  </si>
  <si>
    <t>VELAZQUEZ TELLO IGNACIO</t>
  </si>
  <si>
    <t>3898AF</t>
  </si>
  <si>
    <t>08G176</t>
  </si>
  <si>
    <t>VELEZ GARCIA SERGIO</t>
  </si>
  <si>
    <t>4772AF</t>
  </si>
  <si>
    <t>E41BRR</t>
  </si>
  <si>
    <t>VENEGAS CHAYRES LUIS ALBERTO</t>
  </si>
  <si>
    <t>5636AF</t>
  </si>
  <si>
    <t>08K014</t>
  </si>
  <si>
    <t>VENEGAS MARTINEZ JOSE ANTONIO</t>
  </si>
  <si>
    <t>4610AF</t>
  </si>
  <si>
    <t>JAW369A</t>
  </si>
  <si>
    <t>VENTURA DOMINGUEZ JOSE MARIO</t>
  </si>
  <si>
    <t>4658AF</t>
  </si>
  <si>
    <t>VERA MANJARREZ RICARDO BARUSH</t>
  </si>
  <si>
    <t>2918AF</t>
  </si>
  <si>
    <t>BKS711A</t>
  </si>
  <si>
    <t>VERDUGO MASCAREÑO JUAN CARLOS</t>
  </si>
  <si>
    <t>4562AF</t>
  </si>
  <si>
    <t>BWX663A</t>
  </si>
  <si>
    <t>VICENCIO ARELIS TEODORO DE JESUS</t>
  </si>
  <si>
    <t>4010AF</t>
  </si>
  <si>
    <t>HWR667A</t>
  </si>
  <si>
    <t>VICENTEÑO MORENO MARIO ALBERTO</t>
  </si>
  <si>
    <t>5287AF</t>
  </si>
  <si>
    <t>BYZ581A</t>
  </si>
  <si>
    <t>VICTORINO OROZCO ISRAEL</t>
  </si>
  <si>
    <t>4044AF</t>
  </si>
  <si>
    <t>13G839</t>
  </si>
  <si>
    <t>VIGUERAS MORALES MANUEL JHOVANNY</t>
  </si>
  <si>
    <t>2088AF</t>
  </si>
  <si>
    <t>05-2022</t>
  </si>
  <si>
    <t>U72BKF</t>
  </si>
  <si>
    <t>VILCHIS CAAMAÑO GILBERTO</t>
  </si>
  <si>
    <t>5354AF</t>
  </si>
  <si>
    <t>43G813</t>
  </si>
  <si>
    <t>VILLAFUERTE SANCHEZ HECTOR</t>
  </si>
  <si>
    <t>3900AF</t>
  </si>
  <si>
    <t>13G874</t>
  </si>
  <si>
    <t>VILLAGOMEZ CASTAÑEDA LUIS EUGENIO</t>
  </si>
  <si>
    <t>5807AF</t>
  </si>
  <si>
    <t>09K939</t>
  </si>
  <si>
    <t>VILLALOBOS GODOY CANDELARIO</t>
  </si>
  <si>
    <t>4564AF</t>
  </si>
  <si>
    <t>BWX661A</t>
  </si>
  <si>
    <t>VILLALVAZO FIGUEROA ISMAEL</t>
  </si>
  <si>
    <t>3136AF</t>
  </si>
  <si>
    <t>VILLANUEVA CERVANTES JOSE RAFAEL</t>
  </si>
  <si>
    <t>4178AF</t>
  </si>
  <si>
    <t>19G606</t>
  </si>
  <si>
    <t>VILLANUEVA ESTRADA CRISTIAN</t>
  </si>
  <si>
    <t>3494AF</t>
  </si>
  <si>
    <t>BPW795A</t>
  </si>
  <si>
    <t>VILLANUEVA MARCELO HECTOR</t>
  </si>
  <si>
    <t>5644AF</t>
  </si>
  <si>
    <t>BZA433A</t>
  </si>
  <si>
    <t>VILLASECA GARCIA JOSE RICARDO</t>
  </si>
  <si>
    <t>4087AF</t>
  </si>
  <si>
    <t>VILLASEÑOR ARTEAGA HECTOR FRANCISCO</t>
  </si>
  <si>
    <t>4585AF</t>
  </si>
  <si>
    <t>27G605</t>
  </si>
  <si>
    <t>VILLASEÑOR CERVANTES JOSE ANDRES</t>
  </si>
  <si>
    <t>6069AF</t>
  </si>
  <si>
    <t>62G238</t>
  </si>
  <si>
    <t>VILLASEÑOR GOMEZ CESAR GUADALUPE</t>
  </si>
  <si>
    <t>2824AF</t>
  </si>
  <si>
    <t>JTU1506</t>
  </si>
  <si>
    <t>VILLEGAS CORONA OMETECUTLI</t>
  </si>
  <si>
    <t>3570AF</t>
  </si>
  <si>
    <t>89F752</t>
  </si>
  <si>
    <t>VILLEGAS ULLOA REYMUNDO JAVIER</t>
  </si>
  <si>
    <t>5392AF</t>
  </si>
  <si>
    <t>RWG686C</t>
  </si>
  <si>
    <t>VIRGEN JIMENEZ LUIS SANTIAGO</t>
  </si>
  <si>
    <t>5892AF</t>
  </si>
  <si>
    <t>CAJ027A</t>
  </si>
  <si>
    <t>VIVARA SANTIAGO JORGE</t>
  </si>
  <si>
    <t>5324AF</t>
  </si>
  <si>
    <t>13G824</t>
  </si>
  <si>
    <t>YAÑEZ AZUARA ABELARDO</t>
  </si>
  <si>
    <t>6483AF</t>
  </si>
  <si>
    <t>15K831</t>
  </si>
  <si>
    <t>YANEZ GALVEZ MARTIN EDUARDO</t>
  </si>
  <si>
    <t>4614AF</t>
  </si>
  <si>
    <t>BWX684A</t>
  </si>
  <si>
    <t>YAÑEZ LOPEZ OSCAR FRANCISCO</t>
  </si>
  <si>
    <t>4650AF</t>
  </si>
  <si>
    <t>38G150</t>
  </si>
  <si>
    <t>YBARRA DIAZ JOSE ENRIQUE</t>
  </si>
  <si>
    <t>4477AF</t>
  </si>
  <si>
    <t>31G918</t>
  </si>
  <si>
    <t>ZACARIAS SORIANO JORGE ARMANDO</t>
  </si>
  <si>
    <t>3934AF</t>
  </si>
  <si>
    <t>13G624</t>
  </si>
  <si>
    <t>ZAMARRIPA DIAZ GENARO</t>
  </si>
  <si>
    <t>4550AF</t>
  </si>
  <si>
    <t>40G154</t>
  </si>
  <si>
    <t>ZAMBRANO LARA LAZARO</t>
  </si>
  <si>
    <t>4551AF</t>
  </si>
  <si>
    <t>39G828</t>
  </si>
  <si>
    <t>ZAMORA CAMPOMANES RAFAEL</t>
  </si>
  <si>
    <t>4919AF</t>
  </si>
  <si>
    <t>BYG555A</t>
  </si>
  <si>
    <t>ZAMORA RAMIREZ JOSE ADRIAN</t>
  </si>
  <si>
    <t>5476AF</t>
  </si>
  <si>
    <t>48G109</t>
  </si>
  <si>
    <t>ZAMUDIO MARTINEZ JOSE EDUARDO</t>
  </si>
  <si>
    <t>4970AF</t>
  </si>
  <si>
    <t>F99BRR</t>
  </si>
  <si>
    <t>ZAPARI AVALOS RAUL HUMBERTO</t>
  </si>
  <si>
    <t>5162AF</t>
  </si>
  <si>
    <t>BZB779A</t>
  </si>
  <si>
    <t>ZAPARI AVALOS VICTOR HUGO</t>
  </si>
  <si>
    <t>2481AF</t>
  </si>
  <si>
    <t>BFL920A</t>
  </si>
  <si>
    <t>ZARAGOZA HERNANDEZ JOSE ALFREDO</t>
  </si>
  <si>
    <t>4130AF</t>
  </si>
  <si>
    <t>ZARATE SANCHEZ FRANCISCO JAVIER</t>
  </si>
  <si>
    <t>4391AF</t>
  </si>
  <si>
    <t>V58BRH</t>
  </si>
  <si>
    <t>ZARZA RANGEL STEVE</t>
  </si>
  <si>
    <t>4707AF</t>
  </si>
  <si>
    <t>41G544</t>
  </si>
  <si>
    <t>ZAVALA MORENO IVAN ARMANDO</t>
  </si>
  <si>
    <t>3757AF</t>
  </si>
  <si>
    <t>BSG239A</t>
  </si>
  <si>
    <t>ZEPEDA GALLARDO MARCO ANTONIO</t>
  </si>
  <si>
    <t>4878AF</t>
  </si>
  <si>
    <t>47G564</t>
  </si>
  <si>
    <t>ZUÑIGA LOPEZ NESTOR UBALDO</t>
  </si>
  <si>
    <t>3287AF</t>
  </si>
  <si>
    <t>BPC080A</t>
  </si>
  <si>
    <t>ZUÑIGA MARTINEZ RIGOBERTO</t>
  </si>
  <si>
    <t>3800AF</t>
  </si>
  <si>
    <t>BSG231A</t>
  </si>
  <si>
    <t>ZUÑIGA RODRIGUEZ ABRAHAM ANTARE</t>
  </si>
  <si>
    <t>4450AF</t>
  </si>
  <si>
    <t>19G506</t>
  </si>
  <si>
    <t>ZUÑIGA ROJAS RODRIGO CRYSTIAN</t>
  </si>
  <si>
    <t>4766AF</t>
  </si>
  <si>
    <t>41G536</t>
  </si>
  <si>
    <t>No se han aplicado filtros</t>
  </si>
  <si>
    <t>PERFIL DE AUTOS RECUPERADOS</t>
  </si>
  <si>
    <t>Análisis descriptivo · 978 unidades efectivamente recuperadas</t>
  </si>
  <si>
    <t>Total recuperados</t>
  </si>
  <si>
    <t>Tiempo prom. (meses)</t>
  </si>
  <si>
    <t>Tiempo mediano (meses)</t>
  </si>
  <si>
    <t>Tiempo máx (meses)</t>
  </si>
  <si>
    <t>HALLAZGOS CLAVE</t>
  </si>
  <si>
    <t>Plataforma: UBER concentra el 75% de las recuperaciones (737 vs 241 de DIDI), pero DIDI recupera más rápido en promedio (5.6 vs 9.9 meses).</t>
  </si>
  <si>
    <t>Sexo: 98% hombres (958) vs 2% mujeres (20). El sexo no es un factor discriminante.</t>
  </si>
  <si>
    <t>1. POR PLATAFORMA</t>
  </si>
  <si>
    <t>Estado: CDMX y área metropolitana domina con 74% (727 unidades). Querétaro tiene los tiempos más largos (25.9 meses promedio).</t>
  </si>
  <si>
    <t>Recuperados</t>
  </si>
  <si>
    <t>% del total</t>
  </si>
  <si>
    <t>Año de cosecha: factor más relevante. Cosechas 2025 se recuperan en 5.9 meses; cosechas 2022 tardan 31.5 meses. A mayor antigüedad, mayor tiempo.</t>
  </si>
  <si>
    <t>2. POR SEXO</t>
  </si>
  <si>
    <t>3. POR ESTADO</t>
  </si>
  <si>
    <t>4. POR AÑO DE COSECHA</t>
  </si>
  <si>
    <t>Año</t>
  </si>
  <si>
    <t>5. POR MODELO</t>
  </si>
  <si>
    <t>Año Cosecha</t>
  </si>
  <si>
    <t>Meses transcurridos tras recuperación efectiva</t>
  </si>
  <si>
    <t>📊 Distribución por Sexo</t>
  </si>
  <si>
    <t>Cantidad</t>
  </si>
  <si>
    <t>Avg. Meses transcurridos</t>
  </si>
  <si>
    <t>📍 Distribución por Estado</t>
  </si>
  <si>
    <t>📅 Meses Transcurridos por Año</t>
  </si>
  <si>
    <t>Max. Meses transcurridos</t>
  </si>
  <si>
    <t>Min. Meses transcurridos</t>
  </si>
  <si>
    <t>Promedio</t>
  </si>
  <si>
    <t>Total</t>
  </si>
  <si>
    <t>Mes envío recuperación</t>
  </si>
  <si>
    <t>Fecha (EOM)</t>
  </si>
  <si>
    <t>Originaciones New Vehicles</t>
  </si>
  <si>
    <t>Originaciones Used Vehicles</t>
  </si>
  <si>
    <t>Originaciones</t>
  </si>
  <si>
    <t>O - R</t>
  </si>
  <si>
    <t>Units</t>
  </si>
  <si>
    <t>Source</t>
  </si>
  <si>
    <t>Month Start</t>
  </si>
  <si>
    <t>Month End</t>
  </si>
  <si>
    <t xml:space="preserve">Year </t>
  </si>
  <si>
    <t>Month</t>
  </si>
  <si>
    <t>Quarter</t>
  </si>
  <si>
    <t>Q1</t>
  </si>
  <si>
    <t>Q2</t>
  </si>
  <si>
    <t>Q3</t>
  </si>
  <si>
    <t>Q4</t>
  </si>
  <si>
    <t>Fridays Per Month</t>
  </si>
  <si>
    <t>Actual</t>
  </si>
  <si>
    <t>LTO Main KPIs</t>
  </si>
  <si>
    <t>Origination (New Vehicles)</t>
  </si>
  <si>
    <t>Origination</t>
  </si>
  <si>
    <t>[#]</t>
  </si>
  <si>
    <t>ICE</t>
  </si>
  <si>
    <t>LTO Report</t>
  </si>
  <si>
    <t>HEV</t>
  </si>
  <si>
    <t>EV</t>
  </si>
  <si>
    <t>[%]</t>
  </si>
  <si>
    <t>Origination by Platform</t>
  </si>
  <si>
    <t>Uber</t>
  </si>
  <si>
    <t>DiDi</t>
  </si>
  <si>
    <t>Origination in Uber by vehicle type</t>
  </si>
  <si>
    <t>Origination in DiDi by vehicle type</t>
  </si>
  <si>
    <t>Origination (Used Vehicles)</t>
  </si>
  <si>
    <t>Used Vehicle Origination</t>
  </si>
  <si>
    <t>Used Vehicle as % of Origination</t>
  </si>
  <si>
    <t>Used Vehicle Origination in Uber by vehicle type</t>
  </si>
  <si>
    <t>Used Vehicle Origination in DiDi by vehicle type</t>
  </si>
  <si>
    <t>Cohort Detail — Repossession Analytics (2024–2026)</t>
  </si>
  <si>
    <t>⚡ All values are live formulas pulling from Export, recuperación efectiva and Originaciones sheets</t>
  </si>
  <si>
    <t>Cohort</t>
  </si>
  <si>
    <t>Originations</t>
  </si>
  <si>
    <t>Sent to Recovery</t>
  </si>
  <si>
    <t>Repossessed</t>
  </si>
  <si>
    <t>Pending</t>
  </si>
  <si>
    <t>% Repossessed</t>
  </si>
  <si>
    <t>TOTAL</t>
  </si>
  <si>
    <t>Formulas: Originations ← Originaciones!row18 (INDEX/MATCH on date) · Sent ← COUNTIF(Export!E) · Repossessed ← COUNTIF(recuperación efectiva!E) · Pending = Sent−Repossessed</t>
  </si>
  <si>
    <t>Repossession Heatmap — Cohort × Elapsed Month (Cumulative %)</t>
  </si>
  <si>
    <t>⚡ Formulas: n=COUNTIF(Export!E) · % cum = COUNTIFS(recup.ef.!E=cohort, recup.ef.!K&lt;=M) / n · Pyramidal: cells beyond max possible month are blank</t>
  </si>
  <si>
    <t>n sent</t>
  </si>
  <si>
    <t>maxM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</si>
  <si>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</si>
  <si>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</si>
  <si>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</si>
  <si>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</si>
  <si>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</si>
  <si>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</si>
  <si>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</si>
  <si>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</si>
  <si>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</si>
  <si>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</si>
  <si>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</si>
  <si>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</si>
  <si>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</si>
  <si>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</si>
  <si>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M+14</t>
  </si>
  <si>
    <t>M+15</t>
  </si>
  <si>
    <t>M+16</t>
  </si>
  <si>
    <t>M+17</t>
  </si>
  <si>
    <t>M+18</t>
  </si>
  <si>
    <t>M+19</t>
  </si>
  <si>
    <t>M+20</t>
  </si>
  <si>
    <t>M+21</t>
  </si>
  <si>
    <t>M+22</t>
  </si>
  <si>
    <t>M+23</t>
  </si>
  <si>
    <t>M+24</t>
  </si>
  <si>
    <t>M+25</t>
  </si>
  <si>
    <t>M+26</t>
  </si>
  <si>
    <t>M+27</t>
  </si>
  <si>
    <t>M+28</t>
  </si>
  <si>
    <t>M+29</t>
  </si>
  <si>
    <t>M+30</t>
  </si>
  <si>
    <t>M+31</t>
  </si>
  <si>
    <t>M+32</t>
  </si>
  <si>
    <t>M+33</t>
  </si>
  <si>
    <t>M+34</t>
  </si>
  <si>
    <t>M+35</t>
  </si>
  <si>
    <t>M+36</t>
  </si>
  <si>
    <t>Wtd. Avg.</t>
  </si>
  <si>
    <t>Formulas: n sent = COUNTIF(Export!E) · Cum% = COUNTIFS(recup.ef.!E=cohort, recup.ef.!K&lt;=M) / n · maxM col = pyramidal cutoff (May 2026) · Wtd.Avg = SUMPRODUCT eligible cohorts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</si>
</sst>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m/d/yyyy"/>
    <numFmt numFmtId="165" formatCode="0.0"/>
    <numFmt numFmtId="166" formatCode="0.0%"/>
    <numFmt numFmtId="167" formatCode="d\-mmm\-yy"/>
    <numFmt numFmtId="168" formatCode="\$#,##0.00"/>
    <numFmt numFmtId="169" formatCode="[$-409]d\-mmm\-yy;@"/>
    <numFmt numFmtId="170" formatCode="_(* #,##0.00_);_(* \(#,##0.00\);_(* \-??_);_(@_)"/>
    <numFmt numFmtId="171" formatCode="_-* #,##0_-;\-* #,##0_-;_-* \-??_-;_-@_-"/>
    <numFmt numFmtId="172" formatCode="\$#,##0.0,,;[Red]&quot;($&quot;#,##0.0,,\)"/>
    <numFmt numFmtId="173" formatCode="#,##0;\(#,##0\);\-"/>
    <numFmt numFmtId="174" formatCode="_(#,##0.0%_);\(#,##0.0%\);_(\–_)_%;_(@_)_%"/>
    <numFmt numFmtId="175" formatCode="_(#,##0_)_%;\(#,##0\)_%;_(\–_)_%;_(@_)_%"/>
    <numFmt numFmtId="176" formatCode="\$#,##0.0"/>
  </numFmts>
  <fonts count="53" x14ac:knownFonts="1">
    <font>
      <sz val="11"/>
      <name val="Aptos Narrow"/>
      <charset val="1"/>
    </font>
    <font>
      <sz val="10"/>
      <color theme="1"/>
      <name val="Space Grotesk"/>
      <family val="2"/>
      <charset val="1"/>
    </font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0"/>
      <color rgb="FF404040"/>
      <name val="Calibri"/>
      <family val="2"/>
      <charset val="1"/>
    </font>
    <font>
      <sz val="10"/>
      <color rgb="FF404040"/>
      <name val="Aptos Narrow"/>
      <family val="2"/>
      <charset val="1"/>
    </font>
    <font>
      <b/>
      <sz val="20"/>
      <color rgb="FF1F497D"/>
      <name val="Century Gothic"/>
      <family val="2"/>
      <charset val="1"/>
    </font>
    <font>
      <i/>
      <sz val="11"/>
      <color rgb="FF595959"/>
      <name val="Century Gothic"/>
      <family val="2"/>
      <charset val="1"/>
    </font>
    <font>
      <b/>
      <sz val="10"/>
      <color rgb="FFFFFFFF"/>
      <name val="Century Gothic"/>
      <family val="2"/>
      <charset val="1"/>
    </font>
    <font>
      <b/>
      <sz val="14"/>
      <color rgb="FFFFFFFF"/>
      <name val="Century Gothic"/>
      <family val="2"/>
      <charset val="1"/>
    </font>
    <font>
      <b/>
      <sz val="18"/>
      <color rgb="FF00AEE8"/>
      <name val="Century Gothic"/>
      <family val="2"/>
      <charset val="1"/>
    </font>
    <font>
      <sz val="10"/>
      <color rgb="FF1F497D"/>
      <name val="Century Gothic"/>
      <family val="2"/>
      <charset val="1"/>
    </font>
    <font>
      <b/>
      <sz val="14"/>
      <color rgb="FF1F497D"/>
      <name val="Century Gothic"/>
      <family val="2"/>
      <charset val="1"/>
    </font>
    <font>
      <b/>
      <sz val="11"/>
      <color rgb="FFFFFFFF"/>
      <name val="Century Gothic"/>
      <family val="2"/>
      <charset val="1"/>
    </font>
    <font>
      <b/>
      <sz val="10"/>
      <color rgb="FF1F497D"/>
      <name val="Century Gothic"/>
      <family val="2"/>
      <charset val="1"/>
    </font>
    <font>
      <sz val="11"/>
      <name val="Century Gothic"/>
      <family val="2"/>
      <charset val="1"/>
    </font>
    <font>
      <b/>
      <sz val="11"/>
      <color rgb="FFFFFFFF"/>
      <name val="Aptos Narrow"/>
      <family val="2"/>
      <charset val="1"/>
    </font>
    <font>
      <b/>
      <sz val="11"/>
      <color rgb="FF00B050"/>
      <name val="Aptos Narrow"/>
      <family val="2"/>
      <charset val="1"/>
    </font>
    <font>
      <b/>
      <sz val="10"/>
      <color rgb="FF404040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z val="10"/>
      <name val="Aptos Narrow"/>
      <family val="2"/>
      <charset val="1"/>
    </font>
    <font>
      <b/>
      <sz val="11"/>
      <name val="Aptos Narrow"/>
      <family val="2"/>
      <charset val="1"/>
    </font>
    <font>
      <sz val="11"/>
      <name val="Space Grotesk"/>
    </font>
    <font>
      <sz val="9"/>
      <color theme="1"/>
      <name val="Space Grotesk"/>
      <family val="3"/>
      <charset val="1"/>
    </font>
    <font>
      <b/>
      <sz val="9"/>
      <color theme="0"/>
      <name val="Space Grotesk"/>
      <family val="3"/>
      <charset val="1"/>
    </font>
    <font>
      <sz val="9"/>
      <color rgb="FFC65911"/>
      <name val="Space Grotesk"/>
      <family val="3"/>
      <charset val="1"/>
    </font>
    <font>
      <b/>
      <sz val="9"/>
      <name val="Space Grotesk"/>
      <family val="3"/>
      <charset val="1"/>
    </font>
    <font>
      <b/>
      <sz val="9"/>
      <color rgb="FF0000FF"/>
      <name val="Space Grotesk"/>
      <family val="3"/>
      <charset val="1"/>
    </font>
    <font>
      <b/>
      <sz val="9"/>
      <color theme="1"/>
      <name val="Space Grotesk"/>
      <family val="3"/>
      <charset val="1"/>
    </font>
    <font>
      <b/>
      <sz val="9"/>
      <color rgb="FF000000"/>
      <name val="Space Grotesk"/>
      <family val="3"/>
      <charset val="1"/>
    </font>
    <font>
      <b/>
      <sz val="9"/>
      <color rgb="FFFFFFFF"/>
      <name val="Space Grotesk"/>
      <family val="3"/>
      <charset val="1"/>
    </font>
    <font>
      <sz val="9"/>
      <color rgb="FFFFFFFF"/>
      <name val="Space Grotesk"/>
      <family val="3"/>
      <charset val="1"/>
    </font>
    <font>
      <sz val="11"/>
      <name val="Aptos Narrow"/>
      <family val="2"/>
      <charset val="1"/>
    </font>
    <font>
      <i/>
      <sz val="9"/>
      <color theme="1"/>
      <name val="Space Grotesk"/>
      <family val="3"/>
      <charset val="1"/>
    </font>
    <font>
      <sz val="9"/>
      <name val="Space Grotesk"/>
      <family val="3"/>
      <charset val="1"/>
    </font>
    <font>
      <sz val="9"/>
      <color rgb="FF0070C0"/>
      <name val="Space Grotesk"/>
      <family val="3"/>
      <charset val="1"/>
    </font>
    <font>
      <sz val="9"/>
      <color rgb="FF0000FF"/>
      <name val="Space Grotesk"/>
      <family val="3"/>
      <charset val="1"/>
    </font>
    <font>
      <sz val="9"/>
      <color rgb="FF000000"/>
      <name val="Space Grotesk"/>
      <family val="3"/>
      <charset val="1"/>
    </font>
    <font>
      <sz val="10"/>
      <name val="Arial"/>
      <family val="2"/>
    </font>
    <font>
      <b/>
      <sz val="13"/>
      <color rgb="FF1F5556"/>
      <name val="Arial"/>
      <family val="2"/>
    </font>
    <font>
      <i/>
      <sz val="9"/>
      <color rgb="FF11ABAB"/>
      <name val="Arial"/>
      <family val="2"/>
    </font>
    <font>
      <b/>
      <sz val="10"/>
      <color rgb="FFFFFFFF"/>
      <name val="Arial"/>
      <family val="2"/>
    </font>
    <font>
      <b/>
      <sz val="10"/>
      <color rgb="FF1F55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color rgb="FF888888"/>
      <name val="Arial"/>
      <family val="2"/>
    </font>
    <font>
      <b/>
      <sz val="8"/>
      <color rgb="FF999999"/>
      <name val="Arial"/>
      <family val="2"/>
    </font>
    <font>
      <b/>
      <sz val="9"/>
      <color rgb="FFFFFFFF"/>
      <name val="Arial"/>
      <family val="2"/>
    </font>
    <font>
      <b/>
      <sz val="9"/>
      <color rgb="FF1F5556"/>
      <name val="Arial"/>
      <family val="2"/>
    </font>
    <font>
      <sz val="9"/>
      <name val="Arial"/>
      <family val="2"/>
    </font>
    <font>
      <sz val="8"/>
      <color rgb="FF88888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11ABA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2FAFA"/>
      </patternFill>
    </fill>
    <fill>
      <patternFill patternType="solid">
        <fgColor rgb="FF1F497D"/>
        <bgColor rgb="FF1F5556"/>
      </patternFill>
    </fill>
    <fill>
      <patternFill patternType="solid">
        <fgColor rgb="FFC6F0FF"/>
        <bgColor rgb="FFC6EFCE"/>
      </patternFill>
    </fill>
    <fill>
      <patternFill patternType="solid">
        <fgColor theme="9" tint="0.79989013336588644"/>
        <bgColor rgb="FFC6EFCE"/>
      </patternFill>
    </fill>
    <fill>
      <patternFill patternType="solid">
        <fgColor rgb="FFEAF7FD"/>
        <bgColor rgb="FFE8F5F5"/>
      </patternFill>
    </fill>
    <fill>
      <patternFill patternType="solid">
        <fgColor theme="0" tint="-0.34998626667073579"/>
        <bgColor rgb="FF999999"/>
      </patternFill>
    </fill>
    <fill>
      <patternFill patternType="solid">
        <fgColor rgb="FF11ABAB"/>
        <bgColor rgb="FF0F9ED5"/>
      </patternFill>
    </fill>
    <fill>
      <patternFill patternType="solid">
        <fgColor rgb="FFEA9999"/>
        <bgColor rgb="FFED825A"/>
      </patternFill>
    </fill>
    <fill>
      <patternFill patternType="solid">
        <fgColor rgb="FFD4D4D4"/>
        <bgColor rgb="FFD9D9D9"/>
      </patternFill>
    </fill>
    <fill>
      <patternFill patternType="solid">
        <fgColor rgb="FF1F5556"/>
        <bgColor rgb="FF1F497D"/>
      </patternFill>
    </fill>
    <fill>
      <patternFill patternType="solid">
        <fgColor rgb="FFF2FAFA"/>
        <bgColor rgb="FFEAF7FD"/>
      </patternFill>
    </fill>
    <fill>
      <patternFill patternType="solid">
        <fgColor rgb="FFE8F5F5"/>
        <bgColor rgb="FFEAF7FD"/>
      </patternFill>
    </fill>
    <fill>
      <patternFill patternType="solid">
        <fgColor rgb="FFEEEEEE"/>
        <bgColor rgb="FFF2F2F2"/>
      </patternFill>
    </fill>
  </fills>
  <borders count="66">
    <border>
      <left/>
      <right/>
      <top/>
      <bottom/>
      <diagonal/>
    </border>
    <border>
      <left style="medium">
        <color rgb="FF1B365D"/>
      </left>
      <right style="thin">
        <color rgb="FFE0E0E0"/>
      </right>
      <top style="medium">
        <color rgb="FF1B365D"/>
      </top>
      <bottom style="medium">
        <color rgb="FF007A33"/>
      </bottom>
      <diagonal/>
    </border>
    <border>
      <left style="thin">
        <color rgb="FFE0E0E0"/>
      </left>
      <right style="thin">
        <color rgb="FFE0E0E0"/>
      </right>
      <top style="medium">
        <color rgb="FF1B365D"/>
      </top>
      <bottom style="medium">
        <color rgb="FF007A33"/>
      </bottom>
      <diagonal/>
    </border>
    <border>
      <left style="thin">
        <color rgb="FFE0E0E0"/>
      </left>
      <right style="medium">
        <color rgb="FF1B365D"/>
      </right>
      <top style="medium">
        <color rgb="FF1B365D"/>
      </top>
      <bottom style="medium">
        <color rgb="FF007A33"/>
      </bottom>
      <diagonal/>
    </border>
    <border>
      <left style="medium">
        <color rgb="FF1B365D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medium">
        <color rgb="FF1B365D"/>
      </right>
      <top/>
      <bottom style="thin">
        <color rgb="FFE0E0E0"/>
      </bottom>
      <diagonal/>
    </border>
    <border>
      <left style="medium">
        <color rgb="FF1B365D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medium">
        <color rgb="FF1B365D"/>
      </right>
      <top style="thin">
        <color rgb="FFE0E0E0"/>
      </top>
      <bottom style="thin">
        <color rgb="FFE0E0E0"/>
      </bottom>
      <diagonal/>
    </border>
    <border>
      <left style="medium">
        <color rgb="FF1B365D"/>
      </left>
      <right style="thin">
        <color rgb="FFE0E0E0"/>
      </right>
      <top style="thin">
        <color rgb="FFE0E0E0"/>
      </top>
      <bottom style="medium">
        <color rgb="FF1B365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B365D"/>
      </bottom>
      <diagonal/>
    </border>
    <border>
      <left style="thin">
        <color rgb="FFE0E0E0"/>
      </left>
      <right style="medium">
        <color rgb="FF1B365D"/>
      </right>
      <top style="thin">
        <color rgb="FFE0E0E0"/>
      </top>
      <bottom style="medium">
        <color rgb="FF1B365D"/>
      </bottom>
      <diagonal/>
    </border>
    <border>
      <left style="medium">
        <color rgb="FF1B365D"/>
      </left>
      <right style="thin">
        <color rgb="FFE0E0E0"/>
      </right>
      <top style="medium">
        <color rgb="FF1B365D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1B365D"/>
      </top>
      <bottom style="thin">
        <color rgb="FFE0E0E0"/>
      </bottom>
      <diagonal/>
    </border>
    <border>
      <left style="thin">
        <color rgb="FFE0E0E0"/>
      </left>
      <right style="medium">
        <color rgb="FF1B365D"/>
      </right>
      <top style="medium">
        <color rgb="FF1B365D"/>
      </top>
      <bottom style="thin">
        <color rgb="FFE0E0E0"/>
      </bottom>
      <diagonal/>
    </border>
    <border>
      <left style="medium">
        <color rgb="FF1B365D"/>
      </left>
      <right style="thin">
        <color rgb="FFE0E0E0"/>
      </right>
      <top style="medium">
        <color rgb="FF1B365D"/>
      </top>
      <bottom style="medium">
        <color rgb="FF1B365D"/>
      </bottom>
      <diagonal/>
    </border>
    <border>
      <left style="thin">
        <color rgb="FFE0E0E0"/>
      </left>
      <right style="thin">
        <color rgb="FFE0E0E0"/>
      </right>
      <top style="medium">
        <color rgb="FF1B365D"/>
      </top>
      <bottom style="medium">
        <color rgb="FF1B365D"/>
      </bottom>
      <diagonal/>
    </border>
    <border>
      <left style="thin">
        <color rgb="FFE0E0E0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/>
      <right style="thin">
        <color rgb="FFC6F0FF"/>
      </right>
      <top style="thin">
        <color rgb="FF1F497D"/>
      </top>
      <bottom style="thin">
        <color rgb="FFC6F0FF"/>
      </bottom>
      <diagonal/>
    </border>
    <border>
      <left style="thin">
        <color rgb="FFC6F0FF"/>
      </left>
      <right style="thin">
        <color rgb="FFC6F0FF"/>
      </right>
      <top style="thin">
        <color rgb="FF1F497D"/>
      </top>
      <bottom style="thin">
        <color rgb="FFC6F0FF"/>
      </bottom>
      <diagonal/>
    </border>
    <border>
      <left style="thin">
        <color rgb="FFC6F0FF"/>
      </left>
      <right/>
      <top style="thin">
        <color rgb="FF1F497D"/>
      </top>
      <bottom style="thin">
        <color rgb="FFC6F0FF"/>
      </bottom>
      <diagonal/>
    </border>
    <border>
      <left/>
      <right style="thin">
        <color rgb="FFC6F0FF"/>
      </right>
      <top style="thin">
        <color rgb="FFC6F0FF"/>
      </top>
      <bottom style="thin">
        <color rgb="FF1F497D"/>
      </bottom>
      <diagonal/>
    </border>
    <border>
      <left style="thin">
        <color rgb="FFC6F0FF"/>
      </left>
      <right style="thin">
        <color rgb="FFC6F0FF"/>
      </right>
      <top style="thin">
        <color rgb="FFC6F0FF"/>
      </top>
      <bottom style="thin">
        <color rgb="FF1F497D"/>
      </bottom>
      <diagonal/>
    </border>
    <border>
      <left style="thin">
        <color rgb="FFC6F0FF"/>
      </left>
      <right/>
      <top style="thin">
        <color rgb="FFC6F0FF"/>
      </top>
      <bottom style="thin">
        <color rgb="FF1F497D"/>
      </bottom>
      <diagonal/>
    </border>
    <border>
      <left/>
      <right style="thin">
        <color rgb="FFC6F0FF"/>
      </right>
      <top style="thin">
        <color rgb="FFC6F0FF"/>
      </top>
      <bottom style="thin">
        <color rgb="FFC6F0FF"/>
      </bottom>
      <diagonal/>
    </border>
    <border>
      <left style="thin">
        <color rgb="FFC6F0FF"/>
      </left>
      <right style="thin">
        <color rgb="FFC6F0FF"/>
      </right>
      <top style="thin">
        <color rgb="FFC6F0FF"/>
      </top>
      <bottom style="thin">
        <color rgb="FFC6F0FF"/>
      </bottom>
      <diagonal/>
    </border>
    <border>
      <left style="thin">
        <color rgb="FFC6F0FF"/>
      </left>
      <right/>
      <top style="thin">
        <color rgb="FFC6F0FF"/>
      </top>
      <bottom style="thin">
        <color rgb="FFC6F0FF"/>
      </bottom>
      <diagonal/>
    </border>
    <border>
      <left/>
      <right style="thin">
        <color rgb="FFE0E0E0"/>
      </right>
      <top/>
      <bottom style="medium">
        <color rgb="FF007A33"/>
      </bottom>
      <diagonal/>
    </border>
    <border>
      <left style="thin">
        <color rgb="FFE0E0E0"/>
      </left>
      <right style="thin">
        <color rgb="FFE0E0E0"/>
      </right>
      <top/>
      <bottom style="medium">
        <color rgb="FF007A33"/>
      </bottom>
      <diagonal/>
    </border>
    <border>
      <left style="thin">
        <color rgb="FFE0E0E0"/>
      </left>
      <right/>
      <top/>
      <bottom style="medium">
        <color rgb="FF007A33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auto="1"/>
      </left>
      <right style="thin">
        <color auto="1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auto="1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auto="1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theme="4" tint="0.39988402966399123"/>
      </top>
      <bottom/>
      <diagonal/>
    </border>
    <border>
      <left style="thin">
        <color auto="1"/>
      </left>
      <right/>
      <top style="thin">
        <color theme="4" tint="0.39988402966399123"/>
      </top>
      <bottom/>
      <diagonal/>
    </border>
    <border>
      <left style="thin">
        <color rgb="FF00B050"/>
      </left>
      <right/>
      <top style="thin">
        <color rgb="FF00B050"/>
      </top>
      <bottom style="thin">
        <color theme="4" tint="0.39988402966399123"/>
      </bottom>
      <diagonal/>
    </border>
    <border>
      <left/>
      <right/>
      <top style="thin">
        <color rgb="FF00B050"/>
      </top>
      <bottom style="thin">
        <color theme="4" tint="0.39988402966399123"/>
      </bottom>
      <diagonal/>
    </border>
    <border>
      <left style="thin">
        <color rgb="FF00B050"/>
      </left>
      <right style="thin">
        <color auto="1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rgb="FF00B050"/>
      </left>
      <right style="thin">
        <color auto="1"/>
      </right>
      <top style="thin">
        <color theme="4" tint="0.39988402966399123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88402966399123"/>
      </bottom>
      <diagonal/>
    </border>
    <border>
      <left/>
      <right style="thin">
        <color rgb="FF00B050"/>
      </right>
      <top/>
      <bottom style="thin">
        <color theme="4" tint="0.39988402966399123"/>
      </bottom>
      <diagonal/>
    </border>
    <border>
      <left/>
      <right style="thin">
        <color auto="1"/>
      </right>
      <top style="thin">
        <color theme="4" tint="0.39988402966399123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B050"/>
      </bottom>
      <diagonal/>
    </border>
    <border>
      <left/>
      <right style="thin">
        <color theme="4" tint="0.39988402966399123"/>
      </right>
      <top style="thin">
        <color rgb="FF00B050"/>
      </top>
      <bottom style="thin">
        <color theme="4" tint="0.39988402966399123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888888"/>
      </top>
      <bottom style="medium">
        <color rgb="FF888888"/>
      </bottom>
      <diagonal/>
    </border>
  </borders>
  <cellStyleXfs count="5">
    <xf numFmtId="0" fontId="0" fillId="0" borderId="0"/>
    <xf numFmtId="170" fontId="32" fillId="0" borderId="0"/>
    <xf numFmtId="9" fontId="32" fillId="0" borderId="0"/>
    <xf numFmtId="0" fontId="1" fillId="0" borderId="0"/>
    <xf numFmtId="0" fontId="2" fillId="0" borderId="0"/>
  </cellStyleXfs>
  <cellXfs count="24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/>
    <xf numFmtId="164" fontId="4" fillId="3" borderId="5" xfId="0" applyNumberFormat="1" applyFont="1" applyFill="1" applyBorder="1"/>
    <xf numFmtId="0" fontId="4" fillId="3" borderId="6" xfId="0" applyFont="1" applyFill="1" applyBorder="1" applyAlignment="1">
      <alignment horizontal="center"/>
    </xf>
    <xf numFmtId="0" fontId="4" fillId="4" borderId="7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/>
    <xf numFmtId="164" fontId="4" fillId="4" borderId="8" xfId="0" applyNumberFormat="1" applyFont="1" applyFill="1" applyBorder="1"/>
    <xf numFmtId="0" fontId="4" fillId="4" borderId="9" xfId="0" applyFont="1" applyFill="1" applyBorder="1" applyAlignment="1">
      <alignment horizontal="center"/>
    </xf>
    <xf numFmtId="0" fontId="4" fillId="3" borderId="7" xfId="0" applyFont="1" applyFill="1" applyBorder="1"/>
    <xf numFmtId="0" fontId="4" fillId="3" borderId="8" xfId="0" applyFont="1" applyFill="1" applyBorder="1" applyAlignment="1">
      <alignment horizontal="center"/>
    </xf>
    <xf numFmtId="0" fontId="4" fillId="3" borderId="8" xfId="0" applyFont="1" applyFill="1" applyBorder="1"/>
    <xf numFmtId="164" fontId="4" fillId="3" borderId="8" xfId="0" applyNumberFormat="1" applyFont="1" applyFill="1" applyBorder="1"/>
    <xf numFmtId="0" fontId="4" fillId="3" borderId="9" xfId="0" applyFont="1" applyFill="1" applyBorder="1" applyAlignment="1">
      <alignment horizontal="center"/>
    </xf>
    <xf numFmtId="0" fontId="4" fillId="4" borderId="10" xfId="0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11" xfId="0" applyFont="1" applyFill="1" applyBorder="1"/>
    <xf numFmtId="164" fontId="4" fillId="4" borderId="11" xfId="0" applyNumberFormat="1" applyFont="1" applyFill="1" applyBorder="1"/>
    <xf numFmtId="0" fontId="4" fillId="4" borderId="12" xfId="0" applyFont="1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4" borderId="13" xfId="0" applyFont="1" applyFill="1" applyBorder="1"/>
    <xf numFmtId="0" fontId="4" fillId="4" borderId="14" xfId="0" applyFont="1" applyFill="1" applyBorder="1" applyAlignment="1">
      <alignment horizontal="center"/>
    </xf>
    <xf numFmtId="0" fontId="4" fillId="4" borderId="14" xfId="0" applyFont="1" applyFill="1" applyBorder="1"/>
    <xf numFmtId="164" fontId="4" fillId="4" borderId="14" xfId="0" applyNumberFormat="1" applyFont="1" applyFill="1" applyBorder="1"/>
    <xf numFmtId="0" fontId="4" fillId="4" borderId="15" xfId="0" applyFont="1" applyFill="1" applyBorder="1" applyAlignment="1">
      <alignment horizontal="center"/>
    </xf>
    <xf numFmtId="0" fontId="4" fillId="3" borderId="10" xfId="0" applyFont="1" applyFill="1" applyBorder="1"/>
    <xf numFmtId="0" fontId="4" fillId="3" borderId="11" xfId="0" applyFont="1" applyFill="1" applyBorder="1" applyAlignment="1">
      <alignment horizontal="center"/>
    </xf>
    <xf numFmtId="0" fontId="4" fillId="3" borderId="11" xfId="0" applyFont="1" applyFill="1" applyBorder="1"/>
    <xf numFmtId="164" fontId="4" fillId="3" borderId="11" xfId="0" applyNumberFormat="1" applyFont="1" applyFill="1" applyBorder="1"/>
    <xf numFmtId="0" fontId="4" fillId="3" borderId="12" xfId="0" applyFont="1" applyFill="1" applyBorder="1" applyAlignment="1">
      <alignment horizontal="center"/>
    </xf>
    <xf numFmtId="0" fontId="0" fillId="4" borderId="0" xfId="0" applyFill="1"/>
    <xf numFmtId="164" fontId="0" fillId="4" borderId="0" xfId="0" applyNumberFormat="1" applyFill="1"/>
    <xf numFmtId="0" fontId="4" fillId="3" borderId="13" xfId="0" applyFont="1" applyFill="1" applyBorder="1"/>
    <xf numFmtId="0" fontId="4" fillId="3" borderId="14" xfId="0" applyFont="1" applyFill="1" applyBorder="1" applyAlignment="1">
      <alignment horizontal="center"/>
    </xf>
    <xf numFmtId="0" fontId="4" fillId="3" borderId="14" xfId="0" applyFont="1" applyFill="1" applyBorder="1"/>
    <xf numFmtId="164" fontId="4" fillId="3" borderId="14" xfId="0" applyNumberFormat="1" applyFont="1" applyFill="1" applyBorder="1"/>
    <xf numFmtId="0" fontId="4" fillId="3" borderId="15" xfId="0" applyFont="1" applyFill="1" applyBorder="1" applyAlignment="1">
      <alignment horizontal="center"/>
    </xf>
    <xf numFmtId="0" fontId="4" fillId="4" borderId="16" xfId="0" applyFont="1" applyFill="1" applyBorder="1"/>
    <xf numFmtId="0" fontId="4" fillId="4" borderId="17" xfId="0" applyFont="1" applyFill="1" applyBorder="1" applyAlignment="1">
      <alignment horizontal="center"/>
    </xf>
    <xf numFmtId="0" fontId="4" fillId="4" borderId="17" xfId="0" applyFont="1" applyFill="1" applyBorder="1"/>
    <xf numFmtId="164" fontId="4" fillId="4" borderId="17" xfId="0" applyNumberFormat="1" applyFont="1" applyFill="1" applyBorder="1"/>
    <xf numFmtId="0" fontId="4" fillId="4" borderId="18" xfId="0" applyFont="1" applyFill="1" applyBorder="1" applyAlignment="1">
      <alignment horizontal="center"/>
    </xf>
    <xf numFmtId="0" fontId="4" fillId="3" borderId="16" xfId="0" applyFont="1" applyFill="1" applyBorder="1"/>
    <xf numFmtId="0" fontId="4" fillId="3" borderId="17" xfId="0" applyFont="1" applyFill="1" applyBorder="1" applyAlignment="1">
      <alignment horizontal="center"/>
    </xf>
    <xf numFmtId="0" fontId="4" fillId="3" borderId="17" xfId="0" applyFont="1" applyFill="1" applyBorder="1"/>
    <xf numFmtId="164" fontId="4" fillId="3" borderId="17" xfId="0" applyNumberFormat="1" applyFont="1" applyFill="1" applyBorder="1"/>
    <xf numFmtId="0" fontId="4" fillId="3" borderId="18" xfId="0" applyFont="1" applyFill="1" applyBorder="1" applyAlignment="1">
      <alignment horizontal="center"/>
    </xf>
    <xf numFmtId="0" fontId="5" fillId="4" borderId="0" xfId="0" applyFont="1" applyFill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3" fontId="10" fillId="6" borderId="22" xfId="0" applyNumberFormat="1" applyFont="1" applyFill="1" applyBorder="1" applyAlignment="1">
      <alignment horizontal="center"/>
    </xf>
    <xf numFmtId="165" fontId="10" fillId="6" borderId="23" xfId="0" applyNumberFormat="1" applyFont="1" applyFill="1" applyBorder="1" applyAlignment="1">
      <alignment horizontal="center"/>
    </xf>
    <xf numFmtId="1" fontId="10" fillId="6" borderId="24" xfId="0" applyNumberFormat="1" applyFont="1" applyFill="1" applyBorder="1" applyAlignment="1">
      <alignment horizontal="center"/>
    </xf>
    <xf numFmtId="0" fontId="12" fillId="0" borderId="0" xfId="0" applyFont="1"/>
    <xf numFmtId="0" fontId="13" fillId="5" borderId="19" xfId="0" applyFont="1" applyFill="1" applyBorder="1" applyAlignment="1">
      <alignment horizontal="left"/>
    </xf>
    <xf numFmtId="0" fontId="13" fillId="5" borderId="20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5" fillId="0" borderId="25" xfId="0" applyFont="1" applyBorder="1"/>
    <xf numFmtId="3" fontId="15" fillId="0" borderId="26" xfId="0" applyNumberFormat="1" applyFont="1" applyBorder="1" applyAlignment="1">
      <alignment horizontal="center"/>
    </xf>
    <xf numFmtId="166" fontId="15" fillId="0" borderId="26" xfId="0" applyNumberFormat="1" applyFont="1" applyBorder="1" applyAlignment="1">
      <alignment horizontal="center"/>
    </xf>
    <xf numFmtId="165" fontId="15" fillId="0" borderId="27" xfId="0" applyNumberFormat="1" applyFont="1" applyBorder="1" applyAlignment="1">
      <alignment horizontal="center"/>
    </xf>
    <xf numFmtId="0" fontId="15" fillId="0" borderId="22" xfId="0" applyFont="1" applyBorder="1"/>
    <xf numFmtId="3" fontId="15" fillId="0" borderId="23" xfId="0" applyNumberFormat="1" applyFont="1" applyBorder="1" applyAlignment="1">
      <alignment horizontal="center"/>
    </xf>
    <xf numFmtId="166" fontId="15" fillId="0" borderId="23" xfId="0" applyNumberFormat="1" applyFont="1" applyBorder="1" applyAlignment="1">
      <alignment horizontal="center"/>
    </xf>
    <xf numFmtId="165" fontId="15" fillId="0" borderId="24" xfId="0" applyNumberFormat="1" applyFont="1" applyBorder="1" applyAlignment="1">
      <alignment horizontal="center"/>
    </xf>
    <xf numFmtId="0" fontId="13" fillId="5" borderId="19" xfId="0" applyFont="1" applyFill="1" applyBorder="1"/>
    <xf numFmtId="0" fontId="12" fillId="0" borderId="25" xfId="0" applyFont="1" applyBorder="1"/>
    <xf numFmtId="0" fontId="13" fillId="5" borderId="25" xfId="0" applyFont="1" applyFill="1" applyBorder="1"/>
    <xf numFmtId="3" fontId="13" fillId="5" borderId="26" xfId="0" applyNumberFormat="1" applyFont="1" applyFill="1" applyBorder="1" applyAlignment="1">
      <alignment horizontal="center"/>
    </xf>
    <xf numFmtId="166" fontId="13" fillId="5" borderId="26" xfId="0" applyNumberFormat="1" applyFont="1" applyFill="1" applyBorder="1" applyAlignment="1">
      <alignment horizontal="center"/>
    </xf>
    <xf numFmtId="165" fontId="13" fillId="5" borderId="27" xfId="0" applyNumberFormat="1" applyFont="1" applyFill="1" applyBorder="1" applyAlignment="1">
      <alignment horizontal="center"/>
    </xf>
    <xf numFmtId="1" fontId="15" fillId="0" borderId="25" xfId="0" applyNumberFormat="1" applyFont="1" applyBorder="1" applyAlignment="1">
      <alignment horizontal="left"/>
    </xf>
    <xf numFmtId="1" fontId="15" fillId="0" borderId="22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6" fillId="2" borderId="28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4" fillId="3" borderId="31" xfId="0" applyFont="1" applyFill="1" applyBorder="1"/>
    <xf numFmtId="1" fontId="4" fillId="3" borderId="5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/>
    </xf>
    <xf numFmtId="0" fontId="4" fillId="4" borderId="33" xfId="0" applyFont="1" applyFill="1" applyBorder="1"/>
    <xf numFmtId="1" fontId="4" fillId="4" borderId="8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/>
    </xf>
    <xf numFmtId="0" fontId="17" fillId="0" borderId="0" xfId="0" applyFont="1"/>
    <xf numFmtId="0" fontId="4" fillId="3" borderId="33" xfId="0" applyFont="1" applyFill="1" applyBorder="1"/>
    <xf numFmtId="1" fontId="4" fillId="3" borderId="8" xfId="0" applyNumberFormat="1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5" fillId="4" borderId="35" xfId="0" applyFont="1" applyFill="1" applyBorder="1" applyAlignment="1">
      <alignment horizontal="center"/>
    </xf>
    <xf numFmtId="3" fontId="18" fillId="4" borderId="36" xfId="0" applyNumberFormat="1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3" fontId="18" fillId="3" borderId="38" xfId="0" applyNumberFormat="1" applyFont="1" applyFill="1" applyBorder="1" applyAlignment="1">
      <alignment horizontal="center"/>
    </xf>
    <xf numFmtId="0" fontId="5" fillId="4" borderId="39" xfId="0" applyFont="1" applyFill="1" applyBorder="1" applyAlignment="1">
      <alignment horizontal="center"/>
    </xf>
    <xf numFmtId="3" fontId="18" fillId="4" borderId="40" xfId="0" applyNumberFormat="1" applyFont="1" applyFill="1" applyBorder="1" applyAlignment="1">
      <alignment horizontal="center"/>
    </xf>
    <xf numFmtId="0" fontId="5" fillId="4" borderId="41" xfId="0" applyFont="1" applyFill="1" applyBorder="1" applyAlignment="1">
      <alignment horizontal="center"/>
    </xf>
    <xf numFmtId="3" fontId="18" fillId="4" borderId="42" xfId="0" applyNumberFormat="1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3" fontId="18" fillId="3" borderId="44" xfId="0" applyNumberFormat="1" applyFont="1" applyFill="1" applyBorder="1" applyAlignment="1">
      <alignment horizontal="center"/>
    </xf>
    <xf numFmtId="3" fontId="18" fillId="3" borderId="45" xfId="0" applyNumberFormat="1" applyFont="1" applyFill="1" applyBorder="1" applyAlignment="1">
      <alignment horizontal="center"/>
    </xf>
    <xf numFmtId="0" fontId="5" fillId="4" borderId="43" xfId="0" applyFont="1" applyFill="1" applyBorder="1" applyAlignment="1">
      <alignment horizontal="center"/>
    </xf>
    <xf numFmtId="3" fontId="18" fillId="4" borderId="44" xfId="0" applyNumberFormat="1" applyFont="1" applyFill="1" applyBorder="1" applyAlignment="1">
      <alignment horizontal="center"/>
    </xf>
    <xf numFmtId="3" fontId="18" fillId="4" borderId="45" xfId="0" applyNumberFormat="1" applyFont="1" applyFill="1" applyBorder="1" applyAlignment="1">
      <alignment horizontal="center"/>
    </xf>
    <xf numFmtId="0" fontId="5" fillId="4" borderId="46" xfId="0" applyFont="1" applyFill="1" applyBorder="1" applyAlignment="1">
      <alignment horizontal="center"/>
    </xf>
    <xf numFmtId="3" fontId="18" fillId="4" borderId="47" xfId="0" applyNumberFormat="1" applyFont="1" applyFill="1" applyBorder="1" applyAlignment="1">
      <alignment horizontal="center"/>
    </xf>
    <xf numFmtId="3" fontId="18" fillId="4" borderId="48" xfId="0" applyNumberFormat="1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/>
    </xf>
    <xf numFmtId="3" fontId="18" fillId="3" borderId="47" xfId="0" applyNumberFormat="1" applyFont="1" applyFill="1" applyBorder="1" applyAlignment="1">
      <alignment horizontal="center"/>
    </xf>
    <xf numFmtId="3" fontId="18" fillId="3" borderId="48" xfId="0" applyNumberFormat="1" applyFont="1" applyFill="1" applyBorder="1" applyAlignment="1">
      <alignment horizontal="center"/>
    </xf>
    <xf numFmtId="0" fontId="19" fillId="7" borderId="46" xfId="0" applyFont="1" applyFill="1" applyBorder="1" applyAlignment="1">
      <alignment horizontal="center"/>
    </xf>
    <xf numFmtId="3" fontId="20" fillId="7" borderId="47" xfId="0" applyNumberFormat="1" applyFont="1" applyFill="1" applyBorder="1" applyAlignment="1">
      <alignment horizontal="center"/>
    </xf>
    <xf numFmtId="0" fontId="16" fillId="2" borderId="49" xfId="0" applyFont="1" applyFill="1" applyBorder="1" applyAlignment="1">
      <alignment horizontal="center"/>
    </xf>
    <xf numFmtId="0" fontId="16" fillId="2" borderId="50" xfId="0" applyFont="1" applyFill="1" applyBorder="1" applyAlignment="1">
      <alignment horizontal="center"/>
    </xf>
    <xf numFmtId="0" fontId="5" fillId="3" borderId="51" xfId="0" applyFont="1" applyFill="1" applyBorder="1" applyAlignment="1">
      <alignment horizontal="center"/>
    </xf>
    <xf numFmtId="0" fontId="5" fillId="4" borderId="51" xfId="0" applyFont="1" applyFill="1" applyBorder="1" applyAlignment="1">
      <alignment horizontal="center"/>
    </xf>
    <xf numFmtId="0" fontId="5" fillId="3" borderId="52" xfId="0" applyFont="1" applyFill="1" applyBorder="1" applyAlignment="1">
      <alignment horizontal="center"/>
    </xf>
    <xf numFmtId="0" fontId="21" fillId="0" borderId="53" xfId="0" applyFont="1" applyBorder="1" applyAlignment="1">
      <alignment horizontal="center"/>
    </xf>
    <xf numFmtId="3" fontId="21" fillId="0" borderId="53" xfId="0" applyNumberFormat="1" applyFont="1" applyBorder="1" applyAlignment="1">
      <alignment horizontal="center"/>
    </xf>
    <xf numFmtId="0" fontId="22" fillId="0" borderId="0" xfId="0" applyFont="1"/>
    <xf numFmtId="0" fontId="16" fillId="2" borderId="54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3" fontId="18" fillId="3" borderId="42" xfId="0" applyNumberFormat="1" applyFont="1" applyFill="1" applyBorder="1" applyAlignment="1">
      <alignment horizontal="center"/>
    </xf>
    <xf numFmtId="0" fontId="16" fillId="2" borderId="55" xfId="0" applyFont="1" applyFill="1" applyBorder="1" applyAlignment="1">
      <alignment horizontal="center"/>
    </xf>
    <xf numFmtId="0" fontId="5" fillId="4" borderId="56" xfId="0" applyFont="1" applyFill="1" applyBorder="1" applyAlignment="1">
      <alignment horizontal="center"/>
    </xf>
    <xf numFmtId="0" fontId="5" fillId="4" borderId="57" xfId="0" applyFont="1" applyFill="1" applyBorder="1" applyAlignment="1">
      <alignment horizontal="center"/>
    </xf>
    <xf numFmtId="0" fontId="5" fillId="3" borderId="56" xfId="0" applyFont="1" applyFill="1" applyBorder="1" applyAlignment="1">
      <alignment horizontal="center"/>
    </xf>
    <xf numFmtId="0" fontId="5" fillId="3" borderId="57" xfId="0" applyFont="1" applyFill="1" applyBorder="1" applyAlignment="1">
      <alignment horizontal="center"/>
    </xf>
    <xf numFmtId="0" fontId="16" fillId="2" borderId="58" xfId="0" applyFont="1" applyFill="1" applyBorder="1" applyAlignment="1">
      <alignment horizontal="center"/>
    </xf>
    <xf numFmtId="17" fontId="15" fillId="8" borderId="25" xfId="0" applyNumberFormat="1" applyFont="1" applyFill="1" applyBorder="1" applyAlignment="1">
      <alignment horizontal="center"/>
    </xf>
    <xf numFmtId="164" fontId="15" fillId="8" borderId="26" xfId="0" applyNumberFormat="1" applyFont="1" applyFill="1" applyBorder="1" applyAlignment="1">
      <alignment horizontal="center"/>
    </xf>
    <xf numFmtId="3" fontId="15" fillId="8" borderId="26" xfId="0" applyNumberFormat="1" applyFont="1" applyFill="1" applyBorder="1" applyAlignment="1">
      <alignment horizontal="center"/>
    </xf>
    <xf numFmtId="3" fontId="15" fillId="8" borderId="27" xfId="0" applyNumberFormat="1" applyFont="1" applyFill="1" applyBorder="1" applyAlignment="1">
      <alignment horizontal="center"/>
    </xf>
    <xf numFmtId="17" fontId="15" fillId="0" borderId="25" xfId="0" applyNumberFormat="1" applyFont="1" applyBorder="1" applyAlignment="1">
      <alignment horizontal="center"/>
    </xf>
    <xf numFmtId="164" fontId="15" fillId="0" borderId="26" xfId="0" applyNumberFormat="1" applyFont="1" applyBorder="1" applyAlignment="1">
      <alignment horizontal="center"/>
    </xf>
    <xf numFmtId="3" fontId="15" fillId="0" borderId="27" xfId="0" applyNumberFormat="1" applyFont="1" applyBorder="1" applyAlignment="1">
      <alignment horizontal="center"/>
    </xf>
    <xf numFmtId="17" fontId="15" fillId="8" borderId="22" xfId="0" applyNumberFormat="1" applyFont="1" applyFill="1" applyBorder="1" applyAlignment="1">
      <alignment horizontal="center"/>
    </xf>
    <xf numFmtId="164" fontId="15" fillId="8" borderId="23" xfId="0" applyNumberFormat="1" applyFont="1" applyFill="1" applyBorder="1" applyAlignment="1">
      <alignment horizontal="center"/>
    </xf>
    <xf numFmtId="3" fontId="15" fillId="8" borderId="23" xfId="0" applyNumberFormat="1" applyFont="1" applyFill="1" applyBorder="1" applyAlignment="1">
      <alignment horizontal="center"/>
    </xf>
    <xf numFmtId="3" fontId="15" fillId="8" borderId="24" xfId="0" applyNumberFormat="1" applyFont="1" applyFill="1" applyBorder="1" applyAlignment="1">
      <alignment horizontal="center"/>
    </xf>
    <xf numFmtId="0" fontId="4" fillId="4" borderId="59" xfId="0" applyFont="1" applyFill="1" applyBorder="1"/>
    <xf numFmtId="0" fontId="4" fillId="4" borderId="60" xfId="0" applyFont="1" applyFill="1" applyBorder="1" applyAlignment="1">
      <alignment horizontal="center"/>
    </xf>
    <xf numFmtId="0" fontId="4" fillId="4" borderId="60" xfId="0" applyFont="1" applyFill="1" applyBorder="1"/>
    <xf numFmtId="164" fontId="4" fillId="4" borderId="60" xfId="0" applyNumberFormat="1" applyFont="1" applyFill="1" applyBorder="1"/>
    <xf numFmtId="1" fontId="4" fillId="4" borderId="60" xfId="0" applyNumberFormat="1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/>
    </xf>
    <xf numFmtId="0" fontId="23" fillId="0" borderId="0" xfId="0" applyFont="1"/>
    <xf numFmtId="0" fontId="24" fillId="9" borderId="0" xfId="0" applyFont="1" applyFill="1" applyAlignment="1">
      <alignment vertical="center"/>
    </xf>
    <xf numFmtId="0" fontId="24" fillId="9" borderId="0" xfId="0" applyFont="1" applyFill="1" applyAlignment="1">
      <alignment horizontal="center" vertical="center"/>
    </xf>
    <xf numFmtId="167" fontId="25" fillId="0" borderId="0" xfId="0" applyNumberFormat="1" applyFont="1" applyAlignment="1">
      <alignment horizontal="left" vertical="center"/>
    </xf>
    <xf numFmtId="168" fontId="23" fillId="0" borderId="0" xfId="0" applyNumberFormat="1" applyFont="1"/>
    <xf numFmtId="0" fontId="26" fillId="3" borderId="0" xfId="0" applyFont="1" applyFill="1" applyAlignment="1">
      <alignment vertical="center"/>
    </xf>
    <xf numFmtId="169" fontId="26" fillId="3" borderId="0" xfId="0" applyNumberFormat="1" applyFont="1" applyFill="1" applyAlignment="1">
      <alignment horizontal="center" vertical="center"/>
    </xf>
    <xf numFmtId="169" fontId="27" fillId="3" borderId="0" xfId="0" applyNumberFormat="1" applyFont="1" applyFill="1" applyAlignment="1">
      <alignment horizontal="center" vertical="center"/>
    </xf>
    <xf numFmtId="0" fontId="28" fillId="3" borderId="0" xfId="0" applyFont="1" applyFill="1" applyAlignment="1">
      <alignment vertical="center"/>
    </xf>
    <xf numFmtId="1" fontId="29" fillId="3" borderId="0" xfId="0" applyNumberFormat="1" applyFont="1" applyFill="1" applyAlignment="1">
      <alignment horizontal="center" vertical="center"/>
    </xf>
    <xf numFmtId="168" fontId="29" fillId="3" borderId="0" xfId="0" applyNumberFormat="1" applyFont="1" applyFill="1" applyAlignment="1">
      <alignment horizontal="center" vertical="center"/>
    </xf>
    <xf numFmtId="0" fontId="30" fillId="10" borderId="0" xfId="3" applyFont="1" applyFill="1" applyAlignment="1">
      <alignment horizontal="left" vertical="center"/>
    </xf>
    <xf numFmtId="0" fontId="31" fillId="10" borderId="0" xfId="3" applyFont="1" applyFill="1" applyAlignment="1">
      <alignment horizontal="center"/>
    </xf>
    <xf numFmtId="0" fontId="31" fillId="10" borderId="0" xfId="3" applyFont="1" applyFill="1" applyAlignment="1">
      <alignment horizontal="left"/>
    </xf>
    <xf numFmtId="9" fontId="31" fillId="10" borderId="0" xfId="2" applyFont="1" applyFill="1" applyAlignment="1">
      <alignment horizontal="left"/>
    </xf>
    <xf numFmtId="0" fontId="33" fillId="0" borderId="0" xfId="0" applyFont="1"/>
    <xf numFmtId="171" fontId="23" fillId="0" borderId="0" xfId="1" applyNumberFormat="1" applyFont="1"/>
    <xf numFmtId="0" fontId="28" fillId="3" borderId="62" xfId="3" applyFont="1" applyFill="1" applyBorder="1" applyAlignment="1">
      <alignment vertical="center"/>
    </xf>
    <xf numFmtId="0" fontId="28" fillId="3" borderId="62" xfId="3" applyFont="1" applyFill="1" applyBorder="1" applyAlignment="1">
      <alignment horizontal="center" vertical="center"/>
    </xf>
    <xf numFmtId="172" fontId="33" fillId="3" borderId="62" xfId="3" applyNumberFormat="1" applyFont="1" applyFill="1" applyBorder="1" applyAlignment="1">
      <alignment horizontal="center" vertical="center"/>
    </xf>
    <xf numFmtId="3" fontId="26" fillId="3" borderId="62" xfId="3" applyNumberFormat="1" applyFont="1" applyFill="1" applyBorder="1" applyAlignment="1">
      <alignment horizontal="center" vertical="center"/>
    </xf>
    <xf numFmtId="0" fontId="23" fillId="0" borderId="53" xfId="0" applyFont="1" applyBorder="1"/>
    <xf numFmtId="0" fontId="23" fillId="0" borderId="53" xfId="0" applyFont="1" applyBorder="1" applyAlignment="1">
      <alignment horizontal="center"/>
    </xf>
    <xf numFmtId="0" fontId="33" fillId="0" borderId="53" xfId="0" applyFont="1" applyBorder="1"/>
    <xf numFmtId="173" fontId="34" fillId="0" borderId="0" xfId="0" applyNumberFormat="1" applyFont="1" applyAlignment="1">
      <alignment horizontal="center"/>
    </xf>
    <xf numFmtId="173" fontId="35" fillId="0" borderId="0" xfId="0" applyNumberFormat="1" applyFont="1" applyAlignment="1">
      <alignment horizontal="center"/>
    </xf>
    <xf numFmtId="3" fontId="3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63" xfId="0" applyFont="1" applyBorder="1"/>
    <xf numFmtId="0" fontId="23" fillId="0" borderId="63" xfId="0" applyFont="1" applyBorder="1" applyAlignment="1">
      <alignment horizontal="center"/>
    </xf>
    <xf numFmtId="0" fontId="33" fillId="0" borderId="63" xfId="0" applyFont="1" applyBorder="1"/>
    <xf numFmtId="173" fontId="34" fillId="0" borderId="63" xfId="0" applyNumberFormat="1" applyFont="1" applyBorder="1" applyAlignment="1">
      <alignment horizontal="center"/>
    </xf>
    <xf numFmtId="173" fontId="35" fillId="0" borderId="63" xfId="0" applyNumberFormat="1" applyFont="1" applyBorder="1" applyAlignment="1">
      <alignment horizontal="center"/>
    </xf>
    <xf numFmtId="173" fontId="35" fillId="11" borderId="63" xfId="0" applyNumberFormat="1" applyFont="1" applyFill="1" applyBorder="1" applyAlignment="1">
      <alignment horizontal="center"/>
    </xf>
    <xf numFmtId="3" fontId="36" fillId="0" borderId="63" xfId="3" applyNumberFormat="1" applyFont="1" applyBorder="1" applyAlignment="1">
      <alignment horizontal="center" vertical="center"/>
    </xf>
    <xf numFmtId="1" fontId="36" fillId="0" borderId="63" xfId="3" applyNumberFormat="1" applyFont="1" applyBorder="1" applyAlignment="1">
      <alignment horizontal="center" vertical="center"/>
    </xf>
    <xf numFmtId="9" fontId="26" fillId="3" borderId="62" xfId="2" applyFont="1" applyFill="1" applyBorder="1" applyAlignment="1">
      <alignment horizontal="center" vertical="center"/>
    </xf>
    <xf numFmtId="166" fontId="23" fillId="0" borderId="53" xfId="2" applyNumberFormat="1" applyFont="1" applyBorder="1" applyAlignment="1">
      <alignment horizontal="center"/>
    </xf>
    <xf numFmtId="166" fontId="34" fillId="0" borderId="53" xfId="2" applyNumberFormat="1" applyFont="1" applyBorder="1" applyAlignment="1">
      <alignment horizontal="center"/>
    </xf>
    <xf numFmtId="166" fontId="23" fillId="0" borderId="0" xfId="2" applyNumberFormat="1" applyFont="1" applyAlignment="1">
      <alignment horizontal="center"/>
    </xf>
    <xf numFmtId="166" fontId="34" fillId="0" borderId="0" xfId="2" applyNumberFormat="1" applyFont="1" applyAlignment="1">
      <alignment horizontal="center"/>
    </xf>
    <xf numFmtId="166" fontId="23" fillId="0" borderId="63" xfId="2" applyNumberFormat="1" applyFont="1" applyBorder="1" applyAlignment="1">
      <alignment horizontal="center"/>
    </xf>
    <xf numFmtId="166" fontId="34" fillId="0" borderId="63" xfId="2" applyNumberFormat="1" applyFont="1" applyBorder="1" applyAlignment="1">
      <alignment horizontal="center"/>
    </xf>
    <xf numFmtId="1" fontId="26" fillId="0" borderId="62" xfId="3" applyNumberFormat="1" applyFont="1" applyBorder="1" applyAlignment="1">
      <alignment horizontal="center" vertical="center"/>
    </xf>
    <xf numFmtId="1" fontId="26" fillId="3" borderId="62" xfId="3" applyNumberFormat="1" applyFont="1" applyFill="1" applyBorder="1" applyAlignment="1">
      <alignment horizontal="center" vertical="center"/>
    </xf>
    <xf numFmtId="1" fontId="36" fillId="0" borderId="0" xfId="3" applyNumberFormat="1" applyFont="1" applyAlignment="1">
      <alignment horizontal="center" vertical="center"/>
    </xf>
    <xf numFmtId="174" fontId="37" fillId="0" borderId="0" xfId="3" applyNumberFormat="1" applyFont="1" applyAlignment="1">
      <alignment horizontal="center" vertical="center"/>
    </xf>
    <xf numFmtId="173" fontId="36" fillId="0" borderId="0" xfId="0" applyNumberFormat="1" applyFont="1" applyAlignment="1">
      <alignment horizontal="center"/>
    </xf>
    <xf numFmtId="173" fontId="36" fillId="0" borderId="63" xfId="0" applyNumberFormat="1" applyFont="1" applyBorder="1" applyAlignment="1">
      <alignment horizontal="center"/>
    </xf>
    <xf numFmtId="175" fontId="36" fillId="0" borderId="0" xfId="3" applyNumberFormat="1" applyFont="1" applyAlignment="1">
      <alignment horizontal="center" vertical="center"/>
    </xf>
    <xf numFmtId="175" fontId="26" fillId="12" borderId="62" xfId="3" applyNumberFormat="1" applyFont="1" applyFill="1" applyBorder="1" applyAlignment="1">
      <alignment horizontal="center" vertical="center"/>
    </xf>
    <xf numFmtId="175" fontId="36" fillId="12" borderId="53" xfId="3" applyNumberFormat="1" applyFont="1" applyFill="1" applyBorder="1" applyAlignment="1">
      <alignment horizontal="center" vertical="center"/>
    </xf>
    <xf numFmtId="1" fontId="36" fillId="0" borderId="53" xfId="3" applyNumberFormat="1" applyFont="1" applyBorder="1" applyAlignment="1">
      <alignment horizontal="center" vertical="center"/>
    </xf>
    <xf numFmtId="175" fontId="36" fillId="12" borderId="0" xfId="3" applyNumberFormat="1" applyFont="1" applyFill="1" applyAlignment="1">
      <alignment horizontal="center" vertical="center"/>
    </xf>
    <xf numFmtId="175" fontId="36" fillId="12" borderId="63" xfId="3" applyNumberFormat="1" applyFont="1" applyFill="1" applyBorder="1" applyAlignment="1">
      <alignment horizontal="center" vertical="center"/>
    </xf>
    <xf numFmtId="175" fontId="28" fillId="12" borderId="62" xfId="3" applyNumberFormat="1" applyFont="1" applyFill="1" applyBorder="1" applyAlignment="1">
      <alignment horizontal="center" vertical="center"/>
    </xf>
    <xf numFmtId="176" fontId="23" fillId="0" borderId="0" xfId="0" applyNumberFormat="1" applyFont="1"/>
    <xf numFmtId="9" fontId="28" fillId="12" borderId="62" xfId="2" applyFont="1" applyFill="1" applyBorder="1" applyAlignment="1">
      <alignment horizontal="center" vertical="center"/>
    </xf>
    <xf numFmtId="9" fontId="28" fillId="3" borderId="62" xfId="2" applyFont="1" applyFill="1" applyBorder="1" applyAlignment="1">
      <alignment horizontal="center" vertical="center"/>
    </xf>
    <xf numFmtId="9" fontId="34" fillId="12" borderId="53" xfId="2" applyFont="1" applyFill="1" applyBorder="1" applyAlignment="1">
      <alignment horizontal="center" vertical="center"/>
    </xf>
    <xf numFmtId="9" fontId="34" fillId="0" borderId="53" xfId="2" applyFont="1" applyBorder="1" applyAlignment="1">
      <alignment horizontal="center" vertical="center"/>
    </xf>
    <xf numFmtId="9" fontId="34" fillId="12" borderId="0" xfId="2" applyFont="1" applyFill="1" applyAlignment="1">
      <alignment horizontal="center" vertical="center"/>
    </xf>
    <xf numFmtId="9" fontId="34" fillId="0" borderId="0" xfId="2" applyFont="1" applyAlignment="1">
      <alignment horizontal="center" vertical="center"/>
    </xf>
    <xf numFmtId="9" fontId="34" fillId="12" borderId="63" xfId="2" applyFont="1" applyFill="1" applyBorder="1" applyAlignment="1">
      <alignment horizontal="center" vertical="center"/>
    </xf>
    <xf numFmtId="9" fontId="34" fillId="0" borderId="63" xfId="2" applyFont="1" applyBorder="1" applyAlignment="1">
      <alignment horizontal="center" vertical="center"/>
    </xf>
    <xf numFmtId="0" fontId="41" fillId="13" borderId="64" xfId="0" applyFont="1" applyFill="1" applyBorder="1" applyAlignment="1">
      <alignment horizontal="center" vertical="center"/>
    </xf>
    <xf numFmtId="0" fontId="42" fillId="4" borderId="64" xfId="0" applyFont="1" applyFill="1" applyBorder="1" applyAlignment="1">
      <alignment horizontal="center" vertical="center"/>
    </xf>
    <xf numFmtId="3" fontId="43" fillId="4" borderId="64" xfId="0" applyNumberFormat="1" applyFont="1" applyFill="1" applyBorder="1" applyAlignment="1">
      <alignment horizontal="center" vertical="center"/>
    </xf>
    <xf numFmtId="166" fontId="43" fillId="4" borderId="64" xfId="0" applyNumberFormat="1" applyFont="1" applyFill="1" applyBorder="1" applyAlignment="1">
      <alignment horizontal="center" vertical="center"/>
    </xf>
    <xf numFmtId="0" fontId="42" fillId="14" borderId="64" xfId="0" applyFont="1" applyFill="1" applyBorder="1" applyAlignment="1">
      <alignment horizontal="center" vertical="center"/>
    </xf>
    <xf numFmtId="3" fontId="43" fillId="14" borderId="64" xfId="0" applyNumberFormat="1" applyFont="1" applyFill="1" applyBorder="1" applyAlignment="1">
      <alignment horizontal="center" vertical="center"/>
    </xf>
    <xf numFmtId="166" fontId="43" fillId="14" borderId="64" xfId="0" applyNumberFormat="1" applyFont="1" applyFill="1" applyBorder="1" applyAlignment="1">
      <alignment horizontal="center" vertical="center"/>
    </xf>
    <xf numFmtId="0" fontId="44" fillId="15" borderId="65" xfId="0" applyFont="1" applyFill="1" applyBorder="1" applyAlignment="1">
      <alignment horizontal="center" vertical="center"/>
    </xf>
    <xf numFmtId="3" fontId="44" fillId="15" borderId="65" xfId="0" applyNumberFormat="1" applyFont="1" applyFill="1" applyBorder="1" applyAlignment="1">
      <alignment horizontal="center" vertical="center"/>
    </xf>
    <xf numFmtId="166" fontId="44" fillId="15" borderId="65" xfId="0" applyNumberFormat="1" applyFont="1" applyFill="1" applyBorder="1" applyAlignment="1">
      <alignment horizontal="center" vertical="center"/>
    </xf>
    <xf numFmtId="0" fontId="46" fillId="16" borderId="64" xfId="0" applyFont="1" applyFill="1" applyBorder="1" applyAlignment="1">
      <alignment horizontal="center" vertical="center"/>
    </xf>
    <xf numFmtId="0" fontId="47" fillId="10" borderId="64" xfId="0" applyFont="1" applyFill="1" applyBorder="1" applyAlignment="1">
      <alignment horizontal="center" vertical="center"/>
    </xf>
    <xf numFmtId="0" fontId="48" fillId="15" borderId="64" xfId="0" applyFont="1" applyFill="1" applyBorder="1" applyAlignment="1">
      <alignment horizontal="center" vertical="center"/>
    </xf>
    <xf numFmtId="3" fontId="49" fillId="14" borderId="64" xfId="0" applyNumberFormat="1" applyFont="1" applyFill="1" applyBorder="1" applyAlignment="1">
      <alignment horizontal="center" vertical="center"/>
    </xf>
    <xf numFmtId="3" fontId="50" fillId="16" borderId="64" xfId="0" applyNumberFormat="1" applyFont="1" applyFill="1" applyBorder="1" applyAlignment="1">
      <alignment horizontal="center" vertical="center"/>
    </xf>
    <xf numFmtId="9" fontId="51" fillId="4" borderId="64" xfId="0" applyNumberFormat="1" applyFont="1" applyFill="1" applyBorder="1" applyAlignment="1">
      <alignment horizontal="center" vertical="center"/>
    </xf>
    <xf numFmtId="9" fontId="51" fillId="14" borderId="64" xfId="0" applyNumberFormat="1" applyFont="1" applyFill="1" applyBorder="1" applyAlignment="1">
      <alignment horizontal="center" vertical="center"/>
    </xf>
    <xf numFmtId="0" fontId="47" fillId="13" borderId="64" xfId="0" applyFont="1" applyFill="1" applyBorder="1" applyAlignment="1">
      <alignment horizontal="center" vertical="center"/>
    </xf>
    <xf numFmtId="0" fontId="0" fillId="0" borderId="64" xfId="0" applyBorder="1"/>
    <xf numFmtId="166" fontId="52" fillId="0" borderId="64" xfId="0" applyNumberFormat="1" applyFont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1" fillId="6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4" fillId="4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5" fillId="0" borderId="0" xfId="0" applyFont="1"/>
    <xf numFmtId="0" fontId="40" fillId="0" borderId="0" xfId="0" applyFont="1"/>
  </cellXfs>
  <cellStyles count="5">
    <cellStyle name="Millares" xfId="1" builtinId="3"/>
    <cellStyle name="Normal" xfId="0" builtinId="0"/>
    <cellStyle name="Normal 2" xfId="3" xr:uid="{00000000-0005-0000-0000-000006000000}"/>
    <cellStyle name="Normal 5" xfId="4" xr:uid="{00000000-0005-0000-0000-000007000000}"/>
    <cellStyle name="Porcentaje" xfId="2" builtinId="5"/>
  </cellStyles>
  <dxfs count="1">
    <dxf>
      <font>
        <color rgb="FF007A33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B050"/>
      <rgbColor rgb="FF0000FF"/>
      <rgbColor rgb="FFEEEEEE"/>
      <rgbColor rgb="1AF2F2F2"/>
      <rgbColor rgb="FF11ABAB"/>
      <rgbColor rgb="FF800000"/>
      <rgbColor rgb="FF007A33"/>
      <rgbColor rgb="FF08597D"/>
      <rgbColor rgb="FF595959"/>
      <rgbColor rgb="FFAC53A0"/>
      <rgbColor rgb="FF007CA8"/>
      <rgbColor rgb="FFD9D9D9"/>
      <rgbColor rgb="FF888888"/>
      <rgbColor rgb="FFA6A6A6"/>
      <rgbColor rgb="FFA02B93"/>
      <rgbColor rgb="FFF2FAFA"/>
      <rgbColor rgb="FFC6F0FF"/>
      <rgbColor rgb="FF196B24"/>
      <rgbColor rgb="FFED825A"/>
      <rgbColor rgb="FF0070C0"/>
      <rgbColor rgb="FFD4D4D4"/>
      <rgbColor rgb="FF1F5556"/>
      <rgbColor rgb="FFEAF7FD"/>
      <rgbColor rgb="8AF2F2F2"/>
      <rgbColor rgb="FF0F9ED5"/>
      <rgbColor rgb="FF800080"/>
      <rgbColor rgb="FF800000"/>
      <rgbColor rgb="FF156082"/>
      <rgbColor rgb="FF0000FF"/>
      <rgbColor rgb="FF00AEE8"/>
      <rgbColor rgb="FFE8F5F5"/>
      <rgbColor rgb="FFD9F2D0"/>
      <rgbColor rgb="FFF2F2F2"/>
      <rgbColor rgb="FFC6EFCE"/>
      <rgbColor rgb="FFEA9999"/>
      <rgbColor rgb="FF8B8B8B"/>
      <rgbColor rgb="FFDDDDDD"/>
      <rgbColor rgb="FF0091CA"/>
      <rgbColor rgb="FF46B1E1"/>
      <rgbColor rgb="FF4EA9DA"/>
      <rgbColor rgb="FFE0E0E0"/>
      <rgbColor rgb="FFE97132"/>
      <rgbColor rgb="FFDF5F1B"/>
      <rgbColor rgb="FF4D7491"/>
      <rgbColor rgb="FF999999"/>
      <rgbColor rgb="FF1B365D"/>
      <rgbColor rgb="FF4E7E51"/>
      <rgbColor rgb="FF0E661A"/>
      <rgbColor rgb="FF404040"/>
      <rgbColor rgb="FFC65911"/>
      <rgbColor rgb="FF981B8A"/>
      <rgbColor rgb="FF1F497D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Proporción Hombres vs Mujeres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'recuperación efectiva'!$Q$4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19080">
                <a:solidFill>
                  <a:schemeClr val="lt1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102-4799-8966-21D688600D20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80">
                <a:solidFill>
                  <a:schemeClr val="lt1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102-4799-8966-21D688600D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02-4799-8966-21D688600D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02-4799-8966-21D688600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efectiva'!$P$5:$P$6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'recuperación efectiva'!$Q$5:$Q$6</c:f>
              <c:numCache>
                <c:formatCode>#,##0</c:formatCode>
                <c:ptCount val="2"/>
                <c:pt idx="0">
                  <c:v>958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02-4799-8966-21D688600D20}"/>
            </c:ext>
          </c:extLst>
        </c:ser>
        <c:ser>
          <c:idx val="1"/>
          <c:order val="1"/>
          <c:tx>
            <c:strRef>
              <c:f>'recuperación efectiva'!$R$4</c:f>
              <c:strCache>
                <c:ptCount val="1"/>
                <c:pt idx="0">
                  <c:v>Avg. Meses transcurridos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19080">
                <a:solidFill>
                  <a:schemeClr val="lt1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6-F102-4799-8966-21D688600D20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80">
                <a:solidFill>
                  <a:schemeClr val="lt1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8-F102-4799-8966-21D688600D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02-4799-8966-21D688600D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102-4799-8966-21D688600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efectiva'!$P$5:$P$6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'recuperación efectiva'!$R$5:$R$6</c:f>
              <c:numCache>
                <c:formatCode>#,##0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02-4799-8966-21D688600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Recuperados por Plataforma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00AEE8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B6F-4448-8F16-C76EBB2868A8}"/>
              </c:ext>
            </c:extLst>
          </c:dPt>
          <c:dPt>
            <c:idx val="1"/>
            <c:bubble3D val="0"/>
            <c:spPr>
              <a:solidFill>
                <a:srgbClr val="007CA8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B6F-4448-8F16-C76EBB2868A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1F497D"/>
                      </a:solidFill>
                      <a:uFillTx/>
                      <a:latin typeface="Century Gothic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6F-4448-8F16-C76EBB2868A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u="none" strike="noStrike">
                      <a:solidFill>
                        <a:srgbClr val="1F497D"/>
                      </a:solidFill>
                      <a:uFillTx/>
                      <a:latin typeface="Century Gothic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6F-4448-8F16-C76EBB2868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none" strike="noStrike">
                    <a:solidFill>
                      <a:srgbClr val="1F497D"/>
                    </a:solidFill>
                    <a:uFillTx/>
                    <a:latin typeface="Century Gothic"/>
                    <a:ea typeface="Century Gothic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'Perfil Recuperados'!$B$10:$B$11</c:f>
              <c:strCache>
                <c:ptCount val="2"/>
                <c:pt idx="0">
                  <c:v>UBER</c:v>
                </c:pt>
                <c:pt idx="1">
                  <c:v>DIDI</c:v>
                </c:pt>
              </c:strCache>
            </c:strRef>
          </c:cat>
          <c:val>
            <c:numRef>
              <c:f>'Perfil Recuperados'!$C$10:$C$11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F-4448-8F16-C76EBB286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entury Gothic"/>
              <a:ea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Recuperados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00AEE8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DCF-4457-B3FB-BBDAFFB67D97}"/>
              </c:ext>
            </c:extLst>
          </c:dPt>
          <c:dPt>
            <c:idx val="1"/>
            <c:bubble3D val="0"/>
            <c:spPr>
              <a:solidFill>
                <a:srgbClr val="007CA8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DCF-4457-B3FB-BBDAFFB67D97}"/>
              </c:ext>
            </c:extLst>
          </c:dPt>
          <c:dPt>
            <c:idx val="2"/>
            <c:bubble3D val="0"/>
            <c:spPr>
              <a:solidFill>
                <a:srgbClr val="1F497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DCF-4457-B3FB-BBDAFFB67D97}"/>
              </c:ext>
            </c:extLst>
          </c:dPt>
          <c:dPt>
            <c:idx val="3"/>
            <c:bubble3D val="0"/>
            <c:spPr>
              <a:solidFill>
                <a:srgbClr val="C6F0FF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DCF-4457-B3FB-BBDAFFB67D97}"/>
              </c:ext>
            </c:extLst>
          </c:dPt>
          <c:dPt>
            <c:idx val="4"/>
            <c:bubble3D val="0"/>
            <c:spPr>
              <a:solidFill>
                <a:srgbClr val="595959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DDCF-4457-B3FB-BBDAFFB67D9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CF-4457-B3FB-BBDAFFB67D9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CF-4457-B3FB-BBDAFFB67D9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bg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CF-4457-B3FB-BBDAFFB67D9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CF-4457-B3FB-BBDAFFB67D9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DCF-4457-B3FB-BBDAFFB67D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'Perfil Recuperados'!$B$20:$B$24</c:f>
              <c:strCache>
                <c:ptCount val="5"/>
                <c:pt idx="0">
                  <c:v>CDMX Y AREA METROPOLITANA</c:v>
                </c:pt>
                <c:pt idx="1">
                  <c:v>BAJA CALIFORNIA</c:v>
                </c:pt>
                <c:pt idx="2">
                  <c:v>NUEVO LEON</c:v>
                </c:pt>
                <c:pt idx="3">
                  <c:v>JALISCO</c:v>
                </c:pt>
                <c:pt idx="4">
                  <c:v>QUERETARO</c:v>
                </c:pt>
              </c:strCache>
            </c:strRef>
          </c:cat>
          <c:val>
            <c:numRef>
              <c:f>'Perfil Recuperados'!$C$20:$C$24</c:f>
              <c:numCache>
                <c:formatCode>#,##0</c:formatCode>
                <c:ptCount val="5"/>
                <c:pt idx="0">
                  <c:v>727</c:v>
                </c:pt>
                <c:pt idx="1">
                  <c:v>118</c:v>
                </c:pt>
                <c:pt idx="2">
                  <c:v>75</c:v>
                </c:pt>
                <c:pt idx="3">
                  <c:v>50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CF-4457-B3FB-BBDAFFB67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entury Gothic"/>
              <a:ea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Tiempo promedio por Año de Cosecha (meses)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Meses prom.</c:v>
          </c:tx>
          <c:spPr>
            <a:solidFill>
              <a:srgbClr val="00AEE8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'Perfil Recuperados'!$B$28:$B$32</c:f>
              <c:numCache>
                <c:formatCode>0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'Perfil Recuperados'!$E$28:$E$32</c:f>
              <c:numCache>
                <c:formatCode>0.0</c:formatCode>
                <c:ptCount val="5"/>
                <c:pt idx="0">
                  <c:v>31.5</c:v>
                </c:pt>
                <c:pt idx="1">
                  <c:v>23.708333333333332</c:v>
                </c:pt>
                <c:pt idx="2">
                  <c:v>11.930313588850174</c:v>
                </c:pt>
                <c:pt idx="3">
                  <c:v>5.9101307189542487</c:v>
                </c:pt>
                <c:pt idx="4">
                  <c:v>2.3157894736842106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9-4267-AB59-0FC6147E8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319"/>
        <c:axId val="53070774"/>
      </c:barChart>
      <c:catAx>
        <c:axId val="96890319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53070774"/>
        <c:crosses val="autoZero"/>
        <c:auto val="1"/>
        <c:lblAlgn val="ctr"/>
        <c:lblOffset val="100"/>
        <c:noMultiLvlLbl val="0"/>
      </c:catAx>
      <c:valAx>
        <c:axId val="5307077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968903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Top Modelos Recuperados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AEE8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'Perfil Recuperados'!$B$36:$B$39</c:f>
              <c:strCache>
                <c:ptCount val="4"/>
                <c:pt idx="0">
                  <c:v>CHEVROLET AVEO</c:v>
                </c:pt>
                <c:pt idx="1">
                  <c:v>BYD D1</c:v>
                </c:pt>
                <c:pt idx="2">
                  <c:v>GAC AION S</c:v>
                </c:pt>
                <c:pt idx="3">
                  <c:v>BYD MINIDOLPHIN</c:v>
                </c:pt>
              </c:strCache>
            </c:strRef>
          </c:cat>
          <c:val>
            <c:numRef>
              <c:f>'Perfil Recuperados'!$C$36:$C$39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C-4359-BBA5-8F29C4A82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4398"/>
        <c:axId val="48684871"/>
      </c:barChart>
      <c:catAx>
        <c:axId val="458439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48684871"/>
        <c:crosses val="autoZero"/>
        <c:auto val="1"/>
        <c:lblAlgn val="ctr"/>
        <c:lblOffset val="100"/>
        <c:noMultiLvlLbl val="0"/>
      </c:catAx>
      <c:valAx>
        <c:axId val="48684871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45843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Tiempo promedio por Modelo (meses) — Top 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Meses prom.</c:v>
          </c:tx>
          <c:spPr>
            <a:solidFill>
              <a:srgbClr val="00AEE8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'Perfil Recuperados'!$B$36:$B$41</c:f>
              <c:strCache>
                <c:ptCount val="6"/>
                <c:pt idx="0">
                  <c:v>CHEVROLET AVEO</c:v>
                </c:pt>
                <c:pt idx="1">
                  <c:v>BYD D1</c:v>
                </c:pt>
                <c:pt idx="2">
                  <c:v>GAC AION S</c:v>
                </c:pt>
                <c:pt idx="3">
                  <c:v>BYD MINIDOLPHIN</c:v>
                </c:pt>
                <c:pt idx="4">
                  <c:v>TOYOTA AVANZA</c:v>
                </c:pt>
                <c:pt idx="5">
                  <c:v>BYD E5</c:v>
                </c:pt>
              </c:strCache>
            </c:strRef>
          </c:cat>
          <c:val>
            <c:numRef>
              <c:f>'Perfil Recuperados'!$E$36:$E$41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E-4F87-A8FF-1A2D9935F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83193"/>
        <c:axId val="32797623"/>
      </c:barChart>
      <c:catAx>
        <c:axId val="4158319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32797623"/>
        <c:crosses val="autoZero"/>
        <c:auto val="1"/>
        <c:lblAlgn val="ctr"/>
        <c:lblOffset val="100"/>
        <c:noMultiLvlLbl val="0"/>
      </c:catAx>
      <c:valAx>
        <c:axId val="32797623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415831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'recuperación efectiva'!$Q$4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00AEE8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056-4748-9C5E-466CFF3DF301}"/>
              </c:ext>
            </c:extLst>
          </c:dPt>
          <c:dPt>
            <c:idx val="1"/>
            <c:bubble3D val="0"/>
            <c:spPr>
              <a:solidFill>
                <a:srgbClr val="007CA8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056-4748-9C5E-466CFF3DF30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56-4748-9C5E-466CFF3DF30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56-4748-9C5E-466CFF3DF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efectiva'!$P$5:$P$6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'recuperación efectiva'!$Q$5:$Q$6</c:f>
              <c:numCache>
                <c:formatCode>#,##0</c:formatCode>
                <c:ptCount val="2"/>
                <c:pt idx="0">
                  <c:v>958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56-4748-9C5E-466CFF3DF301}"/>
            </c:ext>
          </c:extLst>
        </c:ser>
        <c:ser>
          <c:idx val="1"/>
          <c:order val="1"/>
          <c:tx>
            <c:strRef>
              <c:f>'recuperación efectiva'!$R$4</c:f>
              <c:strCache>
                <c:ptCount val="1"/>
                <c:pt idx="0">
                  <c:v>Avg. Meses transcurridos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4D7491"/>
                  </a:gs>
                  <a:gs pos="50000">
                    <a:srgbClr val="106286"/>
                  </a:gs>
                  <a:gs pos="100000">
                    <a:srgbClr val="08597D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0056-4748-9C5E-466CFF3DF30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ED825A"/>
                  </a:gs>
                  <a:gs pos="50000">
                    <a:srgbClr val="F16D28"/>
                  </a:gs>
                  <a:gs pos="100000">
                    <a:srgbClr val="DF5F1B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0056-4748-9C5E-466CFF3DF30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56-4748-9C5E-466CFF3DF30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56-4748-9C5E-466CFF3DF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efectiva'!$P$5:$P$6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'recuperación efectiva'!$R$5:$R$6</c:f>
              <c:numCache>
                <c:formatCode>#,##0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56-4748-9C5E-466CFF3DF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entury Gothic"/>
              <a:ea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600">
      <a:solidFill>
        <a:srgbClr val="FFFFFF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0"/>
    <c:plotArea>
      <c:layout/>
      <c:pieChart>
        <c:varyColors val="1"/>
        <c:ser>
          <c:idx val="0"/>
          <c:order val="0"/>
          <c:tx>
            <c:strRef>
              <c:f>'recuperación efectiva'!$Q$16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00AEE8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378-4299-993D-D37DDE6F1D6C}"/>
              </c:ext>
            </c:extLst>
          </c:dPt>
          <c:dPt>
            <c:idx val="1"/>
            <c:bubble3D val="0"/>
            <c:spPr>
              <a:solidFill>
                <a:srgbClr val="007CA8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378-4299-993D-D37DDE6F1D6C}"/>
              </c:ext>
            </c:extLst>
          </c:dPt>
          <c:dPt>
            <c:idx val="2"/>
            <c:bubble3D val="0"/>
            <c:spPr>
              <a:solidFill>
                <a:srgbClr val="1F497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378-4299-993D-D37DDE6F1D6C}"/>
              </c:ext>
            </c:extLst>
          </c:dPt>
          <c:dPt>
            <c:idx val="3"/>
            <c:bubble3D val="0"/>
            <c:spPr>
              <a:solidFill>
                <a:srgbClr val="C6F0F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378-4299-993D-D37DDE6F1D6C}"/>
              </c:ext>
            </c:extLst>
          </c:dPt>
          <c:dPt>
            <c:idx val="4"/>
            <c:bubble3D val="0"/>
            <c:spPr>
              <a:solidFill>
                <a:srgbClr val="595959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378-4299-993D-D37DDE6F1D6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78-4299-993D-D37DDE6F1D6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78-4299-993D-D37DDE6F1D6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78-4299-993D-D37DDE6F1D6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78-4299-993D-D37DDE6F1D6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78-4299-993D-D37DDE6F1D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efectiva'!$P$17:$P$21</c:f>
              <c:strCache>
                <c:ptCount val="5"/>
                <c:pt idx="0">
                  <c:v>QUERETARO</c:v>
                </c:pt>
                <c:pt idx="1">
                  <c:v>JALISCO</c:v>
                </c:pt>
                <c:pt idx="2">
                  <c:v>BAJA CALIFORNIA</c:v>
                </c:pt>
                <c:pt idx="3">
                  <c:v>CDMX Y AREA METROPOLITANA</c:v>
                </c:pt>
                <c:pt idx="4">
                  <c:v>NUEVO LEON</c:v>
                </c:pt>
              </c:strCache>
            </c:strRef>
          </c:cat>
          <c:val>
            <c:numRef>
              <c:f>'recuperación efectiva'!$Q$17:$Q$21</c:f>
              <c:numCache>
                <c:formatCode>#,##0</c:formatCode>
                <c:ptCount val="5"/>
                <c:pt idx="0">
                  <c:v>8</c:v>
                </c:pt>
                <c:pt idx="1">
                  <c:v>50</c:v>
                </c:pt>
                <c:pt idx="2">
                  <c:v>118</c:v>
                </c:pt>
                <c:pt idx="3">
                  <c:v>727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78-4299-993D-D37DDE6F1D6C}"/>
            </c:ext>
          </c:extLst>
        </c:ser>
        <c:ser>
          <c:idx val="1"/>
          <c:order val="1"/>
          <c:tx>
            <c:strRef>
              <c:f>'recuperación efectiva'!$R$16</c:f>
              <c:strCache>
                <c:ptCount val="1"/>
                <c:pt idx="0">
                  <c:v>Avg. Meses transcurridos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4D7491"/>
                  </a:gs>
                  <a:gs pos="50000">
                    <a:srgbClr val="106286"/>
                  </a:gs>
                  <a:gs pos="100000">
                    <a:srgbClr val="08597D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E378-4299-993D-D37DDE6F1D6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ED825A"/>
                  </a:gs>
                  <a:gs pos="50000">
                    <a:srgbClr val="F16D28"/>
                  </a:gs>
                  <a:gs pos="100000">
                    <a:srgbClr val="DF5F1B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E378-4299-993D-D37DDE6F1D6C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4E7E51"/>
                  </a:gs>
                  <a:gs pos="50000">
                    <a:srgbClr val="156E21"/>
                  </a:gs>
                  <a:gs pos="100000">
                    <a:srgbClr val="0E661A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E378-4299-993D-D37DDE6F1D6C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4EA9DA"/>
                  </a:gs>
                  <a:gs pos="50000">
                    <a:srgbClr val="05A1DE"/>
                  </a:gs>
                  <a:gs pos="100000">
                    <a:srgbClr val="0091CA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2-E378-4299-993D-D37DDE6F1D6C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AC53A0"/>
                  </a:gs>
                  <a:gs pos="50000">
                    <a:srgbClr val="A52597"/>
                  </a:gs>
                  <a:gs pos="100000">
                    <a:srgbClr val="981B8A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E378-4299-993D-D37DDE6F1D6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78-4299-993D-D37DDE6F1D6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78-4299-993D-D37DDE6F1D6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78-4299-993D-D37DDE6F1D6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78-4299-993D-D37DDE6F1D6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78-4299-993D-D37DDE6F1D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efectiva'!$P$17:$P$21</c:f>
              <c:strCache>
                <c:ptCount val="5"/>
                <c:pt idx="0">
                  <c:v>QUERETARO</c:v>
                </c:pt>
                <c:pt idx="1">
                  <c:v>JALISCO</c:v>
                </c:pt>
                <c:pt idx="2">
                  <c:v>BAJA CALIFORNIA</c:v>
                </c:pt>
                <c:pt idx="3">
                  <c:v>CDMX Y AREA METROPOLITANA</c:v>
                </c:pt>
                <c:pt idx="4">
                  <c:v>NUEVO LEON</c:v>
                </c:pt>
              </c:strCache>
            </c:strRef>
          </c:cat>
          <c:val>
            <c:numRef>
              <c:f>'recuperación efectiva'!$R$17:$R$21</c:f>
              <c:numCache>
                <c:formatCode>#,##0</c:formatCode>
                <c:ptCount val="5"/>
                <c:pt idx="0">
                  <c:v>26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78-4299-993D-D37DDE6F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entury Gothic"/>
              <a:ea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60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 spc="99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Meses transcurridos por año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'recuperación efectiva'!$S$31</c:f>
              <c:strCache>
                <c:ptCount val="1"/>
                <c:pt idx="0">
                  <c:v>Min. Meses transcurridos</c:v>
                </c:pt>
              </c:strCache>
            </c:strRef>
          </c:tx>
          <c:spPr>
            <a:solidFill>
              <a:srgbClr val="C6F0FF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'recuperación efectiva'!$P$32:$P$37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Promedio</c:v>
                </c:pt>
              </c:strCache>
            </c:strRef>
          </c:cat>
          <c:val>
            <c:numRef>
              <c:f>'recuperación efectiva'!$S$32:$S$37</c:f>
              <c:numCache>
                <c:formatCode>#,##0</c:formatCode>
                <c:ptCount val="6"/>
                <c:pt idx="0">
                  <c:v>26</c:v>
                </c:pt>
                <c:pt idx="1">
                  <c:v>13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1-4163-B022-F409B1A532A0}"/>
            </c:ext>
          </c:extLst>
        </c:ser>
        <c:ser>
          <c:idx val="1"/>
          <c:order val="1"/>
          <c:tx>
            <c:strRef>
              <c:f>'recuperación efectiva'!$Q$31</c:f>
              <c:strCache>
                <c:ptCount val="1"/>
                <c:pt idx="0">
                  <c:v>Avg. Meses transcurridos</c:v>
                </c:pt>
              </c:strCache>
            </c:strRef>
          </c:tx>
          <c:spPr>
            <a:solidFill>
              <a:srgbClr val="00AEE8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'recuperación efectiva'!$P$32:$P$37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Promedio</c:v>
                </c:pt>
              </c:strCache>
            </c:strRef>
          </c:cat>
          <c:val>
            <c:numRef>
              <c:f>'recuperación efectiva'!$Q$32:$Q$37</c:f>
              <c:numCache>
                <c:formatCode>#,##0</c:formatCode>
                <c:ptCount val="6"/>
                <c:pt idx="0">
                  <c:v>32</c:v>
                </c:pt>
                <c:pt idx="1">
                  <c:v>24</c:v>
                </c:pt>
                <c:pt idx="2">
                  <c:v>12</c:v>
                </c:pt>
                <c:pt idx="3">
                  <c:v>6</c:v>
                </c:pt>
                <c:pt idx="4">
                  <c:v>2</c:v>
                </c:pt>
                <c:pt idx="5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1-4163-B022-F409B1A532A0}"/>
            </c:ext>
          </c:extLst>
        </c:ser>
        <c:ser>
          <c:idx val="2"/>
          <c:order val="2"/>
          <c:tx>
            <c:strRef>
              <c:f>'recuperación efectiva'!$R$31</c:f>
              <c:strCache>
                <c:ptCount val="1"/>
                <c:pt idx="0">
                  <c:v>Max. Meses transcurridos</c:v>
                </c:pt>
              </c:strCache>
            </c:strRef>
          </c:tx>
          <c:spPr>
            <a:solidFill>
              <a:srgbClr val="1F497D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u="none" strike="noStrike">
                    <a:solidFill>
                      <a:schemeClr val="tx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'recuperación efectiva'!$P$32:$P$37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Promedio</c:v>
                </c:pt>
              </c:strCache>
            </c:strRef>
          </c:cat>
          <c:val>
            <c:numRef>
              <c:f>'recuperación efectiva'!$R$32:$R$37</c:f>
              <c:numCache>
                <c:formatCode>#,##0</c:formatCode>
                <c:ptCount val="6"/>
                <c:pt idx="0">
                  <c:v>36</c:v>
                </c:pt>
                <c:pt idx="1">
                  <c:v>37</c:v>
                </c:pt>
                <c:pt idx="2">
                  <c:v>27</c:v>
                </c:pt>
                <c:pt idx="3">
                  <c:v>15</c:v>
                </c:pt>
                <c:pt idx="4">
                  <c:v>4</c:v>
                </c:pt>
                <c:pt idx="5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1-4163-B022-F409B1A5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13033"/>
        <c:axId val="10437993"/>
      </c:barChart>
      <c:catAx>
        <c:axId val="757130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chemeClr val="lt1">
                <a:lumMod val="95000"/>
                <a:alpha val="54000"/>
              </a:schemeClr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595959"/>
                </a:solidFill>
                <a:uFillTx/>
                <a:latin typeface="Century Gothic"/>
                <a:ea typeface="Century Gothic"/>
              </a:defRPr>
            </a:pPr>
            <a:endParaRPr lang="en-US"/>
          </a:p>
        </c:txPr>
        <c:crossAx val="10437993"/>
        <c:crosses val="autoZero"/>
        <c:auto val="1"/>
        <c:lblAlgn val="ctr"/>
        <c:lblOffset val="100"/>
        <c:noMultiLvlLbl val="0"/>
      </c:catAx>
      <c:valAx>
        <c:axId val="1043799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57130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entury Gothic"/>
              <a:ea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60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1F497D"/>
                </a:solidFill>
                <a:uFillTx/>
                <a:latin typeface="Century Gothic"/>
                <a:ea typeface="Century Gothic"/>
              </a:rPr>
              <a:t>Recuperados por Plataforma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'recuperación efectiva'!$Q$73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00AEE8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CDC-4CBF-9162-3BFFE1D58738}"/>
              </c:ext>
            </c:extLst>
          </c:dPt>
          <c:dPt>
            <c:idx val="1"/>
            <c:bubble3D val="0"/>
            <c:spPr>
              <a:solidFill>
                <a:srgbClr val="007CA8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CDC-4CBF-9162-3BFFE1D5873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1F497D"/>
                      </a:solidFill>
                      <a:uFillTx/>
                      <a:latin typeface="Century Gothic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C-4CBF-9162-3BFFE1D5873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1F497D"/>
                      </a:solidFill>
                      <a:uFillTx/>
                      <a:latin typeface="Century Gothic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DC-4CBF-9162-3BFFE1D587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1F497D"/>
                    </a:solidFill>
                    <a:uFillTx/>
                    <a:latin typeface="Century Gothic"/>
                    <a:ea typeface="Century Gothic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efectiva'!$P$74:$P$75</c:f>
              <c:strCache>
                <c:ptCount val="2"/>
                <c:pt idx="0">
                  <c:v>UBER</c:v>
                </c:pt>
                <c:pt idx="1">
                  <c:v>DIDI</c:v>
                </c:pt>
              </c:strCache>
            </c:strRef>
          </c:cat>
          <c:val>
            <c:numRef>
              <c:f>'recuperación efectiva'!$Q$74:$Q$75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DC-4CBF-9162-3BFFE1D58738}"/>
            </c:ext>
          </c:extLst>
        </c:ser>
        <c:ser>
          <c:idx val="1"/>
          <c:order val="1"/>
          <c:tx>
            <c:strRef>
              <c:f>'recuperación efectiva'!$R$73</c:f>
              <c:strCache>
                <c:ptCount val="1"/>
                <c:pt idx="0">
                  <c:v>Avg. Meses transcurridos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19080">
                <a:solidFill>
                  <a:schemeClr val="lt1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6-4CDC-4CBF-9162-3BFFE1D58738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80">
                <a:solidFill>
                  <a:schemeClr val="lt1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8-4CDC-4CBF-9162-3BFFE1D5873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DC-4CBF-9162-3BFFE1D5873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DC-4CBF-9162-3BFFE1D587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'recuperación efectiva'!$P$74:$P$75</c:f>
              <c:strCache>
                <c:ptCount val="2"/>
                <c:pt idx="0">
                  <c:v>UBER</c:v>
                </c:pt>
                <c:pt idx="1">
                  <c:v>DIDI</c:v>
                </c:pt>
              </c:strCache>
            </c:strRef>
          </c:cat>
          <c:val>
            <c:numRef>
              <c:f>'recuperación efectiva'!$R$74:$R$75</c:f>
              <c:numCache>
                <c:formatCode>#,##0</c:formatCode>
                <c:ptCount val="2"/>
                <c:pt idx="0">
                  <c:v>10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DC-4CBF-9162-3BFFE1D58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595959"/>
              </a:solidFill>
              <a:uFillTx/>
              <a:latin typeface="Century Gothic"/>
              <a:ea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Originaciones vs. Recuperados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Recuperados</c:v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u="none" strike="noStrike">
                    <a:solidFill>
                      <a:schemeClr val="bg1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'recuperación efectiva'!$P$123:$P$139</c:f>
              <c:strCache>
                <c:ptCount val="17"/>
                <c:pt idx="0">
                  <c:v>01-2025</c:v>
                </c:pt>
                <c:pt idx="1">
                  <c:v>02-2025</c:v>
                </c:pt>
                <c:pt idx="2">
                  <c:v>03-2025</c:v>
                </c:pt>
                <c:pt idx="3">
                  <c:v>04-2025</c:v>
                </c:pt>
                <c:pt idx="4">
                  <c:v>05-2025</c:v>
                </c:pt>
                <c:pt idx="5">
                  <c:v>06-2025</c:v>
                </c:pt>
                <c:pt idx="6">
                  <c:v>07-2025</c:v>
                </c:pt>
                <c:pt idx="7">
                  <c:v>08-2025</c:v>
                </c:pt>
                <c:pt idx="8">
                  <c:v>09-2025</c:v>
                </c:pt>
                <c:pt idx="9">
                  <c:v>10-2025</c:v>
                </c:pt>
                <c:pt idx="10">
                  <c:v>11-2025</c:v>
                </c:pt>
                <c:pt idx="11">
                  <c:v>12-2025</c:v>
                </c:pt>
                <c:pt idx="12">
                  <c:v>01-2026</c:v>
                </c:pt>
                <c:pt idx="13">
                  <c:v>02-2026</c:v>
                </c:pt>
                <c:pt idx="14">
                  <c:v>03-2026</c:v>
                </c:pt>
                <c:pt idx="15">
                  <c:v>04-2026</c:v>
                </c:pt>
                <c:pt idx="16">
                  <c:v>05-2026</c:v>
                </c:pt>
              </c:strCache>
            </c:strRef>
          </c:cat>
          <c:val>
            <c:numRef>
              <c:f>'recuperación efectiva'!$R$123:$R$139</c:f>
              <c:numCache>
                <c:formatCode>#,##0</c:formatCode>
                <c:ptCount val="17"/>
                <c:pt idx="0">
                  <c:v>21</c:v>
                </c:pt>
                <c:pt idx="1">
                  <c:v>9</c:v>
                </c:pt>
                <c:pt idx="2">
                  <c:v>35</c:v>
                </c:pt>
                <c:pt idx="3">
                  <c:v>60</c:v>
                </c:pt>
                <c:pt idx="4">
                  <c:v>24</c:v>
                </c:pt>
                <c:pt idx="5">
                  <c:v>79</c:v>
                </c:pt>
                <c:pt idx="6">
                  <c:v>56</c:v>
                </c:pt>
                <c:pt idx="7">
                  <c:v>54</c:v>
                </c:pt>
                <c:pt idx="8">
                  <c:v>60</c:v>
                </c:pt>
                <c:pt idx="9">
                  <c:v>18</c:v>
                </c:pt>
                <c:pt idx="10">
                  <c:v>42</c:v>
                </c:pt>
                <c:pt idx="11">
                  <c:v>70</c:v>
                </c:pt>
                <c:pt idx="12">
                  <c:v>69</c:v>
                </c:pt>
                <c:pt idx="13">
                  <c:v>111</c:v>
                </c:pt>
                <c:pt idx="14">
                  <c:v>127</c:v>
                </c:pt>
                <c:pt idx="15">
                  <c:v>106</c:v>
                </c:pt>
                <c:pt idx="1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5-4892-8380-50D4E8DC2A4D}"/>
            </c:ext>
          </c:extLst>
        </c:ser>
        <c:ser>
          <c:idx val="1"/>
          <c:order val="1"/>
          <c:tx>
            <c:strRef>
              <c:f>'recuperación efectiva'!$U$122</c:f>
              <c:strCache>
                <c:ptCount val="1"/>
                <c:pt idx="0">
                  <c:v>Originaciones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'recuperación efectiva'!$P$123:$P$139</c:f>
              <c:strCache>
                <c:ptCount val="17"/>
                <c:pt idx="0">
                  <c:v>01-2025</c:v>
                </c:pt>
                <c:pt idx="1">
                  <c:v>02-2025</c:v>
                </c:pt>
                <c:pt idx="2">
                  <c:v>03-2025</c:v>
                </c:pt>
                <c:pt idx="3">
                  <c:v>04-2025</c:v>
                </c:pt>
                <c:pt idx="4">
                  <c:v>05-2025</c:v>
                </c:pt>
                <c:pt idx="5">
                  <c:v>06-2025</c:v>
                </c:pt>
                <c:pt idx="6">
                  <c:v>07-2025</c:v>
                </c:pt>
                <c:pt idx="7">
                  <c:v>08-2025</c:v>
                </c:pt>
                <c:pt idx="8">
                  <c:v>09-2025</c:v>
                </c:pt>
                <c:pt idx="9">
                  <c:v>10-2025</c:v>
                </c:pt>
                <c:pt idx="10">
                  <c:v>11-2025</c:v>
                </c:pt>
                <c:pt idx="11">
                  <c:v>12-2025</c:v>
                </c:pt>
                <c:pt idx="12">
                  <c:v>01-2026</c:v>
                </c:pt>
                <c:pt idx="13">
                  <c:v>02-2026</c:v>
                </c:pt>
                <c:pt idx="14">
                  <c:v>03-2026</c:v>
                </c:pt>
                <c:pt idx="15">
                  <c:v>04-2026</c:v>
                </c:pt>
                <c:pt idx="16">
                  <c:v>05-2026</c:v>
                </c:pt>
              </c:strCache>
            </c:strRef>
          </c:cat>
          <c:val>
            <c:numRef>
              <c:f>'recuperación efectiva'!$U$123:$U$139</c:f>
              <c:numCache>
                <c:formatCode>#,##0</c:formatCode>
                <c:ptCount val="17"/>
                <c:pt idx="0">
                  <c:v>105</c:v>
                </c:pt>
                <c:pt idx="1">
                  <c:v>113</c:v>
                </c:pt>
                <c:pt idx="2">
                  <c:v>155</c:v>
                </c:pt>
                <c:pt idx="3">
                  <c:v>179</c:v>
                </c:pt>
                <c:pt idx="4">
                  <c:v>177</c:v>
                </c:pt>
                <c:pt idx="5">
                  <c:v>218</c:v>
                </c:pt>
                <c:pt idx="6">
                  <c:v>232</c:v>
                </c:pt>
                <c:pt idx="7">
                  <c:v>197</c:v>
                </c:pt>
                <c:pt idx="8">
                  <c:v>202</c:v>
                </c:pt>
                <c:pt idx="9">
                  <c:v>232</c:v>
                </c:pt>
                <c:pt idx="10">
                  <c:v>230</c:v>
                </c:pt>
                <c:pt idx="11">
                  <c:v>231</c:v>
                </c:pt>
                <c:pt idx="12">
                  <c:v>203</c:v>
                </c:pt>
                <c:pt idx="13">
                  <c:v>246</c:v>
                </c:pt>
                <c:pt idx="14">
                  <c:v>229</c:v>
                </c:pt>
                <c:pt idx="15">
                  <c:v>252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5-4892-8380-50D4E8DC2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48187"/>
        <c:axId val="94607729"/>
      </c:barChart>
      <c:catAx>
        <c:axId val="41348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  <a:endParaRPr lang="en-US"/>
          </a:p>
        </c:txPr>
        <c:crossAx val="94607729"/>
        <c:crosses val="autoZero"/>
        <c:auto val="1"/>
        <c:lblAlgn val="ctr"/>
        <c:lblOffset val="100"/>
        <c:noMultiLvlLbl val="0"/>
      </c:catAx>
      <c:valAx>
        <c:axId val="9460772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13481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9360</xdr:colOff>
      <xdr:row>0</xdr:row>
      <xdr:rowOff>351000</xdr:rowOff>
    </xdr:from>
    <xdr:to>
      <xdr:col>26</xdr:col>
      <xdr:colOff>9000</xdr:colOff>
      <xdr:row>1</xdr:row>
      <xdr:rowOff>3547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371520</xdr:colOff>
      <xdr:row>12</xdr:row>
      <xdr:rowOff>0</xdr:rowOff>
    </xdr:from>
    <xdr:to>
      <xdr:col>8</xdr:col>
      <xdr:colOff>1133280</xdr:colOff>
      <xdr:row>27</xdr:row>
      <xdr:rowOff>43920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1130400</xdr:colOff>
      <xdr:row>12</xdr:row>
      <xdr:rowOff>0</xdr:rowOff>
    </xdr:from>
    <xdr:to>
      <xdr:col>13</xdr:col>
      <xdr:colOff>504720</xdr:colOff>
      <xdr:row>27</xdr:row>
      <xdr:rowOff>47160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1133640</xdr:colOff>
      <xdr:row>28</xdr:row>
      <xdr:rowOff>47520</xdr:rowOff>
    </xdr:from>
    <xdr:to>
      <xdr:col>11</xdr:col>
      <xdr:colOff>1133280</xdr:colOff>
      <xdr:row>43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282600</xdr:colOff>
      <xdr:row>28</xdr:row>
      <xdr:rowOff>19080</xdr:rowOff>
    </xdr:from>
    <xdr:to>
      <xdr:col>8</xdr:col>
      <xdr:colOff>1044360</xdr:colOff>
      <xdr:row>44</xdr:row>
      <xdr:rowOff>25200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168120</xdr:colOff>
      <xdr:row>28</xdr:row>
      <xdr:rowOff>57240</xdr:rowOff>
    </xdr:from>
    <xdr:to>
      <xdr:col>16</xdr:col>
      <xdr:colOff>167760</xdr:colOff>
      <xdr:row>44</xdr:row>
      <xdr:rowOff>63360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338400</xdr:colOff>
      <xdr:row>0</xdr:row>
      <xdr:rowOff>0</xdr:rowOff>
    </xdr:from>
    <xdr:to>
      <xdr:col>27</xdr:col>
      <xdr:colOff>432000</xdr:colOff>
      <xdr:row>11</xdr:row>
      <xdr:rowOff>130320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392760</xdr:colOff>
      <xdr:row>12</xdr:row>
      <xdr:rowOff>13320</xdr:rowOff>
    </xdr:from>
    <xdr:to>
      <xdr:col>27</xdr:col>
      <xdr:colOff>561600</xdr:colOff>
      <xdr:row>27</xdr:row>
      <xdr:rowOff>57960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149760</xdr:colOff>
      <xdr:row>37</xdr:row>
      <xdr:rowOff>16200</xdr:rowOff>
    </xdr:from>
    <xdr:to>
      <xdr:col>28</xdr:col>
      <xdr:colOff>315720</xdr:colOff>
      <xdr:row>70</xdr:row>
      <xdr:rowOff>105120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442080</xdr:colOff>
      <xdr:row>71</xdr:row>
      <xdr:rowOff>9000</xdr:rowOff>
    </xdr:from>
    <xdr:to>
      <xdr:col>28</xdr:col>
      <xdr:colOff>326160</xdr:colOff>
      <xdr:row>97</xdr:row>
      <xdr:rowOff>67680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10080</xdr:colOff>
      <xdr:row>139</xdr:row>
      <xdr:rowOff>159480</xdr:rowOff>
    </xdr:from>
    <xdr:to>
      <xdr:col>22</xdr:col>
      <xdr:colOff>27000</xdr:colOff>
      <xdr:row>186</xdr:row>
      <xdr:rowOff>162720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L1290" totalsRowShown="0">
  <tableColumns count="12">
    <tableColumn id="1" xr3:uid="{00000000-0010-0000-0000-000001000000}" name="Cliente"/>
    <tableColumn id="2" xr3:uid="{00000000-0010-0000-0000-000002000000}" name="Sexo"/>
    <tableColumn id="3" xr3:uid="{00000000-0010-0000-0000-000003000000}" name="Contrato"/>
    <tableColumn id="4" xr3:uid="{00000000-0010-0000-0000-000004000000}" name="Estado"/>
    <tableColumn id="5" xr3:uid="{00000000-0010-0000-0000-000005000000}" name="Cosecha"/>
    <tableColumn id="6" xr3:uid="{00000000-0010-0000-0000-000006000000}" name="Mes envio recuperación"/>
    <tableColumn id="7" xr3:uid="{00000000-0010-0000-0000-000007000000}" name="Meses transcurridos"/>
    <tableColumn id="8" xr3:uid="{00000000-0010-0000-0000-000008000000}" name="Estatus recuperación"/>
    <tableColumn id="9" xr3:uid="{00000000-0010-0000-0000-000009000000}" name="Mes recuperación"/>
    <tableColumn id="10" xr3:uid="{00000000-0010-0000-0000-00000A000000}" name="Plate"/>
    <tableColumn id="11" xr3:uid="{00000000-0010-0000-0000-00000B000000}" name="Modelo"/>
    <tableColumn id="12" xr3:uid="{00000000-0010-0000-0000-00000C000000}" name="Platafor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N979" totalsRowShown="0">
  <autoFilter ref="A1:N979" xr:uid="{00000000-0009-0000-0100-000002000000}"/>
  <tableColumns count="14">
    <tableColumn id="1" xr3:uid="{00000000-0010-0000-0100-000001000000}" name="Cliente"/>
    <tableColumn id="2" xr3:uid="{00000000-0010-0000-0100-000002000000}" name="Sexo"/>
    <tableColumn id="3" xr3:uid="{00000000-0010-0000-0100-000003000000}" name="Contrato"/>
    <tableColumn id="4" xr3:uid="{00000000-0010-0000-0100-000004000000}" name="Estado"/>
    <tableColumn id="5" xr3:uid="{00000000-0010-0000-0100-000005000000}" name="Cosecha"/>
    <tableColumn id="6" xr3:uid="{00000000-0010-0000-0100-000006000000}" name="Año Cosecha"/>
    <tableColumn id="7" xr3:uid="{00000000-0010-0000-0100-000007000000}" name="Mes envio recuperación"/>
    <tableColumn id="8" xr3:uid="{00000000-0010-0000-0100-000008000000}" name="Meses transcurridos"/>
    <tableColumn id="9" xr3:uid="{00000000-0010-0000-0100-000009000000}" name="Estatus recuperación"/>
    <tableColumn id="10" xr3:uid="{00000000-0010-0000-0100-00000A000000}" name="Mes recuperación"/>
    <tableColumn id="11" xr3:uid="{00000000-0010-0000-0100-00000B000000}" name="Meses transcurridos tras recuperación efectiva"/>
    <tableColumn id="12" xr3:uid="{00000000-0010-0000-0100-00000C000000}" name="Plate"/>
    <tableColumn id="13" xr3:uid="{00000000-0010-0000-0100-00000D000000}" name="Modelo"/>
    <tableColumn id="14" xr3:uid="{00000000-0010-0000-0100-00000E000000}" name="Platafor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P4:R6" totalsRowShown="0">
  <autoFilter ref="P4:R6" xr:uid="{00000000-0009-0000-0100-000003000000}"/>
  <tableColumns count="3">
    <tableColumn id="1" xr3:uid="{00000000-0010-0000-0200-000001000000}" name="Sexo"/>
    <tableColumn id="2" xr3:uid="{00000000-0010-0000-0200-000002000000}" name="Cantidad"/>
    <tableColumn id="3" xr3:uid="{00000000-0010-0000-0200-000003000000}" name="Avg. Meses transcurrido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35" displayName="Tabla35" ref="P16:R21" totalsRowShown="0">
  <autoFilter ref="P16:R21" xr:uid="{00000000-0009-0000-0100-000004000000}"/>
  <tableColumns count="3">
    <tableColumn id="1" xr3:uid="{00000000-0010-0000-0300-000001000000}" name="Estado"/>
    <tableColumn id="2" xr3:uid="{00000000-0010-0000-0300-000002000000}" name="Cantidad"/>
    <tableColumn id="3" xr3:uid="{00000000-0010-0000-0300-000003000000}" name="Avg. Meses transcurrido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357" displayName="Tabla357" ref="P73:R75" totalsRowShown="0">
  <autoFilter ref="P73:R75" xr:uid="{00000000-0009-0000-0100-000005000000}"/>
  <tableColumns count="3">
    <tableColumn id="1" xr3:uid="{00000000-0010-0000-0400-000001000000}" name="Plataforma"/>
    <tableColumn id="2" xr3:uid="{00000000-0010-0000-0400-000002000000}" name="Cantidad"/>
    <tableColumn id="3" xr3:uid="{00000000-0010-0000-0400-000003000000}" name="Avg. Meses transcurrido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5" displayName="Tabla5" ref="P31:S37" totalsRowShown="0">
  <autoFilter ref="P31:S37" xr:uid="{00000000-0009-0000-0100-000006000000}"/>
  <tableColumns count="4">
    <tableColumn id="1" xr3:uid="{00000000-0010-0000-0500-000001000000}" name="Año Cosecha"/>
    <tableColumn id="2" xr3:uid="{00000000-0010-0000-0500-000002000000}" name="Avg. Meses transcurridos"/>
    <tableColumn id="3" xr3:uid="{00000000-0010-0000-0500-000003000000}" name="Max. Meses transcurridos"/>
    <tableColumn id="4" xr3:uid="{00000000-0010-0000-0500-000004000000}" name="Min. Meses transcurrido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P105:R118" totalsRowShown="0">
  <autoFilter ref="P105:R118" xr:uid="{00000000-0009-0000-0100-000007000000}"/>
  <tableColumns count="3">
    <tableColumn id="1" xr3:uid="{00000000-0010-0000-0600-000001000000}" name="Año Cosecha"/>
    <tableColumn id="2" xr3:uid="{00000000-0010-0000-0600-000002000000}" name="Cantidad"/>
    <tableColumn id="3" xr3:uid="{00000000-0010-0000-0600-000003000000}" name="Avg. Meses transcurrid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2"/>
  <sheetViews>
    <sheetView tabSelected="1" zoomScale="53" zoomScaleNormal="53" workbookViewId="0">
      <pane ySplit="1" topLeftCell="A1251" activePane="bottomLeft" state="frozen"/>
      <selection pane="bottomLeft" activeCell="A2" sqref="A2:L1290"/>
    </sheetView>
  </sheetViews>
  <sheetFormatPr baseColWidth="10" defaultColWidth="10.54296875" defaultRowHeight="14.5" x14ac:dyDescent="0.35"/>
  <cols>
    <col min="1" max="1" width="36.36328125" customWidth="1"/>
    <col min="2" max="2" width="12.7265625" customWidth="1"/>
    <col min="3" max="3" width="14.54296875" customWidth="1"/>
    <col min="4" max="4" width="27.26953125" customWidth="1"/>
    <col min="5" max="5" width="14.54296875" customWidth="1"/>
    <col min="6" max="6" width="21.81640625" customWidth="1"/>
    <col min="7" max="8" width="20" customWidth="1"/>
    <col min="9" max="9" width="18.1796875" customWidth="1"/>
    <col min="10" max="10" width="14.54296875" customWidth="1"/>
    <col min="11" max="11" width="21.81640625" customWidth="1"/>
    <col min="12" max="12" width="14.54296875" customWidth="1"/>
  </cols>
  <sheetData>
    <row r="1" spans="1:12" ht="27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7" t="s">
        <v>17</v>
      </c>
      <c r="G2" s="5">
        <v>36</v>
      </c>
      <c r="H2" s="5" t="s">
        <v>18</v>
      </c>
      <c r="I2" s="7" t="s">
        <v>17</v>
      </c>
      <c r="J2" s="6" t="s">
        <v>19</v>
      </c>
      <c r="K2" s="6" t="s">
        <v>20</v>
      </c>
      <c r="L2" s="8" t="s">
        <v>21</v>
      </c>
    </row>
    <row r="3" spans="1:12" x14ac:dyDescent="0.35">
      <c r="A3" s="9" t="s">
        <v>12</v>
      </c>
      <c r="B3" s="10" t="s">
        <v>13</v>
      </c>
      <c r="C3" s="11" t="s">
        <v>22</v>
      </c>
      <c r="D3" s="11" t="s">
        <v>15</v>
      </c>
      <c r="E3" s="11" t="s">
        <v>23</v>
      </c>
      <c r="F3" s="12" t="s">
        <v>17</v>
      </c>
      <c r="G3" s="10">
        <v>2</v>
      </c>
      <c r="H3" s="10" t="s">
        <v>18</v>
      </c>
      <c r="I3" s="12" t="s">
        <v>17</v>
      </c>
      <c r="J3" s="11" t="s">
        <v>24</v>
      </c>
      <c r="K3" s="11" t="s">
        <v>25</v>
      </c>
      <c r="L3" s="13" t="s">
        <v>26</v>
      </c>
    </row>
    <row r="4" spans="1:12" x14ac:dyDescent="0.35">
      <c r="A4" s="14" t="s">
        <v>27</v>
      </c>
      <c r="B4" s="15" t="s">
        <v>13</v>
      </c>
      <c r="C4" s="16" t="s">
        <v>28</v>
      </c>
      <c r="D4" s="16" t="s">
        <v>15</v>
      </c>
      <c r="E4" s="16" t="s">
        <v>29</v>
      </c>
      <c r="F4" s="17" t="s">
        <v>30</v>
      </c>
      <c r="G4" s="15">
        <v>9</v>
      </c>
      <c r="H4" s="15" t="s">
        <v>18</v>
      </c>
      <c r="I4" s="17" t="s">
        <v>30</v>
      </c>
      <c r="J4" s="16" t="s">
        <v>31</v>
      </c>
      <c r="K4" s="16" t="s">
        <v>25</v>
      </c>
      <c r="L4" s="18" t="s">
        <v>21</v>
      </c>
    </row>
    <row r="5" spans="1:12" ht="15" customHeight="1" x14ac:dyDescent="0.35">
      <c r="A5" s="19" t="s">
        <v>32</v>
      </c>
      <c r="B5" s="20" t="s">
        <v>13</v>
      </c>
      <c r="C5" s="21" t="s">
        <v>33</v>
      </c>
      <c r="D5" s="21" t="s">
        <v>34</v>
      </c>
      <c r="E5" s="21" t="s">
        <v>35</v>
      </c>
      <c r="F5" s="22" t="s">
        <v>36</v>
      </c>
      <c r="G5" s="20">
        <v>11</v>
      </c>
      <c r="H5" s="20" t="s">
        <v>18</v>
      </c>
      <c r="I5" s="22" t="s">
        <v>37</v>
      </c>
      <c r="J5" s="21" t="s">
        <v>38</v>
      </c>
      <c r="K5" s="21" t="s">
        <v>39</v>
      </c>
      <c r="L5" s="23" t="s">
        <v>21</v>
      </c>
    </row>
    <row r="6" spans="1:12" x14ac:dyDescent="0.35">
      <c r="A6" s="24" t="s">
        <v>40</v>
      </c>
      <c r="B6" s="24" t="s">
        <v>13</v>
      </c>
      <c r="C6" s="24" t="s">
        <v>41</v>
      </c>
      <c r="D6" s="24" t="s">
        <v>34</v>
      </c>
      <c r="E6" s="24" t="s">
        <v>36</v>
      </c>
      <c r="F6" s="25" t="s">
        <v>17</v>
      </c>
      <c r="G6" s="24">
        <v>6</v>
      </c>
      <c r="H6" s="24" t="s">
        <v>42</v>
      </c>
      <c r="I6" s="25"/>
      <c r="J6" s="24" t="s">
        <v>43</v>
      </c>
      <c r="K6" s="24" t="s">
        <v>44</v>
      </c>
      <c r="L6" s="24" t="s">
        <v>21</v>
      </c>
    </row>
    <row r="7" spans="1:12" x14ac:dyDescent="0.35">
      <c r="A7" s="26" t="s">
        <v>45</v>
      </c>
      <c r="B7" s="27" t="s">
        <v>13</v>
      </c>
      <c r="C7" s="28" t="s">
        <v>46</v>
      </c>
      <c r="D7" s="28" t="s">
        <v>34</v>
      </c>
      <c r="E7" s="28" t="s">
        <v>47</v>
      </c>
      <c r="F7" s="29" t="s">
        <v>37</v>
      </c>
      <c r="G7" s="27">
        <v>7</v>
      </c>
      <c r="H7" s="27" t="s">
        <v>18</v>
      </c>
      <c r="I7" s="29" t="s">
        <v>37</v>
      </c>
      <c r="J7" s="28" t="s">
        <v>48</v>
      </c>
      <c r="K7" s="28" t="s">
        <v>44</v>
      </c>
      <c r="L7" s="30" t="s">
        <v>21</v>
      </c>
    </row>
    <row r="8" spans="1:12" x14ac:dyDescent="0.35">
      <c r="A8" s="14" t="s">
        <v>49</v>
      </c>
      <c r="B8" s="15" t="s">
        <v>13</v>
      </c>
      <c r="C8" s="16" t="s">
        <v>50</v>
      </c>
      <c r="D8" s="16" t="s">
        <v>34</v>
      </c>
      <c r="E8" s="16" t="s">
        <v>51</v>
      </c>
      <c r="F8" s="17" t="s">
        <v>23</v>
      </c>
      <c r="G8" s="15">
        <v>11</v>
      </c>
      <c r="H8" s="15" t="s">
        <v>18</v>
      </c>
      <c r="I8" s="17" t="s">
        <v>52</v>
      </c>
      <c r="J8" s="16" t="s">
        <v>53</v>
      </c>
      <c r="K8" s="16" t="s">
        <v>44</v>
      </c>
      <c r="L8" s="18" t="s">
        <v>21</v>
      </c>
    </row>
    <row r="9" spans="1:12" x14ac:dyDescent="0.35">
      <c r="A9" s="9" t="s">
        <v>54</v>
      </c>
      <c r="B9" s="10" t="s">
        <v>13</v>
      </c>
      <c r="C9" s="11" t="s">
        <v>55</v>
      </c>
      <c r="D9" s="11" t="s">
        <v>34</v>
      </c>
      <c r="E9" s="11" t="s">
        <v>29</v>
      </c>
      <c r="F9" s="12" t="s">
        <v>30</v>
      </c>
      <c r="G9" s="10">
        <v>9</v>
      </c>
      <c r="H9" s="10" t="s">
        <v>18</v>
      </c>
      <c r="I9" s="12" t="s">
        <v>30</v>
      </c>
      <c r="J9" s="11" t="s">
        <v>56</v>
      </c>
      <c r="K9" s="11" t="s">
        <v>25</v>
      </c>
      <c r="L9" s="13" t="s">
        <v>21</v>
      </c>
    </row>
    <row r="10" spans="1:12" x14ac:dyDescent="0.35">
      <c r="A10" s="14" t="s">
        <v>57</v>
      </c>
      <c r="B10" s="15" t="s">
        <v>13</v>
      </c>
      <c r="C10" s="16" t="s">
        <v>58</v>
      </c>
      <c r="D10" s="16" t="s">
        <v>34</v>
      </c>
      <c r="E10" s="16" t="s">
        <v>29</v>
      </c>
      <c r="F10" s="17" t="s">
        <v>30</v>
      </c>
      <c r="G10" s="15">
        <v>10</v>
      </c>
      <c r="H10" s="15" t="s">
        <v>18</v>
      </c>
      <c r="I10" s="17" t="s">
        <v>17</v>
      </c>
      <c r="J10" s="16" t="s">
        <v>59</v>
      </c>
      <c r="K10" s="16" t="s">
        <v>25</v>
      </c>
      <c r="L10" s="18" t="s">
        <v>21</v>
      </c>
    </row>
    <row r="11" spans="1:12" ht="15" customHeight="1" x14ac:dyDescent="0.35">
      <c r="A11" s="19" t="s">
        <v>60</v>
      </c>
      <c r="B11" s="20" t="s">
        <v>13</v>
      </c>
      <c r="C11" s="21" t="s">
        <v>61</v>
      </c>
      <c r="D11" s="21" t="s">
        <v>15</v>
      </c>
      <c r="E11" s="21" t="s">
        <v>35</v>
      </c>
      <c r="F11" s="22" t="s">
        <v>29</v>
      </c>
      <c r="G11" s="20">
        <v>8</v>
      </c>
      <c r="H11" s="20" t="s">
        <v>18</v>
      </c>
      <c r="I11" s="22" t="s">
        <v>62</v>
      </c>
      <c r="J11" s="21" t="s">
        <v>63</v>
      </c>
      <c r="K11" s="21" t="s">
        <v>25</v>
      </c>
      <c r="L11" s="23" t="s">
        <v>21</v>
      </c>
    </row>
    <row r="12" spans="1:12" x14ac:dyDescent="0.35">
      <c r="A12" s="24" t="s">
        <v>64</v>
      </c>
      <c r="B12" s="24" t="s">
        <v>13</v>
      </c>
      <c r="C12" s="24" t="s">
        <v>65</v>
      </c>
      <c r="D12" s="24" t="s">
        <v>34</v>
      </c>
      <c r="E12" s="24" t="s">
        <v>66</v>
      </c>
      <c r="F12" s="25" t="s">
        <v>52</v>
      </c>
      <c r="G12" s="24">
        <v>12</v>
      </c>
      <c r="H12" s="24" t="s">
        <v>42</v>
      </c>
      <c r="I12" s="25"/>
      <c r="J12" s="24" t="s">
        <v>67</v>
      </c>
      <c r="K12" s="24" t="s">
        <v>44</v>
      </c>
      <c r="L12" s="24" t="s">
        <v>21</v>
      </c>
    </row>
    <row r="13" spans="1:12" x14ac:dyDescent="0.35">
      <c r="A13" s="26" t="s">
        <v>68</v>
      </c>
      <c r="B13" s="27" t="s">
        <v>13</v>
      </c>
      <c r="C13" s="28" t="s">
        <v>69</v>
      </c>
      <c r="D13" s="28" t="s">
        <v>34</v>
      </c>
      <c r="E13" s="28" t="s">
        <v>37</v>
      </c>
      <c r="F13" s="29" t="s">
        <v>17</v>
      </c>
      <c r="G13" s="27">
        <v>5</v>
      </c>
      <c r="H13" s="27" t="s">
        <v>18</v>
      </c>
      <c r="I13" s="29" t="s">
        <v>70</v>
      </c>
      <c r="J13" s="28" t="s">
        <v>71</v>
      </c>
      <c r="K13" s="28" t="s">
        <v>72</v>
      </c>
      <c r="L13" s="30" t="s">
        <v>21</v>
      </c>
    </row>
    <row r="14" spans="1:12" x14ac:dyDescent="0.35">
      <c r="A14" s="14" t="s">
        <v>73</v>
      </c>
      <c r="B14" s="15" t="s">
        <v>13</v>
      </c>
      <c r="C14" s="16" t="s">
        <v>74</v>
      </c>
      <c r="D14" s="16" t="s">
        <v>15</v>
      </c>
      <c r="E14" s="16" t="s">
        <v>36</v>
      </c>
      <c r="F14" s="17" t="s">
        <v>17</v>
      </c>
      <c r="G14" s="15">
        <v>6</v>
      </c>
      <c r="H14" s="15" t="s">
        <v>18</v>
      </c>
      <c r="I14" s="17" t="s">
        <v>17</v>
      </c>
      <c r="J14" s="16" t="s">
        <v>75</v>
      </c>
      <c r="K14" s="16" t="s">
        <v>25</v>
      </c>
      <c r="L14" s="18" t="s">
        <v>26</v>
      </c>
    </row>
    <row r="15" spans="1:12" x14ac:dyDescent="0.35">
      <c r="A15" s="9" t="s">
        <v>76</v>
      </c>
      <c r="B15" s="10" t="s">
        <v>13</v>
      </c>
      <c r="C15" s="11" t="s">
        <v>77</v>
      </c>
      <c r="D15" s="11" t="s">
        <v>78</v>
      </c>
      <c r="E15" s="11" t="s">
        <v>66</v>
      </c>
      <c r="F15" s="12" t="s">
        <v>37</v>
      </c>
      <c r="G15" s="10">
        <v>9</v>
      </c>
      <c r="H15" s="10" t="s">
        <v>18</v>
      </c>
      <c r="I15" s="12" t="s">
        <v>30</v>
      </c>
      <c r="J15" s="11" t="s">
        <v>79</v>
      </c>
      <c r="K15" s="11" t="s">
        <v>25</v>
      </c>
      <c r="L15" s="13" t="s">
        <v>21</v>
      </c>
    </row>
    <row r="16" spans="1:12" x14ac:dyDescent="0.35">
      <c r="A16" s="14" t="s">
        <v>80</v>
      </c>
      <c r="B16" s="15" t="s">
        <v>13</v>
      </c>
      <c r="C16" s="16" t="s">
        <v>81</v>
      </c>
      <c r="D16" s="16" t="s">
        <v>78</v>
      </c>
      <c r="E16" s="16" t="s">
        <v>82</v>
      </c>
      <c r="F16" s="17" t="s">
        <v>23</v>
      </c>
      <c r="G16" s="15">
        <v>13</v>
      </c>
      <c r="H16" s="15" t="s">
        <v>18</v>
      </c>
      <c r="I16" s="17" t="s">
        <v>23</v>
      </c>
      <c r="J16" s="16" t="s">
        <v>83</v>
      </c>
      <c r="K16" s="16" t="s">
        <v>25</v>
      </c>
      <c r="L16" s="18" t="s">
        <v>21</v>
      </c>
    </row>
    <row r="17" spans="1:12" x14ac:dyDescent="0.35">
      <c r="A17" s="9" t="s">
        <v>84</v>
      </c>
      <c r="B17" s="10" t="s">
        <v>85</v>
      </c>
      <c r="C17" s="11" t="s">
        <v>86</v>
      </c>
      <c r="D17" s="11" t="s">
        <v>34</v>
      </c>
      <c r="E17" s="11" t="s">
        <v>23</v>
      </c>
      <c r="F17" s="12" t="s">
        <v>52</v>
      </c>
      <c r="G17" s="10">
        <v>1</v>
      </c>
      <c r="H17" s="10" t="s">
        <v>18</v>
      </c>
      <c r="I17" s="12" t="s">
        <v>52</v>
      </c>
      <c r="J17" s="11" t="s">
        <v>87</v>
      </c>
      <c r="K17" s="11" t="s">
        <v>44</v>
      </c>
      <c r="L17" s="13" t="s">
        <v>21</v>
      </c>
    </row>
    <row r="18" spans="1:12" x14ac:dyDescent="0.35">
      <c r="A18" s="14" t="s">
        <v>88</v>
      </c>
      <c r="B18" s="15" t="s">
        <v>85</v>
      </c>
      <c r="C18" s="16" t="s">
        <v>89</v>
      </c>
      <c r="D18" s="16" t="s">
        <v>90</v>
      </c>
      <c r="E18" s="16" t="s">
        <v>36</v>
      </c>
      <c r="F18" s="17" t="s">
        <v>52</v>
      </c>
      <c r="G18" s="15">
        <v>4</v>
      </c>
      <c r="H18" s="15" t="s">
        <v>18</v>
      </c>
      <c r="I18" s="17" t="s">
        <v>52</v>
      </c>
      <c r="J18" s="16" t="s">
        <v>91</v>
      </c>
      <c r="K18" s="16" t="s">
        <v>25</v>
      </c>
      <c r="L18" s="18" t="s">
        <v>26</v>
      </c>
    </row>
    <row r="19" spans="1:12" x14ac:dyDescent="0.35">
      <c r="A19" s="9" t="s">
        <v>92</v>
      </c>
      <c r="B19" s="10" t="s">
        <v>13</v>
      </c>
      <c r="C19" s="11" t="s">
        <v>93</v>
      </c>
      <c r="D19" s="11" t="s">
        <v>90</v>
      </c>
      <c r="E19" s="11" t="s">
        <v>82</v>
      </c>
      <c r="F19" s="12" t="s">
        <v>17</v>
      </c>
      <c r="G19" s="10">
        <v>16</v>
      </c>
      <c r="H19" s="10" t="s">
        <v>18</v>
      </c>
      <c r="I19" s="12" t="s">
        <v>17</v>
      </c>
      <c r="J19" s="11" t="s">
        <v>94</v>
      </c>
      <c r="K19" s="11" t="s">
        <v>25</v>
      </c>
      <c r="L19" s="13" t="s">
        <v>21</v>
      </c>
    </row>
    <row r="20" spans="1:12" x14ac:dyDescent="0.35">
      <c r="A20" s="14" t="s">
        <v>95</v>
      </c>
      <c r="B20" s="15" t="s">
        <v>13</v>
      </c>
      <c r="C20" s="16" t="s">
        <v>96</v>
      </c>
      <c r="D20" s="16" t="s">
        <v>90</v>
      </c>
      <c r="E20" s="16" t="s">
        <v>97</v>
      </c>
      <c r="F20" s="17" t="s">
        <v>17</v>
      </c>
      <c r="G20" s="15">
        <v>7</v>
      </c>
      <c r="H20" s="15" t="s">
        <v>18</v>
      </c>
      <c r="I20" s="17" t="s">
        <v>17</v>
      </c>
      <c r="J20" s="16" t="s">
        <v>98</v>
      </c>
      <c r="K20" s="16" t="s">
        <v>39</v>
      </c>
      <c r="L20" s="18" t="s">
        <v>26</v>
      </c>
    </row>
    <row r="21" spans="1:12" x14ac:dyDescent="0.35">
      <c r="A21" s="9" t="s">
        <v>99</v>
      </c>
      <c r="B21" s="10" t="s">
        <v>13</v>
      </c>
      <c r="C21" s="11" t="s">
        <v>100</v>
      </c>
      <c r="D21" s="11" t="s">
        <v>34</v>
      </c>
      <c r="E21" s="11" t="s">
        <v>51</v>
      </c>
      <c r="F21" s="12" t="s">
        <v>17</v>
      </c>
      <c r="G21" s="10">
        <v>14</v>
      </c>
      <c r="H21" s="10" t="s">
        <v>18</v>
      </c>
      <c r="I21" s="12" t="s">
        <v>17</v>
      </c>
      <c r="J21" s="11" t="s">
        <v>101</v>
      </c>
      <c r="K21" s="11" t="s">
        <v>25</v>
      </c>
      <c r="L21" s="13" t="s">
        <v>21</v>
      </c>
    </row>
    <row r="22" spans="1:12" ht="15" customHeight="1" x14ac:dyDescent="0.35">
      <c r="A22" s="31" t="s">
        <v>102</v>
      </c>
      <c r="B22" s="32" t="s">
        <v>13</v>
      </c>
      <c r="C22" s="33" t="s">
        <v>103</v>
      </c>
      <c r="D22" s="33" t="s">
        <v>34</v>
      </c>
      <c r="E22" s="33" t="s">
        <v>104</v>
      </c>
      <c r="F22" s="34" t="s">
        <v>23</v>
      </c>
      <c r="G22" s="32">
        <v>9</v>
      </c>
      <c r="H22" s="32" t="s">
        <v>18</v>
      </c>
      <c r="I22" s="34" t="s">
        <v>52</v>
      </c>
      <c r="J22" s="33" t="s">
        <v>105</v>
      </c>
      <c r="K22" s="33" t="s">
        <v>25</v>
      </c>
      <c r="L22" s="35" t="s">
        <v>26</v>
      </c>
    </row>
    <row r="23" spans="1:12" x14ac:dyDescent="0.35">
      <c r="A23" s="36" t="s">
        <v>106</v>
      </c>
      <c r="B23" s="36" t="s">
        <v>13</v>
      </c>
      <c r="C23" s="36" t="s">
        <v>107</v>
      </c>
      <c r="D23" s="36" t="s">
        <v>78</v>
      </c>
      <c r="E23" s="36" t="s">
        <v>108</v>
      </c>
      <c r="F23" s="37" t="s">
        <v>30</v>
      </c>
      <c r="G23" s="36">
        <v>26</v>
      </c>
      <c r="H23" s="36" t="s">
        <v>109</v>
      </c>
      <c r="I23" s="37"/>
      <c r="J23" s="36" t="s">
        <v>110</v>
      </c>
      <c r="K23" s="36" t="s">
        <v>25</v>
      </c>
      <c r="L23" s="36" t="s">
        <v>21</v>
      </c>
    </row>
    <row r="24" spans="1:12" x14ac:dyDescent="0.35">
      <c r="A24" s="24" t="s">
        <v>111</v>
      </c>
      <c r="B24" s="24" t="s">
        <v>13</v>
      </c>
      <c r="C24" s="24" t="s">
        <v>112</v>
      </c>
      <c r="D24" s="24" t="s">
        <v>34</v>
      </c>
      <c r="E24" s="24" t="s">
        <v>97</v>
      </c>
      <c r="F24" s="25" t="s">
        <v>113</v>
      </c>
      <c r="G24" s="24">
        <v>3</v>
      </c>
      <c r="H24" s="24" t="s">
        <v>42</v>
      </c>
      <c r="I24" s="25"/>
      <c r="J24" s="24" t="s">
        <v>114</v>
      </c>
      <c r="K24" s="24" t="s">
        <v>115</v>
      </c>
      <c r="L24" s="24" t="s">
        <v>26</v>
      </c>
    </row>
    <row r="25" spans="1:12" x14ac:dyDescent="0.35">
      <c r="A25" s="26" t="s">
        <v>116</v>
      </c>
      <c r="B25" s="27" t="s">
        <v>13</v>
      </c>
      <c r="C25" s="28" t="s">
        <v>117</v>
      </c>
      <c r="D25" s="28" t="s">
        <v>34</v>
      </c>
      <c r="E25" s="28" t="s">
        <v>118</v>
      </c>
      <c r="F25" s="29" t="s">
        <v>52</v>
      </c>
      <c r="G25" s="27">
        <v>4</v>
      </c>
      <c r="H25" s="27" t="s">
        <v>18</v>
      </c>
      <c r="I25" s="29" t="s">
        <v>52</v>
      </c>
      <c r="J25" s="28" t="s">
        <v>119</v>
      </c>
      <c r="K25" s="28" t="s">
        <v>115</v>
      </c>
      <c r="L25" s="30" t="s">
        <v>21</v>
      </c>
    </row>
    <row r="26" spans="1:12" x14ac:dyDescent="0.35">
      <c r="A26" s="14" t="s">
        <v>120</v>
      </c>
      <c r="B26" s="15" t="s">
        <v>13</v>
      </c>
      <c r="C26" s="16" t="s">
        <v>121</v>
      </c>
      <c r="D26" s="16" t="s">
        <v>15</v>
      </c>
      <c r="E26" s="16" t="s">
        <v>122</v>
      </c>
      <c r="F26" s="17" t="s">
        <v>29</v>
      </c>
      <c r="G26" s="15">
        <v>21</v>
      </c>
      <c r="H26" s="15" t="s">
        <v>18</v>
      </c>
      <c r="I26" s="17" t="s">
        <v>29</v>
      </c>
      <c r="J26" s="16" t="s">
        <v>123</v>
      </c>
      <c r="K26" s="16" t="s">
        <v>25</v>
      </c>
      <c r="L26" s="18" t="s">
        <v>21</v>
      </c>
    </row>
    <row r="27" spans="1:12" x14ac:dyDescent="0.35">
      <c r="A27" s="9" t="s">
        <v>124</v>
      </c>
      <c r="B27" s="10" t="s">
        <v>13</v>
      </c>
      <c r="C27" s="11" t="s">
        <v>125</v>
      </c>
      <c r="D27" s="11" t="s">
        <v>34</v>
      </c>
      <c r="E27" s="11" t="s">
        <v>118</v>
      </c>
      <c r="F27" s="12" t="s">
        <v>70</v>
      </c>
      <c r="G27" s="10">
        <v>7</v>
      </c>
      <c r="H27" s="10" t="s">
        <v>18</v>
      </c>
      <c r="I27" s="12" t="s">
        <v>70</v>
      </c>
      <c r="J27" s="11" t="s">
        <v>126</v>
      </c>
      <c r="K27" s="11" t="s">
        <v>115</v>
      </c>
      <c r="L27" s="13" t="s">
        <v>21</v>
      </c>
    </row>
    <row r="28" spans="1:12" x14ac:dyDescent="0.35">
      <c r="A28" s="14" t="s">
        <v>127</v>
      </c>
      <c r="B28" s="15" t="s">
        <v>13</v>
      </c>
      <c r="C28" s="16" t="s">
        <v>128</v>
      </c>
      <c r="D28" s="16" t="s">
        <v>34</v>
      </c>
      <c r="E28" s="16" t="s">
        <v>51</v>
      </c>
      <c r="F28" s="17" t="s">
        <v>29</v>
      </c>
      <c r="G28" s="15">
        <v>3</v>
      </c>
      <c r="H28" s="15" t="s">
        <v>18</v>
      </c>
      <c r="I28" s="17" t="s">
        <v>29</v>
      </c>
      <c r="J28" s="16" t="s">
        <v>129</v>
      </c>
      <c r="K28" s="16" t="s">
        <v>130</v>
      </c>
      <c r="L28" s="18" t="s">
        <v>21</v>
      </c>
    </row>
    <row r="29" spans="1:12" x14ac:dyDescent="0.35">
      <c r="A29" s="9" t="s">
        <v>131</v>
      </c>
      <c r="B29" s="10" t="s">
        <v>13</v>
      </c>
      <c r="C29" s="11" t="s">
        <v>132</v>
      </c>
      <c r="D29" s="11" t="s">
        <v>34</v>
      </c>
      <c r="E29" s="11" t="s">
        <v>51</v>
      </c>
      <c r="F29" s="12" t="s">
        <v>133</v>
      </c>
      <c r="G29" s="10">
        <v>2</v>
      </c>
      <c r="H29" s="10" t="s">
        <v>18</v>
      </c>
      <c r="I29" s="12" t="s">
        <v>104</v>
      </c>
      <c r="J29" s="11" t="s">
        <v>134</v>
      </c>
      <c r="K29" s="11" t="s">
        <v>44</v>
      </c>
      <c r="L29" s="13" t="s">
        <v>26</v>
      </c>
    </row>
    <row r="30" spans="1:12" ht="15" customHeight="1" x14ac:dyDescent="0.35">
      <c r="A30" s="31" t="s">
        <v>135</v>
      </c>
      <c r="B30" s="32" t="s">
        <v>13</v>
      </c>
      <c r="C30" s="33" t="s">
        <v>136</v>
      </c>
      <c r="D30" s="33" t="s">
        <v>34</v>
      </c>
      <c r="E30" s="33" t="s">
        <v>62</v>
      </c>
      <c r="F30" s="34" t="s">
        <v>30</v>
      </c>
      <c r="G30" s="32">
        <v>8</v>
      </c>
      <c r="H30" s="32" t="s">
        <v>18</v>
      </c>
      <c r="I30" s="34" t="s">
        <v>30</v>
      </c>
      <c r="J30" s="33" t="s">
        <v>137</v>
      </c>
      <c r="K30" s="33" t="s">
        <v>115</v>
      </c>
      <c r="L30" s="35" t="s">
        <v>26</v>
      </c>
    </row>
    <row r="31" spans="1:12" x14ac:dyDescent="0.35">
      <c r="A31" s="36" t="s">
        <v>138</v>
      </c>
      <c r="B31" s="36" t="s">
        <v>85</v>
      </c>
      <c r="C31" s="36" t="s">
        <v>139</v>
      </c>
      <c r="D31" s="36" t="s">
        <v>90</v>
      </c>
      <c r="E31" s="36" t="s">
        <v>36</v>
      </c>
      <c r="F31" s="37" t="s">
        <v>30</v>
      </c>
      <c r="G31" s="36">
        <v>6</v>
      </c>
      <c r="H31" s="36" t="s">
        <v>42</v>
      </c>
      <c r="I31" s="37"/>
      <c r="J31" s="36" t="s">
        <v>140</v>
      </c>
      <c r="K31" s="36" t="s">
        <v>39</v>
      </c>
      <c r="L31" s="36" t="s">
        <v>21</v>
      </c>
    </row>
    <row r="32" spans="1:12" x14ac:dyDescent="0.35">
      <c r="A32" s="24" t="s">
        <v>141</v>
      </c>
      <c r="B32" s="24" t="s">
        <v>13</v>
      </c>
      <c r="C32" s="24" t="s">
        <v>142</v>
      </c>
      <c r="D32" s="24" t="s">
        <v>90</v>
      </c>
      <c r="E32" s="24" t="s">
        <v>37</v>
      </c>
      <c r="F32" s="25" t="s">
        <v>17</v>
      </c>
      <c r="G32" s="24">
        <v>4</v>
      </c>
      <c r="H32" s="24" t="s">
        <v>42</v>
      </c>
      <c r="I32" s="25"/>
      <c r="J32" s="24" t="s">
        <v>143</v>
      </c>
      <c r="K32" s="24" t="s">
        <v>25</v>
      </c>
      <c r="L32" s="24" t="s">
        <v>26</v>
      </c>
    </row>
    <row r="33" spans="1:12" x14ac:dyDescent="0.35">
      <c r="A33" s="36" t="s">
        <v>144</v>
      </c>
      <c r="B33" s="36" t="s">
        <v>13</v>
      </c>
      <c r="C33" s="36" t="s">
        <v>145</v>
      </c>
      <c r="D33" s="36" t="s">
        <v>34</v>
      </c>
      <c r="E33" s="36" t="s">
        <v>113</v>
      </c>
      <c r="F33" s="37" t="s">
        <v>52</v>
      </c>
      <c r="G33" s="36">
        <v>2</v>
      </c>
      <c r="H33" s="36" t="s">
        <v>42</v>
      </c>
      <c r="I33" s="37"/>
      <c r="J33" s="36" t="s">
        <v>146</v>
      </c>
      <c r="K33" s="36" t="s">
        <v>115</v>
      </c>
      <c r="L33" s="36" t="s">
        <v>21</v>
      </c>
    </row>
    <row r="34" spans="1:12" x14ac:dyDescent="0.35">
      <c r="A34" s="38" t="s">
        <v>147</v>
      </c>
      <c r="B34" s="39" t="s">
        <v>13</v>
      </c>
      <c r="C34" s="40" t="s">
        <v>148</v>
      </c>
      <c r="D34" s="40" t="s">
        <v>34</v>
      </c>
      <c r="E34" s="40" t="s">
        <v>149</v>
      </c>
      <c r="F34" s="41" t="s">
        <v>133</v>
      </c>
      <c r="G34" s="39">
        <v>6</v>
      </c>
      <c r="H34" s="39" t="s">
        <v>18</v>
      </c>
      <c r="I34" s="41" t="s">
        <v>133</v>
      </c>
      <c r="J34" s="40" t="s">
        <v>150</v>
      </c>
      <c r="K34" s="40" t="s">
        <v>130</v>
      </c>
      <c r="L34" s="42" t="s">
        <v>21</v>
      </c>
    </row>
    <row r="35" spans="1:12" x14ac:dyDescent="0.35">
      <c r="A35" s="9" t="s">
        <v>151</v>
      </c>
      <c r="B35" s="10" t="s">
        <v>13</v>
      </c>
      <c r="C35" s="11" t="s">
        <v>152</v>
      </c>
      <c r="D35" s="11" t="s">
        <v>34</v>
      </c>
      <c r="E35" s="11" t="s">
        <v>47</v>
      </c>
      <c r="F35" s="12" t="s">
        <v>29</v>
      </c>
      <c r="G35" s="10">
        <v>2</v>
      </c>
      <c r="H35" s="10" t="s">
        <v>18</v>
      </c>
      <c r="I35" s="12" t="s">
        <v>29</v>
      </c>
      <c r="J35" s="11" t="s">
        <v>153</v>
      </c>
      <c r="K35" s="11" t="s">
        <v>25</v>
      </c>
      <c r="L35" s="13" t="s">
        <v>21</v>
      </c>
    </row>
    <row r="36" spans="1:12" x14ac:dyDescent="0.35">
      <c r="A36" s="14" t="s">
        <v>154</v>
      </c>
      <c r="B36" s="15" t="s">
        <v>85</v>
      </c>
      <c r="C36" s="16" t="s">
        <v>155</v>
      </c>
      <c r="D36" s="16" t="s">
        <v>90</v>
      </c>
      <c r="E36" s="16" t="s">
        <v>104</v>
      </c>
      <c r="F36" s="17" t="s">
        <v>62</v>
      </c>
      <c r="G36" s="15">
        <v>2</v>
      </c>
      <c r="H36" s="15" t="s">
        <v>18</v>
      </c>
      <c r="I36" s="17" t="s">
        <v>97</v>
      </c>
      <c r="J36" s="16" t="s">
        <v>156</v>
      </c>
      <c r="K36" s="16" t="s">
        <v>39</v>
      </c>
      <c r="L36" s="18" t="s">
        <v>26</v>
      </c>
    </row>
    <row r="37" spans="1:12" ht="15" customHeight="1" x14ac:dyDescent="0.35">
      <c r="A37" s="19" t="s">
        <v>157</v>
      </c>
      <c r="B37" s="20" t="s">
        <v>13</v>
      </c>
      <c r="C37" s="21" t="s">
        <v>158</v>
      </c>
      <c r="D37" s="21" t="s">
        <v>34</v>
      </c>
      <c r="E37" s="21" t="s">
        <v>82</v>
      </c>
      <c r="F37" s="22" t="s">
        <v>30</v>
      </c>
      <c r="G37" s="20">
        <v>15</v>
      </c>
      <c r="H37" s="20" t="s">
        <v>18</v>
      </c>
      <c r="I37" s="22" t="s">
        <v>17</v>
      </c>
      <c r="J37" s="21" t="s">
        <v>159</v>
      </c>
      <c r="K37" s="21" t="s">
        <v>130</v>
      </c>
      <c r="L37" s="23" t="s">
        <v>21</v>
      </c>
    </row>
    <row r="38" spans="1:12" x14ac:dyDescent="0.35">
      <c r="A38" s="24" t="s">
        <v>160</v>
      </c>
      <c r="B38" s="24" t="s">
        <v>13</v>
      </c>
      <c r="C38" s="24" t="s">
        <v>161</v>
      </c>
      <c r="D38" s="24" t="s">
        <v>90</v>
      </c>
      <c r="E38" s="24" t="s">
        <v>97</v>
      </c>
      <c r="F38" s="25" t="s">
        <v>52</v>
      </c>
      <c r="G38" s="24">
        <v>6</v>
      </c>
      <c r="H38" s="24" t="s">
        <v>109</v>
      </c>
      <c r="I38" s="25"/>
      <c r="J38" s="24" t="s">
        <v>162</v>
      </c>
      <c r="K38" s="24" t="s">
        <v>25</v>
      </c>
      <c r="L38" s="24" t="s">
        <v>21</v>
      </c>
    </row>
    <row r="39" spans="1:12" x14ac:dyDescent="0.35">
      <c r="A39" s="36" t="s">
        <v>163</v>
      </c>
      <c r="B39" s="36" t="s">
        <v>13</v>
      </c>
      <c r="C39" s="36" t="s">
        <v>164</v>
      </c>
      <c r="D39" s="36" t="s">
        <v>34</v>
      </c>
      <c r="E39" s="36" t="s">
        <v>165</v>
      </c>
      <c r="F39" s="37" t="s">
        <v>97</v>
      </c>
      <c r="G39" s="36">
        <v>18</v>
      </c>
      <c r="H39" s="36" t="s">
        <v>109</v>
      </c>
      <c r="I39" s="37"/>
      <c r="J39" s="36" t="s">
        <v>166</v>
      </c>
      <c r="K39" s="36" t="s">
        <v>25</v>
      </c>
      <c r="L39" s="36" t="s">
        <v>21</v>
      </c>
    </row>
    <row r="40" spans="1:12" x14ac:dyDescent="0.35">
      <c r="A40" s="24" t="s">
        <v>167</v>
      </c>
      <c r="B40" s="24" t="s">
        <v>13</v>
      </c>
      <c r="C40" s="24" t="s">
        <v>168</v>
      </c>
      <c r="D40" s="24" t="s">
        <v>34</v>
      </c>
      <c r="E40" s="24" t="s">
        <v>29</v>
      </c>
      <c r="F40" s="25" t="s">
        <v>37</v>
      </c>
      <c r="G40" s="24">
        <v>5</v>
      </c>
      <c r="H40" s="24" t="s">
        <v>42</v>
      </c>
      <c r="I40" s="25"/>
      <c r="J40" s="24" t="s">
        <v>169</v>
      </c>
      <c r="K40" s="24" t="s">
        <v>25</v>
      </c>
      <c r="L40" s="24" t="s">
        <v>26</v>
      </c>
    </row>
    <row r="41" spans="1:12" x14ac:dyDescent="0.35">
      <c r="A41" s="26" t="s">
        <v>170</v>
      </c>
      <c r="B41" s="27" t="s">
        <v>13</v>
      </c>
      <c r="C41" s="28" t="s">
        <v>171</v>
      </c>
      <c r="D41" s="28" t="s">
        <v>78</v>
      </c>
      <c r="E41" s="28" t="s">
        <v>113</v>
      </c>
      <c r="F41" s="29" t="s">
        <v>30</v>
      </c>
      <c r="G41" s="27">
        <v>2</v>
      </c>
      <c r="H41" s="27" t="s">
        <v>18</v>
      </c>
      <c r="I41" s="29" t="s">
        <v>30</v>
      </c>
      <c r="J41" s="28" t="s">
        <v>172</v>
      </c>
      <c r="K41" s="28" t="s">
        <v>39</v>
      </c>
      <c r="L41" s="30" t="s">
        <v>21</v>
      </c>
    </row>
    <row r="42" spans="1:12" x14ac:dyDescent="0.35">
      <c r="A42" s="14" t="s">
        <v>173</v>
      </c>
      <c r="B42" s="15" t="s">
        <v>13</v>
      </c>
      <c r="C42" s="16" t="s">
        <v>174</v>
      </c>
      <c r="D42" s="16" t="s">
        <v>15</v>
      </c>
      <c r="E42" s="16" t="s">
        <v>133</v>
      </c>
      <c r="F42" s="17" t="s">
        <v>118</v>
      </c>
      <c r="G42" s="15">
        <v>5</v>
      </c>
      <c r="H42" s="15" t="s">
        <v>18</v>
      </c>
      <c r="I42" s="17" t="s">
        <v>36</v>
      </c>
      <c r="J42" s="16" t="s">
        <v>175</v>
      </c>
      <c r="K42" s="16" t="s">
        <v>25</v>
      </c>
      <c r="L42" s="18" t="s">
        <v>21</v>
      </c>
    </row>
    <row r="43" spans="1:12" x14ac:dyDescent="0.35">
      <c r="A43" s="9" t="s">
        <v>176</v>
      </c>
      <c r="B43" s="10" t="s">
        <v>13</v>
      </c>
      <c r="C43" s="11" t="s">
        <v>177</v>
      </c>
      <c r="D43" s="11" t="s">
        <v>34</v>
      </c>
      <c r="E43" s="11" t="s">
        <v>178</v>
      </c>
      <c r="F43" s="12" t="s">
        <v>113</v>
      </c>
      <c r="G43" s="10">
        <v>13</v>
      </c>
      <c r="H43" s="10" t="s">
        <v>18</v>
      </c>
      <c r="I43" s="12" t="s">
        <v>23</v>
      </c>
      <c r="J43" s="11" t="s">
        <v>179</v>
      </c>
      <c r="K43" s="11" t="s">
        <v>130</v>
      </c>
      <c r="L43" s="13" t="s">
        <v>21</v>
      </c>
    </row>
    <row r="44" spans="1:12" x14ac:dyDescent="0.35">
      <c r="A44" s="14" t="s">
        <v>180</v>
      </c>
      <c r="B44" s="15" t="s">
        <v>13</v>
      </c>
      <c r="C44" s="16" t="s">
        <v>181</v>
      </c>
      <c r="D44" s="16" t="s">
        <v>34</v>
      </c>
      <c r="E44" s="16" t="s">
        <v>82</v>
      </c>
      <c r="F44" s="17" t="s">
        <v>62</v>
      </c>
      <c r="G44" s="15">
        <v>7</v>
      </c>
      <c r="H44" s="15" t="s">
        <v>18</v>
      </c>
      <c r="I44" s="17" t="s">
        <v>97</v>
      </c>
      <c r="J44" s="16" t="s">
        <v>182</v>
      </c>
      <c r="K44" s="16" t="s">
        <v>130</v>
      </c>
      <c r="L44" s="18" t="s">
        <v>21</v>
      </c>
    </row>
    <row r="45" spans="1:12" x14ac:dyDescent="0.35">
      <c r="A45" s="9" t="s">
        <v>183</v>
      </c>
      <c r="B45" s="10" t="s">
        <v>13</v>
      </c>
      <c r="C45" s="11" t="s">
        <v>184</v>
      </c>
      <c r="D45" s="11" t="s">
        <v>34</v>
      </c>
      <c r="E45" s="11" t="s">
        <v>35</v>
      </c>
      <c r="F45" s="12" t="s">
        <v>118</v>
      </c>
      <c r="G45" s="10">
        <v>11</v>
      </c>
      <c r="H45" s="10" t="s">
        <v>18</v>
      </c>
      <c r="I45" s="12" t="s">
        <v>118</v>
      </c>
      <c r="J45" s="11" t="s">
        <v>185</v>
      </c>
      <c r="K45" s="11" t="s">
        <v>39</v>
      </c>
      <c r="L45" s="13" t="s">
        <v>21</v>
      </c>
    </row>
    <row r="46" spans="1:12" x14ac:dyDescent="0.35">
      <c r="A46" s="14" t="s">
        <v>186</v>
      </c>
      <c r="B46" s="15" t="s">
        <v>13</v>
      </c>
      <c r="C46" s="16" t="s">
        <v>187</v>
      </c>
      <c r="D46" s="16" t="s">
        <v>34</v>
      </c>
      <c r="E46" s="16" t="s">
        <v>97</v>
      </c>
      <c r="F46" s="17" t="s">
        <v>17</v>
      </c>
      <c r="G46" s="15">
        <v>7</v>
      </c>
      <c r="H46" s="15" t="s">
        <v>18</v>
      </c>
      <c r="I46" s="17" t="s">
        <v>17</v>
      </c>
      <c r="J46" s="16" t="s">
        <v>188</v>
      </c>
      <c r="K46" s="16" t="s">
        <v>115</v>
      </c>
      <c r="L46" s="18" t="s">
        <v>21</v>
      </c>
    </row>
    <row r="47" spans="1:12" ht="15" customHeight="1" x14ac:dyDescent="0.35">
      <c r="A47" s="19" t="s">
        <v>189</v>
      </c>
      <c r="B47" s="20" t="s">
        <v>13</v>
      </c>
      <c r="C47" s="21" t="s">
        <v>190</v>
      </c>
      <c r="D47" s="21" t="s">
        <v>90</v>
      </c>
      <c r="E47" s="21" t="s">
        <v>37</v>
      </c>
      <c r="F47" s="22" t="s">
        <v>30</v>
      </c>
      <c r="G47" s="20">
        <v>3</v>
      </c>
      <c r="H47" s="20" t="s">
        <v>18</v>
      </c>
      <c r="I47" s="22" t="s">
        <v>30</v>
      </c>
      <c r="J47" s="21" t="s">
        <v>191</v>
      </c>
      <c r="K47" s="21" t="s">
        <v>39</v>
      </c>
      <c r="L47" s="23" t="s">
        <v>21</v>
      </c>
    </row>
    <row r="48" spans="1:12" x14ac:dyDescent="0.35">
      <c r="A48" s="24" t="s">
        <v>192</v>
      </c>
      <c r="B48" s="24" t="s">
        <v>13</v>
      </c>
      <c r="C48" s="24" t="s">
        <v>193</v>
      </c>
      <c r="D48" s="24" t="s">
        <v>90</v>
      </c>
      <c r="E48" s="24" t="s">
        <v>66</v>
      </c>
      <c r="F48" s="25" t="s">
        <v>36</v>
      </c>
      <c r="G48" s="24">
        <v>9</v>
      </c>
      <c r="H48" s="24" t="s">
        <v>109</v>
      </c>
      <c r="I48" s="25"/>
      <c r="J48" s="24" t="s">
        <v>194</v>
      </c>
      <c r="K48" s="24" t="s">
        <v>195</v>
      </c>
      <c r="L48" s="24" t="s">
        <v>21</v>
      </c>
    </row>
    <row r="49" spans="1:12" ht="15" customHeight="1" x14ac:dyDescent="0.35">
      <c r="A49" s="43" t="s">
        <v>196</v>
      </c>
      <c r="B49" s="44" t="s">
        <v>13</v>
      </c>
      <c r="C49" s="45" t="s">
        <v>197</v>
      </c>
      <c r="D49" s="45" t="s">
        <v>34</v>
      </c>
      <c r="E49" s="45" t="s">
        <v>66</v>
      </c>
      <c r="F49" s="46" t="s">
        <v>30</v>
      </c>
      <c r="G49" s="44">
        <v>13</v>
      </c>
      <c r="H49" s="44" t="s">
        <v>18</v>
      </c>
      <c r="I49" s="46" t="s">
        <v>30</v>
      </c>
      <c r="J49" s="45" t="s">
        <v>198</v>
      </c>
      <c r="K49" s="45" t="s">
        <v>25</v>
      </c>
      <c r="L49" s="47" t="s">
        <v>21</v>
      </c>
    </row>
    <row r="50" spans="1:12" x14ac:dyDescent="0.35">
      <c r="A50" s="24" t="s">
        <v>199</v>
      </c>
      <c r="B50" s="24" t="s">
        <v>13</v>
      </c>
      <c r="C50" s="24" t="s">
        <v>200</v>
      </c>
      <c r="D50" s="24" t="s">
        <v>34</v>
      </c>
      <c r="E50" s="24" t="s">
        <v>113</v>
      </c>
      <c r="F50" s="25" t="s">
        <v>70</v>
      </c>
      <c r="G50" s="24">
        <v>5</v>
      </c>
      <c r="H50" s="24" t="s">
        <v>42</v>
      </c>
      <c r="I50" s="25"/>
      <c r="J50" s="24" t="s">
        <v>201</v>
      </c>
      <c r="K50" s="24" t="s">
        <v>115</v>
      </c>
      <c r="L50" s="24" t="s">
        <v>26</v>
      </c>
    </row>
    <row r="51" spans="1:12" x14ac:dyDescent="0.35">
      <c r="A51" s="36" t="s">
        <v>202</v>
      </c>
      <c r="B51" s="36" t="s">
        <v>13</v>
      </c>
      <c r="C51" s="36" t="s">
        <v>203</v>
      </c>
      <c r="D51" s="36" t="s">
        <v>34</v>
      </c>
      <c r="E51" s="36" t="s">
        <v>29</v>
      </c>
      <c r="F51" s="37" t="s">
        <v>118</v>
      </c>
      <c r="G51" s="36">
        <v>3</v>
      </c>
      <c r="H51" s="36" t="s">
        <v>42</v>
      </c>
      <c r="I51" s="37"/>
      <c r="J51" s="36" t="s">
        <v>204</v>
      </c>
      <c r="K51" s="36" t="s">
        <v>44</v>
      </c>
      <c r="L51" s="36" t="s">
        <v>21</v>
      </c>
    </row>
    <row r="52" spans="1:12" x14ac:dyDescent="0.35">
      <c r="A52" s="38" t="s">
        <v>205</v>
      </c>
      <c r="B52" s="39" t="s">
        <v>13</v>
      </c>
      <c r="C52" s="40" t="s">
        <v>206</v>
      </c>
      <c r="D52" s="40" t="s">
        <v>34</v>
      </c>
      <c r="E52" s="40" t="s">
        <v>62</v>
      </c>
      <c r="F52" s="41" t="s">
        <v>23</v>
      </c>
      <c r="G52" s="39">
        <v>6</v>
      </c>
      <c r="H52" s="39" t="s">
        <v>18</v>
      </c>
      <c r="I52" s="41" t="s">
        <v>23</v>
      </c>
      <c r="J52" s="40" t="s">
        <v>207</v>
      </c>
      <c r="K52" s="40" t="s">
        <v>115</v>
      </c>
      <c r="L52" s="42" t="s">
        <v>21</v>
      </c>
    </row>
    <row r="53" spans="1:12" x14ac:dyDescent="0.35">
      <c r="A53" s="9" t="s">
        <v>208</v>
      </c>
      <c r="B53" s="10" t="s">
        <v>13</v>
      </c>
      <c r="C53" s="11" t="s">
        <v>209</v>
      </c>
      <c r="D53" s="11" t="s">
        <v>34</v>
      </c>
      <c r="E53" s="11" t="s">
        <v>104</v>
      </c>
      <c r="F53" s="12" t="s">
        <v>37</v>
      </c>
      <c r="G53" s="10">
        <v>5</v>
      </c>
      <c r="H53" s="10" t="s">
        <v>18</v>
      </c>
      <c r="I53" s="12" t="s">
        <v>37</v>
      </c>
      <c r="J53" s="11" t="s">
        <v>210</v>
      </c>
      <c r="K53" s="11" t="s">
        <v>130</v>
      </c>
      <c r="L53" s="13" t="s">
        <v>21</v>
      </c>
    </row>
    <row r="54" spans="1:12" ht="15" customHeight="1" x14ac:dyDescent="0.35">
      <c r="A54" s="31" t="s">
        <v>211</v>
      </c>
      <c r="B54" s="32" t="s">
        <v>13</v>
      </c>
      <c r="C54" s="33" t="s">
        <v>212</v>
      </c>
      <c r="D54" s="33" t="s">
        <v>15</v>
      </c>
      <c r="E54" s="33" t="s">
        <v>36</v>
      </c>
      <c r="F54" s="34" t="s">
        <v>52</v>
      </c>
      <c r="G54" s="32">
        <v>4</v>
      </c>
      <c r="H54" s="32" t="s">
        <v>18</v>
      </c>
      <c r="I54" s="34" t="s">
        <v>30</v>
      </c>
      <c r="J54" s="33" t="s">
        <v>213</v>
      </c>
      <c r="K54" s="33" t="s">
        <v>25</v>
      </c>
      <c r="L54" s="35" t="s">
        <v>21</v>
      </c>
    </row>
    <row r="55" spans="1:12" x14ac:dyDescent="0.35">
      <c r="A55" s="36" t="s">
        <v>214</v>
      </c>
      <c r="B55" s="36" t="s">
        <v>13</v>
      </c>
      <c r="C55" s="36" t="s">
        <v>215</v>
      </c>
      <c r="D55" s="36" t="s">
        <v>34</v>
      </c>
      <c r="E55" s="36" t="s">
        <v>66</v>
      </c>
      <c r="F55" s="37" t="s">
        <v>62</v>
      </c>
      <c r="G55" s="36">
        <v>6</v>
      </c>
      <c r="H55" s="36" t="s">
        <v>109</v>
      </c>
      <c r="I55" s="37"/>
      <c r="J55" s="36" t="s">
        <v>216</v>
      </c>
      <c r="K55" s="36" t="s">
        <v>130</v>
      </c>
      <c r="L55" s="36" t="s">
        <v>21</v>
      </c>
    </row>
    <row r="56" spans="1:12" x14ac:dyDescent="0.35">
      <c r="A56" s="24" t="s">
        <v>214</v>
      </c>
      <c r="B56" s="24" t="s">
        <v>13</v>
      </c>
      <c r="C56" s="24" t="s">
        <v>215</v>
      </c>
      <c r="D56" s="24" t="s">
        <v>34</v>
      </c>
      <c r="E56" s="24" t="s">
        <v>66</v>
      </c>
      <c r="F56" s="25" t="s">
        <v>17</v>
      </c>
      <c r="G56" s="24">
        <v>15</v>
      </c>
      <c r="H56" s="24" t="s">
        <v>42</v>
      </c>
      <c r="I56" s="25"/>
      <c r="J56" s="24" t="s">
        <v>216</v>
      </c>
      <c r="K56" s="24" t="s">
        <v>130</v>
      </c>
      <c r="L56" s="24" t="s">
        <v>21</v>
      </c>
    </row>
    <row r="57" spans="1:12" x14ac:dyDescent="0.35">
      <c r="A57" s="36" t="s">
        <v>217</v>
      </c>
      <c r="B57" s="36" t="s">
        <v>13</v>
      </c>
      <c r="C57" s="36" t="s">
        <v>218</v>
      </c>
      <c r="D57" s="36" t="s">
        <v>90</v>
      </c>
      <c r="E57" s="36" t="s">
        <v>113</v>
      </c>
      <c r="F57" s="37" t="s">
        <v>70</v>
      </c>
      <c r="G57" s="36">
        <v>5</v>
      </c>
      <c r="H57" s="36" t="s">
        <v>42</v>
      </c>
      <c r="I57" s="37"/>
      <c r="J57" s="36" t="s">
        <v>219</v>
      </c>
      <c r="K57" s="36" t="s">
        <v>115</v>
      </c>
      <c r="L57" s="36" t="s">
        <v>26</v>
      </c>
    </row>
    <row r="58" spans="1:12" x14ac:dyDescent="0.35">
      <c r="A58" s="38" t="s">
        <v>220</v>
      </c>
      <c r="B58" s="39" t="s">
        <v>13</v>
      </c>
      <c r="C58" s="40" t="s">
        <v>221</v>
      </c>
      <c r="D58" s="40" t="s">
        <v>34</v>
      </c>
      <c r="E58" s="40" t="s">
        <v>178</v>
      </c>
      <c r="F58" s="41" t="s">
        <v>118</v>
      </c>
      <c r="G58" s="39">
        <v>9</v>
      </c>
      <c r="H58" s="39" t="s">
        <v>18</v>
      </c>
      <c r="I58" s="41" t="s">
        <v>36</v>
      </c>
      <c r="J58" s="40" t="s">
        <v>222</v>
      </c>
      <c r="K58" s="40" t="s">
        <v>130</v>
      </c>
      <c r="L58" s="42" t="s">
        <v>26</v>
      </c>
    </row>
    <row r="59" spans="1:12" x14ac:dyDescent="0.35">
      <c r="A59" s="9" t="s">
        <v>223</v>
      </c>
      <c r="B59" s="10" t="s">
        <v>13</v>
      </c>
      <c r="C59" s="11" t="s">
        <v>224</v>
      </c>
      <c r="D59" s="11" t="s">
        <v>15</v>
      </c>
      <c r="E59" s="11" t="s">
        <v>113</v>
      </c>
      <c r="F59" s="12" t="s">
        <v>30</v>
      </c>
      <c r="G59" s="10">
        <v>2</v>
      </c>
      <c r="H59" s="10" t="s">
        <v>18</v>
      </c>
      <c r="I59" s="12" t="s">
        <v>30</v>
      </c>
      <c r="J59" s="11" t="s">
        <v>225</v>
      </c>
      <c r="K59" s="11" t="s">
        <v>25</v>
      </c>
      <c r="L59" s="13" t="s">
        <v>26</v>
      </c>
    </row>
    <row r="60" spans="1:12" x14ac:dyDescent="0.35">
      <c r="A60" s="14" t="s">
        <v>226</v>
      </c>
      <c r="B60" s="15" t="s">
        <v>13</v>
      </c>
      <c r="C60" s="16" t="s">
        <v>227</v>
      </c>
      <c r="D60" s="16" t="s">
        <v>34</v>
      </c>
      <c r="E60" s="16" t="s">
        <v>118</v>
      </c>
      <c r="F60" s="17" t="s">
        <v>17</v>
      </c>
      <c r="G60" s="15">
        <v>7</v>
      </c>
      <c r="H60" s="15" t="s">
        <v>18</v>
      </c>
      <c r="I60" s="17" t="s">
        <v>17</v>
      </c>
      <c r="J60" s="16" t="s">
        <v>228</v>
      </c>
      <c r="K60" s="16" t="s">
        <v>44</v>
      </c>
      <c r="L60" s="18" t="s">
        <v>21</v>
      </c>
    </row>
    <row r="61" spans="1:12" ht="15" customHeight="1" x14ac:dyDescent="0.35">
      <c r="A61" s="19" t="s">
        <v>229</v>
      </c>
      <c r="B61" s="20" t="s">
        <v>13</v>
      </c>
      <c r="C61" s="21" t="s">
        <v>230</v>
      </c>
      <c r="D61" s="21" t="s">
        <v>34</v>
      </c>
      <c r="E61" s="21" t="s">
        <v>97</v>
      </c>
      <c r="F61" s="22" t="s">
        <v>17</v>
      </c>
      <c r="G61" s="20">
        <v>7</v>
      </c>
      <c r="H61" s="20" t="s">
        <v>18</v>
      </c>
      <c r="I61" s="22" t="s">
        <v>70</v>
      </c>
      <c r="J61" s="21" t="s">
        <v>231</v>
      </c>
      <c r="K61" s="21" t="s">
        <v>115</v>
      </c>
      <c r="L61" s="23" t="s">
        <v>21</v>
      </c>
    </row>
    <row r="62" spans="1:12" x14ac:dyDescent="0.35">
      <c r="A62" s="24" t="s">
        <v>232</v>
      </c>
      <c r="B62" s="24" t="s">
        <v>13</v>
      </c>
      <c r="C62" s="24" t="s">
        <v>233</v>
      </c>
      <c r="D62" s="24" t="s">
        <v>34</v>
      </c>
      <c r="E62" s="24" t="s">
        <v>104</v>
      </c>
      <c r="F62" s="25" t="s">
        <v>37</v>
      </c>
      <c r="G62" s="24">
        <v>5</v>
      </c>
      <c r="H62" s="24" t="s">
        <v>42</v>
      </c>
      <c r="I62" s="25"/>
      <c r="J62" s="24" t="s">
        <v>234</v>
      </c>
      <c r="K62" s="24" t="s">
        <v>115</v>
      </c>
      <c r="L62" s="24" t="s">
        <v>21</v>
      </c>
    </row>
    <row r="63" spans="1:12" x14ac:dyDescent="0.35">
      <c r="A63" s="26" t="s">
        <v>235</v>
      </c>
      <c r="B63" s="27" t="s">
        <v>13</v>
      </c>
      <c r="C63" s="28" t="s">
        <v>236</v>
      </c>
      <c r="D63" s="28" t="s">
        <v>34</v>
      </c>
      <c r="E63" s="28" t="s">
        <v>118</v>
      </c>
      <c r="F63" s="29" t="s">
        <v>17</v>
      </c>
      <c r="G63" s="27">
        <v>8</v>
      </c>
      <c r="H63" s="27" t="s">
        <v>18</v>
      </c>
      <c r="I63" s="29" t="s">
        <v>70</v>
      </c>
      <c r="J63" s="28" t="s">
        <v>237</v>
      </c>
      <c r="K63" s="28" t="s">
        <v>44</v>
      </c>
      <c r="L63" s="30" t="s">
        <v>26</v>
      </c>
    </row>
    <row r="64" spans="1:12" x14ac:dyDescent="0.35">
      <c r="A64" s="14" t="s">
        <v>238</v>
      </c>
      <c r="B64" s="15" t="s">
        <v>13</v>
      </c>
      <c r="C64" s="16" t="s">
        <v>239</v>
      </c>
      <c r="D64" s="16" t="s">
        <v>34</v>
      </c>
      <c r="E64" s="16" t="s">
        <v>82</v>
      </c>
      <c r="F64" s="17" t="s">
        <v>52</v>
      </c>
      <c r="G64" s="15">
        <v>13</v>
      </c>
      <c r="H64" s="15" t="s">
        <v>18</v>
      </c>
      <c r="I64" s="17" t="s">
        <v>52</v>
      </c>
      <c r="J64" s="16" t="s">
        <v>240</v>
      </c>
      <c r="K64" s="16" t="s">
        <v>241</v>
      </c>
      <c r="L64" s="18" t="s">
        <v>21</v>
      </c>
    </row>
    <row r="65" spans="1:12" ht="15" customHeight="1" x14ac:dyDescent="0.35">
      <c r="A65" s="19" t="s">
        <v>242</v>
      </c>
      <c r="B65" s="20" t="s">
        <v>13</v>
      </c>
      <c r="C65" s="21" t="s">
        <v>243</v>
      </c>
      <c r="D65" s="21" t="s">
        <v>15</v>
      </c>
      <c r="E65" s="21" t="s">
        <v>244</v>
      </c>
      <c r="F65" s="22" t="s">
        <v>113</v>
      </c>
      <c r="G65" s="20">
        <v>19</v>
      </c>
      <c r="H65" s="20" t="s">
        <v>18</v>
      </c>
      <c r="I65" s="22" t="s">
        <v>23</v>
      </c>
      <c r="J65" s="21" t="s">
        <v>245</v>
      </c>
      <c r="K65" s="21" t="s">
        <v>25</v>
      </c>
      <c r="L65" s="23" t="s">
        <v>21</v>
      </c>
    </row>
    <row r="66" spans="1:12" x14ac:dyDescent="0.35">
      <c r="A66" s="24" t="s">
        <v>246</v>
      </c>
      <c r="B66" s="24" t="s">
        <v>13</v>
      </c>
      <c r="C66" s="24" t="s">
        <v>247</v>
      </c>
      <c r="D66" s="24" t="s">
        <v>15</v>
      </c>
      <c r="E66" s="24" t="s">
        <v>248</v>
      </c>
      <c r="F66" s="25" t="s">
        <v>70</v>
      </c>
      <c r="G66" s="24">
        <v>30</v>
      </c>
      <c r="H66" s="24" t="s">
        <v>42</v>
      </c>
      <c r="I66" s="25"/>
      <c r="J66" s="24" t="s">
        <v>249</v>
      </c>
      <c r="K66" s="24" t="s">
        <v>25</v>
      </c>
      <c r="L66" s="24" t="s">
        <v>21</v>
      </c>
    </row>
    <row r="67" spans="1:12" ht="15" customHeight="1" x14ac:dyDescent="0.35">
      <c r="A67" s="43" t="s">
        <v>250</v>
      </c>
      <c r="B67" s="44" t="s">
        <v>13</v>
      </c>
      <c r="C67" s="45" t="s">
        <v>251</v>
      </c>
      <c r="D67" s="45" t="s">
        <v>78</v>
      </c>
      <c r="E67" s="45" t="s">
        <v>252</v>
      </c>
      <c r="F67" s="46" t="s">
        <v>113</v>
      </c>
      <c r="G67" s="44">
        <v>18</v>
      </c>
      <c r="H67" s="44" t="s">
        <v>18</v>
      </c>
      <c r="I67" s="46" t="s">
        <v>23</v>
      </c>
      <c r="J67" s="45" t="s">
        <v>253</v>
      </c>
      <c r="K67" s="45" t="s">
        <v>25</v>
      </c>
      <c r="L67" s="47" t="s">
        <v>21</v>
      </c>
    </row>
    <row r="68" spans="1:12" x14ac:dyDescent="0.35">
      <c r="A68" s="24" t="s">
        <v>254</v>
      </c>
      <c r="B68" s="24" t="s">
        <v>13</v>
      </c>
      <c r="C68" s="24" t="s">
        <v>255</v>
      </c>
      <c r="D68" s="24" t="s">
        <v>15</v>
      </c>
      <c r="E68" s="24" t="s">
        <v>133</v>
      </c>
      <c r="F68" s="25" t="s">
        <v>118</v>
      </c>
      <c r="G68" s="24">
        <v>5</v>
      </c>
      <c r="H68" s="24" t="s">
        <v>42</v>
      </c>
      <c r="I68" s="25"/>
      <c r="J68" s="24" t="s">
        <v>256</v>
      </c>
      <c r="K68" s="24" t="s">
        <v>25</v>
      </c>
      <c r="L68" s="24" t="s">
        <v>21</v>
      </c>
    </row>
    <row r="69" spans="1:12" x14ac:dyDescent="0.35">
      <c r="A69" s="26" t="s">
        <v>257</v>
      </c>
      <c r="B69" s="27" t="s">
        <v>13</v>
      </c>
      <c r="C69" s="28" t="s">
        <v>258</v>
      </c>
      <c r="D69" s="28" t="s">
        <v>78</v>
      </c>
      <c r="E69" s="28" t="s">
        <v>259</v>
      </c>
      <c r="F69" s="29" t="s">
        <v>133</v>
      </c>
      <c r="G69" s="27">
        <v>35</v>
      </c>
      <c r="H69" s="27" t="s">
        <v>18</v>
      </c>
      <c r="I69" s="29" t="s">
        <v>104</v>
      </c>
      <c r="J69" s="28" t="s">
        <v>260</v>
      </c>
      <c r="K69" s="28" t="s">
        <v>25</v>
      </c>
      <c r="L69" s="30" t="s">
        <v>21</v>
      </c>
    </row>
    <row r="70" spans="1:12" ht="15" customHeight="1" x14ac:dyDescent="0.35">
      <c r="A70" s="31" t="s">
        <v>261</v>
      </c>
      <c r="B70" s="32" t="s">
        <v>13</v>
      </c>
      <c r="C70" s="33" t="s">
        <v>262</v>
      </c>
      <c r="D70" s="33" t="s">
        <v>34</v>
      </c>
      <c r="E70" s="33" t="s">
        <v>37</v>
      </c>
      <c r="F70" s="34" t="s">
        <v>52</v>
      </c>
      <c r="G70" s="32">
        <v>3</v>
      </c>
      <c r="H70" s="32" t="s">
        <v>18</v>
      </c>
      <c r="I70" s="34" t="s">
        <v>17</v>
      </c>
      <c r="J70" s="33" t="s">
        <v>263</v>
      </c>
      <c r="K70" s="33" t="s">
        <v>72</v>
      </c>
      <c r="L70" s="35" t="s">
        <v>21</v>
      </c>
    </row>
    <row r="71" spans="1:12" x14ac:dyDescent="0.35">
      <c r="A71" s="36" t="s">
        <v>264</v>
      </c>
      <c r="B71" s="36" t="s">
        <v>13</v>
      </c>
      <c r="C71" s="36" t="s">
        <v>265</v>
      </c>
      <c r="D71" s="36" t="s">
        <v>34</v>
      </c>
      <c r="E71" s="36" t="s">
        <v>104</v>
      </c>
      <c r="F71" s="37" t="s">
        <v>118</v>
      </c>
      <c r="G71" s="36">
        <v>3</v>
      </c>
      <c r="H71" s="36" t="s">
        <v>42</v>
      </c>
      <c r="I71" s="37"/>
      <c r="J71" s="36" t="s">
        <v>266</v>
      </c>
      <c r="K71" s="36" t="s">
        <v>115</v>
      </c>
      <c r="L71" s="36" t="s">
        <v>26</v>
      </c>
    </row>
    <row r="72" spans="1:12" x14ac:dyDescent="0.35">
      <c r="A72" s="24" t="s">
        <v>267</v>
      </c>
      <c r="B72" s="24" t="s">
        <v>13</v>
      </c>
      <c r="C72" s="24" t="s">
        <v>268</v>
      </c>
      <c r="D72" s="24" t="s">
        <v>34</v>
      </c>
      <c r="E72" s="24" t="s">
        <v>62</v>
      </c>
      <c r="F72" s="25" t="s">
        <v>52</v>
      </c>
      <c r="G72" s="24">
        <v>7</v>
      </c>
      <c r="H72" s="24" t="s">
        <v>42</v>
      </c>
      <c r="I72" s="25"/>
      <c r="J72" s="24" t="s">
        <v>269</v>
      </c>
      <c r="K72" s="24" t="s">
        <v>44</v>
      </c>
      <c r="L72" s="24" t="s">
        <v>21</v>
      </c>
    </row>
    <row r="73" spans="1:12" x14ac:dyDescent="0.35">
      <c r="A73" s="36" t="s">
        <v>270</v>
      </c>
      <c r="B73" s="36" t="s">
        <v>13</v>
      </c>
      <c r="C73" s="36" t="s">
        <v>271</v>
      </c>
      <c r="D73" s="36" t="s">
        <v>15</v>
      </c>
      <c r="E73" s="36" t="s">
        <v>62</v>
      </c>
      <c r="F73" s="37" t="s">
        <v>37</v>
      </c>
      <c r="G73" s="36">
        <v>5</v>
      </c>
      <c r="H73" s="36" t="s">
        <v>109</v>
      </c>
      <c r="I73" s="37"/>
      <c r="J73" s="36" t="s">
        <v>272</v>
      </c>
      <c r="K73" s="36" t="s">
        <v>25</v>
      </c>
      <c r="L73" s="36" t="s">
        <v>21</v>
      </c>
    </row>
    <row r="74" spans="1:12" ht="15" customHeight="1" x14ac:dyDescent="0.35">
      <c r="A74" s="48" t="s">
        <v>273</v>
      </c>
      <c r="B74" s="49" t="s">
        <v>13</v>
      </c>
      <c r="C74" s="50" t="s">
        <v>274</v>
      </c>
      <c r="D74" s="50" t="s">
        <v>34</v>
      </c>
      <c r="E74" s="50" t="s">
        <v>275</v>
      </c>
      <c r="F74" s="51" t="s">
        <v>30</v>
      </c>
      <c r="G74" s="49">
        <v>24</v>
      </c>
      <c r="H74" s="49" t="s">
        <v>18</v>
      </c>
      <c r="I74" s="51" t="s">
        <v>70</v>
      </c>
      <c r="J74" s="50" t="s">
        <v>276</v>
      </c>
      <c r="K74" s="50" t="s">
        <v>130</v>
      </c>
      <c r="L74" s="52" t="s">
        <v>21</v>
      </c>
    </row>
    <row r="75" spans="1:12" x14ac:dyDescent="0.35">
      <c r="A75" s="36" t="s">
        <v>277</v>
      </c>
      <c r="B75" s="36" t="s">
        <v>13</v>
      </c>
      <c r="C75" s="36" t="s">
        <v>278</v>
      </c>
      <c r="D75" s="36" t="s">
        <v>90</v>
      </c>
      <c r="E75" s="36" t="s">
        <v>118</v>
      </c>
      <c r="F75" s="37" t="s">
        <v>37</v>
      </c>
      <c r="G75" s="36">
        <v>2</v>
      </c>
      <c r="H75" s="36" t="s">
        <v>42</v>
      </c>
      <c r="I75" s="37"/>
      <c r="J75" s="36" t="s">
        <v>279</v>
      </c>
      <c r="K75" s="36" t="s">
        <v>25</v>
      </c>
      <c r="L75" s="36" t="s">
        <v>26</v>
      </c>
    </row>
    <row r="76" spans="1:12" x14ac:dyDescent="0.35">
      <c r="A76" s="24" t="s">
        <v>280</v>
      </c>
      <c r="B76" s="24" t="s">
        <v>13</v>
      </c>
      <c r="C76" s="24" t="s">
        <v>281</v>
      </c>
      <c r="D76" s="24" t="s">
        <v>78</v>
      </c>
      <c r="E76" s="24" t="s">
        <v>97</v>
      </c>
      <c r="F76" s="25" t="s">
        <v>17</v>
      </c>
      <c r="G76" s="24">
        <v>8</v>
      </c>
      <c r="H76" s="24" t="s">
        <v>42</v>
      </c>
      <c r="I76" s="25"/>
      <c r="J76" s="24" t="s">
        <v>282</v>
      </c>
      <c r="K76" s="24" t="s">
        <v>39</v>
      </c>
      <c r="L76" s="24" t="s">
        <v>21</v>
      </c>
    </row>
    <row r="77" spans="1:12" x14ac:dyDescent="0.35">
      <c r="A77" s="26" t="s">
        <v>283</v>
      </c>
      <c r="B77" s="27" t="s">
        <v>13</v>
      </c>
      <c r="C77" s="28" t="s">
        <v>284</v>
      </c>
      <c r="D77" s="28" t="s">
        <v>34</v>
      </c>
      <c r="E77" s="28" t="s">
        <v>82</v>
      </c>
      <c r="F77" s="29" t="s">
        <v>17</v>
      </c>
      <c r="G77" s="27">
        <v>16</v>
      </c>
      <c r="H77" s="27" t="s">
        <v>18</v>
      </c>
      <c r="I77" s="29" t="s">
        <v>17</v>
      </c>
      <c r="J77" s="28" t="s">
        <v>285</v>
      </c>
      <c r="K77" s="28" t="s">
        <v>130</v>
      </c>
      <c r="L77" s="30" t="s">
        <v>21</v>
      </c>
    </row>
    <row r="78" spans="1:12" ht="15" customHeight="1" x14ac:dyDescent="0.35">
      <c r="A78" s="31" t="s">
        <v>286</v>
      </c>
      <c r="B78" s="32" t="s">
        <v>13</v>
      </c>
      <c r="C78" s="33" t="s">
        <v>287</v>
      </c>
      <c r="D78" s="33" t="s">
        <v>34</v>
      </c>
      <c r="E78" s="33" t="s">
        <v>82</v>
      </c>
      <c r="F78" s="34" t="s">
        <v>66</v>
      </c>
      <c r="G78" s="32">
        <v>1</v>
      </c>
      <c r="H78" s="32" t="s">
        <v>18</v>
      </c>
      <c r="I78" s="34" t="s">
        <v>51</v>
      </c>
      <c r="J78" s="33" t="s">
        <v>288</v>
      </c>
      <c r="K78" s="33" t="s">
        <v>130</v>
      </c>
      <c r="L78" s="35" t="s">
        <v>26</v>
      </c>
    </row>
    <row r="79" spans="1:12" x14ac:dyDescent="0.35">
      <c r="A79" s="36" t="s">
        <v>289</v>
      </c>
      <c r="B79" s="36" t="s">
        <v>13</v>
      </c>
      <c r="C79" s="36" t="s">
        <v>290</v>
      </c>
      <c r="D79" s="36" t="s">
        <v>34</v>
      </c>
      <c r="E79" s="36" t="s">
        <v>291</v>
      </c>
      <c r="F79" s="37" t="s">
        <v>133</v>
      </c>
      <c r="G79" s="36">
        <v>33</v>
      </c>
      <c r="H79" s="36" t="s">
        <v>109</v>
      </c>
      <c r="I79" s="37"/>
      <c r="J79" s="36" t="s">
        <v>292</v>
      </c>
      <c r="K79" s="36" t="s">
        <v>293</v>
      </c>
      <c r="L79" s="36" t="s">
        <v>21</v>
      </c>
    </row>
    <row r="80" spans="1:12" x14ac:dyDescent="0.35">
      <c r="A80" s="38" t="s">
        <v>294</v>
      </c>
      <c r="B80" s="39" t="s">
        <v>13</v>
      </c>
      <c r="C80" s="40" t="s">
        <v>295</v>
      </c>
      <c r="D80" s="40" t="s">
        <v>34</v>
      </c>
      <c r="E80" s="40" t="s">
        <v>118</v>
      </c>
      <c r="F80" s="41" t="s">
        <v>113</v>
      </c>
      <c r="G80" s="39">
        <v>3</v>
      </c>
      <c r="H80" s="39" t="s">
        <v>18</v>
      </c>
      <c r="I80" s="41" t="s">
        <v>23</v>
      </c>
      <c r="J80" s="40" t="s">
        <v>296</v>
      </c>
      <c r="K80" s="40" t="s">
        <v>115</v>
      </c>
      <c r="L80" s="42" t="s">
        <v>26</v>
      </c>
    </row>
    <row r="81" spans="1:12" ht="15" customHeight="1" x14ac:dyDescent="0.35">
      <c r="A81" s="19" t="s">
        <v>297</v>
      </c>
      <c r="B81" s="20" t="s">
        <v>13</v>
      </c>
      <c r="C81" s="21" t="s">
        <v>298</v>
      </c>
      <c r="D81" s="21" t="s">
        <v>34</v>
      </c>
      <c r="E81" s="21" t="s">
        <v>82</v>
      </c>
      <c r="F81" s="22" t="s">
        <v>97</v>
      </c>
      <c r="G81" s="20">
        <v>8</v>
      </c>
      <c r="H81" s="20" t="s">
        <v>18</v>
      </c>
      <c r="I81" s="22" t="s">
        <v>118</v>
      </c>
      <c r="J81" s="21" t="s">
        <v>299</v>
      </c>
      <c r="K81" s="21" t="s">
        <v>130</v>
      </c>
      <c r="L81" s="23" t="s">
        <v>21</v>
      </c>
    </row>
    <row r="82" spans="1:12" x14ac:dyDescent="0.35">
      <c r="A82" s="24" t="s">
        <v>300</v>
      </c>
      <c r="B82" s="24" t="s">
        <v>13</v>
      </c>
      <c r="C82" s="24" t="s">
        <v>301</v>
      </c>
      <c r="D82" s="24" t="s">
        <v>15</v>
      </c>
      <c r="E82" s="24" t="s">
        <v>302</v>
      </c>
      <c r="F82" s="25" t="s">
        <v>17</v>
      </c>
      <c r="G82" s="24">
        <v>29</v>
      </c>
      <c r="H82" s="24" t="s">
        <v>42</v>
      </c>
      <c r="I82" s="25"/>
      <c r="J82" s="24" t="s">
        <v>303</v>
      </c>
      <c r="K82" s="24" t="s">
        <v>25</v>
      </c>
      <c r="L82" s="24" t="s">
        <v>21</v>
      </c>
    </row>
    <row r="83" spans="1:12" x14ac:dyDescent="0.35">
      <c r="A83" s="26" t="s">
        <v>304</v>
      </c>
      <c r="B83" s="27" t="s">
        <v>13</v>
      </c>
      <c r="C83" s="28" t="s">
        <v>305</v>
      </c>
      <c r="D83" s="28" t="s">
        <v>34</v>
      </c>
      <c r="E83" s="28" t="s">
        <v>47</v>
      </c>
      <c r="F83" s="29" t="s">
        <v>29</v>
      </c>
      <c r="G83" s="27">
        <v>3</v>
      </c>
      <c r="H83" s="27" t="s">
        <v>18</v>
      </c>
      <c r="I83" s="29" t="s">
        <v>29</v>
      </c>
      <c r="J83" s="28" t="s">
        <v>306</v>
      </c>
      <c r="K83" s="28" t="s">
        <v>44</v>
      </c>
      <c r="L83" s="30" t="s">
        <v>21</v>
      </c>
    </row>
    <row r="84" spans="1:12" x14ac:dyDescent="0.35">
      <c r="A84" s="14" t="s">
        <v>307</v>
      </c>
      <c r="B84" s="15" t="s">
        <v>13</v>
      </c>
      <c r="C84" s="16" t="s">
        <v>308</v>
      </c>
      <c r="D84" s="16" t="s">
        <v>90</v>
      </c>
      <c r="E84" s="16" t="s">
        <v>62</v>
      </c>
      <c r="F84" s="17" t="s">
        <v>37</v>
      </c>
      <c r="G84" s="15">
        <v>5</v>
      </c>
      <c r="H84" s="15" t="s">
        <v>18</v>
      </c>
      <c r="I84" s="17" t="s">
        <v>113</v>
      </c>
      <c r="J84" s="16" t="s">
        <v>309</v>
      </c>
      <c r="K84" s="16" t="s">
        <v>39</v>
      </c>
      <c r="L84" s="18" t="s">
        <v>26</v>
      </c>
    </row>
    <row r="85" spans="1:12" x14ac:dyDescent="0.35">
      <c r="A85" s="9" t="s">
        <v>310</v>
      </c>
      <c r="B85" s="10" t="s">
        <v>13</v>
      </c>
      <c r="C85" s="11" t="s">
        <v>311</v>
      </c>
      <c r="D85" s="11" t="s">
        <v>90</v>
      </c>
      <c r="E85" s="11" t="s">
        <v>118</v>
      </c>
      <c r="F85" s="12" t="s">
        <v>113</v>
      </c>
      <c r="G85" s="10">
        <v>2</v>
      </c>
      <c r="H85" s="10" t="s">
        <v>18</v>
      </c>
      <c r="I85" s="12" t="s">
        <v>52</v>
      </c>
      <c r="J85" s="11" t="s">
        <v>312</v>
      </c>
      <c r="K85" s="11" t="s">
        <v>39</v>
      </c>
      <c r="L85" s="13" t="s">
        <v>26</v>
      </c>
    </row>
    <row r="86" spans="1:12" ht="15" customHeight="1" x14ac:dyDescent="0.35">
      <c r="A86" s="31" t="s">
        <v>313</v>
      </c>
      <c r="B86" s="32" t="s">
        <v>13</v>
      </c>
      <c r="C86" s="33" t="s">
        <v>314</v>
      </c>
      <c r="D86" s="33" t="s">
        <v>34</v>
      </c>
      <c r="E86" s="33" t="s">
        <v>97</v>
      </c>
      <c r="F86" s="34" t="s">
        <v>113</v>
      </c>
      <c r="G86" s="32">
        <v>4</v>
      </c>
      <c r="H86" s="32" t="s">
        <v>18</v>
      </c>
      <c r="I86" s="34" t="s">
        <v>23</v>
      </c>
      <c r="J86" s="33" t="s">
        <v>315</v>
      </c>
      <c r="K86" s="33" t="s">
        <v>115</v>
      </c>
      <c r="L86" s="35" t="s">
        <v>26</v>
      </c>
    </row>
    <row r="87" spans="1:12" x14ac:dyDescent="0.35">
      <c r="A87" s="36" t="s">
        <v>316</v>
      </c>
      <c r="B87" s="36" t="s">
        <v>13</v>
      </c>
      <c r="C87" s="36" t="s">
        <v>317</v>
      </c>
      <c r="D87" s="36" t="s">
        <v>34</v>
      </c>
      <c r="E87" s="36" t="s">
        <v>178</v>
      </c>
      <c r="F87" s="37" t="s">
        <v>118</v>
      </c>
      <c r="G87" s="36">
        <v>10</v>
      </c>
      <c r="H87" s="36" t="s">
        <v>42</v>
      </c>
      <c r="I87" s="37"/>
      <c r="J87" s="36" t="s">
        <v>318</v>
      </c>
      <c r="K87" s="36" t="s">
        <v>25</v>
      </c>
      <c r="L87" s="36" t="s">
        <v>21</v>
      </c>
    </row>
    <row r="88" spans="1:12" x14ac:dyDescent="0.35">
      <c r="A88" s="24" t="s">
        <v>319</v>
      </c>
      <c r="B88" s="24" t="s">
        <v>13</v>
      </c>
      <c r="C88" s="24" t="s">
        <v>320</v>
      </c>
      <c r="D88" s="24" t="s">
        <v>34</v>
      </c>
      <c r="E88" s="24" t="s">
        <v>66</v>
      </c>
      <c r="F88" s="25" t="s">
        <v>52</v>
      </c>
      <c r="G88" s="24">
        <v>13</v>
      </c>
      <c r="H88" s="24" t="s">
        <v>42</v>
      </c>
      <c r="I88" s="25"/>
      <c r="J88" s="24" t="s">
        <v>321</v>
      </c>
      <c r="K88" s="24" t="s">
        <v>25</v>
      </c>
      <c r="L88" s="24" t="s">
        <v>21</v>
      </c>
    </row>
    <row r="89" spans="1:12" x14ac:dyDescent="0.35">
      <c r="A89" s="26" t="s">
        <v>322</v>
      </c>
      <c r="B89" s="27" t="s">
        <v>13</v>
      </c>
      <c r="C89" s="28" t="s">
        <v>323</v>
      </c>
      <c r="D89" s="28" t="s">
        <v>15</v>
      </c>
      <c r="E89" s="28" t="s">
        <v>113</v>
      </c>
      <c r="F89" s="29" t="s">
        <v>17</v>
      </c>
      <c r="G89" s="27">
        <v>4</v>
      </c>
      <c r="H89" s="27" t="s">
        <v>18</v>
      </c>
      <c r="I89" s="29" t="s">
        <v>17</v>
      </c>
      <c r="J89" s="28" t="s">
        <v>324</v>
      </c>
      <c r="K89" s="28" t="s">
        <v>25</v>
      </c>
      <c r="L89" s="30" t="s">
        <v>26</v>
      </c>
    </row>
    <row r="90" spans="1:12" x14ac:dyDescent="0.35">
      <c r="A90" s="14" t="s">
        <v>325</v>
      </c>
      <c r="B90" s="15" t="s">
        <v>13</v>
      </c>
      <c r="C90" s="16" t="s">
        <v>326</v>
      </c>
      <c r="D90" s="16" t="s">
        <v>90</v>
      </c>
      <c r="E90" s="16" t="s">
        <v>29</v>
      </c>
      <c r="F90" s="17" t="s">
        <v>17</v>
      </c>
      <c r="G90" s="15">
        <v>10</v>
      </c>
      <c r="H90" s="15" t="s">
        <v>18</v>
      </c>
      <c r="I90" s="17" t="s">
        <v>17</v>
      </c>
      <c r="J90" s="16" t="s">
        <v>327</v>
      </c>
      <c r="K90" s="16" t="s">
        <v>25</v>
      </c>
      <c r="L90" s="18" t="s">
        <v>21</v>
      </c>
    </row>
    <row r="91" spans="1:12" ht="15" customHeight="1" x14ac:dyDescent="0.35">
      <c r="A91" s="19" t="s">
        <v>328</v>
      </c>
      <c r="B91" s="20" t="s">
        <v>13</v>
      </c>
      <c r="C91" s="21" t="s">
        <v>329</v>
      </c>
      <c r="D91" s="21" t="s">
        <v>78</v>
      </c>
      <c r="E91" s="21" t="s">
        <v>29</v>
      </c>
      <c r="F91" s="22" t="s">
        <v>36</v>
      </c>
      <c r="G91" s="20">
        <v>4</v>
      </c>
      <c r="H91" s="20" t="s">
        <v>18</v>
      </c>
      <c r="I91" s="22" t="s">
        <v>37</v>
      </c>
      <c r="J91" s="21" t="s">
        <v>330</v>
      </c>
      <c r="K91" s="21" t="s">
        <v>25</v>
      </c>
      <c r="L91" s="23" t="s">
        <v>21</v>
      </c>
    </row>
    <row r="92" spans="1:12" x14ac:dyDescent="0.35">
      <c r="A92" s="24" t="s">
        <v>331</v>
      </c>
      <c r="B92" s="24" t="s">
        <v>13</v>
      </c>
      <c r="C92" s="24" t="s">
        <v>332</v>
      </c>
      <c r="D92" s="24" t="s">
        <v>15</v>
      </c>
      <c r="E92" s="24" t="s">
        <v>36</v>
      </c>
      <c r="F92" s="25" t="s">
        <v>17</v>
      </c>
      <c r="G92" s="24">
        <v>7</v>
      </c>
      <c r="H92" s="24" t="s">
        <v>109</v>
      </c>
      <c r="I92" s="25"/>
      <c r="J92" s="24" t="s">
        <v>333</v>
      </c>
      <c r="K92" s="24" t="s">
        <v>25</v>
      </c>
      <c r="L92" s="24" t="s">
        <v>21</v>
      </c>
    </row>
    <row r="93" spans="1:12" x14ac:dyDescent="0.35">
      <c r="A93" s="26" t="s">
        <v>334</v>
      </c>
      <c r="B93" s="27" t="s">
        <v>13</v>
      </c>
      <c r="C93" s="28" t="s">
        <v>335</v>
      </c>
      <c r="D93" s="28" t="s">
        <v>34</v>
      </c>
      <c r="E93" s="28" t="s">
        <v>51</v>
      </c>
      <c r="F93" s="29" t="s">
        <v>29</v>
      </c>
      <c r="G93" s="27">
        <v>4</v>
      </c>
      <c r="H93" s="27" t="s">
        <v>18</v>
      </c>
      <c r="I93" s="29" t="s">
        <v>62</v>
      </c>
      <c r="J93" s="28" t="s">
        <v>336</v>
      </c>
      <c r="K93" s="28" t="s">
        <v>44</v>
      </c>
      <c r="L93" s="30" t="s">
        <v>21</v>
      </c>
    </row>
    <row r="94" spans="1:12" x14ac:dyDescent="0.35">
      <c r="A94" s="14" t="s">
        <v>337</v>
      </c>
      <c r="B94" s="15" t="s">
        <v>13</v>
      </c>
      <c r="C94" s="16" t="s">
        <v>338</v>
      </c>
      <c r="D94" s="16" t="s">
        <v>34</v>
      </c>
      <c r="E94" s="16" t="s">
        <v>118</v>
      </c>
      <c r="F94" s="17" t="s">
        <v>52</v>
      </c>
      <c r="G94" s="15">
        <v>4</v>
      </c>
      <c r="H94" s="15" t="s">
        <v>18</v>
      </c>
      <c r="I94" s="17" t="s">
        <v>17</v>
      </c>
      <c r="J94" s="16" t="s">
        <v>339</v>
      </c>
      <c r="K94" s="16" t="s">
        <v>115</v>
      </c>
      <c r="L94" s="18" t="s">
        <v>26</v>
      </c>
    </row>
    <row r="95" spans="1:12" ht="15" customHeight="1" x14ac:dyDescent="0.35">
      <c r="A95" s="19" t="s">
        <v>340</v>
      </c>
      <c r="B95" s="20" t="s">
        <v>85</v>
      </c>
      <c r="C95" s="21" t="s">
        <v>341</v>
      </c>
      <c r="D95" s="21" t="s">
        <v>34</v>
      </c>
      <c r="E95" s="21" t="s">
        <v>252</v>
      </c>
      <c r="F95" s="22" t="s">
        <v>37</v>
      </c>
      <c r="G95" s="20">
        <v>16</v>
      </c>
      <c r="H95" s="20" t="s">
        <v>18</v>
      </c>
      <c r="I95" s="22" t="s">
        <v>113</v>
      </c>
      <c r="J95" s="21" t="s">
        <v>342</v>
      </c>
      <c r="K95" s="21" t="s">
        <v>130</v>
      </c>
      <c r="L95" s="23" t="s">
        <v>21</v>
      </c>
    </row>
    <row r="96" spans="1:12" x14ac:dyDescent="0.35">
      <c r="A96" s="24" t="s">
        <v>343</v>
      </c>
      <c r="B96" s="24" t="s">
        <v>13</v>
      </c>
      <c r="C96" s="24" t="s">
        <v>344</v>
      </c>
      <c r="D96" s="24" t="s">
        <v>34</v>
      </c>
      <c r="E96" s="24" t="s">
        <v>66</v>
      </c>
      <c r="F96" s="25" t="s">
        <v>133</v>
      </c>
      <c r="G96" s="24">
        <v>2</v>
      </c>
      <c r="H96" s="24" t="s">
        <v>42</v>
      </c>
      <c r="I96" s="25"/>
      <c r="J96" s="24" t="s">
        <v>345</v>
      </c>
      <c r="K96" s="24" t="s">
        <v>44</v>
      </c>
      <c r="L96" s="24" t="s">
        <v>21</v>
      </c>
    </row>
    <row r="97" spans="1:12" x14ac:dyDescent="0.35">
      <c r="A97" s="36" t="s">
        <v>346</v>
      </c>
      <c r="B97" s="36" t="s">
        <v>13</v>
      </c>
      <c r="C97" s="36" t="s">
        <v>347</v>
      </c>
      <c r="D97" s="36" t="s">
        <v>34</v>
      </c>
      <c r="E97" s="36" t="s">
        <v>29</v>
      </c>
      <c r="F97" s="37" t="s">
        <v>118</v>
      </c>
      <c r="G97" s="36">
        <v>3</v>
      </c>
      <c r="H97" s="36" t="s">
        <v>42</v>
      </c>
      <c r="I97" s="37"/>
      <c r="J97" s="36" t="s">
        <v>348</v>
      </c>
      <c r="K97" s="36" t="s">
        <v>44</v>
      </c>
      <c r="L97" s="36" t="s">
        <v>21</v>
      </c>
    </row>
    <row r="98" spans="1:12" x14ac:dyDescent="0.35">
      <c r="A98" s="38" t="s">
        <v>349</v>
      </c>
      <c r="B98" s="39" t="s">
        <v>13</v>
      </c>
      <c r="C98" s="40" t="s">
        <v>350</v>
      </c>
      <c r="D98" s="40" t="s">
        <v>34</v>
      </c>
      <c r="E98" s="40" t="s">
        <v>47</v>
      </c>
      <c r="F98" s="41" t="s">
        <v>118</v>
      </c>
      <c r="G98" s="39">
        <v>6</v>
      </c>
      <c r="H98" s="39" t="s">
        <v>18</v>
      </c>
      <c r="I98" s="41" t="s">
        <v>97</v>
      </c>
      <c r="J98" s="40" t="s">
        <v>351</v>
      </c>
      <c r="K98" s="40" t="s">
        <v>44</v>
      </c>
      <c r="L98" s="42" t="s">
        <v>26</v>
      </c>
    </row>
    <row r="99" spans="1:12" x14ac:dyDescent="0.35">
      <c r="A99" s="9" t="s">
        <v>352</v>
      </c>
      <c r="B99" s="10" t="s">
        <v>13</v>
      </c>
      <c r="C99" s="11" t="s">
        <v>353</v>
      </c>
      <c r="D99" s="11" t="s">
        <v>15</v>
      </c>
      <c r="E99" s="11" t="s">
        <v>133</v>
      </c>
      <c r="F99" s="12" t="s">
        <v>113</v>
      </c>
      <c r="G99" s="10">
        <v>8</v>
      </c>
      <c r="H99" s="10" t="s">
        <v>18</v>
      </c>
      <c r="I99" s="12" t="s">
        <v>113</v>
      </c>
      <c r="J99" s="11" t="s">
        <v>354</v>
      </c>
      <c r="K99" s="11" t="s">
        <v>25</v>
      </c>
      <c r="L99" s="13" t="s">
        <v>21</v>
      </c>
    </row>
    <row r="100" spans="1:12" x14ac:dyDescent="0.35">
      <c r="A100" s="14" t="s">
        <v>355</v>
      </c>
      <c r="B100" s="15" t="s">
        <v>13</v>
      </c>
      <c r="C100" s="16" t="s">
        <v>356</v>
      </c>
      <c r="D100" s="16" t="s">
        <v>34</v>
      </c>
      <c r="E100" s="16" t="s">
        <v>122</v>
      </c>
      <c r="F100" s="17" t="s">
        <v>133</v>
      </c>
      <c r="G100" s="15">
        <v>18</v>
      </c>
      <c r="H100" s="15" t="s">
        <v>18</v>
      </c>
      <c r="I100" s="17" t="s">
        <v>133</v>
      </c>
      <c r="J100" s="16" t="s">
        <v>357</v>
      </c>
      <c r="K100" s="16" t="s">
        <v>241</v>
      </c>
      <c r="L100" s="18" t="s">
        <v>21</v>
      </c>
    </row>
    <row r="101" spans="1:12" x14ac:dyDescent="0.35">
      <c r="A101" s="9" t="s">
        <v>358</v>
      </c>
      <c r="B101" s="10" t="s">
        <v>13</v>
      </c>
      <c r="C101" s="11" t="s">
        <v>359</v>
      </c>
      <c r="D101" s="11" t="s">
        <v>34</v>
      </c>
      <c r="E101" s="11" t="s">
        <v>62</v>
      </c>
      <c r="F101" s="12" t="s">
        <v>118</v>
      </c>
      <c r="G101" s="10">
        <v>2</v>
      </c>
      <c r="H101" s="10" t="s">
        <v>18</v>
      </c>
      <c r="I101" s="12" t="s">
        <v>118</v>
      </c>
      <c r="J101" s="11" t="s">
        <v>360</v>
      </c>
      <c r="K101" s="11" t="s">
        <v>44</v>
      </c>
      <c r="L101" s="13" t="s">
        <v>21</v>
      </c>
    </row>
    <row r="102" spans="1:12" x14ac:dyDescent="0.35">
      <c r="A102" s="14" t="s">
        <v>361</v>
      </c>
      <c r="B102" s="15" t="s">
        <v>13</v>
      </c>
      <c r="C102" s="16" t="s">
        <v>362</v>
      </c>
      <c r="D102" s="16" t="s">
        <v>363</v>
      </c>
      <c r="E102" s="16" t="s">
        <v>364</v>
      </c>
      <c r="F102" s="17" t="s">
        <v>118</v>
      </c>
      <c r="G102" s="15">
        <v>31</v>
      </c>
      <c r="H102" s="15" t="s">
        <v>18</v>
      </c>
      <c r="I102" s="17" t="s">
        <v>36</v>
      </c>
      <c r="J102" s="16" t="s">
        <v>365</v>
      </c>
      <c r="K102" s="16" t="s">
        <v>25</v>
      </c>
      <c r="L102" s="18" t="s">
        <v>21</v>
      </c>
    </row>
    <row r="103" spans="1:12" x14ac:dyDescent="0.35">
      <c r="A103" s="9" t="s">
        <v>366</v>
      </c>
      <c r="B103" s="10" t="s">
        <v>13</v>
      </c>
      <c r="C103" s="11" t="s">
        <v>367</v>
      </c>
      <c r="D103" s="11" t="s">
        <v>34</v>
      </c>
      <c r="E103" s="11" t="s">
        <v>51</v>
      </c>
      <c r="F103" s="12" t="s">
        <v>118</v>
      </c>
      <c r="G103" s="10">
        <v>7</v>
      </c>
      <c r="H103" s="10" t="s">
        <v>18</v>
      </c>
      <c r="I103" s="12" t="s">
        <v>118</v>
      </c>
      <c r="J103" s="11" t="s">
        <v>368</v>
      </c>
      <c r="K103" s="11" t="s">
        <v>130</v>
      </c>
      <c r="L103" s="13" t="s">
        <v>21</v>
      </c>
    </row>
    <row r="104" spans="1:12" x14ac:dyDescent="0.35">
      <c r="A104" s="14" t="s">
        <v>369</v>
      </c>
      <c r="B104" s="15" t="s">
        <v>13</v>
      </c>
      <c r="C104" s="16" t="s">
        <v>370</v>
      </c>
      <c r="D104" s="16" t="s">
        <v>15</v>
      </c>
      <c r="E104" s="16" t="s">
        <v>244</v>
      </c>
      <c r="F104" s="17" t="s">
        <v>133</v>
      </c>
      <c r="G104" s="15">
        <v>11</v>
      </c>
      <c r="H104" s="15" t="s">
        <v>18</v>
      </c>
      <c r="I104" s="17" t="s">
        <v>133</v>
      </c>
      <c r="J104" s="16" t="s">
        <v>371</v>
      </c>
      <c r="K104" s="16" t="s">
        <v>25</v>
      </c>
      <c r="L104" s="18" t="s">
        <v>21</v>
      </c>
    </row>
    <row r="105" spans="1:12" x14ac:dyDescent="0.35">
      <c r="A105" s="9" t="s">
        <v>372</v>
      </c>
      <c r="B105" s="10" t="s">
        <v>13</v>
      </c>
      <c r="C105" s="11" t="s">
        <v>373</v>
      </c>
      <c r="D105" s="11" t="s">
        <v>34</v>
      </c>
      <c r="E105" s="11" t="s">
        <v>133</v>
      </c>
      <c r="F105" s="12" t="s">
        <v>30</v>
      </c>
      <c r="G105" s="10">
        <v>11</v>
      </c>
      <c r="H105" s="10" t="s">
        <v>18</v>
      </c>
      <c r="I105" s="12" t="s">
        <v>17</v>
      </c>
      <c r="J105" s="11" t="s">
        <v>374</v>
      </c>
      <c r="K105" s="11" t="s">
        <v>115</v>
      </c>
      <c r="L105" s="13" t="s">
        <v>21</v>
      </c>
    </row>
    <row r="106" spans="1:12" x14ac:dyDescent="0.35">
      <c r="A106" s="14" t="s">
        <v>375</v>
      </c>
      <c r="B106" s="15" t="s">
        <v>13</v>
      </c>
      <c r="C106" s="16" t="s">
        <v>376</v>
      </c>
      <c r="D106" s="16" t="s">
        <v>34</v>
      </c>
      <c r="E106" s="16" t="s">
        <v>252</v>
      </c>
      <c r="F106" s="17" t="s">
        <v>47</v>
      </c>
      <c r="G106" s="15">
        <v>9</v>
      </c>
      <c r="H106" s="15" t="s">
        <v>18</v>
      </c>
      <c r="I106" s="17" t="s">
        <v>47</v>
      </c>
      <c r="J106" s="16" t="s">
        <v>377</v>
      </c>
      <c r="K106" s="16" t="s">
        <v>25</v>
      </c>
      <c r="L106" s="18" t="s">
        <v>21</v>
      </c>
    </row>
    <row r="107" spans="1:12" x14ac:dyDescent="0.35">
      <c r="A107" s="9" t="s">
        <v>378</v>
      </c>
      <c r="B107" s="10" t="s">
        <v>85</v>
      </c>
      <c r="C107" s="11" t="s">
        <v>379</v>
      </c>
      <c r="D107" s="11" t="s">
        <v>78</v>
      </c>
      <c r="E107" s="11" t="s">
        <v>97</v>
      </c>
      <c r="F107" s="12" t="s">
        <v>52</v>
      </c>
      <c r="G107" s="10">
        <v>6</v>
      </c>
      <c r="H107" s="10" t="s">
        <v>18</v>
      </c>
      <c r="I107" s="12" t="s">
        <v>30</v>
      </c>
      <c r="J107" s="11" t="s">
        <v>380</v>
      </c>
      <c r="K107" s="11" t="s">
        <v>39</v>
      </c>
      <c r="L107" s="13" t="s">
        <v>21</v>
      </c>
    </row>
    <row r="108" spans="1:12" ht="15" customHeight="1" x14ac:dyDescent="0.35">
      <c r="A108" s="31" t="s">
        <v>381</v>
      </c>
      <c r="B108" s="32" t="s">
        <v>13</v>
      </c>
      <c r="C108" s="33" t="s">
        <v>382</v>
      </c>
      <c r="D108" s="33" t="s">
        <v>34</v>
      </c>
      <c r="E108" s="33" t="s">
        <v>133</v>
      </c>
      <c r="F108" s="34" t="s">
        <v>37</v>
      </c>
      <c r="G108" s="32">
        <v>7</v>
      </c>
      <c r="H108" s="32" t="s">
        <v>18</v>
      </c>
      <c r="I108" s="34" t="s">
        <v>37</v>
      </c>
      <c r="J108" s="33" t="s">
        <v>383</v>
      </c>
      <c r="K108" s="33" t="s">
        <v>44</v>
      </c>
      <c r="L108" s="35" t="s">
        <v>21</v>
      </c>
    </row>
    <row r="109" spans="1:12" x14ac:dyDescent="0.35">
      <c r="A109" s="36" t="s">
        <v>384</v>
      </c>
      <c r="B109" s="36" t="s">
        <v>13</v>
      </c>
      <c r="C109" s="36" t="s">
        <v>385</v>
      </c>
      <c r="D109" s="36" t="s">
        <v>34</v>
      </c>
      <c r="E109" s="36" t="s">
        <v>35</v>
      </c>
      <c r="F109" s="37" t="s">
        <v>29</v>
      </c>
      <c r="G109" s="36">
        <v>8</v>
      </c>
      <c r="H109" s="36" t="s">
        <v>109</v>
      </c>
      <c r="I109" s="37"/>
      <c r="J109" s="36" t="s">
        <v>386</v>
      </c>
      <c r="K109" s="36" t="s">
        <v>130</v>
      </c>
      <c r="L109" s="36" t="s">
        <v>26</v>
      </c>
    </row>
    <row r="110" spans="1:12" x14ac:dyDescent="0.35">
      <c r="A110" s="38" t="s">
        <v>387</v>
      </c>
      <c r="B110" s="39" t="s">
        <v>13</v>
      </c>
      <c r="C110" s="40" t="s">
        <v>388</v>
      </c>
      <c r="D110" s="40" t="s">
        <v>34</v>
      </c>
      <c r="E110" s="40" t="s">
        <v>244</v>
      </c>
      <c r="F110" s="41" t="s">
        <v>52</v>
      </c>
      <c r="G110" s="39">
        <v>22</v>
      </c>
      <c r="H110" s="39" t="s">
        <v>18</v>
      </c>
      <c r="I110" s="41" t="s">
        <v>52</v>
      </c>
      <c r="J110" s="40" t="s">
        <v>389</v>
      </c>
      <c r="K110" s="40" t="s">
        <v>25</v>
      </c>
      <c r="L110" s="42" t="s">
        <v>21</v>
      </c>
    </row>
    <row r="111" spans="1:12" x14ac:dyDescent="0.35">
      <c r="A111" s="9" t="s">
        <v>390</v>
      </c>
      <c r="B111" s="10" t="s">
        <v>13</v>
      </c>
      <c r="C111" s="11" t="s">
        <v>391</v>
      </c>
      <c r="D111" s="11" t="s">
        <v>34</v>
      </c>
      <c r="E111" s="11" t="s">
        <v>392</v>
      </c>
      <c r="F111" s="12" t="s">
        <v>133</v>
      </c>
      <c r="G111" s="10">
        <v>32</v>
      </c>
      <c r="H111" s="10" t="s">
        <v>18</v>
      </c>
      <c r="I111" s="12" t="s">
        <v>104</v>
      </c>
      <c r="J111" s="11" t="s">
        <v>393</v>
      </c>
      <c r="K111" s="11" t="s">
        <v>25</v>
      </c>
      <c r="L111" s="13" t="s">
        <v>21</v>
      </c>
    </row>
    <row r="112" spans="1:12" x14ac:dyDescent="0.35">
      <c r="A112" s="14" t="s">
        <v>394</v>
      </c>
      <c r="B112" s="15" t="s">
        <v>13</v>
      </c>
      <c r="C112" s="16" t="s">
        <v>395</v>
      </c>
      <c r="D112" s="16" t="s">
        <v>34</v>
      </c>
      <c r="E112" s="16" t="s">
        <v>36</v>
      </c>
      <c r="F112" s="17" t="s">
        <v>23</v>
      </c>
      <c r="G112" s="15">
        <v>4</v>
      </c>
      <c r="H112" s="15" t="s">
        <v>18</v>
      </c>
      <c r="I112" s="17" t="s">
        <v>30</v>
      </c>
      <c r="J112" s="16" t="s">
        <v>396</v>
      </c>
      <c r="K112" s="16" t="s">
        <v>44</v>
      </c>
      <c r="L112" s="18" t="s">
        <v>26</v>
      </c>
    </row>
    <row r="113" spans="1:12" ht="15" customHeight="1" x14ac:dyDescent="0.35">
      <c r="A113" s="19" t="s">
        <v>397</v>
      </c>
      <c r="B113" s="20" t="s">
        <v>13</v>
      </c>
      <c r="C113" s="21" t="s">
        <v>398</v>
      </c>
      <c r="D113" s="21" t="s">
        <v>34</v>
      </c>
      <c r="E113" s="21" t="s">
        <v>51</v>
      </c>
      <c r="F113" s="22" t="s">
        <v>23</v>
      </c>
      <c r="G113" s="20">
        <v>11</v>
      </c>
      <c r="H113" s="20" t="s">
        <v>18</v>
      </c>
      <c r="I113" s="22" t="s">
        <v>52</v>
      </c>
      <c r="J113" s="21" t="s">
        <v>399</v>
      </c>
      <c r="K113" s="21" t="s">
        <v>25</v>
      </c>
      <c r="L113" s="23" t="s">
        <v>21</v>
      </c>
    </row>
    <row r="114" spans="1:12" x14ac:dyDescent="0.35">
      <c r="A114" s="24" t="s">
        <v>400</v>
      </c>
      <c r="B114" s="24" t="s">
        <v>13</v>
      </c>
      <c r="C114" s="24" t="s">
        <v>401</v>
      </c>
      <c r="D114" s="24" t="s">
        <v>34</v>
      </c>
      <c r="E114" s="24" t="s">
        <v>62</v>
      </c>
      <c r="F114" s="25" t="s">
        <v>37</v>
      </c>
      <c r="G114" s="24">
        <v>3</v>
      </c>
      <c r="H114" s="24" t="s">
        <v>42</v>
      </c>
      <c r="I114" s="25"/>
      <c r="J114" s="24" t="s">
        <v>402</v>
      </c>
      <c r="K114" s="24" t="s">
        <v>115</v>
      </c>
      <c r="L114" s="24" t="s">
        <v>26</v>
      </c>
    </row>
    <row r="115" spans="1:12" x14ac:dyDescent="0.35">
      <c r="A115" s="26" t="s">
        <v>403</v>
      </c>
      <c r="B115" s="27" t="s">
        <v>13</v>
      </c>
      <c r="C115" s="28" t="s">
        <v>404</v>
      </c>
      <c r="D115" s="28" t="s">
        <v>34</v>
      </c>
      <c r="E115" s="28" t="s">
        <v>62</v>
      </c>
      <c r="F115" s="29" t="s">
        <v>97</v>
      </c>
      <c r="G115" s="27">
        <v>1</v>
      </c>
      <c r="H115" s="27" t="s">
        <v>18</v>
      </c>
      <c r="I115" s="29" t="s">
        <v>97</v>
      </c>
      <c r="J115" s="28" t="s">
        <v>405</v>
      </c>
      <c r="K115" s="28" t="s">
        <v>44</v>
      </c>
      <c r="L115" s="30" t="s">
        <v>21</v>
      </c>
    </row>
    <row r="116" spans="1:12" x14ac:dyDescent="0.35">
      <c r="A116" s="14" t="s">
        <v>406</v>
      </c>
      <c r="B116" s="15" t="s">
        <v>13</v>
      </c>
      <c r="C116" s="16" t="s">
        <v>407</v>
      </c>
      <c r="D116" s="16" t="s">
        <v>34</v>
      </c>
      <c r="E116" s="16" t="s">
        <v>47</v>
      </c>
      <c r="F116" s="17" t="s">
        <v>62</v>
      </c>
      <c r="G116" s="15">
        <v>4</v>
      </c>
      <c r="H116" s="15" t="s">
        <v>18</v>
      </c>
      <c r="I116" s="17" t="s">
        <v>62</v>
      </c>
      <c r="J116" s="16" t="s">
        <v>408</v>
      </c>
      <c r="K116" s="16" t="s">
        <v>130</v>
      </c>
      <c r="L116" s="18" t="s">
        <v>21</v>
      </c>
    </row>
    <row r="117" spans="1:12" ht="15" customHeight="1" x14ac:dyDescent="0.35">
      <c r="A117" s="19" t="s">
        <v>409</v>
      </c>
      <c r="B117" s="20" t="s">
        <v>13</v>
      </c>
      <c r="C117" s="21" t="s">
        <v>410</v>
      </c>
      <c r="D117" s="21" t="s">
        <v>34</v>
      </c>
      <c r="E117" s="21" t="s">
        <v>66</v>
      </c>
      <c r="F117" s="22" t="s">
        <v>30</v>
      </c>
      <c r="G117" s="20">
        <v>14</v>
      </c>
      <c r="H117" s="20" t="s">
        <v>18</v>
      </c>
      <c r="I117" s="22" t="s">
        <v>30</v>
      </c>
      <c r="J117" s="21" t="s">
        <v>411</v>
      </c>
      <c r="K117" s="21" t="s">
        <v>44</v>
      </c>
      <c r="L117" s="23" t="s">
        <v>21</v>
      </c>
    </row>
    <row r="118" spans="1:12" x14ac:dyDescent="0.35">
      <c r="A118" s="24" t="s">
        <v>412</v>
      </c>
      <c r="B118" s="24" t="s">
        <v>13</v>
      </c>
      <c r="C118" s="24" t="s">
        <v>413</v>
      </c>
      <c r="D118" s="24" t="s">
        <v>34</v>
      </c>
      <c r="E118" s="24" t="s">
        <v>165</v>
      </c>
      <c r="F118" s="25" t="s">
        <v>118</v>
      </c>
      <c r="G118" s="24">
        <v>19</v>
      </c>
      <c r="H118" s="24" t="s">
        <v>109</v>
      </c>
      <c r="I118" s="25"/>
      <c r="J118" s="24" t="s">
        <v>414</v>
      </c>
      <c r="K118" s="24" t="s">
        <v>25</v>
      </c>
      <c r="L118" s="24" t="s">
        <v>21</v>
      </c>
    </row>
    <row r="119" spans="1:12" x14ac:dyDescent="0.35">
      <c r="A119" s="26" t="s">
        <v>415</v>
      </c>
      <c r="B119" s="27" t="s">
        <v>13</v>
      </c>
      <c r="C119" s="28" t="s">
        <v>416</v>
      </c>
      <c r="D119" s="28" t="s">
        <v>34</v>
      </c>
      <c r="E119" s="28" t="s">
        <v>66</v>
      </c>
      <c r="F119" s="29" t="s">
        <v>29</v>
      </c>
      <c r="G119" s="27">
        <v>4</v>
      </c>
      <c r="H119" s="27" t="s">
        <v>18</v>
      </c>
      <c r="I119" s="29" t="s">
        <v>29</v>
      </c>
      <c r="J119" s="28" t="s">
        <v>417</v>
      </c>
      <c r="K119" s="28" t="s">
        <v>25</v>
      </c>
      <c r="L119" s="30" t="s">
        <v>21</v>
      </c>
    </row>
    <row r="120" spans="1:12" x14ac:dyDescent="0.35">
      <c r="A120" s="14" t="s">
        <v>418</v>
      </c>
      <c r="B120" s="15" t="s">
        <v>13</v>
      </c>
      <c r="C120" s="16" t="s">
        <v>419</v>
      </c>
      <c r="D120" s="16" t="s">
        <v>34</v>
      </c>
      <c r="E120" s="16" t="s">
        <v>29</v>
      </c>
      <c r="F120" s="17" t="s">
        <v>113</v>
      </c>
      <c r="G120" s="15">
        <v>6</v>
      </c>
      <c r="H120" s="15" t="s">
        <v>18</v>
      </c>
      <c r="I120" s="17" t="s">
        <v>52</v>
      </c>
      <c r="J120" s="16" t="s">
        <v>420</v>
      </c>
      <c r="K120" s="16" t="s">
        <v>115</v>
      </c>
      <c r="L120" s="18" t="s">
        <v>21</v>
      </c>
    </row>
    <row r="121" spans="1:12" x14ac:dyDescent="0.35">
      <c r="A121" s="9" t="s">
        <v>421</v>
      </c>
      <c r="B121" s="10" t="s">
        <v>13</v>
      </c>
      <c r="C121" s="11" t="s">
        <v>422</v>
      </c>
      <c r="D121" s="11" t="s">
        <v>34</v>
      </c>
      <c r="E121" s="11" t="s">
        <v>47</v>
      </c>
      <c r="F121" s="12" t="s">
        <v>17</v>
      </c>
      <c r="G121" s="10">
        <v>13</v>
      </c>
      <c r="H121" s="10" t="s">
        <v>18</v>
      </c>
      <c r="I121" s="12" t="s">
        <v>17</v>
      </c>
      <c r="J121" s="11" t="s">
        <v>423</v>
      </c>
      <c r="K121" s="11" t="s">
        <v>130</v>
      </c>
      <c r="L121" s="13" t="s">
        <v>21</v>
      </c>
    </row>
    <row r="122" spans="1:12" ht="15" customHeight="1" x14ac:dyDescent="0.35">
      <c r="A122" s="31" t="s">
        <v>424</v>
      </c>
      <c r="B122" s="32" t="s">
        <v>13</v>
      </c>
      <c r="C122" s="33" t="s">
        <v>425</v>
      </c>
      <c r="D122" s="33" t="s">
        <v>34</v>
      </c>
      <c r="E122" s="33" t="s">
        <v>97</v>
      </c>
      <c r="F122" s="34" t="s">
        <v>23</v>
      </c>
      <c r="G122" s="32">
        <v>5</v>
      </c>
      <c r="H122" s="32" t="s">
        <v>18</v>
      </c>
      <c r="I122" s="34" t="s">
        <v>52</v>
      </c>
      <c r="J122" s="33" t="s">
        <v>426</v>
      </c>
      <c r="K122" s="33" t="s">
        <v>115</v>
      </c>
      <c r="L122" s="35" t="s">
        <v>21</v>
      </c>
    </row>
    <row r="123" spans="1:12" x14ac:dyDescent="0.35">
      <c r="A123" s="36" t="s">
        <v>427</v>
      </c>
      <c r="B123" s="36" t="s">
        <v>85</v>
      </c>
      <c r="C123" s="36" t="s">
        <v>428</v>
      </c>
      <c r="D123" s="36" t="s">
        <v>34</v>
      </c>
      <c r="E123" s="36" t="s">
        <v>29</v>
      </c>
      <c r="F123" s="37" t="s">
        <v>17</v>
      </c>
      <c r="G123" s="36">
        <v>10</v>
      </c>
      <c r="H123" s="36" t="s">
        <v>42</v>
      </c>
      <c r="I123" s="37"/>
      <c r="J123" s="36" t="s">
        <v>429</v>
      </c>
      <c r="K123" s="36" t="s">
        <v>115</v>
      </c>
      <c r="L123" s="36" t="s">
        <v>21</v>
      </c>
    </row>
    <row r="124" spans="1:12" x14ac:dyDescent="0.35">
      <c r="A124" s="24" t="s">
        <v>430</v>
      </c>
      <c r="B124" s="24" t="s">
        <v>13</v>
      </c>
      <c r="C124" s="24" t="s">
        <v>431</v>
      </c>
      <c r="D124" s="24" t="s">
        <v>34</v>
      </c>
      <c r="E124" s="24" t="s">
        <v>302</v>
      </c>
      <c r="F124" s="25" t="s">
        <v>62</v>
      </c>
      <c r="G124" s="24">
        <v>21</v>
      </c>
      <c r="H124" s="24" t="s">
        <v>109</v>
      </c>
      <c r="I124" s="25"/>
      <c r="J124" s="24" t="s">
        <v>432</v>
      </c>
      <c r="K124" s="24" t="s">
        <v>241</v>
      </c>
      <c r="L124" s="24" t="s">
        <v>21</v>
      </c>
    </row>
    <row r="125" spans="1:12" x14ac:dyDescent="0.35">
      <c r="A125" s="26" t="s">
        <v>433</v>
      </c>
      <c r="B125" s="27" t="s">
        <v>13</v>
      </c>
      <c r="C125" s="28" t="s">
        <v>434</v>
      </c>
      <c r="D125" s="28" t="s">
        <v>34</v>
      </c>
      <c r="E125" s="28" t="s">
        <v>29</v>
      </c>
      <c r="F125" s="29" t="s">
        <v>30</v>
      </c>
      <c r="G125" s="27">
        <v>8</v>
      </c>
      <c r="H125" s="27" t="s">
        <v>18</v>
      </c>
      <c r="I125" s="29" t="s">
        <v>30</v>
      </c>
      <c r="J125" s="28" t="s">
        <v>435</v>
      </c>
      <c r="K125" s="28" t="s">
        <v>115</v>
      </c>
      <c r="L125" s="30" t="s">
        <v>26</v>
      </c>
    </row>
    <row r="126" spans="1:12" x14ac:dyDescent="0.35">
      <c r="A126" s="14" t="s">
        <v>436</v>
      </c>
      <c r="B126" s="15" t="s">
        <v>13</v>
      </c>
      <c r="C126" s="16" t="s">
        <v>437</v>
      </c>
      <c r="D126" s="16" t="s">
        <v>34</v>
      </c>
      <c r="E126" s="16" t="s">
        <v>248</v>
      </c>
      <c r="F126" s="17" t="s">
        <v>51</v>
      </c>
      <c r="G126" s="15">
        <v>15</v>
      </c>
      <c r="H126" s="15" t="s">
        <v>18</v>
      </c>
      <c r="I126" s="17" t="s">
        <v>51</v>
      </c>
      <c r="J126" s="16" t="s">
        <v>438</v>
      </c>
      <c r="K126" s="16" t="s">
        <v>25</v>
      </c>
      <c r="L126" s="18" t="s">
        <v>21</v>
      </c>
    </row>
    <row r="127" spans="1:12" ht="15" customHeight="1" x14ac:dyDescent="0.35">
      <c r="A127" s="19" t="s">
        <v>439</v>
      </c>
      <c r="B127" s="20" t="s">
        <v>13</v>
      </c>
      <c r="C127" s="21" t="s">
        <v>440</v>
      </c>
      <c r="D127" s="21" t="s">
        <v>78</v>
      </c>
      <c r="E127" s="21" t="s">
        <v>149</v>
      </c>
      <c r="F127" s="22" t="s">
        <v>133</v>
      </c>
      <c r="G127" s="20">
        <v>7</v>
      </c>
      <c r="H127" s="20" t="s">
        <v>18</v>
      </c>
      <c r="I127" s="22" t="s">
        <v>104</v>
      </c>
      <c r="J127" s="21" t="s">
        <v>441</v>
      </c>
      <c r="K127" s="21" t="s">
        <v>25</v>
      </c>
      <c r="L127" s="23" t="s">
        <v>21</v>
      </c>
    </row>
    <row r="128" spans="1:12" x14ac:dyDescent="0.35">
      <c r="A128" s="24" t="s">
        <v>442</v>
      </c>
      <c r="B128" s="24" t="s">
        <v>13</v>
      </c>
      <c r="C128" s="24" t="s">
        <v>443</v>
      </c>
      <c r="D128" s="24" t="s">
        <v>34</v>
      </c>
      <c r="E128" s="24" t="s">
        <v>29</v>
      </c>
      <c r="F128" s="25" t="s">
        <v>36</v>
      </c>
      <c r="G128" s="24">
        <v>3</v>
      </c>
      <c r="H128" s="24" t="s">
        <v>42</v>
      </c>
      <c r="I128" s="25"/>
      <c r="J128" s="24" t="s">
        <v>444</v>
      </c>
      <c r="K128" s="24" t="s">
        <v>115</v>
      </c>
      <c r="L128" s="24" t="s">
        <v>21</v>
      </c>
    </row>
    <row r="129" spans="1:12" ht="15" customHeight="1" x14ac:dyDescent="0.35">
      <c r="A129" s="43" t="s">
        <v>445</v>
      </c>
      <c r="B129" s="44" t="s">
        <v>13</v>
      </c>
      <c r="C129" s="45" t="s">
        <v>446</v>
      </c>
      <c r="D129" s="45" t="s">
        <v>90</v>
      </c>
      <c r="E129" s="45" t="s">
        <v>37</v>
      </c>
      <c r="F129" s="46" t="s">
        <v>30</v>
      </c>
      <c r="G129" s="44">
        <v>4</v>
      </c>
      <c r="H129" s="44" t="s">
        <v>18</v>
      </c>
      <c r="I129" s="46" t="s">
        <v>17</v>
      </c>
      <c r="J129" s="45" t="s">
        <v>447</v>
      </c>
      <c r="K129" s="45" t="s">
        <v>115</v>
      </c>
      <c r="L129" s="47" t="s">
        <v>21</v>
      </c>
    </row>
    <row r="130" spans="1:12" x14ac:dyDescent="0.35">
      <c r="A130" s="24" t="s">
        <v>448</v>
      </c>
      <c r="B130" s="24" t="s">
        <v>13</v>
      </c>
      <c r="C130" s="24" t="s">
        <v>449</v>
      </c>
      <c r="D130" s="24" t="s">
        <v>34</v>
      </c>
      <c r="E130" s="24" t="s">
        <v>51</v>
      </c>
      <c r="F130" s="25" t="s">
        <v>118</v>
      </c>
      <c r="G130" s="24">
        <v>7</v>
      </c>
      <c r="H130" s="24" t="s">
        <v>109</v>
      </c>
      <c r="I130" s="25"/>
      <c r="J130" s="24" t="s">
        <v>450</v>
      </c>
      <c r="K130" s="24" t="s">
        <v>25</v>
      </c>
      <c r="L130" s="24" t="s">
        <v>21</v>
      </c>
    </row>
    <row r="131" spans="1:12" x14ac:dyDescent="0.35">
      <c r="A131" s="26" t="s">
        <v>451</v>
      </c>
      <c r="B131" s="27" t="s">
        <v>13</v>
      </c>
      <c r="C131" s="28" t="s">
        <v>452</v>
      </c>
      <c r="D131" s="28" t="s">
        <v>34</v>
      </c>
      <c r="E131" s="28" t="s">
        <v>453</v>
      </c>
      <c r="F131" s="29" t="s">
        <v>52</v>
      </c>
      <c r="G131" s="27">
        <v>22</v>
      </c>
      <c r="H131" s="27" t="s">
        <v>18</v>
      </c>
      <c r="I131" s="29" t="s">
        <v>52</v>
      </c>
      <c r="J131" s="28" t="s">
        <v>454</v>
      </c>
      <c r="K131" s="28" t="s">
        <v>25</v>
      </c>
      <c r="L131" s="30" t="s">
        <v>21</v>
      </c>
    </row>
    <row r="132" spans="1:12" ht="15" customHeight="1" x14ac:dyDescent="0.35">
      <c r="A132" s="31" t="s">
        <v>455</v>
      </c>
      <c r="B132" s="32" t="s">
        <v>13</v>
      </c>
      <c r="C132" s="33" t="s">
        <v>456</v>
      </c>
      <c r="D132" s="33" t="s">
        <v>34</v>
      </c>
      <c r="E132" s="33" t="s">
        <v>457</v>
      </c>
      <c r="F132" s="34" t="s">
        <v>52</v>
      </c>
      <c r="G132" s="32">
        <v>20</v>
      </c>
      <c r="H132" s="32" t="s">
        <v>18</v>
      </c>
      <c r="I132" s="34" t="s">
        <v>52</v>
      </c>
      <c r="J132" s="33" t="s">
        <v>458</v>
      </c>
      <c r="K132" s="33" t="s">
        <v>130</v>
      </c>
      <c r="L132" s="35" t="s">
        <v>21</v>
      </c>
    </row>
    <row r="133" spans="1:12" x14ac:dyDescent="0.35">
      <c r="A133" s="36" t="s">
        <v>459</v>
      </c>
      <c r="B133" s="36" t="s">
        <v>13</v>
      </c>
      <c r="C133" s="36" t="s">
        <v>460</v>
      </c>
      <c r="D133" s="36" t="s">
        <v>15</v>
      </c>
      <c r="E133" s="36" t="s">
        <v>302</v>
      </c>
      <c r="F133" s="37" t="s">
        <v>37</v>
      </c>
      <c r="G133" s="36">
        <v>26</v>
      </c>
      <c r="H133" s="36" t="s">
        <v>42</v>
      </c>
      <c r="I133" s="37"/>
      <c r="J133" s="36" t="s">
        <v>461</v>
      </c>
      <c r="K133" s="36" t="s">
        <v>241</v>
      </c>
      <c r="L133" s="36" t="s">
        <v>21</v>
      </c>
    </row>
    <row r="134" spans="1:12" x14ac:dyDescent="0.35">
      <c r="A134" s="38" t="s">
        <v>462</v>
      </c>
      <c r="B134" s="39" t="s">
        <v>13</v>
      </c>
      <c r="C134" s="40" t="s">
        <v>463</v>
      </c>
      <c r="D134" s="40" t="s">
        <v>15</v>
      </c>
      <c r="E134" s="40" t="s">
        <v>37</v>
      </c>
      <c r="F134" s="41" t="s">
        <v>30</v>
      </c>
      <c r="G134" s="39">
        <v>4</v>
      </c>
      <c r="H134" s="39" t="s">
        <v>18</v>
      </c>
      <c r="I134" s="41" t="s">
        <v>30</v>
      </c>
      <c r="J134" s="40" t="s">
        <v>464</v>
      </c>
      <c r="K134" s="40" t="s">
        <v>25</v>
      </c>
      <c r="L134" s="42" t="s">
        <v>26</v>
      </c>
    </row>
    <row r="135" spans="1:12" x14ac:dyDescent="0.35">
      <c r="A135" s="9" t="s">
        <v>465</v>
      </c>
      <c r="B135" s="10" t="s">
        <v>13</v>
      </c>
      <c r="C135" s="11" t="s">
        <v>466</v>
      </c>
      <c r="D135" s="11" t="s">
        <v>34</v>
      </c>
      <c r="E135" s="11" t="s">
        <v>252</v>
      </c>
      <c r="F135" s="12" t="s">
        <v>51</v>
      </c>
      <c r="G135" s="10">
        <v>6</v>
      </c>
      <c r="H135" s="10" t="s">
        <v>18</v>
      </c>
      <c r="I135" s="12" t="s">
        <v>47</v>
      </c>
      <c r="J135" s="11" t="s">
        <v>467</v>
      </c>
      <c r="K135" s="11" t="s">
        <v>130</v>
      </c>
      <c r="L135" s="13" t="s">
        <v>21</v>
      </c>
    </row>
    <row r="136" spans="1:12" ht="15" customHeight="1" x14ac:dyDescent="0.35">
      <c r="A136" s="31" t="s">
        <v>468</v>
      </c>
      <c r="B136" s="32" t="s">
        <v>13</v>
      </c>
      <c r="C136" s="33" t="s">
        <v>469</v>
      </c>
      <c r="D136" s="33" t="s">
        <v>34</v>
      </c>
      <c r="E136" s="33" t="s">
        <v>97</v>
      </c>
      <c r="F136" s="34" t="s">
        <v>70</v>
      </c>
      <c r="G136" s="32">
        <v>9</v>
      </c>
      <c r="H136" s="32" t="s">
        <v>18</v>
      </c>
      <c r="I136" s="34" t="s">
        <v>70</v>
      </c>
      <c r="J136" s="33" t="s">
        <v>470</v>
      </c>
      <c r="K136" s="33" t="s">
        <v>115</v>
      </c>
      <c r="L136" s="35" t="s">
        <v>21</v>
      </c>
    </row>
    <row r="137" spans="1:12" x14ac:dyDescent="0.35">
      <c r="A137" s="36" t="s">
        <v>471</v>
      </c>
      <c r="B137" s="36" t="s">
        <v>13</v>
      </c>
      <c r="C137" s="36" t="s">
        <v>472</v>
      </c>
      <c r="D137" s="36" t="s">
        <v>34</v>
      </c>
      <c r="E137" s="36" t="s">
        <v>47</v>
      </c>
      <c r="F137" s="37" t="s">
        <v>52</v>
      </c>
      <c r="G137" s="36">
        <v>11</v>
      </c>
      <c r="H137" s="36" t="s">
        <v>42</v>
      </c>
      <c r="I137" s="37"/>
      <c r="J137" s="36" t="s">
        <v>473</v>
      </c>
      <c r="K137" s="36" t="s">
        <v>130</v>
      </c>
      <c r="L137" s="36" t="s">
        <v>21</v>
      </c>
    </row>
    <row r="138" spans="1:12" ht="15" customHeight="1" x14ac:dyDescent="0.35">
      <c r="A138" s="48" t="s">
        <v>474</v>
      </c>
      <c r="B138" s="49" t="s">
        <v>13</v>
      </c>
      <c r="C138" s="50" t="s">
        <v>475</v>
      </c>
      <c r="D138" s="50" t="s">
        <v>34</v>
      </c>
      <c r="E138" s="50" t="s">
        <v>118</v>
      </c>
      <c r="F138" s="51" t="s">
        <v>70</v>
      </c>
      <c r="G138" s="49">
        <v>8</v>
      </c>
      <c r="H138" s="49" t="s">
        <v>18</v>
      </c>
      <c r="I138" s="51" t="s">
        <v>70</v>
      </c>
      <c r="J138" s="50" t="s">
        <v>476</v>
      </c>
      <c r="K138" s="50" t="s">
        <v>44</v>
      </c>
      <c r="L138" s="52" t="s">
        <v>21</v>
      </c>
    </row>
    <row r="139" spans="1:12" x14ac:dyDescent="0.35">
      <c r="A139" s="36" t="s">
        <v>477</v>
      </c>
      <c r="B139" s="36" t="s">
        <v>13</v>
      </c>
      <c r="C139" s="36" t="s">
        <v>478</v>
      </c>
      <c r="D139" s="36" t="s">
        <v>34</v>
      </c>
      <c r="E139" s="36" t="s">
        <v>133</v>
      </c>
      <c r="F139" s="37" t="s">
        <v>23</v>
      </c>
      <c r="G139" s="36">
        <v>10</v>
      </c>
      <c r="H139" s="36" t="s">
        <v>42</v>
      </c>
      <c r="I139" s="37"/>
      <c r="J139" s="36" t="s">
        <v>479</v>
      </c>
      <c r="K139" s="36" t="s">
        <v>115</v>
      </c>
      <c r="L139" s="36" t="s">
        <v>21</v>
      </c>
    </row>
    <row r="140" spans="1:12" x14ac:dyDescent="0.35">
      <c r="A140" s="38" t="s">
        <v>480</v>
      </c>
      <c r="B140" s="39" t="s">
        <v>13</v>
      </c>
      <c r="C140" s="40" t="s">
        <v>481</v>
      </c>
      <c r="D140" s="40" t="s">
        <v>34</v>
      </c>
      <c r="E140" s="40" t="s">
        <v>82</v>
      </c>
      <c r="F140" s="41" t="s">
        <v>133</v>
      </c>
      <c r="G140" s="39">
        <v>4</v>
      </c>
      <c r="H140" s="39" t="s">
        <v>18</v>
      </c>
      <c r="I140" s="41" t="s">
        <v>104</v>
      </c>
      <c r="J140" s="40" t="s">
        <v>482</v>
      </c>
      <c r="K140" s="40" t="s">
        <v>130</v>
      </c>
      <c r="L140" s="42" t="s">
        <v>21</v>
      </c>
    </row>
    <row r="141" spans="1:12" ht="15" customHeight="1" x14ac:dyDescent="0.35">
      <c r="A141" s="19" t="s">
        <v>483</v>
      </c>
      <c r="B141" s="20" t="s">
        <v>13</v>
      </c>
      <c r="C141" s="21" t="s">
        <v>484</v>
      </c>
      <c r="D141" s="21" t="s">
        <v>34</v>
      </c>
      <c r="E141" s="21" t="s">
        <v>133</v>
      </c>
      <c r="F141" s="22" t="s">
        <v>62</v>
      </c>
      <c r="G141" s="20">
        <v>3</v>
      </c>
      <c r="H141" s="20" t="s">
        <v>18</v>
      </c>
      <c r="I141" s="22" t="s">
        <v>97</v>
      </c>
      <c r="J141" s="21" t="s">
        <v>485</v>
      </c>
      <c r="K141" s="21" t="s">
        <v>115</v>
      </c>
      <c r="L141" s="23" t="s">
        <v>26</v>
      </c>
    </row>
    <row r="142" spans="1:12" x14ac:dyDescent="0.35">
      <c r="A142" s="24" t="s">
        <v>486</v>
      </c>
      <c r="B142" s="24" t="s">
        <v>13</v>
      </c>
      <c r="C142" s="24" t="s">
        <v>487</v>
      </c>
      <c r="D142" s="24" t="s">
        <v>34</v>
      </c>
      <c r="E142" s="24" t="s">
        <v>244</v>
      </c>
      <c r="F142" s="25" t="s">
        <v>118</v>
      </c>
      <c r="G142" s="24">
        <v>16</v>
      </c>
      <c r="H142" s="24" t="s">
        <v>109</v>
      </c>
      <c r="I142" s="25"/>
      <c r="J142" s="24" t="s">
        <v>488</v>
      </c>
      <c r="K142" s="24" t="s">
        <v>130</v>
      </c>
      <c r="L142" s="24" t="s">
        <v>21</v>
      </c>
    </row>
    <row r="143" spans="1:12" x14ac:dyDescent="0.35">
      <c r="A143" s="26" t="s">
        <v>489</v>
      </c>
      <c r="B143" s="27" t="s">
        <v>13</v>
      </c>
      <c r="C143" s="28" t="s">
        <v>490</v>
      </c>
      <c r="D143" s="28" t="s">
        <v>78</v>
      </c>
      <c r="E143" s="28" t="s">
        <v>36</v>
      </c>
      <c r="F143" s="29" t="s">
        <v>17</v>
      </c>
      <c r="G143" s="27">
        <v>6</v>
      </c>
      <c r="H143" s="27" t="s">
        <v>18</v>
      </c>
      <c r="I143" s="29" t="s">
        <v>17</v>
      </c>
      <c r="J143" s="28" t="s">
        <v>491</v>
      </c>
      <c r="K143" s="28" t="s">
        <v>39</v>
      </c>
      <c r="L143" s="30" t="s">
        <v>26</v>
      </c>
    </row>
    <row r="144" spans="1:12" x14ac:dyDescent="0.35">
      <c r="A144" s="14" t="s">
        <v>492</v>
      </c>
      <c r="B144" s="15" t="s">
        <v>13</v>
      </c>
      <c r="C144" s="16" t="s">
        <v>493</v>
      </c>
      <c r="D144" s="16" t="s">
        <v>34</v>
      </c>
      <c r="E144" s="16" t="s">
        <v>51</v>
      </c>
      <c r="F144" s="17" t="s">
        <v>36</v>
      </c>
      <c r="G144" s="15">
        <v>7</v>
      </c>
      <c r="H144" s="15" t="s">
        <v>18</v>
      </c>
      <c r="I144" s="17" t="s">
        <v>30</v>
      </c>
      <c r="J144" s="16" t="s">
        <v>494</v>
      </c>
      <c r="K144" s="16" t="s">
        <v>25</v>
      </c>
      <c r="L144" s="18" t="s">
        <v>21</v>
      </c>
    </row>
    <row r="145" spans="1:12" x14ac:dyDescent="0.35">
      <c r="A145" s="9" t="s">
        <v>495</v>
      </c>
      <c r="B145" s="10" t="s">
        <v>13</v>
      </c>
      <c r="C145" s="11" t="s">
        <v>496</v>
      </c>
      <c r="D145" s="11" t="s">
        <v>34</v>
      </c>
      <c r="E145" s="11" t="s">
        <v>497</v>
      </c>
      <c r="F145" s="12" t="s">
        <v>62</v>
      </c>
      <c r="G145" s="10">
        <v>12</v>
      </c>
      <c r="H145" s="10" t="s">
        <v>18</v>
      </c>
      <c r="I145" s="12" t="s">
        <v>97</v>
      </c>
      <c r="J145" s="11" t="s">
        <v>498</v>
      </c>
      <c r="K145" s="11" t="s">
        <v>130</v>
      </c>
      <c r="L145" s="13" t="s">
        <v>21</v>
      </c>
    </row>
    <row r="146" spans="1:12" x14ac:dyDescent="0.35">
      <c r="A146" s="14" t="s">
        <v>499</v>
      </c>
      <c r="B146" s="15" t="s">
        <v>13</v>
      </c>
      <c r="C146" s="16" t="s">
        <v>500</v>
      </c>
      <c r="D146" s="16" t="s">
        <v>34</v>
      </c>
      <c r="E146" s="16" t="s">
        <v>104</v>
      </c>
      <c r="F146" s="17" t="s">
        <v>37</v>
      </c>
      <c r="G146" s="15">
        <v>6</v>
      </c>
      <c r="H146" s="15" t="s">
        <v>18</v>
      </c>
      <c r="I146" s="17" t="s">
        <v>113</v>
      </c>
      <c r="J146" s="16" t="s">
        <v>501</v>
      </c>
      <c r="K146" s="16" t="s">
        <v>115</v>
      </c>
      <c r="L146" s="18" t="s">
        <v>26</v>
      </c>
    </row>
    <row r="147" spans="1:12" x14ac:dyDescent="0.35">
      <c r="A147" s="9" t="s">
        <v>502</v>
      </c>
      <c r="B147" s="10" t="s">
        <v>13</v>
      </c>
      <c r="C147" s="11" t="s">
        <v>503</v>
      </c>
      <c r="D147" s="11" t="s">
        <v>15</v>
      </c>
      <c r="E147" s="11" t="s">
        <v>149</v>
      </c>
      <c r="F147" s="12" t="s">
        <v>118</v>
      </c>
      <c r="G147" s="10">
        <v>12</v>
      </c>
      <c r="H147" s="10" t="s">
        <v>18</v>
      </c>
      <c r="I147" s="12" t="s">
        <v>36</v>
      </c>
      <c r="J147" s="11" t="s">
        <v>504</v>
      </c>
      <c r="K147" s="11" t="s">
        <v>25</v>
      </c>
      <c r="L147" s="13" t="s">
        <v>21</v>
      </c>
    </row>
    <row r="148" spans="1:12" x14ac:dyDescent="0.35">
      <c r="A148" s="14" t="s">
        <v>505</v>
      </c>
      <c r="B148" s="15" t="s">
        <v>13</v>
      </c>
      <c r="C148" s="16" t="s">
        <v>506</v>
      </c>
      <c r="D148" s="16" t="s">
        <v>90</v>
      </c>
      <c r="E148" s="16" t="s">
        <v>37</v>
      </c>
      <c r="F148" s="17" t="s">
        <v>113</v>
      </c>
      <c r="G148" s="15">
        <v>1</v>
      </c>
      <c r="H148" s="15" t="s">
        <v>18</v>
      </c>
      <c r="I148" s="17" t="s">
        <v>23</v>
      </c>
      <c r="J148" s="16" t="s">
        <v>507</v>
      </c>
      <c r="K148" s="16" t="s">
        <v>25</v>
      </c>
      <c r="L148" s="18" t="s">
        <v>21</v>
      </c>
    </row>
    <row r="149" spans="1:12" ht="15" customHeight="1" x14ac:dyDescent="0.35">
      <c r="A149" s="19" t="s">
        <v>508</v>
      </c>
      <c r="B149" s="20" t="s">
        <v>13</v>
      </c>
      <c r="C149" s="21" t="s">
        <v>509</v>
      </c>
      <c r="D149" s="21" t="s">
        <v>34</v>
      </c>
      <c r="E149" s="21" t="s">
        <v>97</v>
      </c>
      <c r="F149" s="22" t="s">
        <v>37</v>
      </c>
      <c r="G149" s="20">
        <v>4</v>
      </c>
      <c r="H149" s="20" t="s">
        <v>18</v>
      </c>
      <c r="I149" s="22" t="s">
        <v>113</v>
      </c>
      <c r="J149" s="21" t="s">
        <v>510</v>
      </c>
      <c r="K149" s="21" t="s">
        <v>115</v>
      </c>
      <c r="L149" s="23" t="s">
        <v>21</v>
      </c>
    </row>
    <row r="150" spans="1:12" x14ac:dyDescent="0.35">
      <c r="A150" s="24" t="s">
        <v>511</v>
      </c>
      <c r="B150" s="24" t="s">
        <v>13</v>
      </c>
      <c r="C150" s="24" t="s">
        <v>512</v>
      </c>
      <c r="D150" s="24" t="s">
        <v>34</v>
      </c>
      <c r="E150" s="24" t="s">
        <v>133</v>
      </c>
      <c r="F150" s="25" t="s">
        <v>118</v>
      </c>
      <c r="G150" s="24">
        <v>5</v>
      </c>
      <c r="H150" s="24" t="s">
        <v>42</v>
      </c>
      <c r="I150" s="25"/>
      <c r="J150" s="24" t="s">
        <v>513</v>
      </c>
      <c r="K150" s="24" t="s">
        <v>115</v>
      </c>
      <c r="L150" s="24" t="s">
        <v>21</v>
      </c>
    </row>
    <row r="151" spans="1:12" x14ac:dyDescent="0.35">
      <c r="A151" s="26" t="s">
        <v>514</v>
      </c>
      <c r="B151" s="27" t="s">
        <v>13</v>
      </c>
      <c r="C151" s="28" t="s">
        <v>515</v>
      </c>
      <c r="D151" s="28" t="s">
        <v>34</v>
      </c>
      <c r="E151" s="28" t="s">
        <v>118</v>
      </c>
      <c r="F151" s="29" t="s">
        <v>30</v>
      </c>
      <c r="G151" s="27">
        <v>6</v>
      </c>
      <c r="H151" s="27" t="s">
        <v>18</v>
      </c>
      <c r="I151" s="29" t="s">
        <v>30</v>
      </c>
      <c r="J151" s="28" t="s">
        <v>516</v>
      </c>
      <c r="K151" s="28" t="s">
        <v>115</v>
      </c>
      <c r="L151" s="30" t="s">
        <v>26</v>
      </c>
    </row>
    <row r="152" spans="1:12" x14ac:dyDescent="0.35">
      <c r="A152" s="14" t="s">
        <v>517</v>
      </c>
      <c r="B152" s="15" t="s">
        <v>13</v>
      </c>
      <c r="C152" s="16" t="s">
        <v>518</v>
      </c>
      <c r="D152" s="16" t="s">
        <v>34</v>
      </c>
      <c r="E152" s="16" t="s">
        <v>62</v>
      </c>
      <c r="F152" s="17" t="s">
        <v>52</v>
      </c>
      <c r="G152" s="15">
        <v>7</v>
      </c>
      <c r="H152" s="15" t="s">
        <v>18</v>
      </c>
      <c r="I152" s="17" t="s">
        <v>52</v>
      </c>
      <c r="J152" s="16" t="s">
        <v>519</v>
      </c>
      <c r="K152" s="16" t="s">
        <v>44</v>
      </c>
      <c r="L152" s="18" t="s">
        <v>26</v>
      </c>
    </row>
    <row r="153" spans="1:12" x14ac:dyDescent="0.35">
      <c r="A153" s="9" t="s">
        <v>520</v>
      </c>
      <c r="B153" s="10" t="s">
        <v>13</v>
      </c>
      <c r="C153" s="11" t="s">
        <v>521</v>
      </c>
      <c r="D153" s="11" t="s">
        <v>34</v>
      </c>
      <c r="E153" s="11" t="s">
        <v>62</v>
      </c>
      <c r="F153" s="12" t="s">
        <v>17</v>
      </c>
      <c r="G153" s="10">
        <v>9</v>
      </c>
      <c r="H153" s="10" t="s">
        <v>18</v>
      </c>
      <c r="I153" s="12" t="s">
        <v>17</v>
      </c>
      <c r="J153" s="11" t="s">
        <v>522</v>
      </c>
      <c r="K153" s="11" t="s">
        <v>44</v>
      </c>
      <c r="L153" s="13" t="s">
        <v>21</v>
      </c>
    </row>
    <row r="154" spans="1:12" ht="15" customHeight="1" x14ac:dyDescent="0.35">
      <c r="A154" s="31" t="s">
        <v>523</v>
      </c>
      <c r="B154" s="32" t="s">
        <v>13</v>
      </c>
      <c r="C154" s="33" t="s">
        <v>524</v>
      </c>
      <c r="D154" s="33" t="s">
        <v>34</v>
      </c>
      <c r="E154" s="33" t="s">
        <v>36</v>
      </c>
      <c r="F154" s="34" t="s">
        <v>52</v>
      </c>
      <c r="G154" s="32">
        <v>4</v>
      </c>
      <c r="H154" s="32" t="s">
        <v>18</v>
      </c>
      <c r="I154" s="34" t="s">
        <v>52</v>
      </c>
      <c r="J154" s="33" t="s">
        <v>525</v>
      </c>
      <c r="K154" s="33" t="s">
        <v>115</v>
      </c>
      <c r="L154" s="35" t="s">
        <v>26</v>
      </c>
    </row>
    <row r="155" spans="1:12" x14ac:dyDescent="0.35">
      <c r="A155" s="36" t="s">
        <v>526</v>
      </c>
      <c r="B155" s="36" t="s">
        <v>13</v>
      </c>
      <c r="C155" s="36" t="s">
        <v>527</v>
      </c>
      <c r="D155" s="36" t="s">
        <v>15</v>
      </c>
      <c r="E155" s="36" t="s">
        <v>133</v>
      </c>
      <c r="F155" s="37" t="s">
        <v>70</v>
      </c>
      <c r="G155" s="36">
        <v>13</v>
      </c>
      <c r="H155" s="36" t="s">
        <v>42</v>
      </c>
      <c r="I155" s="37"/>
      <c r="J155" s="36" t="s">
        <v>528</v>
      </c>
      <c r="K155" s="36" t="s">
        <v>25</v>
      </c>
      <c r="L155" s="36" t="s">
        <v>21</v>
      </c>
    </row>
    <row r="156" spans="1:12" x14ac:dyDescent="0.35">
      <c r="A156" s="38" t="s">
        <v>529</v>
      </c>
      <c r="B156" s="39" t="s">
        <v>13</v>
      </c>
      <c r="C156" s="40" t="s">
        <v>530</v>
      </c>
      <c r="D156" s="40" t="s">
        <v>34</v>
      </c>
      <c r="E156" s="40" t="s">
        <v>497</v>
      </c>
      <c r="F156" s="41" t="s">
        <v>17</v>
      </c>
      <c r="G156" s="39">
        <v>21</v>
      </c>
      <c r="H156" s="39" t="s">
        <v>18</v>
      </c>
      <c r="I156" s="41" t="s">
        <v>17</v>
      </c>
      <c r="J156" s="40" t="s">
        <v>531</v>
      </c>
      <c r="K156" s="40" t="s">
        <v>130</v>
      </c>
      <c r="L156" s="42" t="s">
        <v>21</v>
      </c>
    </row>
    <row r="157" spans="1:12" ht="15" customHeight="1" x14ac:dyDescent="0.35">
      <c r="A157" s="19" t="s">
        <v>532</v>
      </c>
      <c r="B157" s="20" t="s">
        <v>13</v>
      </c>
      <c r="C157" s="21" t="s">
        <v>533</v>
      </c>
      <c r="D157" s="21" t="s">
        <v>90</v>
      </c>
      <c r="E157" s="21" t="s">
        <v>37</v>
      </c>
      <c r="F157" s="22" t="s">
        <v>23</v>
      </c>
      <c r="G157" s="20">
        <v>2</v>
      </c>
      <c r="H157" s="20" t="s">
        <v>18</v>
      </c>
      <c r="I157" s="22" t="s">
        <v>52</v>
      </c>
      <c r="J157" s="21" t="s">
        <v>534</v>
      </c>
      <c r="K157" s="21" t="s">
        <v>25</v>
      </c>
      <c r="L157" s="23" t="s">
        <v>26</v>
      </c>
    </row>
    <row r="158" spans="1:12" x14ac:dyDescent="0.35">
      <c r="A158" s="24" t="s">
        <v>535</v>
      </c>
      <c r="B158" s="24" t="s">
        <v>13</v>
      </c>
      <c r="C158" s="24" t="s">
        <v>536</v>
      </c>
      <c r="D158" s="24" t="s">
        <v>34</v>
      </c>
      <c r="E158" s="24" t="s">
        <v>133</v>
      </c>
      <c r="F158" s="25" t="s">
        <v>37</v>
      </c>
      <c r="G158" s="24">
        <v>6</v>
      </c>
      <c r="H158" s="24" t="s">
        <v>42</v>
      </c>
      <c r="I158" s="25"/>
      <c r="J158" s="24" t="s">
        <v>537</v>
      </c>
      <c r="K158" s="24" t="s">
        <v>44</v>
      </c>
      <c r="L158" s="24" t="s">
        <v>21</v>
      </c>
    </row>
    <row r="159" spans="1:12" x14ac:dyDescent="0.35">
      <c r="A159" s="36" t="s">
        <v>538</v>
      </c>
      <c r="B159" s="36" t="s">
        <v>13</v>
      </c>
      <c r="C159" s="36" t="s">
        <v>539</v>
      </c>
      <c r="D159" s="36" t="s">
        <v>34</v>
      </c>
      <c r="E159" s="36" t="s">
        <v>118</v>
      </c>
      <c r="F159" s="37" t="s">
        <v>23</v>
      </c>
      <c r="G159" s="36">
        <v>3</v>
      </c>
      <c r="H159" s="36" t="s">
        <v>109</v>
      </c>
      <c r="I159" s="37"/>
      <c r="J159" s="36" t="s">
        <v>540</v>
      </c>
      <c r="K159" s="36" t="s">
        <v>115</v>
      </c>
      <c r="L159" s="36" t="s">
        <v>21</v>
      </c>
    </row>
    <row r="160" spans="1:12" x14ac:dyDescent="0.35">
      <c r="A160" s="24" t="s">
        <v>538</v>
      </c>
      <c r="B160" s="24" t="s">
        <v>13</v>
      </c>
      <c r="C160" s="24" t="s">
        <v>539</v>
      </c>
      <c r="D160" s="24" t="s">
        <v>34</v>
      </c>
      <c r="E160" s="24" t="s">
        <v>118</v>
      </c>
      <c r="F160" s="25" t="s">
        <v>30</v>
      </c>
      <c r="G160" s="24">
        <v>6</v>
      </c>
      <c r="H160" s="24" t="s">
        <v>109</v>
      </c>
      <c r="I160" s="25"/>
      <c r="J160" s="24" t="s">
        <v>540</v>
      </c>
      <c r="K160" s="24" t="s">
        <v>115</v>
      </c>
      <c r="L160" s="24" t="s">
        <v>21</v>
      </c>
    </row>
    <row r="161" spans="1:12" x14ac:dyDescent="0.35">
      <c r="A161" s="26" t="s">
        <v>541</v>
      </c>
      <c r="B161" s="27" t="s">
        <v>13</v>
      </c>
      <c r="C161" s="28" t="s">
        <v>542</v>
      </c>
      <c r="D161" s="28" t="s">
        <v>90</v>
      </c>
      <c r="E161" s="28" t="s">
        <v>62</v>
      </c>
      <c r="F161" s="29" t="s">
        <v>30</v>
      </c>
      <c r="G161" s="27">
        <v>7</v>
      </c>
      <c r="H161" s="27" t="s">
        <v>18</v>
      </c>
      <c r="I161" s="29" t="s">
        <v>30</v>
      </c>
      <c r="J161" s="28" t="s">
        <v>543</v>
      </c>
      <c r="K161" s="28" t="s">
        <v>25</v>
      </c>
      <c r="L161" s="30" t="s">
        <v>21</v>
      </c>
    </row>
    <row r="162" spans="1:12" x14ac:dyDescent="0.35">
      <c r="A162" s="14" t="s">
        <v>544</v>
      </c>
      <c r="B162" s="15" t="s">
        <v>13</v>
      </c>
      <c r="C162" s="16" t="s">
        <v>545</v>
      </c>
      <c r="D162" s="16" t="s">
        <v>34</v>
      </c>
      <c r="E162" s="16" t="s">
        <v>546</v>
      </c>
      <c r="F162" s="17" t="s">
        <v>133</v>
      </c>
      <c r="G162" s="15">
        <v>22</v>
      </c>
      <c r="H162" s="15" t="s">
        <v>18</v>
      </c>
      <c r="I162" s="17" t="s">
        <v>104</v>
      </c>
      <c r="J162" s="16" t="s">
        <v>547</v>
      </c>
      <c r="K162" s="16" t="s">
        <v>20</v>
      </c>
      <c r="L162" s="18" t="s">
        <v>21</v>
      </c>
    </row>
    <row r="163" spans="1:12" ht="15" customHeight="1" x14ac:dyDescent="0.35">
      <c r="A163" s="19" t="s">
        <v>548</v>
      </c>
      <c r="B163" s="20" t="s">
        <v>13</v>
      </c>
      <c r="C163" s="21" t="s">
        <v>549</v>
      </c>
      <c r="D163" s="21" t="s">
        <v>34</v>
      </c>
      <c r="E163" s="21" t="s">
        <v>133</v>
      </c>
      <c r="F163" s="22" t="s">
        <v>113</v>
      </c>
      <c r="G163" s="20">
        <v>8</v>
      </c>
      <c r="H163" s="20" t="s">
        <v>18</v>
      </c>
      <c r="I163" s="22" t="s">
        <v>23</v>
      </c>
      <c r="J163" s="21" t="s">
        <v>550</v>
      </c>
      <c r="K163" s="21" t="s">
        <v>115</v>
      </c>
      <c r="L163" s="23" t="s">
        <v>21</v>
      </c>
    </row>
    <row r="164" spans="1:12" x14ac:dyDescent="0.35">
      <c r="A164" s="24" t="s">
        <v>551</v>
      </c>
      <c r="B164" s="24" t="s">
        <v>13</v>
      </c>
      <c r="C164" s="24" t="s">
        <v>552</v>
      </c>
      <c r="D164" s="24" t="s">
        <v>78</v>
      </c>
      <c r="E164" s="24" t="s">
        <v>553</v>
      </c>
      <c r="F164" s="25" t="s">
        <v>104</v>
      </c>
      <c r="G164" s="24">
        <v>29</v>
      </c>
      <c r="H164" s="24" t="s">
        <v>109</v>
      </c>
      <c r="I164" s="25"/>
      <c r="J164" s="24" t="s">
        <v>554</v>
      </c>
      <c r="K164" s="24" t="s">
        <v>195</v>
      </c>
      <c r="L164" s="24" t="s">
        <v>21</v>
      </c>
    </row>
    <row r="165" spans="1:12" x14ac:dyDescent="0.35">
      <c r="A165" s="26" t="s">
        <v>555</v>
      </c>
      <c r="B165" s="27" t="s">
        <v>13</v>
      </c>
      <c r="C165" s="28" t="s">
        <v>556</v>
      </c>
      <c r="D165" s="28" t="s">
        <v>34</v>
      </c>
      <c r="E165" s="28" t="s">
        <v>66</v>
      </c>
      <c r="F165" s="29" t="s">
        <v>133</v>
      </c>
      <c r="G165" s="27">
        <v>2</v>
      </c>
      <c r="H165" s="27" t="s">
        <v>18</v>
      </c>
      <c r="I165" s="29" t="s">
        <v>133</v>
      </c>
      <c r="J165" s="28" t="s">
        <v>557</v>
      </c>
      <c r="K165" s="28" t="s">
        <v>115</v>
      </c>
      <c r="L165" s="30" t="s">
        <v>21</v>
      </c>
    </row>
    <row r="166" spans="1:12" x14ac:dyDescent="0.35">
      <c r="A166" s="14" t="s">
        <v>558</v>
      </c>
      <c r="B166" s="15" t="s">
        <v>13</v>
      </c>
      <c r="C166" s="16" t="s">
        <v>559</v>
      </c>
      <c r="D166" s="16" t="s">
        <v>34</v>
      </c>
      <c r="E166" s="16" t="s">
        <v>36</v>
      </c>
      <c r="F166" s="17" t="s">
        <v>52</v>
      </c>
      <c r="G166" s="15">
        <v>4</v>
      </c>
      <c r="H166" s="15" t="s">
        <v>18</v>
      </c>
      <c r="I166" s="17" t="s">
        <v>52</v>
      </c>
      <c r="J166" s="16" t="s">
        <v>560</v>
      </c>
      <c r="K166" s="16" t="s">
        <v>44</v>
      </c>
      <c r="L166" s="18" t="s">
        <v>21</v>
      </c>
    </row>
    <row r="167" spans="1:12" x14ac:dyDescent="0.35">
      <c r="A167" s="9" t="s">
        <v>561</v>
      </c>
      <c r="B167" s="10" t="s">
        <v>13</v>
      </c>
      <c r="C167" s="11" t="s">
        <v>562</v>
      </c>
      <c r="D167" s="11" t="s">
        <v>34</v>
      </c>
      <c r="E167" s="11" t="s">
        <v>104</v>
      </c>
      <c r="F167" s="12" t="s">
        <v>17</v>
      </c>
      <c r="G167" s="10">
        <v>10</v>
      </c>
      <c r="H167" s="10" t="s">
        <v>18</v>
      </c>
      <c r="I167" s="12" t="s">
        <v>17</v>
      </c>
      <c r="J167" s="11" t="s">
        <v>563</v>
      </c>
      <c r="K167" s="11" t="s">
        <v>25</v>
      </c>
      <c r="L167" s="13" t="s">
        <v>21</v>
      </c>
    </row>
    <row r="168" spans="1:12" x14ac:dyDescent="0.35">
      <c r="A168" s="14" t="s">
        <v>564</v>
      </c>
      <c r="B168" s="15" t="s">
        <v>13</v>
      </c>
      <c r="C168" s="16" t="s">
        <v>565</v>
      </c>
      <c r="D168" s="16" t="s">
        <v>90</v>
      </c>
      <c r="E168" s="16" t="s">
        <v>62</v>
      </c>
      <c r="F168" s="17" t="s">
        <v>30</v>
      </c>
      <c r="G168" s="15">
        <v>8</v>
      </c>
      <c r="H168" s="15" t="s">
        <v>18</v>
      </c>
      <c r="I168" s="17" t="s">
        <v>17</v>
      </c>
      <c r="J168" s="16" t="s">
        <v>566</v>
      </c>
      <c r="K168" s="16" t="s">
        <v>25</v>
      </c>
      <c r="L168" s="18" t="s">
        <v>21</v>
      </c>
    </row>
    <row r="169" spans="1:12" ht="15" customHeight="1" x14ac:dyDescent="0.35">
      <c r="A169" s="19" t="s">
        <v>567</v>
      </c>
      <c r="B169" s="20" t="s">
        <v>13</v>
      </c>
      <c r="C169" s="21" t="s">
        <v>568</v>
      </c>
      <c r="D169" s="21" t="s">
        <v>34</v>
      </c>
      <c r="E169" s="21" t="s">
        <v>149</v>
      </c>
      <c r="F169" s="22" t="s">
        <v>52</v>
      </c>
      <c r="G169" s="20">
        <v>17</v>
      </c>
      <c r="H169" s="20" t="s">
        <v>18</v>
      </c>
      <c r="I169" s="22" t="s">
        <v>30</v>
      </c>
      <c r="J169" s="21" t="s">
        <v>569</v>
      </c>
      <c r="K169" s="21" t="s">
        <v>130</v>
      </c>
      <c r="L169" s="23" t="s">
        <v>26</v>
      </c>
    </row>
    <row r="170" spans="1:12" x14ac:dyDescent="0.35">
      <c r="A170" s="24" t="s">
        <v>570</v>
      </c>
      <c r="B170" s="24" t="s">
        <v>13</v>
      </c>
      <c r="C170" s="24" t="s">
        <v>571</v>
      </c>
      <c r="D170" s="24" t="s">
        <v>34</v>
      </c>
      <c r="E170" s="24" t="s">
        <v>47</v>
      </c>
      <c r="F170" s="25" t="s">
        <v>30</v>
      </c>
      <c r="G170" s="24">
        <v>11</v>
      </c>
      <c r="H170" s="24" t="s">
        <v>42</v>
      </c>
      <c r="I170" s="25"/>
      <c r="J170" s="24" t="s">
        <v>572</v>
      </c>
      <c r="K170" s="24" t="s">
        <v>25</v>
      </c>
      <c r="L170" s="24" t="s">
        <v>21</v>
      </c>
    </row>
    <row r="171" spans="1:12" x14ac:dyDescent="0.35">
      <c r="A171" s="36" t="s">
        <v>573</v>
      </c>
      <c r="B171" s="36" t="s">
        <v>13</v>
      </c>
      <c r="C171" s="36" t="s">
        <v>574</v>
      </c>
      <c r="D171" s="36" t="s">
        <v>34</v>
      </c>
      <c r="E171" s="36" t="s">
        <v>113</v>
      </c>
      <c r="F171" s="37" t="s">
        <v>70</v>
      </c>
      <c r="G171" s="36">
        <v>4</v>
      </c>
      <c r="H171" s="36" t="s">
        <v>42</v>
      </c>
      <c r="I171" s="37"/>
      <c r="J171" s="36" t="s">
        <v>575</v>
      </c>
      <c r="K171" s="36" t="s">
        <v>25</v>
      </c>
      <c r="L171" s="36" t="s">
        <v>26</v>
      </c>
    </row>
    <row r="172" spans="1:12" ht="15" customHeight="1" x14ac:dyDescent="0.35">
      <c r="A172" s="48" t="s">
        <v>576</v>
      </c>
      <c r="B172" s="49" t="s">
        <v>13</v>
      </c>
      <c r="C172" s="50" t="s">
        <v>577</v>
      </c>
      <c r="D172" s="50" t="s">
        <v>90</v>
      </c>
      <c r="E172" s="50" t="s">
        <v>118</v>
      </c>
      <c r="F172" s="51" t="s">
        <v>17</v>
      </c>
      <c r="G172" s="49">
        <v>6</v>
      </c>
      <c r="H172" s="49" t="s">
        <v>18</v>
      </c>
      <c r="I172" s="51" t="s">
        <v>17</v>
      </c>
      <c r="J172" s="50" t="s">
        <v>578</v>
      </c>
      <c r="K172" s="50" t="s">
        <v>25</v>
      </c>
      <c r="L172" s="52" t="s">
        <v>26</v>
      </c>
    </row>
    <row r="173" spans="1:12" x14ac:dyDescent="0.35">
      <c r="A173" s="36" t="s">
        <v>579</v>
      </c>
      <c r="B173" s="36" t="s">
        <v>13</v>
      </c>
      <c r="C173" s="36" t="s">
        <v>580</v>
      </c>
      <c r="D173" s="36" t="s">
        <v>34</v>
      </c>
      <c r="E173" s="36" t="s">
        <v>37</v>
      </c>
      <c r="F173" s="37" t="s">
        <v>52</v>
      </c>
      <c r="G173" s="36">
        <v>2</v>
      </c>
      <c r="H173" s="36" t="s">
        <v>109</v>
      </c>
      <c r="I173" s="37"/>
      <c r="J173" s="36" t="s">
        <v>581</v>
      </c>
      <c r="K173" s="36" t="s">
        <v>115</v>
      </c>
      <c r="L173" s="36" t="s">
        <v>21</v>
      </c>
    </row>
    <row r="174" spans="1:12" x14ac:dyDescent="0.35">
      <c r="A174" s="38" t="s">
        <v>582</v>
      </c>
      <c r="B174" s="39" t="s">
        <v>13</v>
      </c>
      <c r="C174" s="40" t="s">
        <v>583</v>
      </c>
      <c r="D174" s="40" t="s">
        <v>78</v>
      </c>
      <c r="E174" s="40" t="s">
        <v>51</v>
      </c>
      <c r="F174" s="41" t="s">
        <v>118</v>
      </c>
      <c r="G174" s="39">
        <v>7</v>
      </c>
      <c r="H174" s="39" t="s">
        <v>18</v>
      </c>
      <c r="I174" s="41" t="s">
        <v>118</v>
      </c>
      <c r="J174" s="40" t="s">
        <v>584</v>
      </c>
      <c r="K174" s="40" t="s">
        <v>25</v>
      </c>
      <c r="L174" s="42" t="s">
        <v>21</v>
      </c>
    </row>
    <row r="175" spans="1:12" x14ac:dyDescent="0.35">
      <c r="A175" s="9" t="s">
        <v>585</v>
      </c>
      <c r="B175" s="10" t="s">
        <v>13</v>
      </c>
      <c r="C175" s="11" t="s">
        <v>586</v>
      </c>
      <c r="D175" s="11" t="s">
        <v>34</v>
      </c>
      <c r="E175" s="11" t="s">
        <v>66</v>
      </c>
      <c r="F175" s="12" t="s">
        <v>97</v>
      </c>
      <c r="G175" s="10">
        <v>7</v>
      </c>
      <c r="H175" s="10" t="s">
        <v>18</v>
      </c>
      <c r="I175" s="12" t="s">
        <v>97</v>
      </c>
      <c r="J175" s="11" t="s">
        <v>348</v>
      </c>
      <c r="K175" s="11" t="s">
        <v>44</v>
      </c>
      <c r="L175" s="13" t="s">
        <v>21</v>
      </c>
    </row>
    <row r="176" spans="1:12" ht="15" customHeight="1" x14ac:dyDescent="0.35">
      <c r="A176" s="31" t="s">
        <v>587</v>
      </c>
      <c r="B176" s="32" t="s">
        <v>13</v>
      </c>
      <c r="C176" s="33" t="s">
        <v>588</v>
      </c>
      <c r="D176" s="33" t="s">
        <v>34</v>
      </c>
      <c r="E176" s="33" t="s">
        <v>244</v>
      </c>
      <c r="F176" s="34" t="s">
        <v>30</v>
      </c>
      <c r="G176" s="32">
        <v>22</v>
      </c>
      <c r="H176" s="32" t="s">
        <v>18</v>
      </c>
      <c r="I176" s="34" t="s">
        <v>30</v>
      </c>
      <c r="J176" s="33" t="s">
        <v>589</v>
      </c>
      <c r="K176" s="33" t="s">
        <v>25</v>
      </c>
      <c r="L176" s="35" t="s">
        <v>21</v>
      </c>
    </row>
    <row r="177" spans="1:12" x14ac:dyDescent="0.35">
      <c r="A177" s="36" t="s">
        <v>590</v>
      </c>
      <c r="B177" s="36" t="s">
        <v>13</v>
      </c>
      <c r="C177" s="36" t="s">
        <v>591</v>
      </c>
      <c r="D177" s="36" t="s">
        <v>34</v>
      </c>
      <c r="E177" s="36" t="s">
        <v>35</v>
      </c>
      <c r="F177" s="37" t="s">
        <v>29</v>
      </c>
      <c r="G177" s="36">
        <v>8</v>
      </c>
      <c r="H177" s="36" t="s">
        <v>109</v>
      </c>
      <c r="I177" s="37"/>
      <c r="J177" s="36" t="s">
        <v>592</v>
      </c>
      <c r="K177" s="36" t="s">
        <v>25</v>
      </c>
      <c r="L177" s="36" t="s">
        <v>21</v>
      </c>
    </row>
    <row r="178" spans="1:12" x14ac:dyDescent="0.35">
      <c r="A178" s="24" t="s">
        <v>593</v>
      </c>
      <c r="B178" s="24" t="s">
        <v>13</v>
      </c>
      <c r="C178" s="24" t="s">
        <v>594</v>
      </c>
      <c r="D178" s="24" t="s">
        <v>34</v>
      </c>
      <c r="E178" s="24" t="s">
        <v>36</v>
      </c>
      <c r="F178" s="25" t="s">
        <v>113</v>
      </c>
      <c r="G178" s="24">
        <v>2</v>
      </c>
      <c r="H178" s="24" t="s">
        <v>109</v>
      </c>
      <c r="I178" s="25"/>
      <c r="J178" s="24" t="s">
        <v>595</v>
      </c>
      <c r="K178" s="24" t="s">
        <v>44</v>
      </c>
      <c r="L178" s="24" t="s">
        <v>21</v>
      </c>
    </row>
    <row r="179" spans="1:12" x14ac:dyDescent="0.35">
      <c r="A179" s="26" t="s">
        <v>593</v>
      </c>
      <c r="B179" s="27" t="s">
        <v>13</v>
      </c>
      <c r="C179" s="28" t="s">
        <v>594</v>
      </c>
      <c r="D179" s="28" t="s">
        <v>34</v>
      </c>
      <c r="E179" s="28" t="s">
        <v>36</v>
      </c>
      <c r="F179" s="29" t="s">
        <v>52</v>
      </c>
      <c r="G179" s="27">
        <v>3</v>
      </c>
      <c r="H179" s="27" t="s">
        <v>18</v>
      </c>
      <c r="I179" s="29" t="s">
        <v>30</v>
      </c>
      <c r="J179" s="28" t="s">
        <v>595</v>
      </c>
      <c r="K179" s="28" t="s">
        <v>44</v>
      </c>
      <c r="L179" s="30" t="s">
        <v>21</v>
      </c>
    </row>
    <row r="180" spans="1:12" ht="15" customHeight="1" x14ac:dyDescent="0.35">
      <c r="A180" s="31" t="s">
        <v>596</v>
      </c>
      <c r="B180" s="32" t="s">
        <v>13</v>
      </c>
      <c r="C180" s="33" t="s">
        <v>597</v>
      </c>
      <c r="D180" s="33" t="s">
        <v>34</v>
      </c>
      <c r="E180" s="33" t="s">
        <v>62</v>
      </c>
      <c r="F180" s="34" t="s">
        <v>37</v>
      </c>
      <c r="G180" s="32">
        <v>4</v>
      </c>
      <c r="H180" s="32" t="s">
        <v>18</v>
      </c>
      <c r="I180" s="34" t="s">
        <v>37</v>
      </c>
      <c r="J180" s="33" t="s">
        <v>598</v>
      </c>
      <c r="K180" s="33" t="s">
        <v>44</v>
      </c>
      <c r="L180" s="35" t="s">
        <v>26</v>
      </c>
    </row>
    <row r="181" spans="1:12" x14ac:dyDescent="0.35">
      <c r="A181" s="36" t="s">
        <v>599</v>
      </c>
      <c r="B181" s="36" t="s">
        <v>13</v>
      </c>
      <c r="C181" s="36" t="s">
        <v>600</v>
      </c>
      <c r="D181" s="36" t="s">
        <v>34</v>
      </c>
      <c r="E181" s="36" t="s">
        <v>62</v>
      </c>
      <c r="F181" s="37" t="s">
        <v>30</v>
      </c>
      <c r="G181" s="36">
        <v>8</v>
      </c>
      <c r="H181" s="36" t="s">
        <v>42</v>
      </c>
      <c r="I181" s="37"/>
      <c r="J181" s="36" t="s">
        <v>601</v>
      </c>
      <c r="K181" s="36" t="s">
        <v>44</v>
      </c>
      <c r="L181" s="36" t="s">
        <v>21</v>
      </c>
    </row>
    <row r="182" spans="1:12" x14ac:dyDescent="0.35">
      <c r="A182" s="38" t="s">
        <v>602</v>
      </c>
      <c r="B182" s="39" t="s">
        <v>13</v>
      </c>
      <c r="C182" s="40" t="s">
        <v>603</v>
      </c>
      <c r="D182" s="40" t="s">
        <v>34</v>
      </c>
      <c r="E182" s="40" t="s">
        <v>497</v>
      </c>
      <c r="F182" s="41" t="s">
        <v>62</v>
      </c>
      <c r="G182" s="39">
        <v>11</v>
      </c>
      <c r="H182" s="39" t="s">
        <v>18</v>
      </c>
      <c r="I182" s="41" t="s">
        <v>62</v>
      </c>
      <c r="J182" s="40" t="s">
        <v>604</v>
      </c>
      <c r="K182" s="40" t="s">
        <v>130</v>
      </c>
      <c r="L182" s="42" t="s">
        <v>21</v>
      </c>
    </row>
    <row r="183" spans="1:12" x14ac:dyDescent="0.35">
      <c r="A183" s="9" t="s">
        <v>605</v>
      </c>
      <c r="B183" s="10" t="s">
        <v>13</v>
      </c>
      <c r="C183" s="11" t="s">
        <v>606</v>
      </c>
      <c r="D183" s="11" t="s">
        <v>34</v>
      </c>
      <c r="E183" s="11" t="s">
        <v>104</v>
      </c>
      <c r="F183" s="12" t="s">
        <v>23</v>
      </c>
      <c r="G183" s="10">
        <v>8</v>
      </c>
      <c r="H183" s="10" t="s">
        <v>18</v>
      </c>
      <c r="I183" s="12" t="s">
        <v>52</v>
      </c>
      <c r="J183" s="11" t="s">
        <v>607</v>
      </c>
      <c r="K183" s="11" t="s">
        <v>44</v>
      </c>
      <c r="L183" s="13" t="s">
        <v>21</v>
      </c>
    </row>
    <row r="184" spans="1:12" ht="15" customHeight="1" x14ac:dyDescent="0.35">
      <c r="A184" s="31" t="s">
        <v>608</v>
      </c>
      <c r="B184" s="32" t="s">
        <v>13</v>
      </c>
      <c r="C184" s="33" t="s">
        <v>609</v>
      </c>
      <c r="D184" s="33" t="s">
        <v>78</v>
      </c>
      <c r="E184" s="33" t="s">
        <v>51</v>
      </c>
      <c r="F184" s="34" t="s">
        <v>30</v>
      </c>
      <c r="G184" s="32">
        <v>13</v>
      </c>
      <c r="H184" s="32" t="s">
        <v>18</v>
      </c>
      <c r="I184" s="34" t="s">
        <v>17</v>
      </c>
      <c r="J184" s="33" t="s">
        <v>610</v>
      </c>
      <c r="K184" s="33" t="s">
        <v>25</v>
      </c>
      <c r="L184" s="35" t="s">
        <v>21</v>
      </c>
    </row>
    <row r="185" spans="1:12" x14ac:dyDescent="0.35">
      <c r="A185" s="36" t="s">
        <v>611</v>
      </c>
      <c r="B185" s="36" t="s">
        <v>85</v>
      </c>
      <c r="C185" s="36" t="s">
        <v>612</v>
      </c>
      <c r="D185" s="36" t="s">
        <v>34</v>
      </c>
      <c r="E185" s="36" t="s">
        <v>62</v>
      </c>
      <c r="F185" s="37" t="s">
        <v>17</v>
      </c>
      <c r="G185" s="36">
        <v>9</v>
      </c>
      <c r="H185" s="36" t="s">
        <v>42</v>
      </c>
      <c r="I185" s="37"/>
      <c r="J185" s="36" t="s">
        <v>613</v>
      </c>
      <c r="K185" s="36" t="s">
        <v>44</v>
      </c>
      <c r="L185" s="36" t="s">
        <v>21</v>
      </c>
    </row>
    <row r="186" spans="1:12" x14ac:dyDescent="0.35">
      <c r="A186" s="38" t="s">
        <v>614</v>
      </c>
      <c r="B186" s="39" t="s">
        <v>13</v>
      </c>
      <c r="C186" s="40" t="s">
        <v>615</v>
      </c>
      <c r="D186" s="40" t="s">
        <v>15</v>
      </c>
      <c r="E186" s="40" t="s">
        <v>497</v>
      </c>
      <c r="F186" s="41" t="s">
        <v>52</v>
      </c>
      <c r="G186" s="39">
        <v>18</v>
      </c>
      <c r="H186" s="39" t="s">
        <v>18</v>
      </c>
      <c r="I186" s="41" t="s">
        <v>52</v>
      </c>
      <c r="J186" s="40" t="s">
        <v>616</v>
      </c>
      <c r="K186" s="40" t="s">
        <v>25</v>
      </c>
      <c r="L186" s="42" t="s">
        <v>21</v>
      </c>
    </row>
    <row r="187" spans="1:12" x14ac:dyDescent="0.35">
      <c r="A187" s="9" t="s">
        <v>617</v>
      </c>
      <c r="B187" s="10" t="s">
        <v>13</v>
      </c>
      <c r="C187" s="11" t="s">
        <v>618</v>
      </c>
      <c r="D187" s="11" t="s">
        <v>78</v>
      </c>
      <c r="E187" s="11" t="s">
        <v>302</v>
      </c>
      <c r="F187" s="12" t="s">
        <v>66</v>
      </c>
      <c r="G187" s="10">
        <v>15</v>
      </c>
      <c r="H187" s="10" t="s">
        <v>18</v>
      </c>
      <c r="I187" s="12" t="s">
        <v>51</v>
      </c>
      <c r="J187" s="11" t="s">
        <v>619</v>
      </c>
      <c r="K187" s="11" t="s">
        <v>25</v>
      </c>
      <c r="L187" s="13" t="s">
        <v>21</v>
      </c>
    </row>
    <row r="188" spans="1:12" x14ac:dyDescent="0.35">
      <c r="A188" s="14" t="s">
        <v>620</v>
      </c>
      <c r="B188" s="15" t="s">
        <v>13</v>
      </c>
      <c r="C188" s="16" t="s">
        <v>621</v>
      </c>
      <c r="D188" s="16" t="s">
        <v>15</v>
      </c>
      <c r="E188" s="16" t="s">
        <v>29</v>
      </c>
      <c r="F188" s="17" t="s">
        <v>23</v>
      </c>
      <c r="G188" s="15">
        <v>7</v>
      </c>
      <c r="H188" s="15" t="s">
        <v>18</v>
      </c>
      <c r="I188" s="17" t="s">
        <v>23</v>
      </c>
      <c r="J188" s="16" t="s">
        <v>622</v>
      </c>
      <c r="K188" s="16" t="s">
        <v>25</v>
      </c>
      <c r="L188" s="18" t="s">
        <v>26</v>
      </c>
    </row>
    <row r="189" spans="1:12" x14ac:dyDescent="0.35">
      <c r="A189" s="9" t="s">
        <v>623</v>
      </c>
      <c r="B189" s="10" t="s">
        <v>13</v>
      </c>
      <c r="C189" s="11" t="s">
        <v>624</v>
      </c>
      <c r="D189" s="11" t="s">
        <v>34</v>
      </c>
      <c r="E189" s="11" t="s">
        <v>104</v>
      </c>
      <c r="F189" s="12" t="s">
        <v>62</v>
      </c>
      <c r="G189" s="10">
        <v>2</v>
      </c>
      <c r="H189" s="10" t="s">
        <v>18</v>
      </c>
      <c r="I189" s="12" t="s">
        <v>97</v>
      </c>
      <c r="J189" s="11" t="s">
        <v>625</v>
      </c>
      <c r="K189" s="11" t="s">
        <v>115</v>
      </c>
      <c r="L189" s="13" t="s">
        <v>21</v>
      </c>
    </row>
    <row r="190" spans="1:12" x14ac:dyDescent="0.35">
      <c r="A190" s="14" t="s">
        <v>626</v>
      </c>
      <c r="B190" s="15" t="s">
        <v>13</v>
      </c>
      <c r="C190" s="16" t="s">
        <v>627</v>
      </c>
      <c r="D190" s="16" t="s">
        <v>34</v>
      </c>
      <c r="E190" s="16" t="s">
        <v>97</v>
      </c>
      <c r="F190" s="17" t="s">
        <v>17</v>
      </c>
      <c r="G190" s="15">
        <v>8</v>
      </c>
      <c r="H190" s="15" t="s">
        <v>18</v>
      </c>
      <c r="I190" s="17" t="s">
        <v>17</v>
      </c>
      <c r="J190" s="16" t="s">
        <v>628</v>
      </c>
      <c r="K190" s="16" t="s">
        <v>44</v>
      </c>
      <c r="L190" s="18" t="s">
        <v>21</v>
      </c>
    </row>
    <row r="191" spans="1:12" x14ac:dyDescent="0.35">
      <c r="A191" s="9" t="s">
        <v>629</v>
      </c>
      <c r="B191" s="10" t="s">
        <v>13</v>
      </c>
      <c r="C191" s="11" t="s">
        <v>630</v>
      </c>
      <c r="D191" s="11" t="s">
        <v>34</v>
      </c>
      <c r="E191" s="11" t="s">
        <v>37</v>
      </c>
      <c r="F191" s="12" t="s">
        <v>17</v>
      </c>
      <c r="G191" s="10">
        <v>5</v>
      </c>
      <c r="H191" s="10" t="s">
        <v>18</v>
      </c>
      <c r="I191" s="12" t="s">
        <v>70</v>
      </c>
      <c r="J191" s="11" t="s">
        <v>631</v>
      </c>
      <c r="K191" s="11" t="s">
        <v>115</v>
      </c>
      <c r="L191" s="13" t="s">
        <v>26</v>
      </c>
    </row>
    <row r="192" spans="1:12" x14ac:dyDescent="0.35">
      <c r="A192" s="14" t="s">
        <v>632</v>
      </c>
      <c r="B192" s="15" t="s">
        <v>13</v>
      </c>
      <c r="C192" s="16" t="s">
        <v>633</v>
      </c>
      <c r="D192" s="16" t="s">
        <v>363</v>
      </c>
      <c r="E192" s="16" t="s">
        <v>275</v>
      </c>
      <c r="F192" s="17" t="s">
        <v>17</v>
      </c>
      <c r="G192" s="15">
        <v>25</v>
      </c>
      <c r="H192" s="15" t="s">
        <v>18</v>
      </c>
      <c r="I192" s="17" t="s">
        <v>17</v>
      </c>
      <c r="J192" s="16" t="s">
        <v>634</v>
      </c>
      <c r="K192" s="16" t="s">
        <v>25</v>
      </c>
      <c r="L192" s="18" t="s">
        <v>21</v>
      </c>
    </row>
    <row r="193" spans="1:12" ht="15" customHeight="1" x14ac:dyDescent="0.35">
      <c r="A193" s="19" t="s">
        <v>635</v>
      </c>
      <c r="B193" s="20" t="s">
        <v>13</v>
      </c>
      <c r="C193" s="21" t="s">
        <v>636</v>
      </c>
      <c r="D193" s="21" t="s">
        <v>34</v>
      </c>
      <c r="E193" s="21" t="s">
        <v>36</v>
      </c>
      <c r="F193" s="22" t="s">
        <v>30</v>
      </c>
      <c r="G193" s="20">
        <v>5</v>
      </c>
      <c r="H193" s="20" t="s">
        <v>18</v>
      </c>
      <c r="I193" s="22" t="s">
        <v>30</v>
      </c>
      <c r="J193" s="21" t="s">
        <v>637</v>
      </c>
      <c r="K193" s="21" t="s">
        <v>115</v>
      </c>
      <c r="L193" s="23" t="s">
        <v>26</v>
      </c>
    </row>
    <row r="194" spans="1:12" x14ac:dyDescent="0.35">
      <c r="A194" s="24" t="s">
        <v>638</v>
      </c>
      <c r="B194" s="24" t="s">
        <v>13</v>
      </c>
      <c r="C194" s="24" t="s">
        <v>639</v>
      </c>
      <c r="D194" s="24" t="s">
        <v>34</v>
      </c>
      <c r="E194" s="24" t="s">
        <v>82</v>
      </c>
      <c r="F194" s="25" t="s">
        <v>37</v>
      </c>
      <c r="G194" s="24">
        <v>11</v>
      </c>
      <c r="H194" s="24" t="s">
        <v>42</v>
      </c>
      <c r="I194" s="25"/>
      <c r="J194" s="24" t="s">
        <v>640</v>
      </c>
      <c r="K194" s="24" t="s">
        <v>130</v>
      </c>
      <c r="L194" s="24" t="s">
        <v>21</v>
      </c>
    </row>
    <row r="195" spans="1:12" ht="15" customHeight="1" x14ac:dyDescent="0.35">
      <c r="A195" s="43" t="s">
        <v>641</v>
      </c>
      <c r="B195" s="44" t="s">
        <v>13</v>
      </c>
      <c r="C195" s="45" t="s">
        <v>642</v>
      </c>
      <c r="D195" s="45" t="s">
        <v>34</v>
      </c>
      <c r="E195" s="45" t="s">
        <v>47</v>
      </c>
      <c r="F195" s="46" t="s">
        <v>17</v>
      </c>
      <c r="G195" s="44">
        <v>12</v>
      </c>
      <c r="H195" s="44" t="s">
        <v>18</v>
      </c>
      <c r="I195" s="46" t="s">
        <v>17</v>
      </c>
      <c r="J195" s="45" t="s">
        <v>643</v>
      </c>
      <c r="K195" s="45" t="s">
        <v>44</v>
      </c>
      <c r="L195" s="47" t="s">
        <v>21</v>
      </c>
    </row>
    <row r="196" spans="1:12" x14ac:dyDescent="0.35">
      <c r="A196" s="24" t="s">
        <v>644</v>
      </c>
      <c r="B196" s="24" t="s">
        <v>13</v>
      </c>
      <c r="C196" s="24" t="s">
        <v>645</v>
      </c>
      <c r="D196" s="24" t="s">
        <v>34</v>
      </c>
      <c r="E196" s="24" t="s">
        <v>47</v>
      </c>
      <c r="F196" s="25" t="s">
        <v>97</v>
      </c>
      <c r="G196" s="24">
        <v>5</v>
      </c>
      <c r="H196" s="24" t="s">
        <v>42</v>
      </c>
      <c r="I196" s="25"/>
      <c r="J196" s="24" t="s">
        <v>646</v>
      </c>
      <c r="K196" s="24" t="s">
        <v>130</v>
      </c>
      <c r="L196" s="24" t="s">
        <v>21</v>
      </c>
    </row>
    <row r="197" spans="1:12" x14ac:dyDescent="0.35">
      <c r="A197" s="26" t="s">
        <v>647</v>
      </c>
      <c r="B197" s="27" t="s">
        <v>13</v>
      </c>
      <c r="C197" s="28" t="s">
        <v>648</v>
      </c>
      <c r="D197" s="28" t="s">
        <v>90</v>
      </c>
      <c r="E197" s="28" t="s">
        <v>62</v>
      </c>
      <c r="F197" s="29" t="s">
        <v>30</v>
      </c>
      <c r="G197" s="27">
        <v>8</v>
      </c>
      <c r="H197" s="27" t="s">
        <v>18</v>
      </c>
      <c r="I197" s="29" t="s">
        <v>30</v>
      </c>
      <c r="J197" s="28" t="s">
        <v>649</v>
      </c>
      <c r="K197" s="28" t="s">
        <v>39</v>
      </c>
      <c r="L197" s="30" t="s">
        <v>21</v>
      </c>
    </row>
    <row r="198" spans="1:12" x14ac:dyDescent="0.35">
      <c r="A198" s="14" t="s">
        <v>650</v>
      </c>
      <c r="B198" s="15" t="s">
        <v>13</v>
      </c>
      <c r="C198" s="16" t="s">
        <v>651</v>
      </c>
      <c r="D198" s="16" t="s">
        <v>34</v>
      </c>
      <c r="E198" s="16" t="s">
        <v>51</v>
      </c>
      <c r="F198" s="17" t="s">
        <v>118</v>
      </c>
      <c r="G198" s="15">
        <v>7</v>
      </c>
      <c r="H198" s="15" t="s">
        <v>18</v>
      </c>
      <c r="I198" s="17" t="s">
        <v>36</v>
      </c>
      <c r="J198" s="16" t="s">
        <v>652</v>
      </c>
      <c r="K198" s="16" t="s">
        <v>44</v>
      </c>
      <c r="L198" s="18" t="s">
        <v>21</v>
      </c>
    </row>
    <row r="199" spans="1:12" x14ac:dyDescent="0.35">
      <c r="A199" s="9" t="s">
        <v>653</v>
      </c>
      <c r="B199" s="10" t="s">
        <v>85</v>
      </c>
      <c r="C199" s="11" t="s">
        <v>654</v>
      </c>
      <c r="D199" s="11" t="s">
        <v>90</v>
      </c>
      <c r="E199" s="11" t="s">
        <v>497</v>
      </c>
      <c r="F199" s="12" t="s">
        <v>30</v>
      </c>
      <c r="G199" s="10">
        <v>18</v>
      </c>
      <c r="H199" s="10" t="s">
        <v>18</v>
      </c>
      <c r="I199" s="12" t="s">
        <v>30</v>
      </c>
      <c r="J199" s="11" t="s">
        <v>655</v>
      </c>
      <c r="K199" s="11" t="s">
        <v>25</v>
      </c>
      <c r="L199" s="13" t="s">
        <v>21</v>
      </c>
    </row>
    <row r="200" spans="1:12" x14ac:dyDescent="0.35">
      <c r="A200" s="14" t="s">
        <v>656</v>
      </c>
      <c r="B200" s="15" t="s">
        <v>13</v>
      </c>
      <c r="C200" s="16" t="s">
        <v>657</v>
      </c>
      <c r="D200" s="16" t="s">
        <v>15</v>
      </c>
      <c r="E200" s="16" t="s">
        <v>291</v>
      </c>
      <c r="F200" s="17" t="s">
        <v>133</v>
      </c>
      <c r="G200" s="15">
        <v>32</v>
      </c>
      <c r="H200" s="15" t="s">
        <v>18</v>
      </c>
      <c r="I200" s="17" t="s">
        <v>133</v>
      </c>
      <c r="J200" s="16" t="s">
        <v>658</v>
      </c>
      <c r="K200" s="16" t="s">
        <v>39</v>
      </c>
      <c r="L200" s="18" t="s">
        <v>21</v>
      </c>
    </row>
    <row r="201" spans="1:12" x14ac:dyDescent="0.35">
      <c r="A201" s="9" t="s">
        <v>659</v>
      </c>
      <c r="B201" s="10" t="s">
        <v>13</v>
      </c>
      <c r="C201" s="11" t="s">
        <v>660</v>
      </c>
      <c r="D201" s="11" t="s">
        <v>34</v>
      </c>
      <c r="E201" s="11" t="s">
        <v>252</v>
      </c>
      <c r="F201" s="12" t="s">
        <v>52</v>
      </c>
      <c r="G201" s="10">
        <v>19</v>
      </c>
      <c r="H201" s="10" t="s">
        <v>18</v>
      </c>
      <c r="I201" s="12" t="s">
        <v>17</v>
      </c>
      <c r="J201" s="11" t="s">
        <v>661</v>
      </c>
      <c r="K201" s="11" t="s">
        <v>130</v>
      </c>
      <c r="L201" s="13" t="s">
        <v>21</v>
      </c>
    </row>
    <row r="202" spans="1:12" x14ac:dyDescent="0.35">
      <c r="A202" s="14" t="s">
        <v>662</v>
      </c>
      <c r="B202" s="15" t="s">
        <v>13</v>
      </c>
      <c r="C202" s="16" t="s">
        <v>663</v>
      </c>
      <c r="D202" s="16" t="s">
        <v>34</v>
      </c>
      <c r="E202" s="16" t="s">
        <v>35</v>
      </c>
      <c r="F202" s="17" t="s">
        <v>47</v>
      </c>
      <c r="G202" s="15">
        <v>5</v>
      </c>
      <c r="H202" s="15" t="s">
        <v>18</v>
      </c>
      <c r="I202" s="17" t="s">
        <v>47</v>
      </c>
      <c r="J202" s="16" t="s">
        <v>664</v>
      </c>
      <c r="K202" s="16" t="s">
        <v>130</v>
      </c>
      <c r="L202" s="18" t="s">
        <v>21</v>
      </c>
    </row>
    <row r="203" spans="1:12" x14ac:dyDescent="0.35">
      <c r="A203" s="9" t="s">
        <v>665</v>
      </c>
      <c r="B203" s="10" t="s">
        <v>13</v>
      </c>
      <c r="C203" s="11" t="s">
        <v>666</v>
      </c>
      <c r="D203" s="11" t="s">
        <v>15</v>
      </c>
      <c r="E203" s="11" t="s">
        <v>47</v>
      </c>
      <c r="F203" s="12" t="s">
        <v>104</v>
      </c>
      <c r="G203" s="10">
        <v>2</v>
      </c>
      <c r="H203" s="10" t="s">
        <v>18</v>
      </c>
      <c r="I203" s="12" t="s">
        <v>29</v>
      </c>
      <c r="J203" s="11" t="s">
        <v>667</v>
      </c>
      <c r="K203" s="11" t="s">
        <v>25</v>
      </c>
      <c r="L203" s="13" t="s">
        <v>21</v>
      </c>
    </row>
    <row r="204" spans="1:12" x14ac:dyDescent="0.35">
      <c r="A204" s="14" t="s">
        <v>668</v>
      </c>
      <c r="B204" s="15" t="s">
        <v>13</v>
      </c>
      <c r="C204" s="16" t="s">
        <v>669</v>
      </c>
      <c r="D204" s="16" t="s">
        <v>34</v>
      </c>
      <c r="E204" s="16" t="s">
        <v>51</v>
      </c>
      <c r="F204" s="17" t="s">
        <v>23</v>
      </c>
      <c r="G204" s="15">
        <v>11</v>
      </c>
      <c r="H204" s="15" t="s">
        <v>18</v>
      </c>
      <c r="I204" s="17" t="s">
        <v>52</v>
      </c>
      <c r="J204" s="16" t="s">
        <v>670</v>
      </c>
      <c r="K204" s="16" t="s">
        <v>44</v>
      </c>
      <c r="L204" s="18" t="s">
        <v>21</v>
      </c>
    </row>
    <row r="205" spans="1:12" x14ac:dyDescent="0.35">
      <c r="A205" s="9" t="s">
        <v>671</v>
      </c>
      <c r="B205" s="10" t="s">
        <v>13</v>
      </c>
      <c r="C205" s="11" t="s">
        <v>672</v>
      </c>
      <c r="D205" s="11" t="s">
        <v>34</v>
      </c>
      <c r="E205" s="11" t="s">
        <v>62</v>
      </c>
      <c r="F205" s="12" t="s">
        <v>52</v>
      </c>
      <c r="G205" s="10">
        <v>7</v>
      </c>
      <c r="H205" s="10" t="s">
        <v>18</v>
      </c>
      <c r="I205" s="12" t="s">
        <v>52</v>
      </c>
      <c r="J205" s="11" t="s">
        <v>673</v>
      </c>
      <c r="K205" s="11" t="s">
        <v>44</v>
      </c>
      <c r="L205" s="13" t="s">
        <v>26</v>
      </c>
    </row>
    <row r="206" spans="1:12" x14ac:dyDescent="0.35">
      <c r="A206" s="14" t="s">
        <v>674</v>
      </c>
      <c r="B206" s="15" t="s">
        <v>13</v>
      </c>
      <c r="C206" s="16" t="s">
        <v>675</v>
      </c>
      <c r="D206" s="16" t="s">
        <v>15</v>
      </c>
      <c r="E206" s="16" t="s">
        <v>62</v>
      </c>
      <c r="F206" s="17" t="s">
        <v>113</v>
      </c>
      <c r="G206" s="15">
        <v>5</v>
      </c>
      <c r="H206" s="15" t="s">
        <v>18</v>
      </c>
      <c r="I206" s="17" t="s">
        <v>30</v>
      </c>
      <c r="J206" s="16" t="s">
        <v>676</v>
      </c>
      <c r="K206" s="16" t="s">
        <v>25</v>
      </c>
      <c r="L206" s="18" t="s">
        <v>26</v>
      </c>
    </row>
    <row r="207" spans="1:12" x14ac:dyDescent="0.35">
      <c r="A207" s="9" t="s">
        <v>677</v>
      </c>
      <c r="B207" s="10" t="s">
        <v>13</v>
      </c>
      <c r="C207" s="11" t="s">
        <v>678</v>
      </c>
      <c r="D207" s="11" t="s">
        <v>34</v>
      </c>
      <c r="E207" s="11" t="s">
        <v>47</v>
      </c>
      <c r="F207" s="12" t="s">
        <v>118</v>
      </c>
      <c r="G207" s="10">
        <v>6</v>
      </c>
      <c r="H207" s="10" t="s">
        <v>18</v>
      </c>
      <c r="I207" s="12" t="s">
        <v>113</v>
      </c>
      <c r="J207" s="11" t="s">
        <v>679</v>
      </c>
      <c r="K207" s="11" t="s">
        <v>130</v>
      </c>
      <c r="L207" s="13" t="s">
        <v>21</v>
      </c>
    </row>
    <row r="208" spans="1:12" x14ac:dyDescent="0.35">
      <c r="A208" s="14" t="s">
        <v>680</v>
      </c>
      <c r="B208" s="15" t="s">
        <v>13</v>
      </c>
      <c r="C208" s="16" t="s">
        <v>681</v>
      </c>
      <c r="D208" s="16" t="s">
        <v>34</v>
      </c>
      <c r="E208" s="16" t="s">
        <v>133</v>
      </c>
      <c r="F208" s="17" t="s">
        <v>97</v>
      </c>
      <c r="G208" s="15">
        <v>4</v>
      </c>
      <c r="H208" s="15" t="s">
        <v>18</v>
      </c>
      <c r="I208" s="17" t="s">
        <v>118</v>
      </c>
      <c r="J208" s="16" t="s">
        <v>682</v>
      </c>
      <c r="K208" s="16" t="s">
        <v>44</v>
      </c>
      <c r="L208" s="18" t="s">
        <v>21</v>
      </c>
    </row>
    <row r="209" spans="1:12" ht="15" customHeight="1" x14ac:dyDescent="0.35">
      <c r="A209" s="19" t="s">
        <v>683</v>
      </c>
      <c r="B209" s="20" t="s">
        <v>13</v>
      </c>
      <c r="C209" s="21" t="s">
        <v>684</v>
      </c>
      <c r="D209" s="21" t="s">
        <v>34</v>
      </c>
      <c r="E209" s="21" t="s">
        <v>149</v>
      </c>
      <c r="F209" s="22" t="s">
        <v>62</v>
      </c>
      <c r="G209" s="20">
        <v>10</v>
      </c>
      <c r="H209" s="20" t="s">
        <v>18</v>
      </c>
      <c r="I209" s="22" t="s">
        <v>97</v>
      </c>
      <c r="J209" s="21" t="s">
        <v>685</v>
      </c>
      <c r="K209" s="21" t="s">
        <v>115</v>
      </c>
      <c r="L209" s="23" t="s">
        <v>26</v>
      </c>
    </row>
    <row r="210" spans="1:12" x14ac:dyDescent="0.35">
      <c r="A210" s="24" t="s">
        <v>686</v>
      </c>
      <c r="B210" s="24" t="s">
        <v>13</v>
      </c>
      <c r="C210" s="24" t="s">
        <v>687</v>
      </c>
      <c r="D210" s="24" t="s">
        <v>34</v>
      </c>
      <c r="E210" s="24" t="s">
        <v>62</v>
      </c>
      <c r="F210" s="25" t="s">
        <v>17</v>
      </c>
      <c r="G210" s="24">
        <v>9</v>
      </c>
      <c r="H210" s="24" t="s">
        <v>42</v>
      </c>
      <c r="I210" s="25"/>
      <c r="J210" s="24" t="s">
        <v>688</v>
      </c>
      <c r="K210" s="24" t="s">
        <v>115</v>
      </c>
      <c r="L210" s="24" t="s">
        <v>21</v>
      </c>
    </row>
    <row r="211" spans="1:12" x14ac:dyDescent="0.35">
      <c r="A211" s="36" t="s">
        <v>689</v>
      </c>
      <c r="B211" s="36" t="s">
        <v>13</v>
      </c>
      <c r="C211" s="36" t="s">
        <v>690</v>
      </c>
      <c r="D211" s="36" t="s">
        <v>34</v>
      </c>
      <c r="E211" s="36" t="s">
        <v>37</v>
      </c>
      <c r="F211" s="37" t="s">
        <v>52</v>
      </c>
      <c r="G211" s="36">
        <v>2</v>
      </c>
      <c r="H211" s="36" t="s">
        <v>42</v>
      </c>
      <c r="I211" s="37"/>
      <c r="J211" s="36" t="s">
        <v>691</v>
      </c>
      <c r="K211" s="36" t="s">
        <v>72</v>
      </c>
      <c r="L211" s="36" t="s">
        <v>21</v>
      </c>
    </row>
    <row r="212" spans="1:12" x14ac:dyDescent="0.35">
      <c r="A212" s="24" t="s">
        <v>692</v>
      </c>
      <c r="B212" s="24" t="s">
        <v>13</v>
      </c>
      <c r="C212" s="24" t="s">
        <v>693</v>
      </c>
      <c r="D212" s="24" t="s">
        <v>34</v>
      </c>
      <c r="E212" s="24" t="s">
        <v>497</v>
      </c>
      <c r="F212" s="25" t="s">
        <v>113</v>
      </c>
      <c r="G212" s="24">
        <v>17</v>
      </c>
      <c r="H212" s="24" t="s">
        <v>109</v>
      </c>
      <c r="I212" s="25"/>
      <c r="J212" s="24" t="s">
        <v>694</v>
      </c>
      <c r="K212" s="24" t="s">
        <v>39</v>
      </c>
      <c r="L212" s="24" t="s">
        <v>21</v>
      </c>
    </row>
    <row r="213" spans="1:12" x14ac:dyDescent="0.35">
      <c r="A213" s="26" t="s">
        <v>692</v>
      </c>
      <c r="B213" s="27" t="s">
        <v>13</v>
      </c>
      <c r="C213" s="28" t="s">
        <v>693</v>
      </c>
      <c r="D213" s="28" t="s">
        <v>34</v>
      </c>
      <c r="E213" s="28" t="s">
        <v>497</v>
      </c>
      <c r="F213" s="29" t="s">
        <v>52</v>
      </c>
      <c r="G213" s="27">
        <v>18</v>
      </c>
      <c r="H213" s="27" t="s">
        <v>18</v>
      </c>
      <c r="I213" s="29" t="s">
        <v>17</v>
      </c>
      <c r="J213" s="28" t="s">
        <v>694</v>
      </c>
      <c r="K213" s="28" t="s">
        <v>39</v>
      </c>
      <c r="L213" s="30" t="s">
        <v>21</v>
      </c>
    </row>
    <row r="214" spans="1:12" x14ac:dyDescent="0.35">
      <c r="A214" s="14" t="s">
        <v>695</v>
      </c>
      <c r="B214" s="15" t="s">
        <v>13</v>
      </c>
      <c r="C214" s="16" t="s">
        <v>696</v>
      </c>
      <c r="D214" s="16" t="s">
        <v>34</v>
      </c>
      <c r="E214" s="16" t="s">
        <v>36</v>
      </c>
      <c r="F214" s="17" t="s">
        <v>52</v>
      </c>
      <c r="G214" s="15">
        <v>3</v>
      </c>
      <c r="H214" s="15" t="s">
        <v>18</v>
      </c>
      <c r="I214" s="17" t="s">
        <v>30</v>
      </c>
      <c r="J214" s="16" t="s">
        <v>697</v>
      </c>
      <c r="K214" s="16" t="s">
        <v>115</v>
      </c>
      <c r="L214" s="18" t="s">
        <v>21</v>
      </c>
    </row>
    <row r="215" spans="1:12" x14ac:dyDescent="0.35">
      <c r="A215" s="9" t="s">
        <v>698</v>
      </c>
      <c r="B215" s="10" t="s">
        <v>13</v>
      </c>
      <c r="C215" s="11" t="s">
        <v>699</v>
      </c>
      <c r="D215" s="11" t="s">
        <v>34</v>
      </c>
      <c r="E215" s="11" t="s">
        <v>47</v>
      </c>
      <c r="F215" s="12" t="s">
        <v>29</v>
      </c>
      <c r="G215" s="10">
        <v>2</v>
      </c>
      <c r="H215" s="10" t="s">
        <v>18</v>
      </c>
      <c r="I215" s="12" t="s">
        <v>29</v>
      </c>
      <c r="J215" s="11" t="s">
        <v>700</v>
      </c>
      <c r="K215" s="11" t="s">
        <v>25</v>
      </c>
      <c r="L215" s="13" t="s">
        <v>21</v>
      </c>
    </row>
    <row r="216" spans="1:12" x14ac:dyDescent="0.35">
      <c r="A216" s="14" t="s">
        <v>701</v>
      </c>
      <c r="B216" s="15" t="s">
        <v>13</v>
      </c>
      <c r="C216" s="16" t="s">
        <v>702</v>
      </c>
      <c r="D216" s="16" t="s">
        <v>34</v>
      </c>
      <c r="E216" s="16" t="s">
        <v>97</v>
      </c>
      <c r="F216" s="17" t="s">
        <v>17</v>
      </c>
      <c r="G216" s="15">
        <v>8</v>
      </c>
      <c r="H216" s="15" t="s">
        <v>18</v>
      </c>
      <c r="I216" s="17" t="s">
        <v>17</v>
      </c>
      <c r="J216" s="16" t="s">
        <v>703</v>
      </c>
      <c r="K216" s="16" t="s">
        <v>115</v>
      </c>
      <c r="L216" s="18" t="s">
        <v>21</v>
      </c>
    </row>
    <row r="217" spans="1:12" x14ac:dyDescent="0.35">
      <c r="A217" s="9" t="s">
        <v>704</v>
      </c>
      <c r="B217" s="10" t="s">
        <v>13</v>
      </c>
      <c r="C217" s="11" t="s">
        <v>705</v>
      </c>
      <c r="D217" s="11" t="s">
        <v>15</v>
      </c>
      <c r="E217" s="11" t="s">
        <v>97</v>
      </c>
      <c r="F217" s="12" t="s">
        <v>113</v>
      </c>
      <c r="G217" s="10">
        <v>4</v>
      </c>
      <c r="H217" s="10" t="s">
        <v>18</v>
      </c>
      <c r="I217" s="12" t="s">
        <v>52</v>
      </c>
      <c r="J217" s="11" t="s">
        <v>667</v>
      </c>
      <c r="K217" s="11" t="s">
        <v>25</v>
      </c>
      <c r="L217" s="13" t="s">
        <v>21</v>
      </c>
    </row>
    <row r="218" spans="1:12" x14ac:dyDescent="0.35">
      <c r="A218" s="14" t="s">
        <v>706</v>
      </c>
      <c r="B218" s="15" t="s">
        <v>13</v>
      </c>
      <c r="C218" s="16" t="s">
        <v>707</v>
      </c>
      <c r="D218" s="16" t="s">
        <v>34</v>
      </c>
      <c r="E218" s="16" t="s">
        <v>252</v>
      </c>
      <c r="F218" s="17" t="s">
        <v>97</v>
      </c>
      <c r="G218" s="15">
        <v>13</v>
      </c>
      <c r="H218" s="15" t="s">
        <v>18</v>
      </c>
      <c r="I218" s="17" t="s">
        <v>97</v>
      </c>
      <c r="J218" s="16" t="s">
        <v>708</v>
      </c>
      <c r="K218" s="16" t="s">
        <v>130</v>
      </c>
      <c r="L218" s="18" t="s">
        <v>21</v>
      </c>
    </row>
    <row r="219" spans="1:12" x14ac:dyDescent="0.35">
      <c r="A219" s="9" t="s">
        <v>709</v>
      </c>
      <c r="B219" s="10" t="s">
        <v>13</v>
      </c>
      <c r="C219" s="11" t="s">
        <v>710</v>
      </c>
      <c r="D219" s="11" t="s">
        <v>15</v>
      </c>
      <c r="E219" s="11" t="s">
        <v>62</v>
      </c>
      <c r="F219" s="12" t="s">
        <v>37</v>
      </c>
      <c r="G219" s="10">
        <v>4</v>
      </c>
      <c r="H219" s="10" t="s">
        <v>18</v>
      </c>
      <c r="I219" s="12" t="s">
        <v>113</v>
      </c>
      <c r="J219" s="11" t="s">
        <v>711</v>
      </c>
      <c r="K219" s="11" t="s">
        <v>25</v>
      </c>
      <c r="L219" s="13" t="s">
        <v>26</v>
      </c>
    </row>
    <row r="220" spans="1:12" x14ac:dyDescent="0.35">
      <c r="A220" s="14" t="s">
        <v>712</v>
      </c>
      <c r="B220" s="15" t="s">
        <v>13</v>
      </c>
      <c r="C220" s="16" t="s">
        <v>713</v>
      </c>
      <c r="D220" s="16" t="s">
        <v>34</v>
      </c>
      <c r="E220" s="16" t="s">
        <v>118</v>
      </c>
      <c r="F220" s="17" t="s">
        <v>37</v>
      </c>
      <c r="G220" s="15">
        <v>2</v>
      </c>
      <c r="H220" s="15" t="s">
        <v>18</v>
      </c>
      <c r="I220" s="17" t="s">
        <v>23</v>
      </c>
      <c r="J220" s="16" t="s">
        <v>714</v>
      </c>
      <c r="K220" s="16" t="s">
        <v>115</v>
      </c>
      <c r="L220" s="18" t="s">
        <v>26</v>
      </c>
    </row>
    <row r="221" spans="1:12" x14ac:dyDescent="0.35">
      <c r="A221" s="9" t="s">
        <v>715</v>
      </c>
      <c r="B221" s="10" t="s">
        <v>13</v>
      </c>
      <c r="C221" s="11" t="s">
        <v>716</v>
      </c>
      <c r="D221" s="11" t="s">
        <v>34</v>
      </c>
      <c r="E221" s="11" t="s">
        <v>82</v>
      </c>
      <c r="F221" s="12" t="s">
        <v>133</v>
      </c>
      <c r="G221" s="10">
        <v>4</v>
      </c>
      <c r="H221" s="10" t="s">
        <v>18</v>
      </c>
      <c r="I221" s="12" t="s">
        <v>104</v>
      </c>
      <c r="J221" s="11" t="s">
        <v>717</v>
      </c>
      <c r="K221" s="11" t="s">
        <v>130</v>
      </c>
      <c r="L221" s="13" t="s">
        <v>26</v>
      </c>
    </row>
    <row r="222" spans="1:12" x14ac:dyDescent="0.35">
      <c r="A222" s="14" t="s">
        <v>718</v>
      </c>
      <c r="B222" s="15" t="s">
        <v>13</v>
      </c>
      <c r="C222" s="16" t="s">
        <v>719</v>
      </c>
      <c r="D222" s="16" t="s">
        <v>34</v>
      </c>
      <c r="E222" s="16" t="s">
        <v>178</v>
      </c>
      <c r="F222" s="17" t="s">
        <v>30</v>
      </c>
      <c r="G222" s="15">
        <v>15</v>
      </c>
      <c r="H222" s="15" t="s">
        <v>18</v>
      </c>
      <c r="I222" s="17" t="s">
        <v>30</v>
      </c>
      <c r="J222" s="16" t="s">
        <v>720</v>
      </c>
      <c r="K222" s="16" t="s">
        <v>25</v>
      </c>
      <c r="L222" s="18" t="s">
        <v>21</v>
      </c>
    </row>
    <row r="223" spans="1:12" ht="15" customHeight="1" x14ac:dyDescent="0.35">
      <c r="A223" s="19" t="s">
        <v>721</v>
      </c>
      <c r="B223" s="20" t="s">
        <v>13</v>
      </c>
      <c r="C223" s="21" t="s">
        <v>722</v>
      </c>
      <c r="D223" s="21" t="s">
        <v>15</v>
      </c>
      <c r="E223" s="21" t="s">
        <v>62</v>
      </c>
      <c r="F223" s="22" t="s">
        <v>52</v>
      </c>
      <c r="G223" s="20">
        <v>7</v>
      </c>
      <c r="H223" s="20" t="s">
        <v>18</v>
      </c>
      <c r="I223" s="22" t="s">
        <v>30</v>
      </c>
      <c r="J223" s="21" t="s">
        <v>723</v>
      </c>
      <c r="K223" s="21" t="s">
        <v>25</v>
      </c>
      <c r="L223" s="23" t="s">
        <v>26</v>
      </c>
    </row>
    <row r="224" spans="1:12" x14ac:dyDescent="0.35">
      <c r="A224" s="24" t="s">
        <v>724</v>
      </c>
      <c r="B224" s="24" t="s">
        <v>13</v>
      </c>
      <c r="C224" s="24" t="s">
        <v>725</v>
      </c>
      <c r="D224" s="24" t="s">
        <v>15</v>
      </c>
      <c r="E224" s="24" t="s">
        <v>453</v>
      </c>
      <c r="F224" s="25" t="s">
        <v>70</v>
      </c>
      <c r="G224" s="24">
        <v>25</v>
      </c>
      <c r="H224" s="24" t="s">
        <v>42</v>
      </c>
      <c r="I224" s="25"/>
      <c r="J224" s="24" t="s">
        <v>726</v>
      </c>
      <c r="K224" s="24" t="s">
        <v>727</v>
      </c>
      <c r="L224" s="24" t="s">
        <v>21</v>
      </c>
    </row>
    <row r="225" spans="1:12" x14ac:dyDescent="0.35">
      <c r="A225" s="26" t="s">
        <v>728</v>
      </c>
      <c r="B225" s="27" t="s">
        <v>13</v>
      </c>
      <c r="C225" s="28" t="s">
        <v>729</v>
      </c>
      <c r="D225" s="28" t="s">
        <v>34</v>
      </c>
      <c r="E225" s="28" t="s">
        <v>104</v>
      </c>
      <c r="F225" s="29" t="s">
        <v>29</v>
      </c>
      <c r="G225" s="27">
        <v>1</v>
      </c>
      <c r="H225" s="27" t="s">
        <v>18</v>
      </c>
      <c r="I225" s="29" t="s">
        <v>29</v>
      </c>
      <c r="J225" s="28" t="s">
        <v>730</v>
      </c>
      <c r="K225" s="28" t="s">
        <v>115</v>
      </c>
      <c r="L225" s="30" t="s">
        <v>26</v>
      </c>
    </row>
    <row r="226" spans="1:12" x14ac:dyDescent="0.35">
      <c r="A226" s="14" t="s">
        <v>731</v>
      </c>
      <c r="B226" s="15" t="s">
        <v>13</v>
      </c>
      <c r="C226" s="16" t="s">
        <v>732</v>
      </c>
      <c r="D226" s="16" t="s">
        <v>34</v>
      </c>
      <c r="E226" s="16" t="s">
        <v>47</v>
      </c>
      <c r="F226" s="17" t="s">
        <v>97</v>
      </c>
      <c r="G226" s="15">
        <v>5</v>
      </c>
      <c r="H226" s="15" t="s">
        <v>18</v>
      </c>
      <c r="I226" s="17" t="s">
        <v>97</v>
      </c>
      <c r="J226" s="16" t="s">
        <v>733</v>
      </c>
      <c r="K226" s="16" t="s">
        <v>44</v>
      </c>
      <c r="L226" s="18" t="s">
        <v>21</v>
      </c>
    </row>
    <row r="227" spans="1:12" x14ac:dyDescent="0.35">
      <c r="A227" s="9" t="s">
        <v>734</v>
      </c>
      <c r="B227" s="10" t="s">
        <v>13</v>
      </c>
      <c r="C227" s="11" t="s">
        <v>735</v>
      </c>
      <c r="D227" s="11" t="s">
        <v>78</v>
      </c>
      <c r="E227" s="11" t="s">
        <v>453</v>
      </c>
      <c r="F227" s="12" t="s">
        <v>52</v>
      </c>
      <c r="G227" s="10">
        <v>22</v>
      </c>
      <c r="H227" s="10" t="s">
        <v>18</v>
      </c>
      <c r="I227" s="12" t="s">
        <v>30</v>
      </c>
      <c r="J227" s="11" t="s">
        <v>736</v>
      </c>
      <c r="K227" s="11" t="s">
        <v>25</v>
      </c>
      <c r="L227" s="13" t="s">
        <v>21</v>
      </c>
    </row>
    <row r="228" spans="1:12" ht="15" customHeight="1" x14ac:dyDescent="0.35">
      <c r="A228" s="31" t="s">
        <v>737</v>
      </c>
      <c r="B228" s="32" t="s">
        <v>13</v>
      </c>
      <c r="C228" s="33" t="s">
        <v>738</v>
      </c>
      <c r="D228" s="33" t="s">
        <v>34</v>
      </c>
      <c r="E228" s="33" t="s">
        <v>47</v>
      </c>
      <c r="F228" s="34" t="s">
        <v>17</v>
      </c>
      <c r="G228" s="32">
        <v>13</v>
      </c>
      <c r="H228" s="32" t="s">
        <v>18</v>
      </c>
      <c r="I228" s="34" t="s">
        <v>17</v>
      </c>
      <c r="J228" s="33" t="s">
        <v>739</v>
      </c>
      <c r="K228" s="33" t="s">
        <v>130</v>
      </c>
      <c r="L228" s="35" t="s">
        <v>21</v>
      </c>
    </row>
    <row r="229" spans="1:12" x14ac:dyDescent="0.35">
      <c r="A229" s="36" t="s">
        <v>740</v>
      </c>
      <c r="B229" s="36" t="s">
        <v>13</v>
      </c>
      <c r="C229" s="36" t="s">
        <v>741</v>
      </c>
      <c r="D229" s="36" t="s">
        <v>78</v>
      </c>
      <c r="E229" s="36" t="s">
        <v>244</v>
      </c>
      <c r="F229" s="37" t="s">
        <v>66</v>
      </c>
      <c r="G229" s="36">
        <v>7</v>
      </c>
      <c r="H229" s="36" t="s">
        <v>109</v>
      </c>
      <c r="I229" s="37"/>
      <c r="J229" s="36" t="s">
        <v>742</v>
      </c>
      <c r="K229" s="36" t="s">
        <v>25</v>
      </c>
      <c r="L229" s="36" t="s">
        <v>21</v>
      </c>
    </row>
    <row r="230" spans="1:12" x14ac:dyDescent="0.35">
      <c r="A230" s="24" t="s">
        <v>743</v>
      </c>
      <c r="B230" s="24" t="s">
        <v>13</v>
      </c>
      <c r="C230" s="24" t="s">
        <v>744</v>
      </c>
      <c r="D230" s="24" t="s">
        <v>15</v>
      </c>
      <c r="E230" s="24" t="s">
        <v>133</v>
      </c>
      <c r="F230" s="25" t="s">
        <v>113</v>
      </c>
      <c r="G230" s="24">
        <v>8</v>
      </c>
      <c r="H230" s="24" t="s">
        <v>109</v>
      </c>
      <c r="I230" s="25"/>
      <c r="J230" s="24" t="s">
        <v>745</v>
      </c>
      <c r="K230" s="24" t="s">
        <v>25</v>
      </c>
      <c r="L230" s="24" t="s">
        <v>21</v>
      </c>
    </row>
    <row r="231" spans="1:12" x14ac:dyDescent="0.35">
      <c r="A231" s="26" t="s">
        <v>746</v>
      </c>
      <c r="B231" s="27" t="s">
        <v>13</v>
      </c>
      <c r="C231" s="28" t="s">
        <v>747</v>
      </c>
      <c r="D231" s="28" t="s">
        <v>34</v>
      </c>
      <c r="E231" s="28" t="s">
        <v>165</v>
      </c>
      <c r="F231" s="29" t="s">
        <v>97</v>
      </c>
      <c r="G231" s="27">
        <v>18</v>
      </c>
      <c r="H231" s="27" t="s">
        <v>18</v>
      </c>
      <c r="I231" s="29" t="s">
        <v>118</v>
      </c>
      <c r="J231" s="28" t="s">
        <v>748</v>
      </c>
      <c r="K231" s="28" t="s">
        <v>25</v>
      </c>
      <c r="L231" s="30" t="s">
        <v>21</v>
      </c>
    </row>
    <row r="232" spans="1:12" x14ac:dyDescent="0.35">
      <c r="A232" s="14" t="s">
        <v>749</v>
      </c>
      <c r="B232" s="15" t="s">
        <v>13</v>
      </c>
      <c r="C232" s="16" t="s">
        <v>750</v>
      </c>
      <c r="D232" s="16" t="s">
        <v>34</v>
      </c>
      <c r="E232" s="16" t="s">
        <v>35</v>
      </c>
      <c r="F232" s="17" t="s">
        <v>17</v>
      </c>
      <c r="G232" s="15">
        <v>18</v>
      </c>
      <c r="H232" s="15" t="s">
        <v>18</v>
      </c>
      <c r="I232" s="17" t="s">
        <v>17</v>
      </c>
      <c r="J232" s="16" t="s">
        <v>751</v>
      </c>
      <c r="K232" s="16" t="s">
        <v>130</v>
      </c>
      <c r="L232" s="18" t="s">
        <v>26</v>
      </c>
    </row>
    <row r="233" spans="1:12" x14ac:dyDescent="0.35">
      <c r="A233" s="9" t="s">
        <v>752</v>
      </c>
      <c r="B233" s="10" t="s">
        <v>13</v>
      </c>
      <c r="C233" s="11" t="s">
        <v>753</v>
      </c>
      <c r="D233" s="11" t="s">
        <v>34</v>
      </c>
      <c r="E233" s="11" t="s">
        <v>62</v>
      </c>
      <c r="F233" s="12" t="s">
        <v>37</v>
      </c>
      <c r="G233" s="10">
        <v>4</v>
      </c>
      <c r="H233" s="10" t="s">
        <v>18</v>
      </c>
      <c r="I233" s="12" t="s">
        <v>113</v>
      </c>
      <c r="J233" s="11" t="s">
        <v>754</v>
      </c>
      <c r="K233" s="11" t="s">
        <v>115</v>
      </c>
      <c r="L233" s="13" t="s">
        <v>21</v>
      </c>
    </row>
    <row r="234" spans="1:12" x14ac:dyDescent="0.35">
      <c r="A234" s="14" t="s">
        <v>755</v>
      </c>
      <c r="B234" s="15" t="s">
        <v>13</v>
      </c>
      <c r="C234" s="16" t="s">
        <v>756</v>
      </c>
      <c r="D234" s="16" t="s">
        <v>34</v>
      </c>
      <c r="E234" s="16" t="s">
        <v>62</v>
      </c>
      <c r="F234" s="17" t="s">
        <v>52</v>
      </c>
      <c r="G234" s="15">
        <v>7</v>
      </c>
      <c r="H234" s="15" t="s">
        <v>18</v>
      </c>
      <c r="I234" s="17" t="s">
        <v>52</v>
      </c>
      <c r="J234" s="16" t="s">
        <v>757</v>
      </c>
      <c r="K234" s="16" t="s">
        <v>44</v>
      </c>
      <c r="L234" s="18" t="s">
        <v>26</v>
      </c>
    </row>
    <row r="235" spans="1:12" ht="15" customHeight="1" x14ac:dyDescent="0.35">
      <c r="A235" s="19" t="s">
        <v>758</v>
      </c>
      <c r="B235" s="20" t="s">
        <v>13</v>
      </c>
      <c r="C235" s="21" t="s">
        <v>759</v>
      </c>
      <c r="D235" s="21" t="s">
        <v>34</v>
      </c>
      <c r="E235" s="21" t="s">
        <v>37</v>
      </c>
      <c r="F235" s="22" t="s">
        <v>17</v>
      </c>
      <c r="G235" s="20">
        <v>5</v>
      </c>
      <c r="H235" s="20" t="s">
        <v>18</v>
      </c>
      <c r="I235" s="22" t="s">
        <v>17</v>
      </c>
      <c r="J235" s="21" t="s">
        <v>760</v>
      </c>
      <c r="K235" s="21" t="s">
        <v>72</v>
      </c>
      <c r="L235" s="23" t="s">
        <v>21</v>
      </c>
    </row>
    <row r="236" spans="1:12" x14ac:dyDescent="0.35">
      <c r="A236" s="24" t="s">
        <v>761</v>
      </c>
      <c r="B236" s="24" t="s">
        <v>13</v>
      </c>
      <c r="C236" s="24" t="s">
        <v>762</v>
      </c>
      <c r="D236" s="24" t="s">
        <v>90</v>
      </c>
      <c r="E236" s="24" t="s">
        <v>29</v>
      </c>
      <c r="F236" s="25" t="s">
        <v>97</v>
      </c>
      <c r="G236" s="24">
        <v>2</v>
      </c>
      <c r="H236" s="24" t="s">
        <v>42</v>
      </c>
      <c r="I236" s="25"/>
      <c r="J236" s="24" t="s">
        <v>763</v>
      </c>
      <c r="K236" s="24" t="s">
        <v>25</v>
      </c>
      <c r="L236" s="24" t="s">
        <v>21</v>
      </c>
    </row>
    <row r="237" spans="1:12" x14ac:dyDescent="0.35">
      <c r="A237" s="26" t="s">
        <v>764</v>
      </c>
      <c r="B237" s="27" t="s">
        <v>13</v>
      </c>
      <c r="C237" s="28" t="s">
        <v>765</v>
      </c>
      <c r="D237" s="28" t="s">
        <v>34</v>
      </c>
      <c r="E237" s="28" t="s">
        <v>118</v>
      </c>
      <c r="F237" s="29" t="s">
        <v>37</v>
      </c>
      <c r="G237" s="27">
        <v>2</v>
      </c>
      <c r="H237" s="27" t="s">
        <v>18</v>
      </c>
      <c r="I237" s="29" t="s">
        <v>52</v>
      </c>
      <c r="J237" s="28" t="s">
        <v>417</v>
      </c>
      <c r="K237" s="28" t="s">
        <v>25</v>
      </c>
      <c r="L237" s="30" t="s">
        <v>21</v>
      </c>
    </row>
    <row r="238" spans="1:12" ht="15" customHeight="1" x14ac:dyDescent="0.35">
      <c r="A238" s="31" t="s">
        <v>766</v>
      </c>
      <c r="B238" s="32" t="s">
        <v>13</v>
      </c>
      <c r="C238" s="33" t="s">
        <v>767</v>
      </c>
      <c r="D238" s="33" t="s">
        <v>34</v>
      </c>
      <c r="E238" s="33" t="s">
        <v>62</v>
      </c>
      <c r="F238" s="34" t="s">
        <v>118</v>
      </c>
      <c r="G238" s="32">
        <v>1</v>
      </c>
      <c r="H238" s="32" t="s">
        <v>18</v>
      </c>
      <c r="I238" s="34" t="s">
        <v>36</v>
      </c>
      <c r="J238" s="33" t="s">
        <v>768</v>
      </c>
      <c r="K238" s="33" t="s">
        <v>44</v>
      </c>
      <c r="L238" s="35" t="s">
        <v>21</v>
      </c>
    </row>
    <row r="239" spans="1:12" x14ac:dyDescent="0.35">
      <c r="A239" s="36" t="s">
        <v>769</v>
      </c>
      <c r="B239" s="36" t="s">
        <v>13</v>
      </c>
      <c r="C239" s="36" t="s">
        <v>770</v>
      </c>
      <c r="D239" s="36" t="s">
        <v>78</v>
      </c>
      <c r="E239" s="36" t="s">
        <v>118</v>
      </c>
      <c r="F239" s="37" t="s">
        <v>70</v>
      </c>
      <c r="G239" s="36">
        <v>8</v>
      </c>
      <c r="H239" s="36" t="s">
        <v>42</v>
      </c>
      <c r="I239" s="37"/>
      <c r="J239" s="36" t="s">
        <v>771</v>
      </c>
      <c r="K239" s="36" t="s">
        <v>25</v>
      </c>
      <c r="L239" s="36" t="s">
        <v>21</v>
      </c>
    </row>
    <row r="240" spans="1:12" ht="15" customHeight="1" x14ac:dyDescent="0.35">
      <c r="A240" s="48" t="s">
        <v>772</v>
      </c>
      <c r="B240" s="49" t="s">
        <v>13</v>
      </c>
      <c r="C240" s="50" t="s">
        <v>773</v>
      </c>
      <c r="D240" s="50" t="s">
        <v>34</v>
      </c>
      <c r="E240" s="50" t="s">
        <v>47</v>
      </c>
      <c r="F240" s="51" t="s">
        <v>29</v>
      </c>
      <c r="G240" s="49">
        <v>3</v>
      </c>
      <c r="H240" s="49" t="s">
        <v>18</v>
      </c>
      <c r="I240" s="51" t="s">
        <v>62</v>
      </c>
      <c r="J240" s="50" t="s">
        <v>774</v>
      </c>
      <c r="K240" s="50" t="s">
        <v>115</v>
      </c>
      <c r="L240" s="52" t="s">
        <v>21</v>
      </c>
    </row>
    <row r="241" spans="1:12" x14ac:dyDescent="0.35">
      <c r="A241" s="36" t="s">
        <v>775</v>
      </c>
      <c r="B241" s="36" t="s">
        <v>85</v>
      </c>
      <c r="C241" s="36" t="s">
        <v>776</v>
      </c>
      <c r="D241" s="36" t="s">
        <v>34</v>
      </c>
      <c r="E241" s="36" t="s">
        <v>252</v>
      </c>
      <c r="F241" s="37" t="s">
        <v>47</v>
      </c>
      <c r="G241" s="36">
        <v>8</v>
      </c>
      <c r="H241" s="36" t="s">
        <v>109</v>
      </c>
      <c r="I241" s="37"/>
      <c r="J241" s="36" t="s">
        <v>777</v>
      </c>
      <c r="K241" s="36" t="s">
        <v>241</v>
      </c>
      <c r="L241" s="36" t="s">
        <v>21</v>
      </c>
    </row>
    <row r="242" spans="1:12" x14ac:dyDescent="0.35">
      <c r="A242" s="24" t="s">
        <v>778</v>
      </c>
      <c r="B242" s="24" t="s">
        <v>13</v>
      </c>
      <c r="C242" s="24" t="s">
        <v>779</v>
      </c>
      <c r="D242" s="24" t="s">
        <v>90</v>
      </c>
      <c r="E242" s="24" t="s">
        <v>780</v>
      </c>
      <c r="F242" s="25" t="s">
        <v>66</v>
      </c>
      <c r="G242" s="24">
        <v>13</v>
      </c>
      <c r="H242" s="24" t="s">
        <v>109</v>
      </c>
      <c r="I242" s="25"/>
      <c r="J242" s="24" t="s">
        <v>781</v>
      </c>
      <c r="K242" s="24" t="s">
        <v>25</v>
      </c>
      <c r="L242" s="24" t="s">
        <v>21</v>
      </c>
    </row>
    <row r="243" spans="1:12" x14ac:dyDescent="0.35">
      <c r="A243" s="26" t="s">
        <v>782</v>
      </c>
      <c r="B243" s="27" t="s">
        <v>13</v>
      </c>
      <c r="C243" s="28" t="s">
        <v>783</v>
      </c>
      <c r="D243" s="28" t="s">
        <v>34</v>
      </c>
      <c r="E243" s="28" t="s">
        <v>37</v>
      </c>
      <c r="F243" s="29" t="s">
        <v>17</v>
      </c>
      <c r="G243" s="27">
        <v>5</v>
      </c>
      <c r="H243" s="27" t="s">
        <v>18</v>
      </c>
      <c r="I243" s="29" t="s">
        <v>17</v>
      </c>
      <c r="J243" s="28" t="s">
        <v>784</v>
      </c>
      <c r="K243" s="28" t="s">
        <v>72</v>
      </c>
      <c r="L243" s="30" t="s">
        <v>21</v>
      </c>
    </row>
    <row r="244" spans="1:12" x14ac:dyDescent="0.35">
      <c r="A244" s="14" t="s">
        <v>785</v>
      </c>
      <c r="B244" s="15" t="s">
        <v>13</v>
      </c>
      <c r="C244" s="16" t="s">
        <v>786</v>
      </c>
      <c r="D244" s="16" t="s">
        <v>90</v>
      </c>
      <c r="E244" s="16" t="s">
        <v>29</v>
      </c>
      <c r="F244" s="17" t="s">
        <v>17</v>
      </c>
      <c r="G244" s="15">
        <v>10</v>
      </c>
      <c r="H244" s="15" t="s">
        <v>18</v>
      </c>
      <c r="I244" s="17" t="s">
        <v>17</v>
      </c>
      <c r="J244" s="16" t="s">
        <v>787</v>
      </c>
      <c r="K244" s="16" t="s">
        <v>25</v>
      </c>
      <c r="L244" s="18" t="s">
        <v>26</v>
      </c>
    </row>
    <row r="245" spans="1:12" ht="15" customHeight="1" x14ac:dyDescent="0.35">
      <c r="A245" s="19" t="s">
        <v>788</v>
      </c>
      <c r="B245" s="20" t="s">
        <v>13</v>
      </c>
      <c r="C245" s="21" t="s">
        <v>789</v>
      </c>
      <c r="D245" s="21" t="s">
        <v>15</v>
      </c>
      <c r="E245" s="21" t="s">
        <v>29</v>
      </c>
      <c r="F245" s="22" t="s">
        <v>36</v>
      </c>
      <c r="G245" s="20">
        <v>4</v>
      </c>
      <c r="H245" s="20" t="s">
        <v>18</v>
      </c>
      <c r="I245" s="22" t="s">
        <v>36</v>
      </c>
      <c r="J245" s="21" t="s">
        <v>790</v>
      </c>
      <c r="K245" s="21" t="s">
        <v>25</v>
      </c>
      <c r="L245" s="23" t="s">
        <v>21</v>
      </c>
    </row>
    <row r="246" spans="1:12" x14ac:dyDescent="0.35">
      <c r="A246" s="24" t="s">
        <v>791</v>
      </c>
      <c r="B246" s="24" t="s">
        <v>13</v>
      </c>
      <c r="C246" s="24" t="s">
        <v>792</v>
      </c>
      <c r="D246" s="24" t="s">
        <v>34</v>
      </c>
      <c r="E246" s="24" t="s">
        <v>793</v>
      </c>
      <c r="F246" s="25" t="s">
        <v>133</v>
      </c>
      <c r="G246" s="24">
        <v>25</v>
      </c>
      <c r="H246" s="24" t="s">
        <v>109</v>
      </c>
      <c r="I246" s="25"/>
      <c r="J246" s="24" t="s">
        <v>794</v>
      </c>
      <c r="K246" s="24" t="s">
        <v>25</v>
      </c>
      <c r="L246" s="24" t="s">
        <v>21</v>
      </c>
    </row>
    <row r="247" spans="1:12" x14ac:dyDescent="0.35">
      <c r="A247" s="26" t="s">
        <v>795</v>
      </c>
      <c r="B247" s="27" t="s">
        <v>13</v>
      </c>
      <c r="C247" s="28" t="s">
        <v>796</v>
      </c>
      <c r="D247" s="28" t="s">
        <v>34</v>
      </c>
      <c r="E247" s="28" t="s">
        <v>178</v>
      </c>
      <c r="F247" s="29" t="s">
        <v>133</v>
      </c>
      <c r="G247" s="27">
        <v>5</v>
      </c>
      <c r="H247" s="27" t="s">
        <v>18</v>
      </c>
      <c r="I247" s="29" t="s">
        <v>133</v>
      </c>
      <c r="J247" s="28" t="s">
        <v>797</v>
      </c>
      <c r="K247" s="28" t="s">
        <v>130</v>
      </c>
      <c r="L247" s="30" t="s">
        <v>26</v>
      </c>
    </row>
    <row r="248" spans="1:12" x14ac:dyDescent="0.35">
      <c r="A248" s="14" t="s">
        <v>798</v>
      </c>
      <c r="B248" s="15" t="s">
        <v>13</v>
      </c>
      <c r="C248" s="16" t="s">
        <v>799</v>
      </c>
      <c r="D248" s="16" t="s">
        <v>34</v>
      </c>
      <c r="E248" s="16" t="s">
        <v>133</v>
      </c>
      <c r="F248" s="17" t="s">
        <v>118</v>
      </c>
      <c r="G248" s="15">
        <v>4</v>
      </c>
      <c r="H248" s="15" t="s">
        <v>18</v>
      </c>
      <c r="I248" s="17" t="s">
        <v>36</v>
      </c>
      <c r="J248" s="16" t="s">
        <v>800</v>
      </c>
      <c r="K248" s="16" t="s">
        <v>115</v>
      </c>
      <c r="L248" s="18" t="s">
        <v>21</v>
      </c>
    </row>
    <row r="249" spans="1:12" ht="15" customHeight="1" x14ac:dyDescent="0.35">
      <c r="A249" s="19" t="s">
        <v>801</v>
      </c>
      <c r="B249" s="20" t="s">
        <v>13</v>
      </c>
      <c r="C249" s="21" t="s">
        <v>802</v>
      </c>
      <c r="D249" s="21" t="s">
        <v>34</v>
      </c>
      <c r="E249" s="21" t="s">
        <v>35</v>
      </c>
      <c r="F249" s="22" t="s">
        <v>17</v>
      </c>
      <c r="G249" s="20">
        <v>18</v>
      </c>
      <c r="H249" s="20" t="s">
        <v>18</v>
      </c>
      <c r="I249" s="22" t="s">
        <v>17</v>
      </c>
      <c r="J249" s="21" t="s">
        <v>803</v>
      </c>
      <c r="K249" s="21" t="s">
        <v>130</v>
      </c>
      <c r="L249" s="23" t="s">
        <v>21</v>
      </c>
    </row>
    <row r="250" spans="1:12" x14ac:dyDescent="0.35">
      <c r="A250" s="24" t="s">
        <v>804</v>
      </c>
      <c r="B250" s="24" t="s">
        <v>13</v>
      </c>
      <c r="C250" s="24" t="s">
        <v>805</v>
      </c>
      <c r="D250" s="24" t="s">
        <v>34</v>
      </c>
      <c r="E250" s="24" t="s">
        <v>133</v>
      </c>
      <c r="F250" s="25" t="s">
        <v>52</v>
      </c>
      <c r="G250" s="24">
        <v>9</v>
      </c>
      <c r="H250" s="24" t="s">
        <v>42</v>
      </c>
      <c r="I250" s="25"/>
      <c r="J250" s="24" t="s">
        <v>806</v>
      </c>
      <c r="K250" s="24" t="s">
        <v>25</v>
      </c>
      <c r="L250" s="24" t="s">
        <v>21</v>
      </c>
    </row>
    <row r="251" spans="1:12" ht="15" customHeight="1" x14ac:dyDescent="0.35">
      <c r="A251" s="43" t="s">
        <v>807</v>
      </c>
      <c r="B251" s="44" t="s">
        <v>13</v>
      </c>
      <c r="C251" s="45" t="s">
        <v>808</v>
      </c>
      <c r="D251" s="45" t="s">
        <v>34</v>
      </c>
      <c r="E251" s="45" t="s">
        <v>497</v>
      </c>
      <c r="F251" s="46" t="s">
        <v>62</v>
      </c>
      <c r="G251" s="44">
        <v>11</v>
      </c>
      <c r="H251" s="44" t="s">
        <v>18</v>
      </c>
      <c r="I251" s="46" t="s">
        <v>62</v>
      </c>
      <c r="J251" s="45" t="s">
        <v>809</v>
      </c>
      <c r="K251" s="45" t="s">
        <v>130</v>
      </c>
      <c r="L251" s="47" t="s">
        <v>21</v>
      </c>
    </row>
    <row r="252" spans="1:12" x14ac:dyDescent="0.35">
      <c r="A252" s="24" t="s">
        <v>810</v>
      </c>
      <c r="B252" s="24" t="s">
        <v>13</v>
      </c>
      <c r="C252" s="24" t="s">
        <v>811</v>
      </c>
      <c r="D252" s="24" t="s">
        <v>34</v>
      </c>
      <c r="E252" s="24" t="s">
        <v>453</v>
      </c>
      <c r="F252" s="25" t="s">
        <v>70</v>
      </c>
      <c r="G252" s="24">
        <v>25</v>
      </c>
      <c r="H252" s="24" t="s">
        <v>42</v>
      </c>
      <c r="I252" s="25"/>
      <c r="J252" s="24" t="s">
        <v>812</v>
      </c>
      <c r="K252" s="24" t="s">
        <v>25</v>
      </c>
      <c r="L252" s="24" t="s">
        <v>21</v>
      </c>
    </row>
    <row r="253" spans="1:12" x14ac:dyDescent="0.35">
      <c r="A253" s="26" t="s">
        <v>813</v>
      </c>
      <c r="B253" s="27" t="s">
        <v>13</v>
      </c>
      <c r="C253" s="28" t="s">
        <v>814</v>
      </c>
      <c r="D253" s="28" t="s">
        <v>34</v>
      </c>
      <c r="E253" s="28" t="s">
        <v>36</v>
      </c>
      <c r="F253" s="29" t="s">
        <v>70</v>
      </c>
      <c r="G253" s="27">
        <v>7</v>
      </c>
      <c r="H253" s="27" t="s">
        <v>18</v>
      </c>
      <c r="I253" s="29" t="s">
        <v>70</v>
      </c>
      <c r="J253" s="28" t="s">
        <v>815</v>
      </c>
      <c r="K253" s="28" t="s">
        <v>115</v>
      </c>
      <c r="L253" s="30" t="s">
        <v>21</v>
      </c>
    </row>
    <row r="254" spans="1:12" x14ac:dyDescent="0.35">
      <c r="A254" s="14" t="s">
        <v>816</v>
      </c>
      <c r="B254" s="15" t="s">
        <v>13</v>
      </c>
      <c r="C254" s="16" t="s">
        <v>817</v>
      </c>
      <c r="D254" s="16" t="s">
        <v>34</v>
      </c>
      <c r="E254" s="16" t="s">
        <v>62</v>
      </c>
      <c r="F254" s="17" t="s">
        <v>30</v>
      </c>
      <c r="G254" s="15">
        <v>9</v>
      </c>
      <c r="H254" s="15" t="s">
        <v>18</v>
      </c>
      <c r="I254" s="17" t="s">
        <v>30</v>
      </c>
      <c r="J254" s="16" t="s">
        <v>818</v>
      </c>
      <c r="K254" s="16" t="s">
        <v>25</v>
      </c>
      <c r="L254" s="18" t="s">
        <v>21</v>
      </c>
    </row>
    <row r="255" spans="1:12" x14ac:dyDescent="0.35">
      <c r="A255" s="9" t="s">
        <v>819</v>
      </c>
      <c r="B255" s="10" t="s">
        <v>13</v>
      </c>
      <c r="C255" s="11" t="s">
        <v>820</v>
      </c>
      <c r="D255" s="11" t="s">
        <v>34</v>
      </c>
      <c r="E255" s="11" t="s">
        <v>165</v>
      </c>
      <c r="F255" s="12" t="s">
        <v>104</v>
      </c>
      <c r="G255" s="10">
        <v>16</v>
      </c>
      <c r="H255" s="10" t="s">
        <v>18</v>
      </c>
      <c r="I255" s="12" t="s">
        <v>104</v>
      </c>
      <c r="J255" s="11" t="s">
        <v>821</v>
      </c>
      <c r="K255" s="11" t="s">
        <v>25</v>
      </c>
      <c r="L255" s="13" t="s">
        <v>21</v>
      </c>
    </row>
    <row r="256" spans="1:12" x14ac:dyDescent="0.35">
      <c r="A256" s="14" t="s">
        <v>822</v>
      </c>
      <c r="B256" s="15" t="s">
        <v>13</v>
      </c>
      <c r="C256" s="16" t="s">
        <v>823</v>
      </c>
      <c r="D256" s="16" t="s">
        <v>34</v>
      </c>
      <c r="E256" s="16" t="s">
        <v>244</v>
      </c>
      <c r="F256" s="17" t="s">
        <v>29</v>
      </c>
      <c r="G256" s="15">
        <v>13</v>
      </c>
      <c r="H256" s="15" t="s">
        <v>18</v>
      </c>
      <c r="I256" s="17" t="s">
        <v>62</v>
      </c>
      <c r="J256" s="16" t="s">
        <v>824</v>
      </c>
      <c r="K256" s="16" t="s">
        <v>25</v>
      </c>
      <c r="L256" s="18" t="s">
        <v>21</v>
      </c>
    </row>
    <row r="257" spans="1:12" ht="15" customHeight="1" x14ac:dyDescent="0.35">
      <c r="A257" s="19" t="s">
        <v>825</v>
      </c>
      <c r="B257" s="20" t="s">
        <v>13</v>
      </c>
      <c r="C257" s="21" t="s">
        <v>826</v>
      </c>
      <c r="D257" s="21" t="s">
        <v>34</v>
      </c>
      <c r="E257" s="21" t="s">
        <v>97</v>
      </c>
      <c r="F257" s="22" t="s">
        <v>113</v>
      </c>
      <c r="G257" s="20">
        <v>4</v>
      </c>
      <c r="H257" s="20" t="s">
        <v>18</v>
      </c>
      <c r="I257" s="22" t="s">
        <v>23</v>
      </c>
      <c r="J257" s="21" t="s">
        <v>827</v>
      </c>
      <c r="K257" s="21" t="s">
        <v>115</v>
      </c>
      <c r="L257" s="23" t="s">
        <v>26</v>
      </c>
    </row>
    <row r="258" spans="1:12" x14ac:dyDescent="0.35">
      <c r="A258" s="24" t="s">
        <v>828</v>
      </c>
      <c r="B258" s="24" t="s">
        <v>13</v>
      </c>
      <c r="C258" s="24" t="s">
        <v>829</v>
      </c>
      <c r="D258" s="24" t="s">
        <v>34</v>
      </c>
      <c r="E258" s="24" t="s">
        <v>51</v>
      </c>
      <c r="F258" s="25" t="s">
        <v>97</v>
      </c>
      <c r="G258" s="24">
        <v>6</v>
      </c>
      <c r="H258" s="24" t="s">
        <v>109</v>
      </c>
      <c r="I258" s="25"/>
      <c r="J258" s="24" t="s">
        <v>830</v>
      </c>
      <c r="K258" s="24" t="s">
        <v>44</v>
      </c>
      <c r="L258" s="24" t="s">
        <v>26</v>
      </c>
    </row>
    <row r="259" spans="1:12" x14ac:dyDescent="0.35">
      <c r="A259" s="36" t="s">
        <v>828</v>
      </c>
      <c r="B259" s="36" t="s">
        <v>13</v>
      </c>
      <c r="C259" s="36" t="s">
        <v>829</v>
      </c>
      <c r="D259" s="36" t="s">
        <v>34</v>
      </c>
      <c r="E259" s="36" t="s">
        <v>51</v>
      </c>
      <c r="F259" s="37" t="s">
        <v>30</v>
      </c>
      <c r="G259" s="36">
        <v>13</v>
      </c>
      <c r="H259" s="36" t="s">
        <v>109</v>
      </c>
      <c r="I259" s="37"/>
      <c r="J259" s="36" t="s">
        <v>830</v>
      </c>
      <c r="K259" s="36" t="s">
        <v>44</v>
      </c>
      <c r="L259" s="36" t="s">
        <v>26</v>
      </c>
    </row>
    <row r="260" spans="1:12" x14ac:dyDescent="0.35">
      <c r="A260" s="38" t="s">
        <v>831</v>
      </c>
      <c r="B260" s="39" t="s">
        <v>13</v>
      </c>
      <c r="C260" s="40" t="s">
        <v>832</v>
      </c>
      <c r="D260" s="40" t="s">
        <v>34</v>
      </c>
      <c r="E260" s="40" t="s">
        <v>133</v>
      </c>
      <c r="F260" s="41" t="s">
        <v>97</v>
      </c>
      <c r="G260" s="39">
        <v>4</v>
      </c>
      <c r="H260" s="39" t="s">
        <v>18</v>
      </c>
      <c r="I260" s="41" t="s">
        <v>97</v>
      </c>
      <c r="J260" s="40" t="s">
        <v>833</v>
      </c>
      <c r="K260" s="40" t="s">
        <v>44</v>
      </c>
      <c r="L260" s="42" t="s">
        <v>26</v>
      </c>
    </row>
    <row r="261" spans="1:12" ht="15" customHeight="1" x14ac:dyDescent="0.35">
      <c r="A261" s="19" t="s">
        <v>834</v>
      </c>
      <c r="B261" s="20" t="s">
        <v>13</v>
      </c>
      <c r="C261" s="21" t="s">
        <v>835</v>
      </c>
      <c r="D261" s="21" t="s">
        <v>34</v>
      </c>
      <c r="E261" s="21" t="s">
        <v>133</v>
      </c>
      <c r="F261" s="22" t="s">
        <v>118</v>
      </c>
      <c r="G261" s="20">
        <v>5</v>
      </c>
      <c r="H261" s="20" t="s">
        <v>18</v>
      </c>
      <c r="I261" s="22" t="s">
        <v>36</v>
      </c>
      <c r="J261" s="21" t="s">
        <v>836</v>
      </c>
      <c r="K261" s="21" t="s">
        <v>44</v>
      </c>
      <c r="L261" s="23" t="s">
        <v>26</v>
      </c>
    </row>
    <row r="262" spans="1:12" x14ac:dyDescent="0.35">
      <c r="A262" s="24" t="s">
        <v>837</v>
      </c>
      <c r="B262" s="24" t="s">
        <v>13</v>
      </c>
      <c r="C262" s="24" t="s">
        <v>838</v>
      </c>
      <c r="D262" s="24" t="s">
        <v>34</v>
      </c>
      <c r="E262" s="24" t="s">
        <v>29</v>
      </c>
      <c r="F262" s="25" t="s">
        <v>17</v>
      </c>
      <c r="G262" s="24">
        <v>10</v>
      </c>
      <c r="H262" s="24" t="s">
        <v>42</v>
      </c>
      <c r="I262" s="25"/>
      <c r="J262" s="24" t="s">
        <v>839</v>
      </c>
      <c r="K262" s="24" t="s">
        <v>44</v>
      </c>
      <c r="L262" s="24" t="s">
        <v>21</v>
      </c>
    </row>
    <row r="263" spans="1:12" x14ac:dyDescent="0.35">
      <c r="A263" s="26" t="s">
        <v>840</v>
      </c>
      <c r="B263" s="27" t="s">
        <v>13</v>
      </c>
      <c r="C263" s="28" t="s">
        <v>841</v>
      </c>
      <c r="D263" s="28" t="s">
        <v>34</v>
      </c>
      <c r="E263" s="28" t="s">
        <v>37</v>
      </c>
      <c r="F263" s="29" t="s">
        <v>52</v>
      </c>
      <c r="G263" s="27">
        <v>2</v>
      </c>
      <c r="H263" s="27" t="s">
        <v>18</v>
      </c>
      <c r="I263" s="29" t="s">
        <v>52</v>
      </c>
      <c r="J263" s="28" t="s">
        <v>842</v>
      </c>
      <c r="K263" s="28" t="s">
        <v>44</v>
      </c>
      <c r="L263" s="30" t="s">
        <v>21</v>
      </c>
    </row>
    <row r="264" spans="1:12" x14ac:dyDescent="0.35">
      <c r="A264" s="14" t="s">
        <v>843</v>
      </c>
      <c r="B264" s="15" t="s">
        <v>13</v>
      </c>
      <c r="C264" s="16" t="s">
        <v>844</v>
      </c>
      <c r="D264" s="16" t="s">
        <v>34</v>
      </c>
      <c r="E264" s="16" t="s">
        <v>30</v>
      </c>
      <c r="F264" s="17" t="s">
        <v>70</v>
      </c>
      <c r="G264" s="15">
        <v>2</v>
      </c>
      <c r="H264" s="15" t="s">
        <v>18</v>
      </c>
      <c r="I264" s="17" t="s">
        <v>70</v>
      </c>
      <c r="J264" s="16" t="s">
        <v>845</v>
      </c>
      <c r="K264" s="16" t="s">
        <v>44</v>
      </c>
      <c r="L264" s="18" t="s">
        <v>21</v>
      </c>
    </row>
    <row r="265" spans="1:12" x14ac:dyDescent="0.35">
      <c r="A265" s="9" t="s">
        <v>846</v>
      </c>
      <c r="B265" s="10" t="s">
        <v>13</v>
      </c>
      <c r="C265" s="11" t="s">
        <v>847</v>
      </c>
      <c r="D265" s="11" t="s">
        <v>15</v>
      </c>
      <c r="E265" s="11" t="s">
        <v>62</v>
      </c>
      <c r="F265" s="12" t="s">
        <v>30</v>
      </c>
      <c r="G265" s="10">
        <v>8</v>
      </c>
      <c r="H265" s="10" t="s">
        <v>18</v>
      </c>
      <c r="I265" s="12" t="s">
        <v>30</v>
      </c>
      <c r="J265" s="11" t="s">
        <v>848</v>
      </c>
      <c r="K265" s="11" t="s">
        <v>25</v>
      </c>
      <c r="L265" s="13" t="s">
        <v>21</v>
      </c>
    </row>
    <row r="266" spans="1:12" x14ac:dyDescent="0.35">
      <c r="A266" s="14" t="s">
        <v>849</v>
      </c>
      <c r="B266" s="15" t="s">
        <v>13</v>
      </c>
      <c r="C266" s="16" t="s">
        <v>850</v>
      </c>
      <c r="D266" s="16" t="s">
        <v>34</v>
      </c>
      <c r="E266" s="16" t="s">
        <v>497</v>
      </c>
      <c r="F266" s="17" t="s">
        <v>104</v>
      </c>
      <c r="G266" s="15">
        <v>9</v>
      </c>
      <c r="H266" s="15" t="s">
        <v>18</v>
      </c>
      <c r="I266" s="17" t="s">
        <v>104</v>
      </c>
      <c r="J266" s="16" t="s">
        <v>851</v>
      </c>
      <c r="K266" s="16" t="s">
        <v>25</v>
      </c>
      <c r="L266" s="18" t="s">
        <v>21</v>
      </c>
    </row>
    <row r="267" spans="1:12" x14ac:dyDescent="0.35">
      <c r="A267" s="9" t="s">
        <v>852</v>
      </c>
      <c r="B267" s="10" t="s">
        <v>13</v>
      </c>
      <c r="C267" s="11" t="s">
        <v>853</v>
      </c>
      <c r="D267" s="11" t="s">
        <v>34</v>
      </c>
      <c r="E267" s="11" t="s">
        <v>29</v>
      </c>
      <c r="F267" s="12" t="s">
        <v>70</v>
      </c>
      <c r="G267" s="10">
        <v>11</v>
      </c>
      <c r="H267" s="10" t="s">
        <v>18</v>
      </c>
      <c r="I267" s="12" t="s">
        <v>70</v>
      </c>
      <c r="J267" s="11" t="s">
        <v>854</v>
      </c>
      <c r="K267" s="11" t="s">
        <v>115</v>
      </c>
      <c r="L267" s="13" t="s">
        <v>21</v>
      </c>
    </row>
    <row r="268" spans="1:12" ht="15" customHeight="1" x14ac:dyDescent="0.35">
      <c r="A268" s="31" t="s">
        <v>855</v>
      </c>
      <c r="B268" s="32" t="s">
        <v>13</v>
      </c>
      <c r="C268" s="33" t="s">
        <v>856</v>
      </c>
      <c r="D268" s="33" t="s">
        <v>34</v>
      </c>
      <c r="E268" s="33" t="s">
        <v>36</v>
      </c>
      <c r="F268" s="34" t="s">
        <v>30</v>
      </c>
      <c r="G268" s="32">
        <v>5</v>
      </c>
      <c r="H268" s="32" t="s">
        <v>18</v>
      </c>
      <c r="I268" s="34" t="s">
        <v>30</v>
      </c>
      <c r="J268" s="33" t="s">
        <v>857</v>
      </c>
      <c r="K268" s="33" t="s">
        <v>72</v>
      </c>
      <c r="L268" s="35" t="s">
        <v>21</v>
      </c>
    </row>
    <row r="269" spans="1:12" x14ac:dyDescent="0.35">
      <c r="A269" s="36" t="s">
        <v>858</v>
      </c>
      <c r="B269" s="36" t="s">
        <v>13</v>
      </c>
      <c r="C269" s="36" t="s">
        <v>859</v>
      </c>
      <c r="D269" s="36" t="s">
        <v>15</v>
      </c>
      <c r="E269" s="36" t="s">
        <v>36</v>
      </c>
      <c r="F269" s="37" t="s">
        <v>70</v>
      </c>
      <c r="G269" s="36">
        <v>6</v>
      </c>
      <c r="H269" s="36" t="s">
        <v>42</v>
      </c>
      <c r="I269" s="37"/>
      <c r="J269" s="36" t="s">
        <v>860</v>
      </c>
      <c r="K269" s="36" t="s">
        <v>25</v>
      </c>
      <c r="L269" s="36" t="s">
        <v>26</v>
      </c>
    </row>
    <row r="270" spans="1:12" x14ac:dyDescent="0.35">
      <c r="A270" s="38" t="s">
        <v>861</v>
      </c>
      <c r="B270" s="39" t="s">
        <v>13</v>
      </c>
      <c r="C270" s="40" t="s">
        <v>862</v>
      </c>
      <c r="D270" s="40" t="s">
        <v>34</v>
      </c>
      <c r="E270" s="40" t="s">
        <v>35</v>
      </c>
      <c r="F270" s="41" t="s">
        <v>113</v>
      </c>
      <c r="G270" s="39">
        <v>14</v>
      </c>
      <c r="H270" s="39" t="s">
        <v>18</v>
      </c>
      <c r="I270" s="41" t="s">
        <v>23</v>
      </c>
      <c r="J270" s="40" t="s">
        <v>863</v>
      </c>
      <c r="K270" s="40" t="s">
        <v>25</v>
      </c>
      <c r="L270" s="42" t="s">
        <v>21</v>
      </c>
    </row>
    <row r="271" spans="1:12" x14ac:dyDescent="0.35">
      <c r="A271" s="9" t="s">
        <v>864</v>
      </c>
      <c r="B271" s="10" t="s">
        <v>13</v>
      </c>
      <c r="C271" s="11" t="s">
        <v>865</v>
      </c>
      <c r="D271" s="11" t="s">
        <v>34</v>
      </c>
      <c r="E271" s="11" t="s">
        <v>122</v>
      </c>
      <c r="F271" s="12" t="s">
        <v>62</v>
      </c>
      <c r="G271" s="10">
        <v>22</v>
      </c>
      <c r="H271" s="10" t="s">
        <v>18</v>
      </c>
      <c r="I271" s="12" t="s">
        <v>62</v>
      </c>
      <c r="J271" s="11" t="s">
        <v>866</v>
      </c>
      <c r="K271" s="11" t="s">
        <v>241</v>
      </c>
      <c r="L271" s="13" t="s">
        <v>21</v>
      </c>
    </row>
    <row r="272" spans="1:12" ht="15" customHeight="1" x14ac:dyDescent="0.35">
      <c r="A272" s="31" t="s">
        <v>867</v>
      </c>
      <c r="B272" s="32" t="s">
        <v>13</v>
      </c>
      <c r="C272" s="33" t="s">
        <v>868</v>
      </c>
      <c r="D272" s="33" t="s">
        <v>34</v>
      </c>
      <c r="E272" s="33" t="s">
        <v>252</v>
      </c>
      <c r="F272" s="34" t="s">
        <v>62</v>
      </c>
      <c r="G272" s="32">
        <v>12</v>
      </c>
      <c r="H272" s="32" t="s">
        <v>18</v>
      </c>
      <c r="I272" s="34" t="s">
        <v>62</v>
      </c>
      <c r="J272" s="33" t="s">
        <v>869</v>
      </c>
      <c r="K272" s="33" t="s">
        <v>130</v>
      </c>
      <c r="L272" s="35" t="s">
        <v>21</v>
      </c>
    </row>
    <row r="273" spans="1:12" x14ac:dyDescent="0.35">
      <c r="A273" s="36" t="s">
        <v>870</v>
      </c>
      <c r="B273" s="36" t="s">
        <v>13</v>
      </c>
      <c r="C273" s="36" t="s">
        <v>871</v>
      </c>
      <c r="D273" s="36" t="s">
        <v>15</v>
      </c>
      <c r="E273" s="36" t="s">
        <v>104</v>
      </c>
      <c r="F273" s="37" t="s">
        <v>97</v>
      </c>
      <c r="G273" s="36">
        <v>3</v>
      </c>
      <c r="H273" s="36" t="s">
        <v>109</v>
      </c>
      <c r="I273" s="37"/>
      <c r="J273" s="36" t="s">
        <v>872</v>
      </c>
      <c r="K273" s="36" t="s">
        <v>25</v>
      </c>
      <c r="L273" s="36" t="s">
        <v>21</v>
      </c>
    </row>
    <row r="274" spans="1:12" ht="15" customHeight="1" x14ac:dyDescent="0.35">
      <c r="A274" s="48" t="s">
        <v>873</v>
      </c>
      <c r="B274" s="49" t="s">
        <v>13</v>
      </c>
      <c r="C274" s="50" t="s">
        <v>874</v>
      </c>
      <c r="D274" s="50" t="s">
        <v>34</v>
      </c>
      <c r="E274" s="50" t="s">
        <v>275</v>
      </c>
      <c r="F274" s="51" t="s">
        <v>66</v>
      </c>
      <c r="G274" s="49">
        <v>10</v>
      </c>
      <c r="H274" s="49" t="s">
        <v>18</v>
      </c>
      <c r="I274" s="51" t="s">
        <v>66</v>
      </c>
      <c r="J274" s="50" t="s">
        <v>875</v>
      </c>
      <c r="K274" s="50" t="s">
        <v>25</v>
      </c>
      <c r="L274" s="52" t="s">
        <v>21</v>
      </c>
    </row>
    <row r="275" spans="1:12" x14ac:dyDescent="0.35">
      <c r="A275" s="36" t="s">
        <v>876</v>
      </c>
      <c r="B275" s="36" t="s">
        <v>85</v>
      </c>
      <c r="C275" s="36" t="s">
        <v>877</v>
      </c>
      <c r="D275" s="36" t="s">
        <v>90</v>
      </c>
      <c r="E275" s="36" t="s">
        <v>780</v>
      </c>
      <c r="F275" s="37" t="s">
        <v>118</v>
      </c>
      <c r="G275" s="36">
        <v>21</v>
      </c>
      <c r="H275" s="36" t="s">
        <v>42</v>
      </c>
      <c r="I275" s="37"/>
      <c r="J275" s="36" t="s">
        <v>878</v>
      </c>
      <c r="K275" s="36" t="s">
        <v>25</v>
      </c>
      <c r="L275" s="36" t="s">
        <v>21</v>
      </c>
    </row>
    <row r="276" spans="1:12" ht="15" customHeight="1" x14ac:dyDescent="0.35">
      <c r="A276" s="48" t="s">
        <v>879</v>
      </c>
      <c r="B276" s="49" t="s">
        <v>13</v>
      </c>
      <c r="C276" s="50" t="s">
        <v>880</v>
      </c>
      <c r="D276" s="50" t="s">
        <v>34</v>
      </c>
      <c r="E276" s="50" t="s">
        <v>178</v>
      </c>
      <c r="F276" s="51" t="s">
        <v>97</v>
      </c>
      <c r="G276" s="49">
        <v>8</v>
      </c>
      <c r="H276" s="49" t="s">
        <v>18</v>
      </c>
      <c r="I276" s="51" t="s">
        <v>97</v>
      </c>
      <c r="J276" s="50" t="s">
        <v>881</v>
      </c>
      <c r="K276" s="50" t="s">
        <v>130</v>
      </c>
      <c r="L276" s="52" t="s">
        <v>21</v>
      </c>
    </row>
    <row r="277" spans="1:12" x14ac:dyDescent="0.35">
      <c r="A277" s="36" t="s">
        <v>882</v>
      </c>
      <c r="B277" s="36" t="s">
        <v>13</v>
      </c>
      <c r="C277" s="36" t="s">
        <v>883</v>
      </c>
      <c r="D277" s="36" t="s">
        <v>90</v>
      </c>
      <c r="E277" s="36" t="s">
        <v>118</v>
      </c>
      <c r="F277" s="37" t="s">
        <v>113</v>
      </c>
      <c r="G277" s="36">
        <v>2</v>
      </c>
      <c r="H277" s="36" t="s">
        <v>42</v>
      </c>
      <c r="I277" s="37"/>
      <c r="J277" s="36" t="s">
        <v>884</v>
      </c>
      <c r="K277" s="36" t="s">
        <v>25</v>
      </c>
      <c r="L277" s="36" t="s">
        <v>26</v>
      </c>
    </row>
    <row r="278" spans="1:12" x14ac:dyDescent="0.35">
      <c r="A278" s="24" t="s">
        <v>885</v>
      </c>
      <c r="B278" s="24" t="s">
        <v>13</v>
      </c>
      <c r="C278" s="24" t="s">
        <v>886</v>
      </c>
      <c r="D278" s="24" t="s">
        <v>90</v>
      </c>
      <c r="E278" s="24" t="s">
        <v>97</v>
      </c>
      <c r="F278" s="25" t="s">
        <v>70</v>
      </c>
      <c r="G278" s="24">
        <v>9</v>
      </c>
      <c r="H278" s="24" t="s">
        <v>42</v>
      </c>
      <c r="I278" s="25"/>
      <c r="J278" s="24" t="s">
        <v>887</v>
      </c>
      <c r="K278" s="24" t="s">
        <v>25</v>
      </c>
      <c r="L278" s="24" t="s">
        <v>21</v>
      </c>
    </row>
    <row r="279" spans="1:12" ht="15" customHeight="1" x14ac:dyDescent="0.35">
      <c r="A279" s="43" t="s">
        <v>888</v>
      </c>
      <c r="B279" s="44" t="s">
        <v>13</v>
      </c>
      <c r="C279" s="45" t="s">
        <v>889</v>
      </c>
      <c r="D279" s="45" t="s">
        <v>34</v>
      </c>
      <c r="E279" s="45" t="s">
        <v>66</v>
      </c>
      <c r="F279" s="46" t="s">
        <v>52</v>
      </c>
      <c r="G279" s="44">
        <v>13</v>
      </c>
      <c r="H279" s="44" t="s">
        <v>18</v>
      </c>
      <c r="I279" s="46" t="s">
        <v>37</v>
      </c>
      <c r="J279" s="45" t="s">
        <v>890</v>
      </c>
      <c r="K279" s="45" t="s">
        <v>44</v>
      </c>
      <c r="L279" s="47" t="s">
        <v>21</v>
      </c>
    </row>
    <row r="280" spans="1:12" x14ac:dyDescent="0.35">
      <c r="A280" s="24" t="s">
        <v>891</v>
      </c>
      <c r="B280" s="24" t="s">
        <v>13</v>
      </c>
      <c r="C280" s="24" t="s">
        <v>892</v>
      </c>
      <c r="D280" s="24" t="s">
        <v>34</v>
      </c>
      <c r="E280" s="24" t="s">
        <v>29</v>
      </c>
      <c r="F280" s="25" t="s">
        <v>37</v>
      </c>
      <c r="G280" s="24">
        <v>5</v>
      </c>
      <c r="H280" s="24" t="s">
        <v>42</v>
      </c>
      <c r="I280" s="25"/>
      <c r="J280" s="24" t="s">
        <v>893</v>
      </c>
      <c r="K280" s="24" t="s">
        <v>44</v>
      </c>
      <c r="L280" s="24" t="s">
        <v>21</v>
      </c>
    </row>
    <row r="281" spans="1:12" x14ac:dyDescent="0.35">
      <c r="A281" s="26" t="s">
        <v>894</v>
      </c>
      <c r="B281" s="27" t="s">
        <v>13</v>
      </c>
      <c r="C281" s="28" t="s">
        <v>895</v>
      </c>
      <c r="D281" s="28" t="s">
        <v>34</v>
      </c>
      <c r="E281" s="28" t="s">
        <v>37</v>
      </c>
      <c r="F281" s="29" t="s">
        <v>17</v>
      </c>
      <c r="G281" s="27">
        <v>5</v>
      </c>
      <c r="H281" s="27" t="s">
        <v>18</v>
      </c>
      <c r="I281" s="29" t="s">
        <v>17</v>
      </c>
      <c r="J281" s="28" t="s">
        <v>896</v>
      </c>
      <c r="K281" s="28" t="s">
        <v>72</v>
      </c>
      <c r="L281" s="30" t="s">
        <v>21</v>
      </c>
    </row>
    <row r="282" spans="1:12" ht="15" customHeight="1" x14ac:dyDescent="0.35">
      <c r="A282" s="31" t="s">
        <v>897</v>
      </c>
      <c r="B282" s="32" t="s">
        <v>13</v>
      </c>
      <c r="C282" s="33" t="s">
        <v>898</v>
      </c>
      <c r="D282" s="33" t="s">
        <v>34</v>
      </c>
      <c r="E282" s="33" t="s">
        <v>244</v>
      </c>
      <c r="F282" s="34" t="s">
        <v>52</v>
      </c>
      <c r="G282" s="32">
        <v>21</v>
      </c>
      <c r="H282" s="32" t="s">
        <v>18</v>
      </c>
      <c r="I282" s="34" t="s">
        <v>52</v>
      </c>
      <c r="J282" s="33" t="s">
        <v>899</v>
      </c>
      <c r="K282" s="33" t="s">
        <v>25</v>
      </c>
      <c r="L282" s="35" t="s">
        <v>21</v>
      </c>
    </row>
    <row r="283" spans="1:12" x14ac:dyDescent="0.35">
      <c r="A283" s="36" t="s">
        <v>900</v>
      </c>
      <c r="B283" s="36" t="s">
        <v>13</v>
      </c>
      <c r="C283" s="36" t="s">
        <v>901</v>
      </c>
      <c r="D283" s="36" t="s">
        <v>78</v>
      </c>
      <c r="E283" s="36" t="s">
        <v>392</v>
      </c>
      <c r="F283" s="37" t="s">
        <v>37</v>
      </c>
      <c r="G283" s="36">
        <v>39</v>
      </c>
      <c r="H283" s="36" t="s">
        <v>109</v>
      </c>
      <c r="I283" s="37"/>
      <c r="J283" s="36" t="s">
        <v>902</v>
      </c>
      <c r="K283" s="36" t="s">
        <v>195</v>
      </c>
      <c r="L283" s="36" t="s">
        <v>21</v>
      </c>
    </row>
    <row r="284" spans="1:12" x14ac:dyDescent="0.35">
      <c r="A284" s="38" t="s">
        <v>903</v>
      </c>
      <c r="B284" s="39" t="s">
        <v>13</v>
      </c>
      <c r="C284" s="40" t="s">
        <v>904</v>
      </c>
      <c r="D284" s="40" t="s">
        <v>34</v>
      </c>
      <c r="E284" s="40" t="s">
        <v>47</v>
      </c>
      <c r="F284" s="41" t="s">
        <v>29</v>
      </c>
      <c r="G284" s="39">
        <v>3</v>
      </c>
      <c r="H284" s="39" t="s">
        <v>18</v>
      </c>
      <c r="I284" s="41" t="s">
        <v>62</v>
      </c>
      <c r="J284" s="40" t="s">
        <v>905</v>
      </c>
      <c r="K284" s="40" t="s">
        <v>44</v>
      </c>
      <c r="L284" s="42" t="s">
        <v>26</v>
      </c>
    </row>
    <row r="285" spans="1:12" x14ac:dyDescent="0.35">
      <c r="A285" s="9" t="s">
        <v>906</v>
      </c>
      <c r="B285" s="10" t="s">
        <v>13</v>
      </c>
      <c r="C285" s="11" t="s">
        <v>907</v>
      </c>
      <c r="D285" s="11" t="s">
        <v>34</v>
      </c>
      <c r="E285" s="11" t="s">
        <v>23</v>
      </c>
      <c r="F285" s="12" t="s">
        <v>70</v>
      </c>
      <c r="G285" s="10">
        <v>4</v>
      </c>
      <c r="H285" s="10" t="s">
        <v>18</v>
      </c>
      <c r="I285" s="12" t="s">
        <v>70</v>
      </c>
      <c r="J285" s="11" t="s">
        <v>908</v>
      </c>
      <c r="K285" s="11" t="s">
        <v>25</v>
      </c>
      <c r="L285" s="13" t="s">
        <v>26</v>
      </c>
    </row>
    <row r="286" spans="1:12" x14ac:dyDescent="0.35">
      <c r="A286" s="14" t="s">
        <v>909</v>
      </c>
      <c r="B286" s="15" t="s">
        <v>13</v>
      </c>
      <c r="C286" s="16" t="s">
        <v>910</v>
      </c>
      <c r="D286" s="16" t="s">
        <v>34</v>
      </c>
      <c r="E286" s="16" t="s">
        <v>47</v>
      </c>
      <c r="F286" s="17" t="s">
        <v>62</v>
      </c>
      <c r="G286" s="15">
        <v>4</v>
      </c>
      <c r="H286" s="15" t="s">
        <v>18</v>
      </c>
      <c r="I286" s="17" t="s">
        <v>62</v>
      </c>
      <c r="J286" s="16" t="s">
        <v>911</v>
      </c>
      <c r="K286" s="16" t="s">
        <v>130</v>
      </c>
      <c r="L286" s="18" t="s">
        <v>21</v>
      </c>
    </row>
    <row r="287" spans="1:12" x14ac:dyDescent="0.35">
      <c r="A287" s="9" t="s">
        <v>912</v>
      </c>
      <c r="B287" s="10" t="s">
        <v>13</v>
      </c>
      <c r="C287" s="11" t="s">
        <v>913</v>
      </c>
      <c r="D287" s="11" t="s">
        <v>34</v>
      </c>
      <c r="E287" s="11" t="s">
        <v>29</v>
      </c>
      <c r="F287" s="12" t="s">
        <v>70</v>
      </c>
      <c r="G287" s="10">
        <v>11</v>
      </c>
      <c r="H287" s="10" t="s">
        <v>18</v>
      </c>
      <c r="I287" s="12" t="s">
        <v>70</v>
      </c>
      <c r="J287" s="11" t="s">
        <v>914</v>
      </c>
      <c r="K287" s="11" t="s">
        <v>44</v>
      </c>
      <c r="L287" s="13" t="s">
        <v>21</v>
      </c>
    </row>
    <row r="288" spans="1:12" x14ac:dyDescent="0.35">
      <c r="A288" s="14" t="s">
        <v>915</v>
      </c>
      <c r="B288" s="15" t="s">
        <v>13</v>
      </c>
      <c r="C288" s="16" t="s">
        <v>916</v>
      </c>
      <c r="D288" s="16" t="s">
        <v>15</v>
      </c>
      <c r="E288" s="16" t="s">
        <v>453</v>
      </c>
      <c r="F288" s="17" t="s">
        <v>66</v>
      </c>
      <c r="G288" s="15">
        <v>9</v>
      </c>
      <c r="H288" s="15" t="s">
        <v>18</v>
      </c>
      <c r="I288" s="17" t="s">
        <v>66</v>
      </c>
      <c r="J288" s="16" t="s">
        <v>917</v>
      </c>
      <c r="K288" s="16" t="s">
        <v>25</v>
      </c>
      <c r="L288" s="18" t="s">
        <v>21</v>
      </c>
    </row>
    <row r="289" spans="1:12" x14ac:dyDescent="0.35">
      <c r="A289" s="9" t="s">
        <v>918</v>
      </c>
      <c r="B289" s="10" t="s">
        <v>13</v>
      </c>
      <c r="C289" s="11" t="s">
        <v>919</v>
      </c>
      <c r="D289" s="11" t="s">
        <v>34</v>
      </c>
      <c r="E289" s="11" t="s">
        <v>29</v>
      </c>
      <c r="F289" s="12" t="s">
        <v>17</v>
      </c>
      <c r="G289" s="10">
        <v>10</v>
      </c>
      <c r="H289" s="10" t="s">
        <v>18</v>
      </c>
      <c r="I289" s="12" t="s">
        <v>17</v>
      </c>
      <c r="J289" s="11" t="s">
        <v>920</v>
      </c>
      <c r="K289" s="11" t="s">
        <v>130</v>
      </c>
      <c r="L289" s="13" t="s">
        <v>21</v>
      </c>
    </row>
    <row r="290" spans="1:12" ht="15" customHeight="1" x14ac:dyDescent="0.35">
      <c r="A290" s="31" t="s">
        <v>921</v>
      </c>
      <c r="B290" s="32" t="s">
        <v>13</v>
      </c>
      <c r="C290" s="33" t="s">
        <v>922</v>
      </c>
      <c r="D290" s="33" t="s">
        <v>34</v>
      </c>
      <c r="E290" s="33" t="s">
        <v>457</v>
      </c>
      <c r="F290" s="34" t="s">
        <v>51</v>
      </c>
      <c r="G290" s="32">
        <v>8</v>
      </c>
      <c r="H290" s="32" t="s">
        <v>18</v>
      </c>
      <c r="I290" s="34" t="s">
        <v>47</v>
      </c>
      <c r="J290" s="33" t="s">
        <v>923</v>
      </c>
      <c r="K290" s="33" t="s">
        <v>130</v>
      </c>
      <c r="L290" s="35" t="s">
        <v>21</v>
      </c>
    </row>
    <row r="291" spans="1:12" x14ac:dyDescent="0.35">
      <c r="A291" s="36" t="s">
        <v>924</v>
      </c>
      <c r="B291" s="36" t="s">
        <v>13</v>
      </c>
      <c r="C291" s="36" t="s">
        <v>925</v>
      </c>
      <c r="D291" s="36" t="s">
        <v>15</v>
      </c>
      <c r="E291" s="36" t="s">
        <v>47</v>
      </c>
      <c r="F291" s="37" t="s">
        <v>30</v>
      </c>
      <c r="G291" s="36">
        <v>12</v>
      </c>
      <c r="H291" s="36" t="s">
        <v>42</v>
      </c>
      <c r="I291" s="37"/>
      <c r="J291" s="36" t="s">
        <v>926</v>
      </c>
      <c r="K291" s="36" t="s">
        <v>25</v>
      </c>
      <c r="L291" s="36" t="s">
        <v>21</v>
      </c>
    </row>
    <row r="292" spans="1:12" x14ac:dyDescent="0.35">
      <c r="A292" s="38" t="s">
        <v>927</v>
      </c>
      <c r="B292" s="39" t="s">
        <v>13</v>
      </c>
      <c r="C292" s="40" t="s">
        <v>928</v>
      </c>
      <c r="D292" s="40" t="s">
        <v>34</v>
      </c>
      <c r="E292" s="40" t="s">
        <v>497</v>
      </c>
      <c r="F292" s="41" t="s">
        <v>97</v>
      </c>
      <c r="G292" s="39">
        <v>13</v>
      </c>
      <c r="H292" s="39" t="s">
        <v>18</v>
      </c>
      <c r="I292" s="41" t="s">
        <v>118</v>
      </c>
      <c r="J292" s="40" t="s">
        <v>929</v>
      </c>
      <c r="K292" s="40" t="s">
        <v>130</v>
      </c>
      <c r="L292" s="42" t="s">
        <v>21</v>
      </c>
    </row>
    <row r="293" spans="1:12" x14ac:dyDescent="0.35">
      <c r="A293" s="9" t="s">
        <v>930</v>
      </c>
      <c r="B293" s="10" t="s">
        <v>13</v>
      </c>
      <c r="C293" s="11" t="s">
        <v>931</v>
      </c>
      <c r="D293" s="11" t="s">
        <v>34</v>
      </c>
      <c r="E293" s="11" t="s">
        <v>97</v>
      </c>
      <c r="F293" s="12" t="s">
        <v>52</v>
      </c>
      <c r="G293" s="10">
        <v>6</v>
      </c>
      <c r="H293" s="10" t="s">
        <v>18</v>
      </c>
      <c r="I293" s="12" t="s">
        <v>17</v>
      </c>
      <c r="J293" s="11" t="s">
        <v>932</v>
      </c>
      <c r="K293" s="11" t="s">
        <v>44</v>
      </c>
      <c r="L293" s="13" t="s">
        <v>21</v>
      </c>
    </row>
    <row r="294" spans="1:12" ht="15" customHeight="1" x14ac:dyDescent="0.35">
      <c r="A294" s="31" t="s">
        <v>933</v>
      </c>
      <c r="B294" s="32" t="s">
        <v>13</v>
      </c>
      <c r="C294" s="33" t="s">
        <v>934</v>
      </c>
      <c r="D294" s="33" t="s">
        <v>34</v>
      </c>
      <c r="E294" s="33" t="s">
        <v>453</v>
      </c>
      <c r="F294" s="34" t="s">
        <v>52</v>
      </c>
      <c r="G294" s="32">
        <v>22</v>
      </c>
      <c r="H294" s="32" t="s">
        <v>18</v>
      </c>
      <c r="I294" s="34" t="s">
        <v>52</v>
      </c>
      <c r="J294" s="33" t="s">
        <v>935</v>
      </c>
      <c r="K294" s="33" t="s">
        <v>25</v>
      </c>
      <c r="L294" s="35" t="s">
        <v>21</v>
      </c>
    </row>
    <row r="295" spans="1:12" x14ac:dyDescent="0.35">
      <c r="A295" s="36" t="s">
        <v>936</v>
      </c>
      <c r="B295" s="36" t="s">
        <v>13</v>
      </c>
      <c r="C295" s="36" t="s">
        <v>937</v>
      </c>
      <c r="D295" s="36" t="s">
        <v>90</v>
      </c>
      <c r="E295" s="36" t="s">
        <v>97</v>
      </c>
      <c r="F295" s="37" t="s">
        <v>70</v>
      </c>
      <c r="G295" s="36">
        <v>9</v>
      </c>
      <c r="H295" s="36" t="s">
        <v>42</v>
      </c>
      <c r="I295" s="37"/>
      <c r="J295" s="36" t="s">
        <v>938</v>
      </c>
      <c r="K295" s="36" t="s">
        <v>39</v>
      </c>
      <c r="L295" s="36" t="s">
        <v>21</v>
      </c>
    </row>
    <row r="296" spans="1:12" ht="15" customHeight="1" x14ac:dyDescent="0.35">
      <c r="A296" s="48" t="s">
        <v>939</v>
      </c>
      <c r="B296" s="49" t="s">
        <v>13</v>
      </c>
      <c r="C296" s="50" t="s">
        <v>940</v>
      </c>
      <c r="D296" s="50" t="s">
        <v>34</v>
      </c>
      <c r="E296" s="50" t="s">
        <v>62</v>
      </c>
      <c r="F296" s="51" t="s">
        <v>23</v>
      </c>
      <c r="G296" s="49">
        <v>6</v>
      </c>
      <c r="H296" s="49" t="s">
        <v>18</v>
      </c>
      <c r="I296" s="51" t="s">
        <v>23</v>
      </c>
      <c r="J296" s="50" t="s">
        <v>941</v>
      </c>
      <c r="K296" s="50" t="s">
        <v>115</v>
      </c>
      <c r="L296" s="52" t="s">
        <v>21</v>
      </c>
    </row>
    <row r="297" spans="1:12" x14ac:dyDescent="0.35">
      <c r="A297" s="36" t="s">
        <v>942</v>
      </c>
      <c r="B297" s="36" t="s">
        <v>13</v>
      </c>
      <c r="C297" s="36" t="s">
        <v>943</v>
      </c>
      <c r="D297" s="36" t="s">
        <v>34</v>
      </c>
      <c r="E297" s="36" t="s">
        <v>108</v>
      </c>
      <c r="F297" s="37" t="s">
        <v>118</v>
      </c>
      <c r="G297" s="36">
        <v>20</v>
      </c>
      <c r="H297" s="36" t="s">
        <v>109</v>
      </c>
      <c r="I297" s="37"/>
      <c r="J297" s="36" t="s">
        <v>944</v>
      </c>
      <c r="K297" s="36" t="s">
        <v>39</v>
      </c>
      <c r="L297" s="36" t="s">
        <v>21</v>
      </c>
    </row>
    <row r="298" spans="1:12" x14ac:dyDescent="0.35">
      <c r="A298" s="38" t="s">
        <v>942</v>
      </c>
      <c r="B298" s="39" t="s">
        <v>13</v>
      </c>
      <c r="C298" s="40" t="s">
        <v>943</v>
      </c>
      <c r="D298" s="40" t="s">
        <v>34</v>
      </c>
      <c r="E298" s="40" t="s">
        <v>108</v>
      </c>
      <c r="F298" s="41" t="s">
        <v>52</v>
      </c>
      <c r="G298" s="39">
        <v>25</v>
      </c>
      <c r="H298" s="39" t="s">
        <v>18</v>
      </c>
      <c r="I298" s="41" t="s">
        <v>52</v>
      </c>
      <c r="J298" s="40" t="s">
        <v>944</v>
      </c>
      <c r="K298" s="40" t="s">
        <v>39</v>
      </c>
      <c r="L298" s="42" t="s">
        <v>21</v>
      </c>
    </row>
    <row r="299" spans="1:12" x14ac:dyDescent="0.35">
      <c r="A299" s="9" t="s">
        <v>945</v>
      </c>
      <c r="B299" s="10" t="s">
        <v>13</v>
      </c>
      <c r="C299" s="11" t="s">
        <v>946</v>
      </c>
      <c r="D299" s="11" t="s">
        <v>34</v>
      </c>
      <c r="E299" s="11" t="s">
        <v>62</v>
      </c>
      <c r="F299" s="12" t="s">
        <v>118</v>
      </c>
      <c r="G299" s="10">
        <v>2</v>
      </c>
      <c r="H299" s="10" t="s">
        <v>18</v>
      </c>
      <c r="I299" s="12" t="s">
        <v>118</v>
      </c>
      <c r="J299" s="11" t="s">
        <v>947</v>
      </c>
      <c r="K299" s="11" t="s">
        <v>115</v>
      </c>
      <c r="L299" s="13" t="s">
        <v>21</v>
      </c>
    </row>
    <row r="300" spans="1:12" x14ac:dyDescent="0.35">
      <c r="A300" s="14" t="s">
        <v>948</v>
      </c>
      <c r="B300" s="15" t="s">
        <v>13</v>
      </c>
      <c r="C300" s="16" t="s">
        <v>949</v>
      </c>
      <c r="D300" s="16" t="s">
        <v>15</v>
      </c>
      <c r="E300" s="16" t="s">
        <v>37</v>
      </c>
      <c r="F300" s="17" t="s">
        <v>52</v>
      </c>
      <c r="G300" s="15">
        <v>3</v>
      </c>
      <c r="H300" s="15" t="s">
        <v>18</v>
      </c>
      <c r="I300" s="17" t="s">
        <v>52</v>
      </c>
      <c r="J300" s="16" t="s">
        <v>950</v>
      </c>
      <c r="K300" s="16" t="s">
        <v>25</v>
      </c>
      <c r="L300" s="18" t="s">
        <v>26</v>
      </c>
    </row>
    <row r="301" spans="1:12" x14ac:dyDescent="0.35">
      <c r="A301" s="9" t="s">
        <v>951</v>
      </c>
      <c r="B301" s="10" t="s">
        <v>13</v>
      </c>
      <c r="C301" s="11" t="s">
        <v>952</v>
      </c>
      <c r="D301" s="11" t="s">
        <v>34</v>
      </c>
      <c r="E301" s="11" t="s">
        <v>118</v>
      </c>
      <c r="F301" s="12" t="s">
        <v>70</v>
      </c>
      <c r="G301" s="10">
        <v>7</v>
      </c>
      <c r="H301" s="10" t="s">
        <v>18</v>
      </c>
      <c r="I301" s="12" t="s">
        <v>70</v>
      </c>
      <c r="J301" s="11" t="s">
        <v>953</v>
      </c>
      <c r="K301" s="11" t="s">
        <v>44</v>
      </c>
      <c r="L301" s="13" t="s">
        <v>21</v>
      </c>
    </row>
    <row r="302" spans="1:12" x14ac:dyDescent="0.35">
      <c r="A302" s="14" t="s">
        <v>954</v>
      </c>
      <c r="B302" s="15" t="s">
        <v>13</v>
      </c>
      <c r="C302" s="16" t="s">
        <v>955</v>
      </c>
      <c r="D302" s="16" t="s">
        <v>34</v>
      </c>
      <c r="E302" s="16" t="s">
        <v>252</v>
      </c>
      <c r="F302" s="17" t="s">
        <v>66</v>
      </c>
      <c r="G302" s="15">
        <v>6</v>
      </c>
      <c r="H302" s="15" t="s">
        <v>18</v>
      </c>
      <c r="I302" s="17" t="s">
        <v>66</v>
      </c>
      <c r="J302" s="16" t="s">
        <v>911</v>
      </c>
      <c r="K302" s="16" t="s">
        <v>130</v>
      </c>
      <c r="L302" s="18" t="s">
        <v>21</v>
      </c>
    </row>
    <row r="303" spans="1:12" x14ac:dyDescent="0.35">
      <c r="A303" s="9" t="s">
        <v>956</v>
      </c>
      <c r="B303" s="10" t="s">
        <v>13</v>
      </c>
      <c r="C303" s="11" t="s">
        <v>957</v>
      </c>
      <c r="D303" s="11" t="s">
        <v>34</v>
      </c>
      <c r="E303" s="11" t="s">
        <v>252</v>
      </c>
      <c r="F303" s="12" t="s">
        <v>47</v>
      </c>
      <c r="G303" s="10">
        <v>9</v>
      </c>
      <c r="H303" s="10" t="s">
        <v>18</v>
      </c>
      <c r="I303" s="12" t="s">
        <v>133</v>
      </c>
      <c r="J303" s="11" t="s">
        <v>958</v>
      </c>
      <c r="K303" s="11" t="s">
        <v>25</v>
      </c>
      <c r="L303" s="13" t="s">
        <v>21</v>
      </c>
    </row>
    <row r="304" spans="1:12" ht="15" customHeight="1" x14ac:dyDescent="0.35">
      <c r="A304" s="31" t="s">
        <v>959</v>
      </c>
      <c r="B304" s="32" t="s">
        <v>13</v>
      </c>
      <c r="C304" s="33" t="s">
        <v>960</v>
      </c>
      <c r="D304" s="33" t="s">
        <v>34</v>
      </c>
      <c r="E304" s="33" t="s">
        <v>82</v>
      </c>
      <c r="F304" s="34" t="s">
        <v>47</v>
      </c>
      <c r="G304" s="32">
        <v>3</v>
      </c>
      <c r="H304" s="32" t="s">
        <v>18</v>
      </c>
      <c r="I304" s="34" t="s">
        <v>133</v>
      </c>
      <c r="J304" s="33" t="s">
        <v>961</v>
      </c>
      <c r="K304" s="33" t="s">
        <v>130</v>
      </c>
      <c r="L304" s="35" t="s">
        <v>26</v>
      </c>
    </row>
    <row r="305" spans="1:12" x14ac:dyDescent="0.35">
      <c r="A305" s="36" t="s">
        <v>962</v>
      </c>
      <c r="B305" s="36" t="s">
        <v>13</v>
      </c>
      <c r="C305" s="36" t="s">
        <v>963</v>
      </c>
      <c r="D305" s="36" t="s">
        <v>15</v>
      </c>
      <c r="E305" s="36" t="s">
        <v>553</v>
      </c>
      <c r="F305" s="37" t="s">
        <v>113</v>
      </c>
      <c r="G305" s="36">
        <v>36</v>
      </c>
      <c r="H305" s="36" t="s">
        <v>109</v>
      </c>
      <c r="I305" s="37"/>
      <c r="J305" s="36" t="s">
        <v>964</v>
      </c>
      <c r="K305" s="36" t="s">
        <v>195</v>
      </c>
      <c r="L305" s="36" t="s">
        <v>21</v>
      </c>
    </row>
    <row r="306" spans="1:12" ht="15" customHeight="1" x14ac:dyDescent="0.35">
      <c r="A306" s="48" t="s">
        <v>965</v>
      </c>
      <c r="B306" s="49" t="s">
        <v>13</v>
      </c>
      <c r="C306" s="50" t="s">
        <v>966</v>
      </c>
      <c r="D306" s="50" t="s">
        <v>90</v>
      </c>
      <c r="E306" s="50" t="s">
        <v>113</v>
      </c>
      <c r="F306" s="51" t="s">
        <v>17</v>
      </c>
      <c r="G306" s="49">
        <v>4</v>
      </c>
      <c r="H306" s="49" t="s">
        <v>18</v>
      </c>
      <c r="I306" s="51" t="s">
        <v>17</v>
      </c>
      <c r="J306" s="50" t="s">
        <v>967</v>
      </c>
      <c r="K306" s="50" t="s">
        <v>25</v>
      </c>
      <c r="L306" s="52" t="s">
        <v>26</v>
      </c>
    </row>
    <row r="307" spans="1:12" x14ac:dyDescent="0.35">
      <c r="A307" s="36" t="s">
        <v>968</v>
      </c>
      <c r="B307" s="36" t="s">
        <v>13</v>
      </c>
      <c r="C307" s="36" t="s">
        <v>969</v>
      </c>
      <c r="D307" s="36" t="s">
        <v>34</v>
      </c>
      <c r="E307" s="36" t="s">
        <v>47</v>
      </c>
      <c r="F307" s="37" t="s">
        <v>118</v>
      </c>
      <c r="G307" s="36">
        <v>6</v>
      </c>
      <c r="H307" s="36" t="s">
        <v>42</v>
      </c>
      <c r="I307" s="37"/>
      <c r="J307" s="36" t="s">
        <v>970</v>
      </c>
      <c r="K307" s="36" t="s">
        <v>115</v>
      </c>
      <c r="L307" s="36" t="s">
        <v>21</v>
      </c>
    </row>
    <row r="308" spans="1:12" x14ac:dyDescent="0.35">
      <c r="A308" s="38" t="s">
        <v>971</v>
      </c>
      <c r="B308" s="39" t="s">
        <v>13</v>
      </c>
      <c r="C308" s="40" t="s">
        <v>972</v>
      </c>
      <c r="D308" s="40" t="s">
        <v>34</v>
      </c>
      <c r="E308" s="40" t="s">
        <v>82</v>
      </c>
      <c r="F308" s="41" t="s">
        <v>104</v>
      </c>
      <c r="G308" s="39">
        <v>5</v>
      </c>
      <c r="H308" s="39" t="s">
        <v>18</v>
      </c>
      <c r="I308" s="41" t="s">
        <v>104</v>
      </c>
      <c r="J308" s="40" t="s">
        <v>973</v>
      </c>
      <c r="K308" s="40" t="s">
        <v>130</v>
      </c>
      <c r="L308" s="42" t="s">
        <v>21</v>
      </c>
    </row>
    <row r="309" spans="1:12" x14ac:dyDescent="0.35">
      <c r="A309" s="9" t="s">
        <v>974</v>
      </c>
      <c r="B309" s="10" t="s">
        <v>13</v>
      </c>
      <c r="C309" s="11" t="s">
        <v>975</v>
      </c>
      <c r="D309" s="11" t="s">
        <v>78</v>
      </c>
      <c r="E309" s="11" t="s">
        <v>392</v>
      </c>
      <c r="F309" s="12" t="s">
        <v>29</v>
      </c>
      <c r="G309" s="10">
        <v>33</v>
      </c>
      <c r="H309" s="10" t="s">
        <v>18</v>
      </c>
      <c r="I309" s="12" t="s">
        <v>29</v>
      </c>
      <c r="J309" s="11" t="s">
        <v>976</v>
      </c>
      <c r="K309" s="11" t="s">
        <v>20</v>
      </c>
      <c r="L309" s="13" t="s">
        <v>21</v>
      </c>
    </row>
    <row r="310" spans="1:12" x14ac:dyDescent="0.35">
      <c r="A310" s="14" t="s">
        <v>977</v>
      </c>
      <c r="B310" s="15" t="s">
        <v>13</v>
      </c>
      <c r="C310" s="16" t="s">
        <v>978</v>
      </c>
      <c r="D310" s="16" t="s">
        <v>15</v>
      </c>
      <c r="E310" s="16" t="s">
        <v>104</v>
      </c>
      <c r="F310" s="17" t="s">
        <v>29</v>
      </c>
      <c r="G310" s="15">
        <v>1</v>
      </c>
      <c r="H310" s="15" t="s">
        <v>18</v>
      </c>
      <c r="I310" s="17" t="s">
        <v>29</v>
      </c>
      <c r="J310" s="16" t="s">
        <v>979</v>
      </c>
      <c r="K310" s="16" t="s">
        <v>25</v>
      </c>
      <c r="L310" s="18" t="s">
        <v>21</v>
      </c>
    </row>
    <row r="311" spans="1:12" ht="15" customHeight="1" x14ac:dyDescent="0.35">
      <c r="A311" s="19" t="s">
        <v>980</v>
      </c>
      <c r="B311" s="20" t="s">
        <v>13</v>
      </c>
      <c r="C311" s="21" t="s">
        <v>981</v>
      </c>
      <c r="D311" s="21" t="s">
        <v>34</v>
      </c>
      <c r="E311" s="21" t="s">
        <v>29</v>
      </c>
      <c r="F311" s="22" t="s">
        <v>30</v>
      </c>
      <c r="G311" s="20">
        <v>9</v>
      </c>
      <c r="H311" s="20" t="s">
        <v>18</v>
      </c>
      <c r="I311" s="22" t="s">
        <v>17</v>
      </c>
      <c r="J311" s="21" t="s">
        <v>982</v>
      </c>
      <c r="K311" s="21" t="s">
        <v>44</v>
      </c>
      <c r="L311" s="23" t="s">
        <v>21</v>
      </c>
    </row>
    <row r="312" spans="1:12" x14ac:dyDescent="0.35">
      <c r="A312" s="24" t="s">
        <v>983</v>
      </c>
      <c r="B312" s="24" t="s">
        <v>13</v>
      </c>
      <c r="C312" s="24" t="s">
        <v>984</v>
      </c>
      <c r="D312" s="24" t="s">
        <v>15</v>
      </c>
      <c r="E312" s="24" t="s">
        <v>37</v>
      </c>
      <c r="F312" s="25" t="s">
        <v>52</v>
      </c>
      <c r="G312" s="24">
        <v>3</v>
      </c>
      <c r="H312" s="24" t="s">
        <v>42</v>
      </c>
      <c r="I312" s="25"/>
      <c r="J312" s="24" t="s">
        <v>985</v>
      </c>
      <c r="K312" s="24" t="s">
        <v>25</v>
      </c>
      <c r="L312" s="24" t="s">
        <v>21</v>
      </c>
    </row>
    <row r="313" spans="1:12" ht="15" customHeight="1" x14ac:dyDescent="0.35">
      <c r="A313" s="43" t="s">
        <v>986</v>
      </c>
      <c r="B313" s="44" t="s">
        <v>13</v>
      </c>
      <c r="C313" s="45" t="s">
        <v>987</v>
      </c>
      <c r="D313" s="45" t="s">
        <v>90</v>
      </c>
      <c r="E313" s="45" t="s">
        <v>37</v>
      </c>
      <c r="F313" s="46" t="s">
        <v>52</v>
      </c>
      <c r="G313" s="44">
        <v>2</v>
      </c>
      <c r="H313" s="44" t="s">
        <v>18</v>
      </c>
      <c r="I313" s="46" t="s">
        <v>30</v>
      </c>
      <c r="J313" s="45" t="s">
        <v>988</v>
      </c>
      <c r="K313" s="45" t="s">
        <v>115</v>
      </c>
      <c r="L313" s="47" t="s">
        <v>26</v>
      </c>
    </row>
    <row r="314" spans="1:12" x14ac:dyDescent="0.35">
      <c r="A314" s="24" t="s">
        <v>989</v>
      </c>
      <c r="B314" s="24" t="s">
        <v>13</v>
      </c>
      <c r="C314" s="24" t="s">
        <v>990</v>
      </c>
      <c r="D314" s="24" t="s">
        <v>34</v>
      </c>
      <c r="E314" s="24" t="s">
        <v>133</v>
      </c>
      <c r="F314" s="25" t="s">
        <v>70</v>
      </c>
      <c r="G314" s="24">
        <v>13</v>
      </c>
      <c r="H314" s="24" t="s">
        <v>42</v>
      </c>
      <c r="I314" s="25"/>
      <c r="J314" s="24" t="s">
        <v>991</v>
      </c>
      <c r="K314" s="24" t="s">
        <v>115</v>
      </c>
      <c r="L314" s="24" t="s">
        <v>21</v>
      </c>
    </row>
    <row r="315" spans="1:12" ht="15" customHeight="1" x14ac:dyDescent="0.35">
      <c r="A315" s="43" t="s">
        <v>992</v>
      </c>
      <c r="B315" s="44" t="s">
        <v>13</v>
      </c>
      <c r="C315" s="45" t="s">
        <v>993</v>
      </c>
      <c r="D315" s="45" t="s">
        <v>34</v>
      </c>
      <c r="E315" s="45" t="s">
        <v>66</v>
      </c>
      <c r="F315" s="46" t="s">
        <v>30</v>
      </c>
      <c r="G315" s="44">
        <v>15</v>
      </c>
      <c r="H315" s="44" t="s">
        <v>18</v>
      </c>
      <c r="I315" s="46" t="s">
        <v>70</v>
      </c>
      <c r="J315" s="45" t="s">
        <v>994</v>
      </c>
      <c r="K315" s="45" t="s">
        <v>130</v>
      </c>
      <c r="L315" s="47" t="s">
        <v>21</v>
      </c>
    </row>
    <row r="316" spans="1:12" x14ac:dyDescent="0.35">
      <c r="A316" s="24" t="s">
        <v>995</v>
      </c>
      <c r="B316" s="24" t="s">
        <v>13</v>
      </c>
      <c r="C316" s="24" t="s">
        <v>996</v>
      </c>
      <c r="D316" s="24" t="s">
        <v>34</v>
      </c>
      <c r="E316" s="24" t="s">
        <v>178</v>
      </c>
      <c r="F316" s="25" t="s">
        <v>29</v>
      </c>
      <c r="G316" s="24">
        <v>6</v>
      </c>
      <c r="H316" s="24" t="s">
        <v>109</v>
      </c>
      <c r="I316" s="25"/>
      <c r="J316" s="24" t="s">
        <v>997</v>
      </c>
      <c r="K316" s="24" t="s">
        <v>130</v>
      </c>
      <c r="L316" s="24" t="s">
        <v>21</v>
      </c>
    </row>
    <row r="317" spans="1:12" x14ac:dyDescent="0.35">
      <c r="A317" s="26" t="s">
        <v>995</v>
      </c>
      <c r="B317" s="27" t="s">
        <v>13</v>
      </c>
      <c r="C317" s="28" t="s">
        <v>996</v>
      </c>
      <c r="D317" s="28" t="s">
        <v>34</v>
      </c>
      <c r="E317" s="28" t="s">
        <v>178</v>
      </c>
      <c r="F317" s="29" t="s">
        <v>70</v>
      </c>
      <c r="G317" s="27">
        <v>17</v>
      </c>
      <c r="H317" s="27" t="s">
        <v>18</v>
      </c>
      <c r="I317" s="29" t="s">
        <v>70</v>
      </c>
      <c r="J317" s="28" t="s">
        <v>997</v>
      </c>
      <c r="K317" s="28" t="s">
        <v>130</v>
      </c>
      <c r="L317" s="30" t="s">
        <v>21</v>
      </c>
    </row>
    <row r="318" spans="1:12" x14ac:dyDescent="0.35">
      <c r="A318" s="14" t="s">
        <v>998</v>
      </c>
      <c r="B318" s="15" t="s">
        <v>13</v>
      </c>
      <c r="C318" s="16" t="s">
        <v>999</v>
      </c>
      <c r="D318" s="16" t="s">
        <v>34</v>
      </c>
      <c r="E318" s="16" t="s">
        <v>165</v>
      </c>
      <c r="F318" s="17" t="s">
        <v>70</v>
      </c>
      <c r="G318" s="15">
        <v>27</v>
      </c>
      <c r="H318" s="15" t="s">
        <v>18</v>
      </c>
      <c r="I318" s="17" t="s">
        <v>70</v>
      </c>
      <c r="J318" s="16" t="s">
        <v>1000</v>
      </c>
      <c r="K318" s="16" t="s">
        <v>130</v>
      </c>
      <c r="L318" s="18" t="s">
        <v>21</v>
      </c>
    </row>
    <row r="319" spans="1:12" x14ac:dyDescent="0.35">
      <c r="A319" s="9" t="s">
        <v>1001</v>
      </c>
      <c r="B319" s="10" t="s">
        <v>13</v>
      </c>
      <c r="C319" s="11" t="s">
        <v>1002</v>
      </c>
      <c r="D319" s="11" t="s">
        <v>15</v>
      </c>
      <c r="E319" s="11" t="s">
        <v>36</v>
      </c>
      <c r="F319" s="12" t="s">
        <v>17</v>
      </c>
      <c r="G319" s="10">
        <v>6</v>
      </c>
      <c r="H319" s="10" t="s">
        <v>18</v>
      </c>
      <c r="I319" s="12" t="s">
        <v>17</v>
      </c>
      <c r="J319" s="11" t="s">
        <v>1003</v>
      </c>
      <c r="K319" s="11" t="s">
        <v>25</v>
      </c>
      <c r="L319" s="13" t="s">
        <v>26</v>
      </c>
    </row>
    <row r="320" spans="1:12" x14ac:dyDescent="0.35">
      <c r="A320" s="14" t="s">
        <v>1004</v>
      </c>
      <c r="B320" s="15" t="s">
        <v>13</v>
      </c>
      <c r="C320" s="16" t="s">
        <v>1005</v>
      </c>
      <c r="D320" s="16" t="s">
        <v>78</v>
      </c>
      <c r="E320" s="16" t="s">
        <v>113</v>
      </c>
      <c r="F320" s="17" t="s">
        <v>30</v>
      </c>
      <c r="G320" s="15">
        <v>2</v>
      </c>
      <c r="H320" s="15" t="s">
        <v>18</v>
      </c>
      <c r="I320" s="17" t="s">
        <v>17</v>
      </c>
      <c r="J320" s="16" t="s">
        <v>1006</v>
      </c>
      <c r="K320" s="16" t="s">
        <v>25</v>
      </c>
      <c r="L320" s="18" t="s">
        <v>26</v>
      </c>
    </row>
    <row r="321" spans="1:12" x14ac:dyDescent="0.35">
      <c r="A321" s="9" t="s">
        <v>1007</v>
      </c>
      <c r="B321" s="10" t="s">
        <v>13</v>
      </c>
      <c r="C321" s="11" t="s">
        <v>1008</v>
      </c>
      <c r="D321" s="11" t="s">
        <v>34</v>
      </c>
      <c r="E321" s="11" t="s">
        <v>29</v>
      </c>
      <c r="F321" s="12" t="s">
        <v>70</v>
      </c>
      <c r="G321" s="10">
        <v>10</v>
      </c>
      <c r="H321" s="10" t="s">
        <v>18</v>
      </c>
      <c r="I321" s="12" t="s">
        <v>70</v>
      </c>
      <c r="J321" s="11" t="s">
        <v>1009</v>
      </c>
      <c r="K321" s="11" t="s">
        <v>44</v>
      </c>
      <c r="L321" s="13" t="s">
        <v>21</v>
      </c>
    </row>
    <row r="322" spans="1:12" x14ac:dyDescent="0.35">
      <c r="A322" s="14" t="s">
        <v>1010</v>
      </c>
      <c r="B322" s="15" t="s">
        <v>13</v>
      </c>
      <c r="C322" s="16" t="s">
        <v>1011</v>
      </c>
      <c r="D322" s="16" t="s">
        <v>34</v>
      </c>
      <c r="E322" s="16" t="s">
        <v>104</v>
      </c>
      <c r="F322" s="17" t="s">
        <v>23</v>
      </c>
      <c r="G322" s="15">
        <v>8</v>
      </c>
      <c r="H322" s="15" t="s">
        <v>18</v>
      </c>
      <c r="I322" s="17" t="s">
        <v>23</v>
      </c>
      <c r="J322" s="16" t="s">
        <v>1012</v>
      </c>
      <c r="K322" s="16" t="s">
        <v>115</v>
      </c>
      <c r="L322" s="18" t="s">
        <v>21</v>
      </c>
    </row>
    <row r="323" spans="1:12" ht="15" customHeight="1" x14ac:dyDescent="0.35">
      <c r="A323" s="19" t="s">
        <v>1013</v>
      </c>
      <c r="B323" s="20" t="s">
        <v>13</v>
      </c>
      <c r="C323" s="21" t="s">
        <v>1014</v>
      </c>
      <c r="D323" s="21" t="s">
        <v>34</v>
      </c>
      <c r="E323" s="21" t="s">
        <v>23</v>
      </c>
      <c r="F323" s="22" t="s">
        <v>30</v>
      </c>
      <c r="G323" s="20">
        <v>1</v>
      </c>
      <c r="H323" s="20" t="s">
        <v>18</v>
      </c>
      <c r="I323" s="22" t="s">
        <v>30</v>
      </c>
      <c r="J323" s="21" t="s">
        <v>1015</v>
      </c>
      <c r="K323" s="21" t="s">
        <v>44</v>
      </c>
      <c r="L323" s="23" t="s">
        <v>21</v>
      </c>
    </row>
    <row r="324" spans="1:12" x14ac:dyDescent="0.35">
      <c r="A324" s="24" t="s">
        <v>1016</v>
      </c>
      <c r="B324" s="24" t="s">
        <v>13</v>
      </c>
      <c r="C324" s="24" t="s">
        <v>1017</v>
      </c>
      <c r="D324" s="24" t="s">
        <v>90</v>
      </c>
      <c r="E324" s="24" t="s">
        <v>178</v>
      </c>
      <c r="F324" s="25" t="s">
        <v>30</v>
      </c>
      <c r="G324" s="24">
        <v>16</v>
      </c>
      <c r="H324" s="24" t="s">
        <v>42</v>
      </c>
      <c r="I324" s="25"/>
      <c r="J324" s="24" t="s">
        <v>1018</v>
      </c>
      <c r="K324" s="24" t="s">
        <v>195</v>
      </c>
      <c r="L324" s="24" t="s">
        <v>21</v>
      </c>
    </row>
    <row r="325" spans="1:12" x14ac:dyDescent="0.35">
      <c r="A325" s="26" t="s">
        <v>1019</v>
      </c>
      <c r="B325" s="27" t="s">
        <v>13</v>
      </c>
      <c r="C325" s="28" t="s">
        <v>1020</v>
      </c>
      <c r="D325" s="28" t="s">
        <v>34</v>
      </c>
      <c r="E325" s="28" t="s">
        <v>118</v>
      </c>
      <c r="F325" s="29" t="s">
        <v>23</v>
      </c>
      <c r="G325" s="27">
        <v>4</v>
      </c>
      <c r="H325" s="27" t="s">
        <v>18</v>
      </c>
      <c r="I325" s="29" t="s">
        <v>52</v>
      </c>
      <c r="J325" s="28" t="s">
        <v>1021</v>
      </c>
      <c r="K325" s="28" t="s">
        <v>115</v>
      </c>
      <c r="L325" s="30" t="s">
        <v>26</v>
      </c>
    </row>
    <row r="326" spans="1:12" x14ac:dyDescent="0.35">
      <c r="A326" s="14" t="s">
        <v>1022</v>
      </c>
      <c r="B326" s="15" t="s">
        <v>13</v>
      </c>
      <c r="C326" s="16" t="s">
        <v>1023</v>
      </c>
      <c r="D326" s="16" t="s">
        <v>34</v>
      </c>
      <c r="E326" s="16" t="s">
        <v>97</v>
      </c>
      <c r="F326" s="17" t="s">
        <v>37</v>
      </c>
      <c r="G326" s="15">
        <v>3</v>
      </c>
      <c r="H326" s="15" t="s">
        <v>18</v>
      </c>
      <c r="I326" s="17" t="s">
        <v>37</v>
      </c>
      <c r="J326" s="16" t="s">
        <v>1024</v>
      </c>
      <c r="K326" s="16" t="s">
        <v>44</v>
      </c>
      <c r="L326" s="18" t="s">
        <v>21</v>
      </c>
    </row>
    <row r="327" spans="1:12" x14ac:dyDescent="0.35">
      <c r="A327" s="9" t="s">
        <v>1025</v>
      </c>
      <c r="B327" s="10" t="s">
        <v>13</v>
      </c>
      <c r="C327" s="11" t="s">
        <v>1026</v>
      </c>
      <c r="D327" s="11" t="s">
        <v>34</v>
      </c>
      <c r="E327" s="11" t="s">
        <v>29</v>
      </c>
      <c r="F327" s="12" t="s">
        <v>118</v>
      </c>
      <c r="G327" s="10">
        <v>3</v>
      </c>
      <c r="H327" s="10" t="s">
        <v>18</v>
      </c>
      <c r="I327" s="12" t="s">
        <v>118</v>
      </c>
      <c r="J327" s="11" t="s">
        <v>1027</v>
      </c>
      <c r="K327" s="11" t="s">
        <v>115</v>
      </c>
      <c r="L327" s="13" t="s">
        <v>26</v>
      </c>
    </row>
    <row r="328" spans="1:12" ht="15" customHeight="1" x14ac:dyDescent="0.35">
      <c r="A328" s="31" t="s">
        <v>1028</v>
      </c>
      <c r="B328" s="32" t="s">
        <v>13</v>
      </c>
      <c r="C328" s="33" t="s">
        <v>1029</v>
      </c>
      <c r="D328" s="33" t="s">
        <v>15</v>
      </c>
      <c r="E328" s="33" t="s">
        <v>37</v>
      </c>
      <c r="F328" s="34" t="s">
        <v>30</v>
      </c>
      <c r="G328" s="32">
        <v>4</v>
      </c>
      <c r="H328" s="32" t="s">
        <v>18</v>
      </c>
      <c r="I328" s="34" t="s">
        <v>30</v>
      </c>
      <c r="J328" s="33" t="s">
        <v>1030</v>
      </c>
      <c r="K328" s="33" t="s">
        <v>25</v>
      </c>
      <c r="L328" s="35" t="s">
        <v>21</v>
      </c>
    </row>
    <row r="329" spans="1:12" x14ac:dyDescent="0.35">
      <c r="A329" s="36" t="s">
        <v>1031</v>
      </c>
      <c r="B329" s="36" t="s">
        <v>13</v>
      </c>
      <c r="C329" s="36" t="s">
        <v>1032</v>
      </c>
      <c r="D329" s="36" t="s">
        <v>34</v>
      </c>
      <c r="E329" s="36" t="s">
        <v>37</v>
      </c>
      <c r="F329" s="37" t="s">
        <v>70</v>
      </c>
      <c r="G329" s="36">
        <v>6</v>
      </c>
      <c r="H329" s="36" t="s">
        <v>42</v>
      </c>
      <c r="I329" s="37"/>
      <c r="J329" s="36" t="s">
        <v>1033</v>
      </c>
      <c r="K329" s="36" t="s">
        <v>44</v>
      </c>
      <c r="L329" s="36" t="s">
        <v>21</v>
      </c>
    </row>
    <row r="330" spans="1:12" ht="15" customHeight="1" x14ac:dyDescent="0.35">
      <c r="A330" s="48" t="s">
        <v>1034</v>
      </c>
      <c r="B330" s="49" t="s">
        <v>13</v>
      </c>
      <c r="C330" s="50" t="s">
        <v>1035</v>
      </c>
      <c r="D330" s="50" t="s">
        <v>15</v>
      </c>
      <c r="E330" s="50" t="s">
        <v>118</v>
      </c>
      <c r="F330" s="51" t="s">
        <v>52</v>
      </c>
      <c r="G330" s="49">
        <v>5</v>
      </c>
      <c r="H330" s="49" t="s">
        <v>18</v>
      </c>
      <c r="I330" s="51" t="s">
        <v>52</v>
      </c>
      <c r="J330" s="50" t="s">
        <v>1036</v>
      </c>
      <c r="K330" s="50" t="s">
        <v>25</v>
      </c>
      <c r="L330" s="52" t="s">
        <v>26</v>
      </c>
    </row>
    <row r="331" spans="1:12" x14ac:dyDescent="0.35">
      <c r="A331" s="36" t="s">
        <v>1037</v>
      </c>
      <c r="B331" s="36" t="s">
        <v>13</v>
      </c>
      <c r="C331" s="36" t="s">
        <v>1038</v>
      </c>
      <c r="D331" s="36" t="s">
        <v>15</v>
      </c>
      <c r="E331" s="36" t="s">
        <v>29</v>
      </c>
      <c r="F331" s="37" t="s">
        <v>118</v>
      </c>
      <c r="G331" s="36">
        <v>3</v>
      </c>
      <c r="H331" s="36" t="s">
        <v>42</v>
      </c>
      <c r="I331" s="37"/>
      <c r="J331" s="36" t="s">
        <v>1039</v>
      </c>
      <c r="K331" s="36" t="s">
        <v>241</v>
      </c>
      <c r="L331" s="36" t="s">
        <v>21</v>
      </c>
    </row>
    <row r="332" spans="1:12" x14ac:dyDescent="0.35">
      <c r="A332" s="38" t="s">
        <v>1040</v>
      </c>
      <c r="B332" s="39" t="s">
        <v>13</v>
      </c>
      <c r="C332" s="40" t="s">
        <v>1041</v>
      </c>
      <c r="D332" s="40" t="s">
        <v>34</v>
      </c>
      <c r="E332" s="40" t="s">
        <v>104</v>
      </c>
      <c r="F332" s="41" t="s">
        <v>97</v>
      </c>
      <c r="G332" s="39">
        <v>3</v>
      </c>
      <c r="H332" s="39" t="s">
        <v>18</v>
      </c>
      <c r="I332" s="41" t="s">
        <v>23</v>
      </c>
      <c r="J332" s="40" t="s">
        <v>1042</v>
      </c>
      <c r="K332" s="40" t="s">
        <v>115</v>
      </c>
      <c r="L332" s="42" t="s">
        <v>21</v>
      </c>
    </row>
    <row r="333" spans="1:12" x14ac:dyDescent="0.35">
      <c r="A333" s="9" t="s">
        <v>1043</v>
      </c>
      <c r="B333" s="10" t="s">
        <v>13</v>
      </c>
      <c r="C333" s="11" t="s">
        <v>1044</v>
      </c>
      <c r="D333" s="11" t="s">
        <v>34</v>
      </c>
      <c r="E333" s="11" t="s">
        <v>51</v>
      </c>
      <c r="F333" s="12" t="s">
        <v>70</v>
      </c>
      <c r="G333" s="10">
        <v>14</v>
      </c>
      <c r="H333" s="10" t="s">
        <v>18</v>
      </c>
      <c r="I333" s="12" t="s">
        <v>70</v>
      </c>
      <c r="J333" s="11" t="s">
        <v>1045</v>
      </c>
      <c r="K333" s="11" t="s">
        <v>25</v>
      </c>
      <c r="L333" s="13" t="s">
        <v>21</v>
      </c>
    </row>
    <row r="334" spans="1:12" x14ac:dyDescent="0.35">
      <c r="A334" s="14" t="s">
        <v>1046</v>
      </c>
      <c r="B334" s="15" t="s">
        <v>13</v>
      </c>
      <c r="C334" s="16" t="s">
        <v>1047</v>
      </c>
      <c r="D334" s="16" t="s">
        <v>34</v>
      </c>
      <c r="E334" s="16" t="s">
        <v>546</v>
      </c>
      <c r="F334" s="17" t="s">
        <v>113</v>
      </c>
      <c r="G334" s="15">
        <v>30</v>
      </c>
      <c r="H334" s="15" t="s">
        <v>18</v>
      </c>
      <c r="I334" s="17" t="s">
        <v>52</v>
      </c>
      <c r="J334" s="16" t="s">
        <v>1048</v>
      </c>
      <c r="K334" s="16" t="s">
        <v>20</v>
      </c>
      <c r="L334" s="18" t="s">
        <v>21</v>
      </c>
    </row>
    <row r="335" spans="1:12" x14ac:dyDescent="0.35">
      <c r="A335" s="9" t="s">
        <v>1049</v>
      </c>
      <c r="B335" s="10" t="s">
        <v>13</v>
      </c>
      <c r="C335" s="11" t="s">
        <v>1050</v>
      </c>
      <c r="D335" s="11" t="s">
        <v>34</v>
      </c>
      <c r="E335" s="11" t="s">
        <v>47</v>
      </c>
      <c r="F335" s="12" t="s">
        <v>97</v>
      </c>
      <c r="G335" s="10">
        <v>5</v>
      </c>
      <c r="H335" s="10" t="s">
        <v>18</v>
      </c>
      <c r="I335" s="12" t="s">
        <v>97</v>
      </c>
      <c r="J335" s="11" t="s">
        <v>1051</v>
      </c>
      <c r="K335" s="11" t="s">
        <v>115</v>
      </c>
      <c r="L335" s="13" t="s">
        <v>21</v>
      </c>
    </row>
    <row r="336" spans="1:12" x14ac:dyDescent="0.35">
      <c r="A336" s="14" t="s">
        <v>1052</v>
      </c>
      <c r="B336" s="15" t="s">
        <v>13</v>
      </c>
      <c r="C336" s="16" t="s">
        <v>1053</v>
      </c>
      <c r="D336" s="16" t="s">
        <v>34</v>
      </c>
      <c r="E336" s="16" t="s">
        <v>122</v>
      </c>
      <c r="F336" s="17" t="s">
        <v>133</v>
      </c>
      <c r="G336" s="15">
        <v>19</v>
      </c>
      <c r="H336" s="15" t="s">
        <v>18</v>
      </c>
      <c r="I336" s="17" t="s">
        <v>133</v>
      </c>
      <c r="J336" s="16" t="s">
        <v>1054</v>
      </c>
      <c r="K336" s="16" t="s">
        <v>25</v>
      </c>
      <c r="L336" s="18" t="s">
        <v>21</v>
      </c>
    </row>
    <row r="337" spans="1:12" x14ac:dyDescent="0.35">
      <c r="A337" s="9" t="s">
        <v>1055</v>
      </c>
      <c r="B337" s="10" t="s">
        <v>13</v>
      </c>
      <c r="C337" s="11" t="s">
        <v>1056</v>
      </c>
      <c r="D337" s="11" t="s">
        <v>34</v>
      </c>
      <c r="E337" s="11" t="s">
        <v>29</v>
      </c>
      <c r="F337" s="12" t="s">
        <v>97</v>
      </c>
      <c r="G337" s="10">
        <v>2</v>
      </c>
      <c r="H337" s="10" t="s">
        <v>18</v>
      </c>
      <c r="I337" s="12" t="s">
        <v>97</v>
      </c>
      <c r="J337" s="11" t="s">
        <v>1057</v>
      </c>
      <c r="K337" s="11" t="s">
        <v>115</v>
      </c>
      <c r="L337" s="13" t="s">
        <v>26</v>
      </c>
    </row>
    <row r="338" spans="1:12" x14ac:dyDescent="0.35">
      <c r="A338" s="14" t="s">
        <v>1058</v>
      </c>
      <c r="B338" s="15" t="s">
        <v>13</v>
      </c>
      <c r="C338" s="16" t="s">
        <v>1059</v>
      </c>
      <c r="D338" s="16" t="s">
        <v>15</v>
      </c>
      <c r="E338" s="16" t="s">
        <v>62</v>
      </c>
      <c r="F338" s="17" t="s">
        <v>17</v>
      </c>
      <c r="G338" s="15">
        <v>9</v>
      </c>
      <c r="H338" s="15" t="s">
        <v>18</v>
      </c>
      <c r="I338" s="17" t="s">
        <v>17</v>
      </c>
      <c r="J338" s="16" t="s">
        <v>1060</v>
      </c>
      <c r="K338" s="16" t="s">
        <v>25</v>
      </c>
      <c r="L338" s="18" t="s">
        <v>26</v>
      </c>
    </row>
    <row r="339" spans="1:12" x14ac:dyDescent="0.35">
      <c r="A339" s="9" t="s">
        <v>1061</v>
      </c>
      <c r="B339" s="10" t="s">
        <v>13</v>
      </c>
      <c r="C339" s="11" t="s">
        <v>1062</v>
      </c>
      <c r="D339" s="11" t="s">
        <v>78</v>
      </c>
      <c r="E339" s="11" t="s">
        <v>47</v>
      </c>
      <c r="F339" s="12" t="s">
        <v>52</v>
      </c>
      <c r="G339" s="10">
        <v>11</v>
      </c>
      <c r="H339" s="10" t="s">
        <v>18</v>
      </c>
      <c r="I339" s="12" t="s">
        <v>52</v>
      </c>
      <c r="J339" s="11" t="s">
        <v>1063</v>
      </c>
      <c r="K339" s="11" t="s">
        <v>39</v>
      </c>
      <c r="L339" s="13" t="s">
        <v>21</v>
      </c>
    </row>
    <row r="340" spans="1:12" x14ac:dyDescent="0.35">
      <c r="A340" s="14" t="s">
        <v>1064</v>
      </c>
      <c r="B340" s="15" t="s">
        <v>13</v>
      </c>
      <c r="C340" s="16" t="s">
        <v>1065</v>
      </c>
      <c r="D340" s="16" t="s">
        <v>15</v>
      </c>
      <c r="E340" s="16" t="s">
        <v>37</v>
      </c>
      <c r="F340" s="17" t="s">
        <v>30</v>
      </c>
      <c r="G340" s="15">
        <v>4</v>
      </c>
      <c r="H340" s="15" t="s">
        <v>18</v>
      </c>
      <c r="I340" s="17" t="s">
        <v>30</v>
      </c>
      <c r="J340" s="16" t="s">
        <v>1066</v>
      </c>
      <c r="K340" s="16" t="s">
        <v>25</v>
      </c>
      <c r="L340" s="18" t="s">
        <v>26</v>
      </c>
    </row>
    <row r="341" spans="1:12" x14ac:dyDescent="0.35">
      <c r="A341" s="9" t="s">
        <v>1067</v>
      </c>
      <c r="B341" s="10" t="s">
        <v>13</v>
      </c>
      <c r="C341" s="11" t="s">
        <v>1068</v>
      </c>
      <c r="D341" s="11" t="s">
        <v>34</v>
      </c>
      <c r="E341" s="11" t="s">
        <v>36</v>
      </c>
      <c r="F341" s="12" t="s">
        <v>30</v>
      </c>
      <c r="G341" s="10">
        <v>5</v>
      </c>
      <c r="H341" s="10" t="s">
        <v>18</v>
      </c>
      <c r="I341" s="12" t="s">
        <v>30</v>
      </c>
      <c r="J341" s="11" t="s">
        <v>1069</v>
      </c>
      <c r="K341" s="11" t="s">
        <v>115</v>
      </c>
      <c r="L341" s="13" t="s">
        <v>26</v>
      </c>
    </row>
    <row r="342" spans="1:12" x14ac:dyDescent="0.35">
      <c r="A342" s="14" t="s">
        <v>1070</v>
      </c>
      <c r="B342" s="15" t="s">
        <v>13</v>
      </c>
      <c r="C342" s="16" t="s">
        <v>1071</v>
      </c>
      <c r="D342" s="16" t="s">
        <v>78</v>
      </c>
      <c r="E342" s="16" t="s">
        <v>82</v>
      </c>
      <c r="F342" s="17" t="s">
        <v>17</v>
      </c>
      <c r="G342" s="15">
        <v>16</v>
      </c>
      <c r="H342" s="15" t="s">
        <v>18</v>
      </c>
      <c r="I342" s="17" t="s">
        <v>17</v>
      </c>
      <c r="J342" s="16" t="s">
        <v>1072</v>
      </c>
      <c r="K342" s="16" t="s">
        <v>25</v>
      </c>
      <c r="L342" s="18" t="s">
        <v>21</v>
      </c>
    </row>
    <row r="343" spans="1:12" x14ac:dyDescent="0.35">
      <c r="A343" s="9" t="s">
        <v>1073</v>
      </c>
      <c r="B343" s="10" t="s">
        <v>13</v>
      </c>
      <c r="C343" s="11" t="s">
        <v>1074</v>
      </c>
      <c r="D343" s="11" t="s">
        <v>34</v>
      </c>
      <c r="E343" s="11" t="s">
        <v>178</v>
      </c>
      <c r="F343" s="12" t="s">
        <v>37</v>
      </c>
      <c r="G343" s="10">
        <v>12</v>
      </c>
      <c r="H343" s="10" t="s">
        <v>18</v>
      </c>
      <c r="I343" s="12" t="s">
        <v>30</v>
      </c>
      <c r="J343" s="11" t="s">
        <v>1075</v>
      </c>
      <c r="K343" s="11" t="s">
        <v>130</v>
      </c>
      <c r="L343" s="13" t="s">
        <v>21</v>
      </c>
    </row>
    <row r="344" spans="1:12" x14ac:dyDescent="0.35">
      <c r="A344" s="14" t="s">
        <v>1076</v>
      </c>
      <c r="B344" s="15" t="s">
        <v>13</v>
      </c>
      <c r="C344" s="16" t="s">
        <v>1077</v>
      </c>
      <c r="D344" s="16" t="s">
        <v>34</v>
      </c>
      <c r="E344" s="16" t="s">
        <v>36</v>
      </c>
      <c r="F344" s="17" t="s">
        <v>70</v>
      </c>
      <c r="G344" s="15">
        <v>7</v>
      </c>
      <c r="H344" s="15" t="s">
        <v>18</v>
      </c>
      <c r="I344" s="17" t="s">
        <v>70</v>
      </c>
      <c r="J344" s="16" t="s">
        <v>1078</v>
      </c>
      <c r="K344" s="16" t="s">
        <v>44</v>
      </c>
      <c r="L344" s="18" t="s">
        <v>21</v>
      </c>
    </row>
    <row r="345" spans="1:12" ht="15" customHeight="1" x14ac:dyDescent="0.35">
      <c r="A345" s="19" t="s">
        <v>1079</v>
      </c>
      <c r="B345" s="20" t="s">
        <v>13</v>
      </c>
      <c r="C345" s="21" t="s">
        <v>1080</v>
      </c>
      <c r="D345" s="21" t="s">
        <v>34</v>
      </c>
      <c r="E345" s="21" t="s">
        <v>178</v>
      </c>
      <c r="F345" s="22" t="s">
        <v>47</v>
      </c>
      <c r="G345" s="20">
        <v>3</v>
      </c>
      <c r="H345" s="20" t="s">
        <v>18</v>
      </c>
      <c r="I345" s="22" t="s">
        <v>47</v>
      </c>
      <c r="J345" s="21" t="s">
        <v>210</v>
      </c>
      <c r="K345" s="21" t="s">
        <v>130</v>
      </c>
      <c r="L345" s="23" t="s">
        <v>21</v>
      </c>
    </row>
    <row r="346" spans="1:12" x14ac:dyDescent="0.35">
      <c r="A346" s="24" t="s">
        <v>1081</v>
      </c>
      <c r="B346" s="24" t="s">
        <v>13</v>
      </c>
      <c r="C346" s="24" t="s">
        <v>1082</v>
      </c>
      <c r="D346" s="24" t="s">
        <v>34</v>
      </c>
      <c r="E346" s="24" t="s">
        <v>47</v>
      </c>
      <c r="F346" s="25" t="s">
        <v>37</v>
      </c>
      <c r="G346" s="24">
        <v>8</v>
      </c>
      <c r="H346" s="24" t="s">
        <v>42</v>
      </c>
      <c r="I346" s="25"/>
      <c r="J346" s="24" t="s">
        <v>1083</v>
      </c>
      <c r="K346" s="24" t="s">
        <v>115</v>
      </c>
      <c r="L346" s="24" t="s">
        <v>21</v>
      </c>
    </row>
    <row r="347" spans="1:12" x14ac:dyDescent="0.35">
      <c r="A347" s="26" t="s">
        <v>1084</v>
      </c>
      <c r="B347" s="27" t="s">
        <v>13</v>
      </c>
      <c r="C347" s="28" t="s">
        <v>1085</v>
      </c>
      <c r="D347" s="28" t="s">
        <v>34</v>
      </c>
      <c r="E347" s="28" t="s">
        <v>1086</v>
      </c>
      <c r="F347" s="29" t="s">
        <v>118</v>
      </c>
      <c r="G347" s="27">
        <v>25</v>
      </c>
      <c r="H347" s="27" t="s">
        <v>18</v>
      </c>
      <c r="I347" s="29" t="s">
        <v>118</v>
      </c>
      <c r="J347" s="28" t="s">
        <v>1087</v>
      </c>
      <c r="K347" s="28" t="s">
        <v>39</v>
      </c>
      <c r="L347" s="30" t="s">
        <v>21</v>
      </c>
    </row>
    <row r="348" spans="1:12" x14ac:dyDescent="0.35">
      <c r="A348" s="14" t="s">
        <v>1084</v>
      </c>
      <c r="B348" s="15" t="s">
        <v>13</v>
      </c>
      <c r="C348" s="16" t="s">
        <v>1085</v>
      </c>
      <c r="D348" s="16" t="s">
        <v>34</v>
      </c>
      <c r="E348" s="16" t="s">
        <v>1086</v>
      </c>
      <c r="F348" s="17" t="s">
        <v>17</v>
      </c>
      <c r="G348" s="15">
        <v>33</v>
      </c>
      <c r="H348" s="15" t="s">
        <v>18</v>
      </c>
      <c r="I348" s="17" t="s">
        <v>70</v>
      </c>
      <c r="J348" s="16" t="s">
        <v>1087</v>
      </c>
      <c r="K348" s="16" t="s">
        <v>39</v>
      </c>
      <c r="L348" s="18" t="s">
        <v>21</v>
      </c>
    </row>
    <row r="349" spans="1:12" x14ac:dyDescent="0.35">
      <c r="A349" s="9" t="s">
        <v>1088</v>
      </c>
      <c r="B349" s="10" t="s">
        <v>13</v>
      </c>
      <c r="C349" s="11" t="s">
        <v>1089</v>
      </c>
      <c r="D349" s="11" t="s">
        <v>34</v>
      </c>
      <c r="E349" s="11" t="s">
        <v>118</v>
      </c>
      <c r="F349" s="12" t="s">
        <v>30</v>
      </c>
      <c r="G349" s="10">
        <v>5</v>
      </c>
      <c r="H349" s="10" t="s">
        <v>18</v>
      </c>
      <c r="I349" s="12" t="s">
        <v>30</v>
      </c>
      <c r="J349" s="11" t="s">
        <v>1090</v>
      </c>
      <c r="K349" s="11" t="s">
        <v>115</v>
      </c>
      <c r="L349" s="13" t="s">
        <v>21</v>
      </c>
    </row>
    <row r="350" spans="1:12" x14ac:dyDescent="0.35">
      <c r="A350" s="14" t="s">
        <v>1091</v>
      </c>
      <c r="B350" s="15" t="s">
        <v>13</v>
      </c>
      <c r="C350" s="16" t="s">
        <v>1092</v>
      </c>
      <c r="D350" s="16" t="s">
        <v>90</v>
      </c>
      <c r="E350" s="16" t="s">
        <v>37</v>
      </c>
      <c r="F350" s="17" t="s">
        <v>30</v>
      </c>
      <c r="G350" s="15">
        <v>3</v>
      </c>
      <c r="H350" s="15" t="s">
        <v>18</v>
      </c>
      <c r="I350" s="17" t="s">
        <v>30</v>
      </c>
      <c r="J350" s="16" t="s">
        <v>1093</v>
      </c>
      <c r="K350" s="16" t="s">
        <v>115</v>
      </c>
      <c r="L350" s="18" t="s">
        <v>26</v>
      </c>
    </row>
    <row r="351" spans="1:12" x14ac:dyDescent="0.35">
      <c r="A351" s="9" t="s">
        <v>1094</v>
      </c>
      <c r="B351" s="10" t="s">
        <v>13</v>
      </c>
      <c r="C351" s="11" t="s">
        <v>1095</v>
      </c>
      <c r="D351" s="11" t="s">
        <v>78</v>
      </c>
      <c r="E351" s="11" t="s">
        <v>302</v>
      </c>
      <c r="F351" s="12" t="s">
        <v>113</v>
      </c>
      <c r="G351" s="10">
        <v>26</v>
      </c>
      <c r="H351" s="10" t="s">
        <v>18</v>
      </c>
      <c r="I351" s="12" t="s">
        <v>23</v>
      </c>
      <c r="J351" s="11" t="s">
        <v>1096</v>
      </c>
      <c r="K351" s="11" t="s">
        <v>25</v>
      </c>
      <c r="L351" s="13" t="s">
        <v>21</v>
      </c>
    </row>
    <row r="352" spans="1:12" ht="15" customHeight="1" x14ac:dyDescent="0.35">
      <c r="A352" s="31" t="s">
        <v>1097</v>
      </c>
      <c r="B352" s="32" t="s">
        <v>13</v>
      </c>
      <c r="C352" s="33" t="s">
        <v>1098</v>
      </c>
      <c r="D352" s="33" t="s">
        <v>15</v>
      </c>
      <c r="E352" s="33" t="s">
        <v>497</v>
      </c>
      <c r="F352" s="34" t="s">
        <v>29</v>
      </c>
      <c r="G352" s="32">
        <v>10</v>
      </c>
      <c r="H352" s="32" t="s">
        <v>18</v>
      </c>
      <c r="I352" s="34" t="s">
        <v>29</v>
      </c>
      <c r="J352" s="33" t="s">
        <v>1099</v>
      </c>
      <c r="K352" s="33" t="s">
        <v>25</v>
      </c>
      <c r="L352" s="35" t="s">
        <v>21</v>
      </c>
    </row>
    <row r="353" spans="1:12" x14ac:dyDescent="0.35">
      <c r="A353" s="36" t="s">
        <v>1100</v>
      </c>
      <c r="B353" s="36" t="s">
        <v>13</v>
      </c>
      <c r="C353" s="36" t="s">
        <v>1101</v>
      </c>
      <c r="D353" s="36" t="s">
        <v>15</v>
      </c>
      <c r="E353" s="36" t="s">
        <v>62</v>
      </c>
      <c r="F353" s="37" t="s">
        <v>36</v>
      </c>
      <c r="G353" s="36">
        <v>2</v>
      </c>
      <c r="H353" s="36" t="s">
        <v>42</v>
      </c>
      <c r="I353" s="37"/>
      <c r="J353" s="36" t="s">
        <v>979</v>
      </c>
      <c r="K353" s="36" t="s">
        <v>25</v>
      </c>
      <c r="L353" s="36" t="s">
        <v>21</v>
      </c>
    </row>
    <row r="354" spans="1:12" x14ac:dyDescent="0.35">
      <c r="A354" s="24" t="s">
        <v>1102</v>
      </c>
      <c r="B354" s="24" t="s">
        <v>13</v>
      </c>
      <c r="C354" s="24" t="s">
        <v>1103</v>
      </c>
      <c r="D354" s="24" t="s">
        <v>15</v>
      </c>
      <c r="E354" s="24" t="s">
        <v>457</v>
      </c>
      <c r="F354" s="25" t="s">
        <v>17</v>
      </c>
      <c r="G354" s="24">
        <v>22</v>
      </c>
      <c r="H354" s="24" t="s">
        <v>42</v>
      </c>
      <c r="I354" s="25"/>
      <c r="J354" s="24" t="s">
        <v>1104</v>
      </c>
      <c r="K354" s="24" t="s">
        <v>25</v>
      </c>
      <c r="L354" s="24" t="s">
        <v>21</v>
      </c>
    </row>
    <row r="355" spans="1:12" ht="15" customHeight="1" x14ac:dyDescent="0.35">
      <c r="A355" s="43" t="s">
        <v>1105</v>
      </c>
      <c r="B355" s="44" t="s">
        <v>13</v>
      </c>
      <c r="C355" s="45" t="s">
        <v>1106</v>
      </c>
      <c r="D355" s="45" t="s">
        <v>90</v>
      </c>
      <c r="E355" s="45" t="s">
        <v>104</v>
      </c>
      <c r="F355" s="46" t="s">
        <v>52</v>
      </c>
      <c r="G355" s="44">
        <v>9</v>
      </c>
      <c r="H355" s="44" t="s">
        <v>18</v>
      </c>
      <c r="I355" s="46" t="s">
        <v>30</v>
      </c>
      <c r="J355" s="45" t="s">
        <v>1107</v>
      </c>
      <c r="K355" s="45" t="s">
        <v>25</v>
      </c>
      <c r="L355" s="47" t="s">
        <v>26</v>
      </c>
    </row>
    <row r="356" spans="1:12" x14ac:dyDescent="0.35">
      <c r="A356" s="24" t="s">
        <v>1108</v>
      </c>
      <c r="B356" s="24" t="s">
        <v>13</v>
      </c>
      <c r="C356" s="24" t="s">
        <v>1109</v>
      </c>
      <c r="D356" s="24" t="s">
        <v>34</v>
      </c>
      <c r="E356" s="24" t="s">
        <v>52</v>
      </c>
      <c r="F356" s="25" t="s">
        <v>70</v>
      </c>
      <c r="G356" s="24">
        <v>3</v>
      </c>
      <c r="H356" s="24" t="s">
        <v>42</v>
      </c>
      <c r="I356" s="25"/>
      <c r="J356" s="24" t="s">
        <v>1110</v>
      </c>
      <c r="K356" s="24" t="s">
        <v>44</v>
      </c>
      <c r="L356" s="24" t="s">
        <v>26</v>
      </c>
    </row>
    <row r="357" spans="1:12" x14ac:dyDescent="0.35">
      <c r="A357" s="36" t="s">
        <v>1111</v>
      </c>
      <c r="B357" s="36" t="s">
        <v>13</v>
      </c>
      <c r="C357" s="36" t="s">
        <v>1112</v>
      </c>
      <c r="D357" s="36" t="s">
        <v>34</v>
      </c>
      <c r="E357" s="36" t="s">
        <v>97</v>
      </c>
      <c r="F357" s="37" t="s">
        <v>113</v>
      </c>
      <c r="G357" s="36">
        <v>4</v>
      </c>
      <c r="H357" s="36" t="s">
        <v>109</v>
      </c>
      <c r="I357" s="37"/>
      <c r="J357" s="36" t="s">
        <v>405</v>
      </c>
      <c r="K357" s="36" t="s">
        <v>44</v>
      </c>
      <c r="L357" s="36" t="s">
        <v>26</v>
      </c>
    </row>
    <row r="358" spans="1:12" x14ac:dyDescent="0.35">
      <c r="A358" s="24" t="s">
        <v>1111</v>
      </c>
      <c r="B358" s="24" t="s">
        <v>13</v>
      </c>
      <c r="C358" s="24" t="s">
        <v>1112</v>
      </c>
      <c r="D358" s="24" t="s">
        <v>34</v>
      </c>
      <c r="E358" s="24" t="s">
        <v>97</v>
      </c>
      <c r="F358" s="25" t="s">
        <v>52</v>
      </c>
      <c r="G358" s="24">
        <v>5</v>
      </c>
      <c r="H358" s="24" t="s">
        <v>109</v>
      </c>
      <c r="I358" s="25"/>
      <c r="J358" s="24" t="s">
        <v>405</v>
      </c>
      <c r="K358" s="24" t="s">
        <v>44</v>
      </c>
      <c r="L358" s="24" t="s">
        <v>26</v>
      </c>
    </row>
    <row r="359" spans="1:12" x14ac:dyDescent="0.35">
      <c r="A359" s="36" t="s">
        <v>1113</v>
      </c>
      <c r="B359" s="36" t="s">
        <v>13</v>
      </c>
      <c r="C359" s="36" t="s">
        <v>1114</v>
      </c>
      <c r="D359" s="36" t="s">
        <v>15</v>
      </c>
      <c r="E359" s="36" t="s">
        <v>97</v>
      </c>
      <c r="F359" s="37" t="s">
        <v>17</v>
      </c>
      <c r="G359" s="36">
        <v>8</v>
      </c>
      <c r="H359" s="36" t="s">
        <v>42</v>
      </c>
      <c r="I359" s="37"/>
      <c r="J359" s="36" t="s">
        <v>1115</v>
      </c>
      <c r="K359" s="36" t="s">
        <v>25</v>
      </c>
      <c r="L359" s="36" t="s">
        <v>21</v>
      </c>
    </row>
    <row r="360" spans="1:12" x14ac:dyDescent="0.35">
      <c r="A360" s="24" t="s">
        <v>1116</v>
      </c>
      <c r="B360" s="24" t="s">
        <v>13</v>
      </c>
      <c r="C360" s="24" t="s">
        <v>1117</v>
      </c>
      <c r="D360" s="24" t="s">
        <v>78</v>
      </c>
      <c r="E360" s="24" t="s">
        <v>36</v>
      </c>
      <c r="F360" s="25" t="s">
        <v>17</v>
      </c>
      <c r="G360" s="24">
        <v>6</v>
      </c>
      <c r="H360" s="24" t="s">
        <v>42</v>
      </c>
      <c r="I360" s="25"/>
      <c r="J360" s="24" t="s">
        <v>1118</v>
      </c>
      <c r="K360" s="24" t="s">
        <v>25</v>
      </c>
      <c r="L360" s="24" t="s">
        <v>21</v>
      </c>
    </row>
    <row r="361" spans="1:12" x14ac:dyDescent="0.35">
      <c r="A361" s="36" t="s">
        <v>1119</v>
      </c>
      <c r="B361" s="36" t="s">
        <v>13</v>
      </c>
      <c r="C361" s="36" t="s">
        <v>1120</v>
      </c>
      <c r="D361" s="36" t="s">
        <v>34</v>
      </c>
      <c r="E361" s="36" t="s">
        <v>51</v>
      </c>
      <c r="F361" s="37" t="s">
        <v>97</v>
      </c>
      <c r="G361" s="36">
        <v>6</v>
      </c>
      <c r="H361" s="36" t="s">
        <v>109</v>
      </c>
      <c r="I361" s="37"/>
      <c r="J361" s="36" t="s">
        <v>1121</v>
      </c>
      <c r="K361" s="36" t="s">
        <v>44</v>
      </c>
      <c r="L361" s="36" t="s">
        <v>21</v>
      </c>
    </row>
    <row r="362" spans="1:12" x14ac:dyDescent="0.35">
      <c r="A362" s="38" t="s">
        <v>1119</v>
      </c>
      <c r="B362" s="39" t="s">
        <v>13</v>
      </c>
      <c r="C362" s="40" t="s">
        <v>1120</v>
      </c>
      <c r="D362" s="40" t="s">
        <v>34</v>
      </c>
      <c r="E362" s="40" t="s">
        <v>51</v>
      </c>
      <c r="F362" s="41" t="s">
        <v>17</v>
      </c>
      <c r="G362" s="39">
        <v>14</v>
      </c>
      <c r="H362" s="39" t="s">
        <v>18</v>
      </c>
      <c r="I362" s="41" t="s">
        <v>17</v>
      </c>
      <c r="J362" s="40" t="s">
        <v>1121</v>
      </c>
      <c r="K362" s="40" t="s">
        <v>44</v>
      </c>
      <c r="L362" s="42" t="s">
        <v>21</v>
      </c>
    </row>
    <row r="363" spans="1:12" ht="15" customHeight="1" x14ac:dyDescent="0.35">
      <c r="A363" s="19" t="s">
        <v>1122</v>
      </c>
      <c r="B363" s="20" t="s">
        <v>13</v>
      </c>
      <c r="C363" s="21" t="s">
        <v>1123</v>
      </c>
      <c r="D363" s="21" t="s">
        <v>34</v>
      </c>
      <c r="E363" s="21" t="s">
        <v>149</v>
      </c>
      <c r="F363" s="22" t="s">
        <v>104</v>
      </c>
      <c r="G363" s="20">
        <v>8</v>
      </c>
      <c r="H363" s="20" t="s">
        <v>18</v>
      </c>
      <c r="I363" s="22" t="s">
        <v>29</v>
      </c>
      <c r="J363" s="21" t="s">
        <v>1124</v>
      </c>
      <c r="K363" s="21" t="s">
        <v>115</v>
      </c>
      <c r="L363" s="23" t="s">
        <v>26</v>
      </c>
    </row>
    <row r="364" spans="1:12" x14ac:dyDescent="0.35">
      <c r="A364" s="24" t="s">
        <v>1125</v>
      </c>
      <c r="B364" s="24" t="s">
        <v>13</v>
      </c>
      <c r="C364" s="24" t="s">
        <v>1126</v>
      </c>
      <c r="D364" s="24" t="s">
        <v>34</v>
      </c>
      <c r="E364" s="24" t="s">
        <v>780</v>
      </c>
      <c r="F364" s="25" t="s">
        <v>118</v>
      </c>
      <c r="G364" s="24">
        <v>21</v>
      </c>
      <c r="H364" s="24" t="s">
        <v>42</v>
      </c>
      <c r="I364" s="25"/>
      <c r="J364" s="24" t="s">
        <v>1127</v>
      </c>
      <c r="K364" s="24" t="s">
        <v>25</v>
      </c>
      <c r="L364" s="24" t="s">
        <v>21</v>
      </c>
    </row>
    <row r="365" spans="1:12" ht="15" customHeight="1" x14ac:dyDescent="0.35">
      <c r="A365" s="43" t="s">
        <v>1128</v>
      </c>
      <c r="B365" s="44" t="s">
        <v>13</v>
      </c>
      <c r="C365" s="45" t="s">
        <v>1129</v>
      </c>
      <c r="D365" s="45" t="s">
        <v>34</v>
      </c>
      <c r="E365" s="45" t="s">
        <v>118</v>
      </c>
      <c r="F365" s="46" t="s">
        <v>17</v>
      </c>
      <c r="G365" s="44">
        <v>7</v>
      </c>
      <c r="H365" s="44" t="s">
        <v>18</v>
      </c>
      <c r="I365" s="46" t="s">
        <v>70</v>
      </c>
      <c r="J365" s="45" t="s">
        <v>1130</v>
      </c>
      <c r="K365" s="45" t="s">
        <v>44</v>
      </c>
      <c r="L365" s="47" t="s">
        <v>26</v>
      </c>
    </row>
    <row r="366" spans="1:12" x14ac:dyDescent="0.35">
      <c r="A366" s="24" t="s">
        <v>1131</v>
      </c>
      <c r="B366" s="24" t="s">
        <v>13</v>
      </c>
      <c r="C366" s="24" t="s">
        <v>1132</v>
      </c>
      <c r="D366" s="24" t="s">
        <v>90</v>
      </c>
      <c r="E366" s="24" t="s">
        <v>23</v>
      </c>
      <c r="F366" s="25" t="s">
        <v>70</v>
      </c>
      <c r="G366" s="24">
        <v>4</v>
      </c>
      <c r="H366" s="24" t="s">
        <v>42</v>
      </c>
      <c r="I366" s="25"/>
      <c r="J366" s="24" t="s">
        <v>1133</v>
      </c>
      <c r="K366" s="24" t="s">
        <v>25</v>
      </c>
      <c r="L366" s="24" t="s">
        <v>21</v>
      </c>
    </row>
    <row r="367" spans="1:12" x14ac:dyDescent="0.35">
      <c r="A367" s="26" t="s">
        <v>1134</v>
      </c>
      <c r="B367" s="27" t="s">
        <v>13</v>
      </c>
      <c r="C367" s="28" t="s">
        <v>1135</v>
      </c>
      <c r="D367" s="28" t="s">
        <v>15</v>
      </c>
      <c r="E367" s="28" t="s">
        <v>113</v>
      </c>
      <c r="F367" s="29" t="s">
        <v>17</v>
      </c>
      <c r="G367" s="27">
        <v>4</v>
      </c>
      <c r="H367" s="27" t="s">
        <v>18</v>
      </c>
      <c r="I367" s="29" t="s">
        <v>17</v>
      </c>
      <c r="J367" s="28" t="s">
        <v>1136</v>
      </c>
      <c r="K367" s="28" t="s">
        <v>25</v>
      </c>
      <c r="L367" s="30" t="s">
        <v>21</v>
      </c>
    </row>
    <row r="368" spans="1:12" x14ac:dyDescent="0.35">
      <c r="A368" s="14" t="s">
        <v>1137</v>
      </c>
      <c r="B368" s="15" t="s">
        <v>13</v>
      </c>
      <c r="C368" s="16" t="s">
        <v>1138</v>
      </c>
      <c r="D368" s="16" t="s">
        <v>34</v>
      </c>
      <c r="E368" s="16" t="s">
        <v>82</v>
      </c>
      <c r="F368" s="17" t="s">
        <v>47</v>
      </c>
      <c r="G368" s="15">
        <v>4</v>
      </c>
      <c r="H368" s="15" t="s">
        <v>18</v>
      </c>
      <c r="I368" s="17" t="s">
        <v>133</v>
      </c>
      <c r="J368" s="16" t="s">
        <v>1139</v>
      </c>
      <c r="K368" s="16" t="s">
        <v>130</v>
      </c>
      <c r="L368" s="18" t="s">
        <v>21</v>
      </c>
    </row>
    <row r="369" spans="1:12" x14ac:dyDescent="0.35">
      <c r="A369" s="9" t="s">
        <v>1140</v>
      </c>
      <c r="B369" s="10" t="s">
        <v>13</v>
      </c>
      <c r="C369" s="11" t="s">
        <v>1141</v>
      </c>
      <c r="D369" s="11" t="s">
        <v>90</v>
      </c>
      <c r="E369" s="11" t="s">
        <v>37</v>
      </c>
      <c r="F369" s="12" t="s">
        <v>17</v>
      </c>
      <c r="G369" s="10">
        <v>4</v>
      </c>
      <c r="H369" s="10" t="s">
        <v>18</v>
      </c>
      <c r="I369" s="12" t="s">
        <v>17</v>
      </c>
      <c r="J369" s="11" t="s">
        <v>1142</v>
      </c>
      <c r="K369" s="11" t="s">
        <v>115</v>
      </c>
      <c r="L369" s="13" t="s">
        <v>26</v>
      </c>
    </row>
    <row r="370" spans="1:12" x14ac:dyDescent="0.35">
      <c r="A370" s="14" t="s">
        <v>1143</v>
      </c>
      <c r="B370" s="15" t="s">
        <v>13</v>
      </c>
      <c r="C370" s="16" t="s">
        <v>1144</v>
      </c>
      <c r="D370" s="16" t="s">
        <v>34</v>
      </c>
      <c r="E370" s="16" t="s">
        <v>118</v>
      </c>
      <c r="F370" s="17" t="s">
        <v>37</v>
      </c>
      <c r="G370" s="15">
        <v>3</v>
      </c>
      <c r="H370" s="15" t="s">
        <v>18</v>
      </c>
      <c r="I370" s="17" t="s">
        <v>113</v>
      </c>
      <c r="J370" s="16" t="s">
        <v>1145</v>
      </c>
      <c r="K370" s="16" t="s">
        <v>130</v>
      </c>
      <c r="L370" s="18" t="s">
        <v>26</v>
      </c>
    </row>
    <row r="371" spans="1:12" x14ac:dyDescent="0.35">
      <c r="A371" s="9" t="s">
        <v>1146</v>
      </c>
      <c r="B371" s="10" t="s">
        <v>13</v>
      </c>
      <c r="C371" s="11" t="s">
        <v>1147</v>
      </c>
      <c r="D371" s="11" t="s">
        <v>34</v>
      </c>
      <c r="E371" s="11" t="s">
        <v>97</v>
      </c>
      <c r="F371" s="12" t="s">
        <v>52</v>
      </c>
      <c r="G371" s="10">
        <v>6</v>
      </c>
      <c r="H371" s="10" t="s">
        <v>18</v>
      </c>
      <c r="I371" s="12" t="s">
        <v>30</v>
      </c>
      <c r="J371" s="11" t="s">
        <v>1148</v>
      </c>
      <c r="K371" s="11" t="s">
        <v>130</v>
      </c>
      <c r="L371" s="13" t="s">
        <v>21</v>
      </c>
    </row>
    <row r="372" spans="1:12" x14ac:dyDescent="0.35">
      <c r="A372" s="14" t="s">
        <v>1149</v>
      </c>
      <c r="B372" s="15" t="s">
        <v>13</v>
      </c>
      <c r="C372" s="16" t="s">
        <v>1150</v>
      </c>
      <c r="D372" s="16" t="s">
        <v>34</v>
      </c>
      <c r="E372" s="16" t="s">
        <v>104</v>
      </c>
      <c r="F372" s="17" t="s">
        <v>97</v>
      </c>
      <c r="G372" s="15">
        <v>3</v>
      </c>
      <c r="H372" s="15" t="s">
        <v>18</v>
      </c>
      <c r="I372" s="17" t="s">
        <v>97</v>
      </c>
      <c r="J372" s="16" t="s">
        <v>1151</v>
      </c>
      <c r="K372" s="16" t="s">
        <v>44</v>
      </c>
      <c r="L372" s="18" t="s">
        <v>21</v>
      </c>
    </row>
    <row r="373" spans="1:12" ht="15" customHeight="1" x14ac:dyDescent="0.35">
      <c r="A373" s="19" t="s">
        <v>1152</v>
      </c>
      <c r="B373" s="20" t="s">
        <v>13</v>
      </c>
      <c r="C373" s="21" t="s">
        <v>1153</v>
      </c>
      <c r="D373" s="21" t="s">
        <v>15</v>
      </c>
      <c r="E373" s="21" t="s">
        <v>118</v>
      </c>
      <c r="F373" s="22" t="s">
        <v>30</v>
      </c>
      <c r="G373" s="20">
        <v>6</v>
      </c>
      <c r="H373" s="20" t="s">
        <v>18</v>
      </c>
      <c r="I373" s="22" t="s">
        <v>30</v>
      </c>
      <c r="J373" s="21" t="s">
        <v>1154</v>
      </c>
      <c r="K373" s="21" t="s">
        <v>25</v>
      </c>
      <c r="L373" s="23" t="s">
        <v>21</v>
      </c>
    </row>
    <row r="374" spans="1:12" x14ac:dyDescent="0.35">
      <c r="A374" s="24" t="s">
        <v>1155</v>
      </c>
      <c r="B374" s="24" t="s">
        <v>13</v>
      </c>
      <c r="C374" s="24" t="s">
        <v>1156</v>
      </c>
      <c r="D374" s="24" t="s">
        <v>34</v>
      </c>
      <c r="E374" s="24" t="s">
        <v>51</v>
      </c>
      <c r="F374" s="25" t="s">
        <v>133</v>
      </c>
      <c r="G374" s="24">
        <v>2</v>
      </c>
      <c r="H374" s="24" t="s">
        <v>42</v>
      </c>
      <c r="I374" s="25"/>
      <c r="J374" s="24" t="s">
        <v>1157</v>
      </c>
      <c r="K374" s="24" t="s">
        <v>44</v>
      </c>
      <c r="L374" s="24" t="s">
        <v>26</v>
      </c>
    </row>
    <row r="375" spans="1:12" x14ac:dyDescent="0.35">
      <c r="A375" s="26" t="s">
        <v>1158</v>
      </c>
      <c r="B375" s="27" t="s">
        <v>13</v>
      </c>
      <c r="C375" s="28" t="s">
        <v>1159</v>
      </c>
      <c r="D375" s="28" t="s">
        <v>34</v>
      </c>
      <c r="E375" s="28" t="s">
        <v>113</v>
      </c>
      <c r="F375" s="29" t="s">
        <v>17</v>
      </c>
      <c r="G375" s="27">
        <v>4</v>
      </c>
      <c r="H375" s="27" t="s">
        <v>18</v>
      </c>
      <c r="I375" s="29" t="s">
        <v>17</v>
      </c>
      <c r="J375" s="28" t="s">
        <v>1160</v>
      </c>
      <c r="K375" s="28" t="s">
        <v>115</v>
      </c>
      <c r="L375" s="30" t="s">
        <v>26</v>
      </c>
    </row>
    <row r="376" spans="1:12" ht="15" customHeight="1" x14ac:dyDescent="0.35">
      <c r="A376" s="31" t="s">
        <v>1161</v>
      </c>
      <c r="B376" s="32" t="s">
        <v>13</v>
      </c>
      <c r="C376" s="33" t="s">
        <v>1162</v>
      </c>
      <c r="D376" s="33" t="s">
        <v>34</v>
      </c>
      <c r="E376" s="33" t="s">
        <v>133</v>
      </c>
      <c r="F376" s="34" t="s">
        <v>23</v>
      </c>
      <c r="G376" s="32">
        <v>8</v>
      </c>
      <c r="H376" s="32" t="s">
        <v>18</v>
      </c>
      <c r="I376" s="34" t="s">
        <v>23</v>
      </c>
      <c r="J376" s="33" t="s">
        <v>1163</v>
      </c>
      <c r="K376" s="33" t="s">
        <v>44</v>
      </c>
      <c r="L376" s="35" t="s">
        <v>21</v>
      </c>
    </row>
    <row r="377" spans="1:12" x14ac:dyDescent="0.35">
      <c r="A377" s="36" t="s">
        <v>1164</v>
      </c>
      <c r="B377" s="36" t="s">
        <v>13</v>
      </c>
      <c r="C377" s="36" t="s">
        <v>1165</v>
      </c>
      <c r="D377" s="36" t="s">
        <v>34</v>
      </c>
      <c r="E377" s="36" t="s">
        <v>118</v>
      </c>
      <c r="F377" s="37" t="s">
        <v>52</v>
      </c>
      <c r="G377" s="36">
        <v>4</v>
      </c>
      <c r="H377" s="36" t="s">
        <v>42</v>
      </c>
      <c r="I377" s="37"/>
      <c r="J377" s="36" t="s">
        <v>1166</v>
      </c>
      <c r="K377" s="36" t="s">
        <v>115</v>
      </c>
      <c r="L377" s="36" t="s">
        <v>26</v>
      </c>
    </row>
    <row r="378" spans="1:12" x14ac:dyDescent="0.35">
      <c r="A378" s="38" t="s">
        <v>1167</v>
      </c>
      <c r="B378" s="39" t="s">
        <v>13</v>
      </c>
      <c r="C378" s="40" t="s">
        <v>1168</v>
      </c>
      <c r="D378" s="40" t="s">
        <v>34</v>
      </c>
      <c r="E378" s="40" t="s">
        <v>97</v>
      </c>
      <c r="F378" s="41" t="s">
        <v>30</v>
      </c>
      <c r="G378" s="39">
        <v>7</v>
      </c>
      <c r="H378" s="39" t="s">
        <v>18</v>
      </c>
      <c r="I378" s="41" t="s">
        <v>17</v>
      </c>
      <c r="J378" s="40" t="s">
        <v>1169</v>
      </c>
      <c r="K378" s="40" t="s">
        <v>44</v>
      </c>
      <c r="L378" s="42" t="s">
        <v>21</v>
      </c>
    </row>
    <row r="379" spans="1:12" x14ac:dyDescent="0.35">
      <c r="A379" s="9" t="s">
        <v>1170</v>
      </c>
      <c r="B379" s="10" t="s">
        <v>13</v>
      </c>
      <c r="C379" s="11" t="s">
        <v>1171</v>
      </c>
      <c r="D379" s="11" t="s">
        <v>34</v>
      </c>
      <c r="E379" s="11" t="s">
        <v>51</v>
      </c>
      <c r="F379" s="12" t="s">
        <v>17</v>
      </c>
      <c r="G379" s="10">
        <v>14</v>
      </c>
      <c r="H379" s="10" t="s">
        <v>18</v>
      </c>
      <c r="I379" s="12" t="s">
        <v>17</v>
      </c>
      <c r="J379" s="11" t="s">
        <v>1172</v>
      </c>
      <c r="K379" s="11" t="s">
        <v>25</v>
      </c>
      <c r="L379" s="13" t="s">
        <v>21</v>
      </c>
    </row>
    <row r="380" spans="1:12" x14ac:dyDescent="0.35">
      <c r="A380" s="14" t="s">
        <v>1173</v>
      </c>
      <c r="B380" s="15" t="s">
        <v>13</v>
      </c>
      <c r="C380" s="16" t="s">
        <v>1174</v>
      </c>
      <c r="D380" s="16" t="s">
        <v>15</v>
      </c>
      <c r="E380" s="16" t="s">
        <v>149</v>
      </c>
      <c r="F380" s="17" t="s">
        <v>36</v>
      </c>
      <c r="G380" s="15">
        <v>13</v>
      </c>
      <c r="H380" s="15" t="s">
        <v>18</v>
      </c>
      <c r="I380" s="17" t="s">
        <v>36</v>
      </c>
      <c r="J380" s="16" t="s">
        <v>1175</v>
      </c>
      <c r="K380" s="16" t="s">
        <v>25</v>
      </c>
      <c r="L380" s="18" t="s">
        <v>21</v>
      </c>
    </row>
    <row r="381" spans="1:12" x14ac:dyDescent="0.35">
      <c r="A381" s="9" t="s">
        <v>1176</v>
      </c>
      <c r="B381" s="10" t="s">
        <v>13</v>
      </c>
      <c r="C381" s="11" t="s">
        <v>1177</v>
      </c>
      <c r="D381" s="11" t="s">
        <v>15</v>
      </c>
      <c r="E381" s="11" t="s">
        <v>97</v>
      </c>
      <c r="F381" s="12" t="s">
        <v>30</v>
      </c>
      <c r="G381" s="10">
        <v>7</v>
      </c>
      <c r="H381" s="10" t="s">
        <v>18</v>
      </c>
      <c r="I381" s="12" t="s">
        <v>30</v>
      </c>
      <c r="J381" s="11" t="s">
        <v>1178</v>
      </c>
      <c r="K381" s="11" t="s">
        <v>25</v>
      </c>
      <c r="L381" s="13" t="s">
        <v>21</v>
      </c>
    </row>
    <row r="382" spans="1:12" x14ac:dyDescent="0.35">
      <c r="A382" s="14" t="s">
        <v>1179</v>
      </c>
      <c r="B382" s="15" t="s">
        <v>13</v>
      </c>
      <c r="C382" s="16" t="s">
        <v>1180</v>
      </c>
      <c r="D382" s="16" t="s">
        <v>34</v>
      </c>
      <c r="E382" s="16" t="s">
        <v>118</v>
      </c>
      <c r="F382" s="17" t="s">
        <v>37</v>
      </c>
      <c r="G382" s="15">
        <v>2</v>
      </c>
      <c r="H382" s="15" t="s">
        <v>18</v>
      </c>
      <c r="I382" s="17" t="s">
        <v>23</v>
      </c>
      <c r="J382" s="16" t="s">
        <v>1181</v>
      </c>
      <c r="K382" s="16" t="s">
        <v>44</v>
      </c>
      <c r="L382" s="18" t="s">
        <v>21</v>
      </c>
    </row>
    <row r="383" spans="1:12" x14ac:dyDescent="0.35">
      <c r="A383" s="9" t="s">
        <v>1182</v>
      </c>
      <c r="B383" s="10" t="s">
        <v>13</v>
      </c>
      <c r="C383" s="11" t="s">
        <v>1183</v>
      </c>
      <c r="D383" s="11" t="s">
        <v>34</v>
      </c>
      <c r="E383" s="11" t="s">
        <v>118</v>
      </c>
      <c r="F383" s="12" t="s">
        <v>113</v>
      </c>
      <c r="G383" s="10">
        <v>3</v>
      </c>
      <c r="H383" s="10" t="s">
        <v>18</v>
      </c>
      <c r="I383" s="12" t="s">
        <v>52</v>
      </c>
      <c r="J383" s="11" t="s">
        <v>1184</v>
      </c>
      <c r="K383" s="11" t="s">
        <v>44</v>
      </c>
      <c r="L383" s="13" t="s">
        <v>21</v>
      </c>
    </row>
    <row r="384" spans="1:12" x14ac:dyDescent="0.35">
      <c r="A384" s="14" t="s">
        <v>1185</v>
      </c>
      <c r="B384" s="15" t="s">
        <v>13</v>
      </c>
      <c r="C384" s="16" t="s">
        <v>1186</v>
      </c>
      <c r="D384" s="16" t="s">
        <v>34</v>
      </c>
      <c r="E384" s="16" t="s">
        <v>29</v>
      </c>
      <c r="F384" s="17" t="s">
        <v>118</v>
      </c>
      <c r="G384" s="15">
        <v>2</v>
      </c>
      <c r="H384" s="15" t="s">
        <v>18</v>
      </c>
      <c r="I384" s="17" t="s">
        <v>118</v>
      </c>
      <c r="J384" s="16" t="s">
        <v>1187</v>
      </c>
      <c r="K384" s="16" t="s">
        <v>115</v>
      </c>
      <c r="L384" s="18" t="s">
        <v>21</v>
      </c>
    </row>
    <row r="385" spans="1:12" x14ac:dyDescent="0.35">
      <c r="A385" s="9" t="s">
        <v>1188</v>
      </c>
      <c r="B385" s="10" t="s">
        <v>13</v>
      </c>
      <c r="C385" s="11" t="s">
        <v>1189</v>
      </c>
      <c r="D385" s="11" t="s">
        <v>34</v>
      </c>
      <c r="E385" s="11" t="s">
        <v>122</v>
      </c>
      <c r="F385" s="12" t="s">
        <v>29</v>
      </c>
      <c r="G385" s="10">
        <v>21</v>
      </c>
      <c r="H385" s="10" t="s">
        <v>18</v>
      </c>
      <c r="I385" s="12" t="s">
        <v>62</v>
      </c>
      <c r="J385" s="11" t="s">
        <v>1190</v>
      </c>
      <c r="K385" s="11" t="s">
        <v>25</v>
      </c>
      <c r="L385" s="13" t="s">
        <v>21</v>
      </c>
    </row>
    <row r="386" spans="1:12" x14ac:dyDescent="0.35">
      <c r="A386" s="14" t="s">
        <v>1191</v>
      </c>
      <c r="B386" s="15" t="s">
        <v>13</v>
      </c>
      <c r="C386" s="16" t="s">
        <v>1192</v>
      </c>
      <c r="D386" s="16" t="s">
        <v>34</v>
      </c>
      <c r="E386" s="16" t="s">
        <v>133</v>
      </c>
      <c r="F386" s="17" t="s">
        <v>29</v>
      </c>
      <c r="G386" s="15">
        <v>2</v>
      </c>
      <c r="H386" s="15" t="s">
        <v>18</v>
      </c>
      <c r="I386" s="17" t="s">
        <v>29</v>
      </c>
      <c r="J386" s="16" t="s">
        <v>402</v>
      </c>
      <c r="K386" s="16" t="s">
        <v>115</v>
      </c>
      <c r="L386" s="18" t="s">
        <v>26</v>
      </c>
    </row>
    <row r="387" spans="1:12" x14ac:dyDescent="0.35">
      <c r="A387" s="9" t="s">
        <v>1193</v>
      </c>
      <c r="B387" s="10" t="s">
        <v>13</v>
      </c>
      <c r="C387" s="11" t="s">
        <v>1194</v>
      </c>
      <c r="D387" s="11" t="s">
        <v>34</v>
      </c>
      <c r="E387" s="11" t="s">
        <v>133</v>
      </c>
      <c r="F387" s="12" t="s">
        <v>97</v>
      </c>
      <c r="G387" s="10">
        <v>4</v>
      </c>
      <c r="H387" s="10" t="s">
        <v>18</v>
      </c>
      <c r="I387" s="12" t="s">
        <v>97</v>
      </c>
      <c r="J387" s="11" t="s">
        <v>1195</v>
      </c>
      <c r="K387" s="11" t="s">
        <v>44</v>
      </c>
      <c r="L387" s="13" t="s">
        <v>21</v>
      </c>
    </row>
    <row r="388" spans="1:12" ht="15" customHeight="1" x14ac:dyDescent="0.35">
      <c r="A388" s="31" t="s">
        <v>1196</v>
      </c>
      <c r="B388" s="32" t="s">
        <v>13</v>
      </c>
      <c r="C388" s="33" t="s">
        <v>1197</v>
      </c>
      <c r="D388" s="33" t="s">
        <v>34</v>
      </c>
      <c r="E388" s="33" t="s">
        <v>104</v>
      </c>
      <c r="F388" s="34" t="s">
        <v>17</v>
      </c>
      <c r="G388" s="32">
        <v>12</v>
      </c>
      <c r="H388" s="32" t="s">
        <v>18</v>
      </c>
      <c r="I388" s="34" t="s">
        <v>17</v>
      </c>
      <c r="J388" s="33" t="s">
        <v>1198</v>
      </c>
      <c r="K388" s="33" t="s">
        <v>25</v>
      </c>
      <c r="L388" s="35" t="s">
        <v>21</v>
      </c>
    </row>
    <row r="389" spans="1:12" x14ac:dyDescent="0.35">
      <c r="A389" s="36" t="s">
        <v>1199</v>
      </c>
      <c r="B389" s="36" t="s">
        <v>13</v>
      </c>
      <c r="C389" s="36" t="s">
        <v>1200</v>
      </c>
      <c r="D389" s="36" t="s">
        <v>34</v>
      </c>
      <c r="E389" s="36" t="s">
        <v>133</v>
      </c>
      <c r="F389" s="37" t="s">
        <v>70</v>
      </c>
      <c r="G389" s="36">
        <v>13</v>
      </c>
      <c r="H389" s="36" t="s">
        <v>42</v>
      </c>
      <c r="I389" s="37"/>
      <c r="J389" s="36" t="s">
        <v>1201</v>
      </c>
      <c r="K389" s="36" t="s">
        <v>39</v>
      </c>
      <c r="L389" s="36" t="s">
        <v>21</v>
      </c>
    </row>
    <row r="390" spans="1:12" x14ac:dyDescent="0.35">
      <c r="A390" s="38" t="s">
        <v>1202</v>
      </c>
      <c r="B390" s="39" t="s">
        <v>85</v>
      </c>
      <c r="C390" s="40" t="s">
        <v>1203</v>
      </c>
      <c r="D390" s="40" t="s">
        <v>90</v>
      </c>
      <c r="E390" s="40" t="s">
        <v>118</v>
      </c>
      <c r="F390" s="41" t="s">
        <v>52</v>
      </c>
      <c r="G390" s="39">
        <v>4</v>
      </c>
      <c r="H390" s="39" t="s">
        <v>18</v>
      </c>
      <c r="I390" s="41" t="s">
        <v>30</v>
      </c>
      <c r="J390" s="40" t="s">
        <v>1204</v>
      </c>
      <c r="K390" s="40" t="s">
        <v>25</v>
      </c>
      <c r="L390" s="42" t="s">
        <v>21</v>
      </c>
    </row>
    <row r="391" spans="1:12" x14ac:dyDescent="0.35">
      <c r="A391" s="9" t="s">
        <v>1205</v>
      </c>
      <c r="B391" s="10" t="s">
        <v>13</v>
      </c>
      <c r="C391" s="11" t="s">
        <v>1206</v>
      </c>
      <c r="D391" s="11" t="s">
        <v>90</v>
      </c>
      <c r="E391" s="11" t="s">
        <v>178</v>
      </c>
      <c r="F391" s="12" t="s">
        <v>104</v>
      </c>
      <c r="G391" s="10">
        <v>6</v>
      </c>
      <c r="H391" s="10" t="s">
        <v>18</v>
      </c>
      <c r="I391" s="12" t="s">
        <v>104</v>
      </c>
      <c r="J391" s="11" t="s">
        <v>1207</v>
      </c>
      <c r="K391" s="11" t="s">
        <v>25</v>
      </c>
      <c r="L391" s="13" t="s">
        <v>21</v>
      </c>
    </row>
    <row r="392" spans="1:12" ht="15" customHeight="1" x14ac:dyDescent="0.35">
      <c r="A392" s="31" t="s">
        <v>1208</v>
      </c>
      <c r="B392" s="32" t="s">
        <v>13</v>
      </c>
      <c r="C392" s="33" t="s">
        <v>1209</v>
      </c>
      <c r="D392" s="33" t="s">
        <v>15</v>
      </c>
      <c r="E392" s="33" t="s">
        <v>37</v>
      </c>
      <c r="F392" s="34" t="s">
        <v>30</v>
      </c>
      <c r="G392" s="32">
        <v>3</v>
      </c>
      <c r="H392" s="32" t="s">
        <v>18</v>
      </c>
      <c r="I392" s="34" t="s">
        <v>30</v>
      </c>
      <c r="J392" s="33" t="s">
        <v>1210</v>
      </c>
      <c r="K392" s="33" t="s">
        <v>25</v>
      </c>
      <c r="L392" s="35" t="s">
        <v>26</v>
      </c>
    </row>
    <row r="393" spans="1:12" x14ac:dyDescent="0.35">
      <c r="A393" s="36" t="s">
        <v>1211</v>
      </c>
      <c r="B393" s="36" t="s">
        <v>13</v>
      </c>
      <c r="C393" s="36" t="s">
        <v>1212</v>
      </c>
      <c r="D393" s="36" t="s">
        <v>34</v>
      </c>
      <c r="E393" s="36" t="s">
        <v>47</v>
      </c>
      <c r="F393" s="37" t="s">
        <v>30</v>
      </c>
      <c r="G393" s="36">
        <v>12</v>
      </c>
      <c r="H393" s="36" t="s">
        <v>109</v>
      </c>
      <c r="I393" s="37"/>
      <c r="J393" s="36" t="s">
        <v>1213</v>
      </c>
      <c r="K393" s="36" t="s">
        <v>44</v>
      </c>
      <c r="L393" s="36" t="s">
        <v>21</v>
      </c>
    </row>
    <row r="394" spans="1:12" x14ac:dyDescent="0.35">
      <c r="A394" s="24" t="s">
        <v>1211</v>
      </c>
      <c r="B394" s="24" t="s">
        <v>13</v>
      </c>
      <c r="C394" s="24" t="s">
        <v>1212</v>
      </c>
      <c r="D394" s="24" t="s">
        <v>34</v>
      </c>
      <c r="E394" s="24" t="s">
        <v>497</v>
      </c>
      <c r="F394" s="25" t="s">
        <v>70</v>
      </c>
      <c r="G394" s="24">
        <v>21</v>
      </c>
      <c r="H394" s="24" t="s">
        <v>109</v>
      </c>
      <c r="I394" s="25"/>
      <c r="J394" s="24" t="s">
        <v>1213</v>
      </c>
      <c r="K394" s="24" t="s">
        <v>44</v>
      </c>
      <c r="L394" s="24" t="s">
        <v>21</v>
      </c>
    </row>
    <row r="395" spans="1:12" x14ac:dyDescent="0.35">
      <c r="A395" s="36" t="s">
        <v>1214</v>
      </c>
      <c r="B395" s="36" t="s">
        <v>13</v>
      </c>
      <c r="C395" s="36" t="s">
        <v>1215</v>
      </c>
      <c r="D395" s="36" t="s">
        <v>78</v>
      </c>
      <c r="E395" s="36" t="s">
        <v>62</v>
      </c>
      <c r="F395" s="37" t="s">
        <v>37</v>
      </c>
      <c r="G395" s="36">
        <v>4</v>
      </c>
      <c r="H395" s="36" t="s">
        <v>109</v>
      </c>
      <c r="I395" s="37"/>
      <c r="J395" s="36" t="s">
        <v>1216</v>
      </c>
      <c r="K395" s="36" t="s">
        <v>25</v>
      </c>
      <c r="L395" s="36" t="s">
        <v>26</v>
      </c>
    </row>
    <row r="396" spans="1:12" ht="15" customHeight="1" x14ac:dyDescent="0.35">
      <c r="A396" s="48" t="s">
        <v>1217</v>
      </c>
      <c r="B396" s="49" t="s">
        <v>13</v>
      </c>
      <c r="C396" s="50" t="s">
        <v>1218</v>
      </c>
      <c r="D396" s="50" t="s">
        <v>34</v>
      </c>
      <c r="E396" s="50" t="s">
        <v>104</v>
      </c>
      <c r="F396" s="51" t="s">
        <v>30</v>
      </c>
      <c r="G396" s="49">
        <v>10</v>
      </c>
      <c r="H396" s="49" t="s">
        <v>18</v>
      </c>
      <c r="I396" s="51" t="s">
        <v>17</v>
      </c>
      <c r="J396" s="50" t="s">
        <v>1219</v>
      </c>
      <c r="K396" s="50" t="s">
        <v>115</v>
      </c>
      <c r="L396" s="52" t="s">
        <v>26</v>
      </c>
    </row>
    <row r="397" spans="1:12" x14ac:dyDescent="0.35">
      <c r="A397" s="36" t="s">
        <v>1220</v>
      </c>
      <c r="B397" s="36" t="s">
        <v>13</v>
      </c>
      <c r="C397" s="36" t="s">
        <v>1221</v>
      </c>
      <c r="D397" s="36" t="s">
        <v>34</v>
      </c>
      <c r="E397" s="36" t="s">
        <v>1222</v>
      </c>
      <c r="F397" s="37" t="s">
        <v>118</v>
      </c>
      <c r="G397" s="36">
        <v>27</v>
      </c>
      <c r="H397" s="36" t="s">
        <v>109</v>
      </c>
      <c r="I397" s="37"/>
      <c r="J397" s="36" t="s">
        <v>1223</v>
      </c>
      <c r="K397" s="36" t="s">
        <v>20</v>
      </c>
      <c r="L397" s="36" t="s">
        <v>21</v>
      </c>
    </row>
    <row r="398" spans="1:12" x14ac:dyDescent="0.35">
      <c r="A398" s="38" t="s">
        <v>1224</v>
      </c>
      <c r="B398" s="39" t="s">
        <v>13</v>
      </c>
      <c r="C398" s="40" t="s">
        <v>1225</v>
      </c>
      <c r="D398" s="40" t="s">
        <v>90</v>
      </c>
      <c r="E398" s="40" t="s">
        <v>30</v>
      </c>
      <c r="F398" s="41" t="s">
        <v>17</v>
      </c>
      <c r="G398" s="39">
        <v>1</v>
      </c>
      <c r="H398" s="39" t="s">
        <v>18</v>
      </c>
      <c r="I398" s="41" t="s">
        <v>17</v>
      </c>
      <c r="J398" s="40" t="s">
        <v>1226</v>
      </c>
      <c r="K398" s="40" t="s">
        <v>25</v>
      </c>
      <c r="L398" s="42" t="s">
        <v>26</v>
      </c>
    </row>
    <row r="399" spans="1:12" ht="15" customHeight="1" x14ac:dyDescent="0.35">
      <c r="A399" s="19" t="s">
        <v>1227</v>
      </c>
      <c r="B399" s="20" t="s">
        <v>13</v>
      </c>
      <c r="C399" s="21" t="s">
        <v>1228</v>
      </c>
      <c r="D399" s="21" t="s">
        <v>34</v>
      </c>
      <c r="E399" s="21" t="s">
        <v>178</v>
      </c>
      <c r="F399" s="22" t="s">
        <v>47</v>
      </c>
      <c r="G399" s="20">
        <v>4</v>
      </c>
      <c r="H399" s="20" t="s">
        <v>18</v>
      </c>
      <c r="I399" s="22" t="s">
        <v>133</v>
      </c>
      <c r="J399" s="21" t="s">
        <v>1229</v>
      </c>
      <c r="K399" s="21" t="s">
        <v>130</v>
      </c>
      <c r="L399" s="23" t="s">
        <v>26</v>
      </c>
    </row>
    <row r="400" spans="1:12" x14ac:dyDescent="0.35">
      <c r="A400" s="24" t="s">
        <v>1230</v>
      </c>
      <c r="B400" s="24" t="s">
        <v>13</v>
      </c>
      <c r="C400" s="24" t="s">
        <v>1231</v>
      </c>
      <c r="D400" s="24" t="s">
        <v>34</v>
      </c>
      <c r="E400" s="24" t="s">
        <v>133</v>
      </c>
      <c r="F400" s="25" t="s">
        <v>97</v>
      </c>
      <c r="G400" s="24">
        <v>4</v>
      </c>
      <c r="H400" s="24" t="s">
        <v>42</v>
      </c>
      <c r="I400" s="25"/>
      <c r="J400" s="24" t="s">
        <v>1232</v>
      </c>
      <c r="K400" s="24" t="s">
        <v>44</v>
      </c>
      <c r="L400" s="24" t="s">
        <v>21</v>
      </c>
    </row>
    <row r="401" spans="1:12" x14ac:dyDescent="0.35">
      <c r="A401" s="26" t="s">
        <v>1233</v>
      </c>
      <c r="B401" s="27" t="s">
        <v>13</v>
      </c>
      <c r="C401" s="28" t="s">
        <v>1234</v>
      </c>
      <c r="D401" s="28" t="s">
        <v>34</v>
      </c>
      <c r="E401" s="28" t="s">
        <v>252</v>
      </c>
      <c r="F401" s="29" t="s">
        <v>104</v>
      </c>
      <c r="G401" s="27">
        <v>10</v>
      </c>
      <c r="H401" s="27" t="s">
        <v>18</v>
      </c>
      <c r="I401" s="29" t="s">
        <v>104</v>
      </c>
      <c r="J401" s="28" t="s">
        <v>1235</v>
      </c>
      <c r="K401" s="28" t="s">
        <v>20</v>
      </c>
      <c r="L401" s="30" t="s">
        <v>21</v>
      </c>
    </row>
    <row r="402" spans="1:12" x14ac:dyDescent="0.35">
      <c r="A402" s="14" t="s">
        <v>1236</v>
      </c>
      <c r="B402" s="15" t="s">
        <v>13</v>
      </c>
      <c r="C402" s="16" t="s">
        <v>1237</v>
      </c>
      <c r="D402" s="16" t="s">
        <v>78</v>
      </c>
      <c r="E402" s="16" t="s">
        <v>178</v>
      </c>
      <c r="F402" s="17" t="s">
        <v>51</v>
      </c>
      <c r="G402" s="15">
        <v>3</v>
      </c>
      <c r="H402" s="15" t="s">
        <v>18</v>
      </c>
      <c r="I402" s="17" t="s">
        <v>51</v>
      </c>
      <c r="J402" s="16" t="s">
        <v>1238</v>
      </c>
      <c r="K402" s="16" t="s">
        <v>25</v>
      </c>
      <c r="L402" s="18" t="s">
        <v>21</v>
      </c>
    </row>
    <row r="403" spans="1:12" x14ac:dyDescent="0.35">
      <c r="A403" s="9" t="s">
        <v>1239</v>
      </c>
      <c r="B403" s="10" t="s">
        <v>13</v>
      </c>
      <c r="C403" s="11" t="s">
        <v>1240</v>
      </c>
      <c r="D403" s="11" t="s">
        <v>15</v>
      </c>
      <c r="E403" s="11" t="s">
        <v>62</v>
      </c>
      <c r="F403" s="12" t="s">
        <v>23</v>
      </c>
      <c r="G403" s="10">
        <v>6</v>
      </c>
      <c r="H403" s="10" t="s">
        <v>18</v>
      </c>
      <c r="I403" s="12" t="s">
        <v>23</v>
      </c>
      <c r="J403" s="11" t="s">
        <v>1241</v>
      </c>
      <c r="K403" s="11" t="s">
        <v>25</v>
      </c>
      <c r="L403" s="13" t="s">
        <v>21</v>
      </c>
    </row>
    <row r="404" spans="1:12" x14ac:dyDescent="0.35">
      <c r="A404" s="14" t="s">
        <v>1242</v>
      </c>
      <c r="B404" s="15" t="s">
        <v>13</v>
      </c>
      <c r="C404" s="16" t="s">
        <v>1243</v>
      </c>
      <c r="D404" s="16" t="s">
        <v>34</v>
      </c>
      <c r="E404" s="16" t="s">
        <v>29</v>
      </c>
      <c r="F404" s="17" t="s">
        <v>118</v>
      </c>
      <c r="G404" s="15">
        <v>3</v>
      </c>
      <c r="H404" s="15" t="s">
        <v>18</v>
      </c>
      <c r="I404" s="17" t="s">
        <v>36</v>
      </c>
      <c r="J404" s="16" t="s">
        <v>1244</v>
      </c>
      <c r="K404" s="16" t="s">
        <v>115</v>
      </c>
      <c r="L404" s="18" t="s">
        <v>21</v>
      </c>
    </row>
    <row r="405" spans="1:12" ht="15" customHeight="1" x14ac:dyDescent="0.35">
      <c r="A405" s="19" t="s">
        <v>1245</v>
      </c>
      <c r="B405" s="20" t="s">
        <v>13</v>
      </c>
      <c r="C405" s="21" t="s">
        <v>1246</v>
      </c>
      <c r="D405" s="21" t="s">
        <v>34</v>
      </c>
      <c r="E405" s="21" t="s">
        <v>133</v>
      </c>
      <c r="F405" s="22" t="s">
        <v>113</v>
      </c>
      <c r="G405" s="20">
        <v>8</v>
      </c>
      <c r="H405" s="20" t="s">
        <v>18</v>
      </c>
      <c r="I405" s="22" t="s">
        <v>113</v>
      </c>
      <c r="J405" s="21" t="s">
        <v>1247</v>
      </c>
      <c r="K405" s="21" t="s">
        <v>115</v>
      </c>
      <c r="L405" s="23" t="s">
        <v>26</v>
      </c>
    </row>
    <row r="406" spans="1:12" x14ac:dyDescent="0.35">
      <c r="A406" s="24" t="s">
        <v>1248</v>
      </c>
      <c r="B406" s="24" t="s">
        <v>13</v>
      </c>
      <c r="C406" s="24" t="s">
        <v>1249</v>
      </c>
      <c r="D406" s="24" t="s">
        <v>34</v>
      </c>
      <c r="E406" s="24" t="s">
        <v>248</v>
      </c>
      <c r="F406" s="25" t="s">
        <v>29</v>
      </c>
      <c r="G406" s="24">
        <v>20</v>
      </c>
      <c r="H406" s="24" t="s">
        <v>109</v>
      </c>
      <c r="I406" s="25" t="s">
        <v>62</v>
      </c>
      <c r="J406" s="24" t="s">
        <v>1250</v>
      </c>
      <c r="K406" s="24" t="s">
        <v>1251</v>
      </c>
      <c r="L406" s="24" t="s">
        <v>21</v>
      </c>
    </row>
    <row r="407" spans="1:12" x14ac:dyDescent="0.35">
      <c r="A407" s="36" t="s">
        <v>1248</v>
      </c>
      <c r="B407" s="36" t="s">
        <v>13</v>
      </c>
      <c r="C407" s="36" t="s">
        <v>1249</v>
      </c>
      <c r="D407" s="36" t="s">
        <v>34</v>
      </c>
      <c r="E407" s="36" t="s">
        <v>248</v>
      </c>
      <c r="F407" s="37" t="s">
        <v>17</v>
      </c>
      <c r="G407" s="36">
        <v>29</v>
      </c>
      <c r="H407" s="36" t="s">
        <v>42</v>
      </c>
      <c r="I407" s="37"/>
      <c r="J407" s="36" t="s">
        <v>1250</v>
      </c>
      <c r="K407" s="36" t="s">
        <v>1251</v>
      </c>
      <c r="L407" s="36" t="s">
        <v>21</v>
      </c>
    </row>
    <row r="408" spans="1:12" x14ac:dyDescent="0.35">
      <c r="A408" s="24" t="s">
        <v>1252</v>
      </c>
      <c r="B408" s="24" t="s">
        <v>13</v>
      </c>
      <c r="C408" s="24" t="s">
        <v>1253</v>
      </c>
      <c r="D408" s="24" t="s">
        <v>34</v>
      </c>
      <c r="E408" s="24" t="s">
        <v>104</v>
      </c>
      <c r="F408" s="25" t="s">
        <v>118</v>
      </c>
      <c r="G408" s="24">
        <v>3</v>
      </c>
      <c r="H408" s="24" t="s">
        <v>42</v>
      </c>
      <c r="I408" s="25"/>
      <c r="J408" s="24" t="s">
        <v>1254</v>
      </c>
      <c r="K408" s="24" t="s">
        <v>115</v>
      </c>
      <c r="L408" s="24" t="s">
        <v>21</v>
      </c>
    </row>
    <row r="409" spans="1:12" x14ac:dyDescent="0.35">
      <c r="A409" s="36" t="s">
        <v>1255</v>
      </c>
      <c r="B409" s="36" t="s">
        <v>13</v>
      </c>
      <c r="C409" s="36" t="s">
        <v>1256</v>
      </c>
      <c r="D409" s="36" t="s">
        <v>78</v>
      </c>
      <c r="E409" s="36" t="s">
        <v>35</v>
      </c>
      <c r="F409" s="37" t="s">
        <v>62</v>
      </c>
      <c r="G409" s="36">
        <v>9</v>
      </c>
      <c r="H409" s="36" t="s">
        <v>109</v>
      </c>
      <c r="I409" s="37"/>
      <c r="J409" s="36" t="s">
        <v>1257</v>
      </c>
      <c r="K409" s="36" t="s">
        <v>195</v>
      </c>
      <c r="L409" s="36" t="s">
        <v>21</v>
      </c>
    </row>
    <row r="410" spans="1:12" x14ac:dyDescent="0.35">
      <c r="A410" s="38" t="s">
        <v>1255</v>
      </c>
      <c r="B410" s="39" t="s">
        <v>13</v>
      </c>
      <c r="C410" s="40" t="s">
        <v>1256</v>
      </c>
      <c r="D410" s="40" t="s">
        <v>78</v>
      </c>
      <c r="E410" s="40" t="s">
        <v>35</v>
      </c>
      <c r="F410" s="41" t="s">
        <v>113</v>
      </c>
      <c r="G410" s="39">
        <v>14</v>
      </c>
      <c r="H410" s="39" t="s">
        <v>18</v>
      </c>
      <c r="I410" s="41" t="s">
        <v>23</v>
      </c>
      <c r="J410" s="40" t="s">
        <v>1257</v>
      </c>
      <c r="K410" s="40" t="s">
        <v>195</v>
      </c>
      <c r="L410" s="42" t="s">
        <v>21</v>
      </c>
    </row>
    <row r="411" spans="1:12" x14ac:dyDescent="0.35">
      <c r="A411" s="9" t="s">
        <v>1258</v>
      </c>
      <c r="B411" s="10" t="s">
        <v>13</v>
      </c>
      <c r="C411" s="11" t="s">
        <v>1259</v>
      </c>
      <c r="D411" s="11" t="s">
        <v>34</v>
      </c>
      <c r="E411" s="11" t="s">
        <v>97</v>
      </c>
      <c r="F411" s="12" t="s">
        <v>23</v>
      </c>
      <c r="G411" s="10">
        <v>5</v>
      </c>
      <c r="H411" s="10" t="s">
        <v>18</v>
      </c>
      <c r="I411" s="12" t="s">
        <v>23</v>
      </c>
      <c r="J411" s="11" t="s">
        <v>1260</v>
      </c>
      <c r="K411" s="11" t="s">
        <v>115</v>
      </c>
      <c r="L411" s="13" t="s">
        <v>26</v>
      </c>
    </row>
    <row r="412" spans="1:12" ht="15" customHeight="1" x14ac:dyDescent="0.35">
      <c r="A412" s="31" t="s">
        <v>1261</v>
      </c>
      <c r="B412" s="32" t="s">
        <v>13</v>
      </c>
      <c r="C412" s="33" t="s">
        <v>1262</v>
      </c>
      <c r="D412" s="33" t="s">
        <v>34</v>
      </c>
      <c r="E412" s="33" t="s">
        <v>35</v>
      </c>
      <c r="F412" s="34" t="s">
        <v>30</v>
      </c>
      <c r="G412" s="32">
        <v>16</v>
      </c>
      <c r="H412" s="32" t="s">
        <v>18</v>
      </c>
      <c r="I412" s="34" t="s">
        <v>30</v>
      </c>
      <c r="J412" s="33" t="s">
        <v>1263</v>
      </c>
      <c r="K412" s="33" t="s">
        <v>241</v>
      </c>
      <c r="L412" s="35" t="s">
        <v>21</v>
      </c>
    </row>
    <row r="413" spans="1:12" x14ac:dyDescent="0.35">
      <c r="A413" s="36" t="s">
        <v>1264</v>
      </c>
      <c r="B413" s="36" t="s">
        <v>13</v>
      </c>
      <c r="C413" s="36" t="s">
        <v>1265</v>
      </c>
      <c r="D413" s="36" t="s">
        <v>34</v>
      </c>
      <c r="E413" s="36" t="s">
        <v>29</v>
      </c>
      <c r="F413" s="37" t="s">
        <v>17</v>
      </c>
      <c r="G413" s="36">
        <v>10</v>
      </c>
      <c r="H413" s="36" t="s">
        <v>42</v>
      </c>
      <c r="I413" s="37"/>
      <c r="J413" s="36" t="s">
        <v>1266</v>
      </c>
      <c r="K413" s="36" t="s">
        <v>130</v>
      </c>
      <c r="L413" s="36" t="s">
        <v>21</v>
      </c>
    </row>
    <row r="414" spans="1:12" ht="15" customHeight="1" x14ac:dyDescent="0.35">
      <c r="A414" s="48" t="s">
        <v>1267</v>
      </c>
      <c r="B414" s="49" t="s">
        <v>85</v>
      </c>
      <c r="C414" s="50" t="s">
        <v>1268</v>
      </c>
      <c r="D414" s="50" t="s">
        <v>34</v>
      </c>
      <c r="E414" s="50" t="s">
        <v>51</v>
      </c>
      <c r="F414" s="51" t="s">
        <v>29</v>
      </c>
      <c r="G414" s="49">
        <v>4</v>
      </c>
      <c r="H414" s="49" t="s">
        <v>18</v>
      </c>
      <c r="I414" s="51" t="s">
        <v>29</v>
      </c>
      <c r="J414" s="50" t="s">
        <v>1269</v>
      </c>
      <c r="K414" s="50" t="s">
        <v>44</v>
      </c>
      <c r="L414" s="52" t="s">
        <v>26</v>
      </c>
    </row>
    <row r="415" spans="1:12" x14ac:dyDescent="0.35">
      <c r="A415" s="36" t="s">
        <v>1270</v>
      </c>
      <c r="B415" s="36" t="s">
        <v>13</v>
      </c>
      <c r="C415" s="36" t="s">
        <v>1271</v>
      </c>
      <c r="D415" s="36" t="s">
        <v>34</v>
      </c>
      <c r="E415" s="36" t="s">
        <v>66</v>
      </c>
      <c r="F415" s="37" t="s">
        <v>17</v>
      </c>
      <c r="G415" s="36">
        <v>15</v>
      </c>
      <c r="H415" s="36" t="s">
        <v>42</v>
      </c>
      <c r="I415" s="37"/>
      <c r="J415" s="36" t="s">
        <v>1272</v>
      </c>
      <c r="K415" s="36" t="s">
        <v>44</v>
      </c>
      <c r="L415" s="36" t="s">
        <v>26</v>
      </c>
    </row>
    <row r="416" spans="1:12" x14ac:dyDescent="0.35">
      <c r="A416" s="38" t="s">
        <v>1273</v>
      </c>
      <c r="B416" s="39" t="s">
        <v>13</v>
      </c>
      <c r="C416" s="40" t="s">
        <v>1274</v>
      </c>
      <c r="D416" s="40" t="s">
        <v>34</v>
      </c>
      <c r="E416" s="40" t="s">
        <v>104</v>
      </c>
      <c r="F416" s="41" t="s">
        <v>97</v>
      </c>
      <c r="G416" s="39">
        <v>2</v>
      </c>
      <c r="H416" s="39" t="s">
        <v>18</v>
      </c>
      <c r="I416" s="41" t="s">
        <v>97</v>
      </c>
      <c r="J416" s="40" t="s">
        <v>1275</v>
      </c>
      <c r="K416" s="40" t="s">
        <v>115</v>
      </c>
      <c r="L416" s="42" t="s">
        <v>26</v>
      </c>
    </row>
    <row r="417" spans="1:12" x14ac:dyDescent="0.35">
      <c r="A417" s="9" t="s">
        <v>1276</v>
      </c>
      <c r="B417" s="10" t="s">
        <v>13</v>
      </c>
      <c r="C417" s="11" t="s">
        <v>1277</v>
      </c>
      <c r="D417" s="11" t="s">
        <v>34</v>
      </c>
      <c r="E417" s="11" t="s">
        <v>118</v>
      </c>
      <c r="F417" s="12" t="s">
        <v>113</v>
      </c>
      <c r="G417" s="10">
        <v>3</v>
      </c>
      <c r="H417" s="10" t="s">
        <v>18</v>
      </c>
      <c r="I417" s="12" t="s">
        <v>52</v>
      </c>
      <c r="J417" s="11" t="s">
        <v>1278</v>
      </c>
      <c r="K417" s="11" t="s">
        <v>44</v>
      </c>
      <c r="L417" s="13" t="s">
        <v>26</v>
      </c>
    </row>
    <row r="418" spans="1:12" ht="15" customHeight="1" x14ac:dyDescent="0.35">
      <c r="A418" s="31" t="s">
        <v>1279</v>
      </c>
      <c r="B418" s="32" t="s">
        <v>13</v>
      </c>
      <c r="C418" s="33" t="s">
        <v>1280</v>
      </c>
      <c r="D418" s="33" t="s">
        <v>34</v>
      </c>
      <c r="E418" s="33" t="s">
        <v>62</v>
      </c>
      <c r="F418" s="34" t="s">
        <v>23</v>
      </c>
      <c r="G418" s="32">
        <v>6</v>
      </c>
      <c r="H418" s="32" t="s">
        <v>18</v>
      </c>
      <c r="I418" s="34" t="s">
        <v>23</v>
      </c>
      <c r="J418" s="33" t="s">
        <v>1281</v>
      </c>
      <c r="K418" s="33" t="s">
        <v>44</v>
      </c>
      <c r="L418" s="35" t="s">
        <v>21</v>
      </c>
    </row>
    <row r="419" spans="1:12" x14ac:dyDescent="0.35">
      <c r="A419" s="36" t="s">
        <v>1282</v>
      </c>
      <c r="B419" s="36" t="s">
        <v>13</v>
      </c>
      <c r="C419" s="36" t="s">
        <v>1283</v>
      </c>
      <c r="D419" s="36" t="s">
        <v>34</v>
      </c>
      <c r="E419" s="36" t="s">
        <v>244</v>
      </c>
      <c r="F419" s="37" t="s">
        <v>62</v>
      </c>
      <c r="G419" s="36">
        <v>14</v>
      </c>
      <c r="H419" s="36" t="s">
        <v>42</v>
      </c>
      <c r="I419" s="37"/>
      <c r="J419" s="36" t="s">
        <v>1284</v>
      </c>
      <c r="K419" s="36" t="s">
        <v>130</v>
      </c>
      <c r="L419" s="36" t="s">
        <v>21</v>
      </c>
    </row>
    <row r="420" spans="1:12" x14ac:dyDescent="0.35">
      <c r="A420" s="38" t="s">
        <v>1285</v>
      </c>
      <c r="B420" s="39" t="s">
        <v>13</v>
      </c>
      <c r="C420" s="40" t="s">
        <v>1286</v>
      </c>
      <c r="D420" s="40" t="s">
        <v>34</v>
      </c>
      <c r="E420" s="40" t="s">
        <v>66</v>
      </c>
      <c r="F420" s="41" t="s">
        <v>47</v>
      </c>
      <c r="G420" s="39">
        <v>2</v>
      </c>
      <c r="H420" s="39" t="s">
        <v>18</v>
      </c>
      <c r="I420" s="41" t="s">
        <v>47</v>
      </c>
      <c r="J420" s="40" t="s">
        <v>1287</v>
      </c>
      <c r="K420" s="40" t="s">
        <v>44</v>
      </c>
      <c r="L420" s="42" t="s">
        <v>21</v>
      </c>
    </row>
    <row r="421" spans="1:12" x14ac:dyDescent="0.35">
      <c r="A421" s="9" t="s">
        <v>1288</v>
      </c>
      <c r="B421" s="10" t="s">
        <v>13</v>
      </c>
      <c r="C421" s="11" t="s">
        <v>1289</v>
      </c>
      <c r="D421" s="11" t="s">
        <v>34</v>
      </c>
      <c r="E421" s="11" t="s">
        <v>82</v>
      </c>
      <c r="F421" s="12" t="s">
        <v>47</v>
      </c>
      <c r="G421" s="10">
        <v>3</v>
      </c>
      <c r="H421" s="10" t="s">
        <v>18</v>
      </c>
      <c r="I421" s="12" t="s">
        <v>47</v>
      </c>
      <c r="J421" s="11" t="s">
        <v>1290</v>
      </c>
      <c r="K421" s="11" t="s">
        <v>130</v>
      </c>
      <c r="L421" s="13" t="s">
        <v>21</v>
      </c>
    </row>
    <row r="422" spans="1:12" x14ac:dyDescent="0.35">
      <c r="A422" s="14" t="s">
        <v>1291</v>
      </c>
      <c r="B422" s="15" t="s">
        <v>13</v>
      </c>
      <c r="C422" s="16" t="s">
        <v>1292</v>
      </c>
      <c r="D422" s="16" t="s">
        <v>34</v>
      </c>
      <c r="E422" s="16" t="s">
        <v>51</v>
      </c>
      <c r="F422" s="17" t="s">
        <v>118</v>
      </c>
      <c r="G422" s="15">
        <v>7</v>
      </c>
      <c r="H422" s="15" t="s">
        <v>18</v>
      </c>
      <c r="I422" s="17" t="s">
        <v>118</v>
      </c>
      <c r="J422" s="16" t="s">
        <v>1293</v>
      </c>
      <c r="K422" s="16" t="s">
        <v>44</v>
      </c>
      <c r="L422" s="18" t="s">
        <v>26</v>
      </c>
    </row>
    <row r="423" spans="1:12" x14ac:dyDescent="0.35">
      <c r="A423" s="9" t="s">
        <v>1294</v>
      </c>
      <c r="B423" s="10" t="s">
        <v>13</v>
      </c>
      <c r="C423" s="11" t="s">
        <v>1295</v>
      </c>
      <c r="D423" s="11" t="s">
        <v>15</v>
      </c>
      <c r="E423" s="11" t="s">
        <v>1296</v>
      </c>
      <c r="F423" s="12" t="s">
        <v>47</v>
      </c>
      <c r="G423" s="10">
        <v>23</v>
      </c>
      <c r="H423" s="10" t="s">
        <v>18</v>
      </c>
      <c r="I423" s="12" t="s">
        <v>47</v>
      </c>
      <c r="J423" s="11" t="s">
        <v>1297</v>
      </c>
      <c r="K423" s="11" t="s">
        <v>25</v>
      </c>
      <c r="L423" s="13" t="s">
        <v>21</v>
      </c>
    </row>
    <row r="424" spans="1:12" ht="15" customHeight="1" x14ac:dyDescent="0.35">
      <c r="A424" s="31" t="s">
        <v>1298</v>
      </c>
      <c r="B424" s="32" t="s">
        <v>13</v>
      </c>
      <c r="C424" s="33" t="s">
        <v>1299</v>
      </c>
      <c r="D424" s="33" t="s">
        <v>34</v>
      </c>
      <c r="E424" s="33" t="s">
        <v>36</v>
      </c>
      <c r="F424" s="34" t="s">
        <v>23</v>
      </c>
      <c r="G424" s="32">
        <v>3</v>
      </c>
      <c r="H424" s="32" t="s">
        <v>18</v>
      </c>
      <c r="I424" s="34" t="s">
        <v>52</v>
      </c>
      <c r="J424" s="33" t="s">
        <v>1300</v>
      </c>
      <c r="K424" s="33" t="s">
        <v>72</v>
      </c>
      <c r="L424" s="35" t="s">
        <v>21</v>
      </c>
    </row>
    <row r="425" spans="1:12" x14ac:dyDescent="0.35">
      <c r="A425" s="36" t="s">
        <v>1301</v>
      </c>
      <c r="B425" s="36" t="s">
        <v>13</v>
      </c>
      <c r="C425" s="36" t="s">
        <v>1302</v>
      </c>
      <c r="D425" s="36" t="s">
        <v>34</v>
      </c>
      <c r="E425" s="36" t="s">
        <v>133</v>
      </c>
      <c r="F425" s="37" t="s">
        <v>118</v>
      </c>
      <c r="G425" s="36">
        <v>5</v>
      </c>
      <c r="H425" s="36" t="s">
        <v>109</v>
      </c>
      <c r="I425" s="37"/>
      <c r="J425" s="36" t="s">
        <v>1303</v>
      </c>
      <c r="K425" s="36" t="s">
        <v>44</v>
      </c>
      <c r="L425" s="36" t="s">
        <v>26</v>
      </c>
    </row>
    <row r="426" spans="1:12" x14ac:dyDescent="0.35">
      <c r="A426" s="38" t="s">
        <v>1304</v>
      </c>
      <c r="B426" s="39" t="s">
        <v>13</v>
      </c>
      <c r="C426" s="40" t="s">
        <v>1305</v>
      </c>
      <c r="D426" s="40" t="s">
        <v>34</v>
      </c>
      <c r="E426" s="40" t="s">
        <v>35</v>
      </c>
      <c r="F426" s="41" t="s">
        <v>133</v>
      </c>
      <c r="G426" s="39">
        <v>7</v>
      </c>
      <c r="H426" s="39" t="s">
        <v>18</v>
      </c>
      <c r="I426" s="41" t="s">
        <v>104</v>
      </c>
      <c r="J426" s="40" t="s">
        <v>1306</v>
      </c>
      <c r="K426" s="40" t="s">
        <v>130</v>
      </c>
      <c r="L426" s="42" t="s">
        <v>26</v>
      </c>
    </row>
    <row r="427" spans="1:12" x14ac:dyDescent="0.35">
      <c r="A427" s="9" t="s">
        <v>1307</v>
      </c>
      <c r="B427" s="10" t="s">
        <v>13</v>
      </c>
      <c r="C427" s="11" t="s">
        <v>1308</v>
      </c>
      <c r="D427" s="11" t="s">
        <v>34</v>
      </c>
      <c r="E427" s="11" t="s">
        <v>82</v>
      </c>
      <c r="F427" s="12" t="s">
        <v>104</v>
      </c>
      <c r="G427" s="10">
        <v>5</v>
      </c>
      <c r="H427" s="10" t="s">
        <v>18</v>
      </c>
      <c r="I427" s="12" t="s">
        <v>29</v>
      </c>
      <c r="J427" s="11" t="s">
        <v>1309</v>
      </c>
      <c r="K427" s="11" t="s">
        <v>130</v>
      </c>
      <c r="L427" s="13" t="s">
        <v>21</v>
      </c>
    </row>
    <row r="428" spans="1:12" x14ac:dyDescent="0.35">
      <c r="A428" s="14" t="s">
        <v>1310</v>
      </c>
      <c r="B428" s="15" t="s">
        <v>13</v>
      </c>
      <c r="C428" s="16" t="s">
        <v>1311</v>
      </c>
      <c r="D428" s="16" t="s">
        <v>90</v>
      </c>
      <c r="E428" s="16" t="s">
        <v>47</v>
      </c>
      <c r="F428" s="17" t="s">
        <v>97</v>
      </c>
      <c r="G428" s="15">
        <v>5</v>
      </c>
      <c r="H428" s="15" t="s">
        <v>18</v>
      </c>
      <c r="I428" s="17" t="s">
        <v>118</v>
      </c>
      <c r="J428" s="16" t="s">
        <v>1312</v>
      </c>
      <c r="K428" s="16" t="s">
        <v>39</v>
      </c>
      <c r="L428" s="18" t="s">
        <v>21</v>
      </c>
    </row>
    <row r="429" spans="1:12" ht="15" customHeight="1" x14ac:dyDescent="0.35">
      <c r="A429" s="19" t="s">
        <v>1313</v>
      </c>
      <c r="B429" s="20" t="s">
        <v>13</v>
      </c>
      <c r="C429" s="21" t="s">
        <v>1314</v>
      </c>
      <c r="D429" s="21" t="s">
        <v>34</v>
      </c>
      <c r="E429" s="21" t="s">
        <v>118</v>
      </c>
      <c r="F429" s="22" t="s">
        <v>52</v>
      </c>
      <c r="G429" s="20">
        <v>5</v>
      </c>
      <c r="H429" s="20" t="s">
        <v>18</v>
      </c>
      <c r="I429" s="22" t="s">
        <v>70</v>
      </c>
      <c r="J429" s="21" t="s">
        <v>1315</v>
      </c>
      <c r="K429" s="21" t="s">
        <v>44</v>
      </c>
      <c r="L429" s="23" t="s">
        <v>21</v>
      </c>
    </row>
    <row r="430" spans="1:12" x14ac:dyDescent="0.35">
      <c r="A430" s="24" t="s">
        <v>1316</v>
      </c>
      <c r="B430" s="24" t="s">
        <v>13</v>
      </c>
      <c r="C430" s="24" t="s">
        <v>1317</v>
      </c>
      <c r="D430" s="24" t="s">
        <v>15</v>
      </c>
      <c r="E430" s="24" t="s">
        <v>36</v>
      </c>
      <c r="F430" s="25" t="s">
        <v>113</v>
      </c>
      <c r="G430" s="24">
        <v>2</v>
      </c>
      <c r="H430" s="24" t="s">
        <v>42</v>
      </c>
      <c r="I430" s="25"/>
      <c r="J430" s="24" t="s">
        <v>1318</v>
      </c>
      <c r="K430" s="24" t="s">
        <v>25</v>
      </c>
      <c r="L430" s="24" t="s">
        <v>21</v>
      </c>
    </row>
    <row r="431" spans="1:12" x14ac:dyDescent="0.35">
      <c r="A431" s="36" t="s">
        <v>1319</v>
      </c>
      <c r="B431" s="36" t="s">
        <v>13</v>
      </c>
      <c r="C431" s="36" t="s">
        <v>1320</v>
      </c>
      <c r="D431" s="36" t="s">
        <v>34</v>
      </c>
      <c r="E431" s="36" t="s">
        <v>36</v>
      </c>
      <c r="F431" s="37" t="s">
        <v>23</v>
      </c>
      <c r="G431" s="36">
        <v>3</v>
      </c>
      <c r="H431" s="36" t="s">
        <v>42</v>
      </c>
      <c r="I431" s="37"/>
      <c r="J431" s="36" t="s">
        <v>1321</v>
      </c>
      <c r="K431" s="36" t="s">
        <v>44</v>
      </c>
      <c r="L431" s="36" t="s">
        <v>21</v>
      </c>
    </row>
    <row r="432" spans="1:12" x14ac:dyDescent="0.35">
      <c r="A432" s="38" t="s">
        <v>1322</v>
      </c>
      <c r="B432" s="39" t="s">
        <v>13</v>
      </c>
      <c r="C432" s="40" t="s">
        <v>1323</v>
      </c>
      <c r="D432" s="40" t="s">
        <v>34</v>
      </c>
      <c r="E432" s="40" t="s">
        <v>36</v>
      </c>
      <c r="F432" s="41" t="s">
        <v>23</v>
      </c>
      <c r="G432" s="39">
        <v>3</v>
      </c>
      <c r="H432" s="39" t="s">
        <v>18</v>
      </c>
      <c r="I432" s="41" t="s">
        <v>52</v>
      </c>
      <c r="J432" s="40" t="s">
        <v>1324</v>
      </c>
      <c r="K432" s="40" t="s">
        <v>115</v>
      </c>
      <c r="L432" s="42" t="s">
        <v>26</v>
      </c>
    </row>
    <row r="433" spans="1:12" ht="15" customHeight="1" x14ac:dyDescent="0.35">
      <c r="A433" s="19" t="s">
        <v>1325</v>
      </c>
      <c r="B433" s="20" t="s">
        <v>13</v>
      </c>
      <c r="C433" s="21" t="s">
        <v>1326</v>
      </c>
      <c r="D433" s="21" t="s">
        <v>34</v>
      </c>
      <c r="E433" s="21" t="s">
        <v>118</v>
      </c>
      <c r="F433" s="22" t="s">
        <v>30</v>
      </c>
      <c r="G433" s="20">
        <v>6</v>
      </c>
      <c r="H433" s="20" t="s">
        <v>18</v>
      </c>
      <c r="I433" s="22" t="s">
        <v>17</v>
      </c>
      <c r="J433" s="21" t="s">
        <v>1327</v>
      </c>
      <c r="K433" s="21" t="s">
        <v>115</v>
      </c>
      <c r="L433" s="23" t="s">
        <v>21</v>
      </c>
    </row>
    <row r="434" spans="1:12" x14ac:dyDescent="0.35">
      <c r="A434" s="24" t="s">
        <v>1328</v>
      </c>
      <c r="B434" s="24" t="s">
        <v>13</v>
      </c>
      <c r="C434" s="24" t="s">
        <v>1329</v>
      </c>
      <c r="D434" s="24" t="s">
        <v>15</v>
      </c>
      <c r="E434" s="24" t="s">
        <v>66</v>
      </c>
      <c r="F434" s="25" t="s">
        <v>29</v>
      </c>
      <c r="G434" s="24">
        <v>5</v>
      </c>
      <c r="H434" s="24" t="s">
        <v>109</v>
      </c>
      <c r="I434" s="25"/>
      <c r="J434" s="24" t="s">
        <v>1330</v>
      </c>
      <c r="K434" s="24" t="s">
        <v>25</v>
      </c>
      <c r="L434" s="24" t="s">
        <v>21</v>
      </c>
    </row>
    <row r="435" spans="1:12" x14ac:dyDescent="0.35">
      <c r="A435" s="36" t="s">
        <v>1331</v>
      </c>
      <c r="B435" s="36" t="s">
        <v>13</v>
      </c>
      <c r="C435" s="36" t="s">
        <v>1332</v>
      </c>
      <c r="D435" s="36" t="s">
        <v>34</v>
      </c>
      <c r="E435" s="36" t="s">
        <v>66</v>
      </c>
      <c r="F435" s="37" t="s">
        <v>133</v>
      </c>
      <c r="G435" s="36">
        <v>3</v>
      </c>
      <c r="H435" s="36" t="s">
        <v>42</v>
      </c>
      <c r="I435" s="37"/>
      <c r="J435" s="36" t="s">
        <v>1333</v>
      </c>
      <c r="K435" s="36" t="s">
        <v>44</v>
      </c>
      <c r="L435" s="36" t="s">
        <v>21</v>
      </c>
    </row>
    <row r="436" spans="1:12" x14ac:dyDescent="0.35">
      <c r="A436" s="38" t="s">
        <v>1334</v>
      </c>
      <c r="B436" s="39" t="s">
        <v>13</v>
      </c>
      <c r="C436" s="40" t="s">
        <v>1335</v>
      </c>
      <c r="D436" s="40" t="s">
        <v>34</v>
      </c>
      <c r="E436" s="40" t="s">
        <v>66</v>
      </c>
      <c r="F436" s="41" t="s">
        <v>97</v>
      </c>
      <c r="G436" s="39">
        <v>7</v>
      </c>
      <c r="H436" s="39" t="s">
        <v>18</v>
      </c>
      <c r="I436" s="41" t="s">
        <v>97</v>
      </c>
      <c r="J436" s="40" t="s">
        <v>1336</v>
      </c>
      <c r="K436" s="40" t="s">
        <v>130</v>
      </c>
      <c r="L436" s="42" t="s">
        <v>26</v>
      </c>
    </row>
    <row r="437" spans="1:12" x14ac:dyDescent="0.35">
      <c r="A437" s="9" t="s">
        <v>1337</v>
      </c>
      <c r="B437" s="10" t="s">
        <v>13</v>
      </c>
      <c r="C437" s="11" t="s">
        <v>1338</v>
      </c>
      <c r="D437" s="11" t="s">
        <v>34</v>
      </c>
      <c r="E437" s="11" t="s">
        <v>47</v>
      </c>
      <c r="F437" s="12" t="s">
        <v>70</v>
      </c>
      <c r="G437" s="10">
        <v>14</v>
      </c>
      <c r="H437" s="10" t="s">
        <v>18</v>
      </c>
      <c r="I437" s="12" t="s">
        <v>70</v>
      </c>
      <c r="J437" s="11" t="s">
        <v>1339</v>
      </c>
      <c r="K437" s="11" t="s">
        <v>115</v>
      </c>
      <c r="L437" s="13" t="s">
        <v>21</v>
      </c>
    </row>
    <row r="438" spans="1:12" ht="15" customHeight="1" x14ac:dyDescent="0.35">
      <c r="A438" s="31" t="s">
        <v>1340</v>
      </c>
      <c r="B438" s="32" t="s">
        <v>13</v>
      </c>
      <c r="C438" s="33" t="s">
        <v>1341</v>
      </c>
      <c r="D438" s="33" t="s">
        <v>34</v>
      </c>
      <c r="E438" s="33" t="s">
        <v>104</v>
      </c>
      <c r="F438" s="34" t="s">
        <v>17</v>
      </c>
      <c r="G438" s="32">
        <v>11</v>
      </c>
      <c r="H438" s="32" t="s">
        <v>18</v>
      </c>
      <c r="I438" s="34" t="s">
        <v>17</v>
      </c>
      <c r="J438" s="33" t="s">
        <v>1342</v>
      </c>
      <c r="K438" s="33" t="s">
        <v>130</v>
      </c>
      <c r="L438" s="35" t="s">
        <v>21</v>
      </c>
    </row>
    <row r="439" spans="1:12" x14ac:dyDescent="0.35">
      <c r="A439" s="36" t="s">
        <v>1343</v>
      </c>
      <c r="B439" s="36" t="s">
        <v>13</v>
      </c>
      <c r="C439" s="36" t="s">
        <v>1344</v>
      </c>
      <c r="D439" s="36" t="s">
        <v>34</v>
      </c>
      <c r="E439" s="36" t="s">
        <v>133</v>
      </c>
      <c r="F439" s="37" t="s">
        <v>113</v>
      </c>
      <c r="G439" s="36">
        <v>8</v>
      </c>
      <c r="H439" s="36" t="s">
        <v>109</v>
      </c>
      <c r="I439" s="37"/>
      <c r="J439" s="36" t="s">
        <v>1345</v>
      </c>
      <c r="K439" s="36" t="s">
        <v>44</v>
      </c>
      <c r="L439" s="36" t="s">
        <v>21</v>
      </c>
    </row>
    <row r="440" spans="1:12" x14ac:dyDescent="0.35">
      <c r="A440" s="38" t="s">
        <v>1346</v>
      </c>
      <c r="B440" s="39" t="s">
        <v>13</v>
      </c>
      <c r="C440" s="40" t="s">
        <v>1347</v>
      </c>
      <c r="D440" s="40" t="s">
        <v>34</v>
      </c>
      <c r="E440" s="40" t="s">
        <v>62</v>
      </c>
      <c r="F440" s="41" t="s">
        <v>17</v>
      </c>
      <c r="G440" s="39">
        <v>9</v>
      </c>
      <c r="H440" s="39" t="s">
        <v>18</v>
      </c>
      <c r="I440" s="41" t="s">
        <v>17</v>
      </c>
      <c r="J440" s="40" t="s">
        <v>1348</v>
      </c>
      <c r="K440" s="40" t="s">
        <v>115</v>
      </c>
      <c r="L440" s="42" t="s">
        <v>26</v>
      </c>
    </row>
    <row r="441" spans="1:12" x14ac:dyDescent="0.35">
      <c r="A441" s="9" t="s">
        <v>1349</v>
      </c>
      <c r="B441" s="10" t="s">
        <v>13</v>
      </c>
      <c r="C441" s="11" t="s">
        <v>1350</v>
      </c>
      <c r="D441" s="11" t="s">
        <v>34</v>
      </c>
      <c r="E441" s="11" t="s">
        <v>47</v>
      </c>
      <c r="F441" s="12" t="s">
        <v>118</v>
      </c>
      <c r="G441" s="10">
        <v>6</v>
      </c>
      <c r="H441" s="10" t="s">
        <v>18</v>
      </c>
      <c r="I441" s="12" t="s">
        <v>118</v>
      </c>
      <c r="J441" s="11" t="s">
        <v>1351</v>
      </c>
      <c r="K441" s="11" t="s">
        <v>44</v>
      </c>
      <c r="L441" s="13" t="s">
        <v>21</v>
      </c>
    </row>
    <row r="442" spans="1:12" ht="15" customHeight="1" x14ac:dyDescent="0.35">
      <c r="A442" s="31" t="s">
        <v>1352</v>
      </c>
      <c r="B442" s="32" t="s">
        <v>13</v>
      </c>
      <c r="C442" s="33" t="s">
        <v>1353</v>
      </c>
      <c r="D442" s="33" t="s">
        <v>90</v>
      </c>
      <c r="E442" s="33" t="s">
        <v>252</v>
      </c>
      <c r="F442" s="34" t="s">
        <v>62</v>
      </c>
      <c r="G442" s="32">
        <v>12</v>
      </c>
      <c r="H442" s="32" t="s">
        <v>18</v>
      </c>
      <c r="I442" s="34" t="s">
        <v>62</v>
      </c>
      <c r="J442" s="33" t="s">
        <v>1354</v>
      </c>
      <c r="K442" s="33" t="s">
        <v>195</v>
      </c>
      <c r="L442" s="35" t="s">
        <v>21</v>
      </c>
    </row>
    <row r="443" spans="1:12" x14ac:dyDescent="0.35">
      <c r="A443" s="36" t="s">
        <v>1352</v>
      </c>
      <c r="B443" s="36" t="s">
        <v>13</v>
      </c>
      <c r="C443" s="36" t="s">
        <v>1353</v>
      </c>
      <c r="D443" s="36" t="s">
        <v>90</v>
      </c>
      <c r="E443" s="36" t="s">
        <v>252</v>
      </c>
      <c r="F443" s="37" t="s">
        <v>37</v>
      </c>
      <c r="G443" s="36">
        <v>16</v>
      </c>
      <c r="H443" s="36" t="s">
        <v>42</v>
      </c>
      <c r="I443" s="37"/>
      <c r="J443" s="36" t="s">
        <v>1354</v>
      </c>
      <c r="K443" s="36" t="s">
        <v>195</v>
      </c>
      <c r="L443" s="36" t="s">
        <v>21</v>
      </c>
    </row>
    <row r="444" spans="1:12" x14ac:dyDescent="0.35">
      <c r="A444" s="38" t="s">
        <v>1355</v>
      </c>
      <c r="B444" s="39" t="s">
        <v>13</v>
      </c>
      <c r="C444" s="40" t="s">
        <v>1356</v>
      </c>
      <c r="D444" s="40" t="s">
        <v>90</v>
      </c>
      <c r="E444" s="40" t="s">
        <v>37</v>
      </c>
      <c r="F444" s="41" t="s">
        <v>17</v>
      </c>
      <c r="G444" s="39">
        <v>4</v>
      </c>
      <c r="H444" s="39" t="s">
        <v>18</v>
      </c>
      <c r="I444" s="41" t="s">
        <v>17</v>
      </c>
      <c r="J444" s="40" t="s">
        <v>1357</v>
      </c>
      <c r="K444" s="40" t="s">
        <v>25</v>
      </c>
      <c r="L444" s="42" t="s">
        <v>26</v>
      </c>
    </row>
    <row r="445" spans="1:12" x14ac:dyDescent="0.35">
      <c r="A445" s="9" t="s">
        <v>1358</v>
      </c>
      <c r="B445" s="10" t="s">
        <v>13</v>
      </c>
      <c r="C445" s="11" t="s">
        <v>1359</v>
      </c>
      <c r="D445" s="11" t="s">
        <v>15</v>
      </c>
      <c r="E445" s="11" t="s">
        <v>104</v>
      </c>
      <c r="F445" s="12" t="s">
        <v>62</v>
      </c>
      <c r="G445" s="10">
        <v>2</v>
      </c>
      <c r="H445" s="10" t="s">
        <v>18</v>
      </c>
      <c r="I445" s="12" t="s">
        <v>62</v>
      </c>
      <c r="J445" s="11" t="s">
        <v>1360</v>
      </c>
      <c r="K445" s="11" t="s">
        <v>25</v>
      </c>
      <c r="L445" s="13" t="s">
        <v>26</v>
      </c>
    </row>
    <row r="446" spans="1:12" x14ac:dyDescent="0.35">
      <c r="A446" s="14" t="s">
        <v>1361</v>
      </c>
      <c r="B446" s="15" t="s">
        <v>13</v>
      </c>
      <c r="C446" s="16" t="s">
        <v>1362</v>
      </c>
      <c r="D446" s="16" t="s">
        <v>34</v>
      </c>
      <c r="E446" s="16" t="s">
        <v>97</v>
      </c>
      <c r="F446" s="17" t="s">
        <v>52</v>
      </c>
      <c r="G446" s="15">
        <v>5</v>
      </c>
      <c r="H446" s="15" t="s">
        <v>18</v>
      </c>
      <c r="I446" s="17" t="s">
        <v>30</v>
      </c>
      <c r="J446" s="16" t="s">
        <v>1363</v>
      </c>
      <c r="K446" s="16" t="s">
        <v>115</v>
      </c>
      <c r="L446" s="18" t="s">
        <v>21</v>
      </c>
    </row>
    <row r="447" spans="1:12" x14ac:dyDescent="0.35">
      <c r="A447" s="9" t="s">
        <v>1364</v>
      </c>
      <c r="B447" s="10" t="s">
        <v>13</v>
      </c>
      <c r="C447" s="11" t="s">
        <v>1365</v>
      </c>
      <c r="D447" s="11" t="s">
        <v>34</v>
      </c>
      <c r="E447" s="11" t="s">
        <v>275</v>
      </c>
      <c r="F447" s="12" t="s">
        <v>29</v>
      </c>
      <c r="G447" s="10">
        <v>15</v>
      </c>
      <c r="H447" s="10" t="s">
        <v>18</v>
      </c>
      <c r="I447" s="12" t="s">
        <v>62</v>
      </c>
      <c r="J447" s="11" t="s">
        <v>1366</v>
      </c>
      <c r="K447" s="11" t="s">
        <v>25</v>
      </c>
      <c r="L447" s="13" t="s">
        <v>21</v>
      </c>
    </row>
    <row r="448" spans="1:12" x14ac:dyDescent="0.35">
      <c r="A448" s="14" t="s">
        <v>1367</v>
      </c>
      <c r="B448" s="15" t="s">
        <v>13</v>
      </c>
      <c r="C448" s="16" t="s">
        <v>1368</v>
      </c>
      <c r="D448" s="16" t="s">
        <v>34</v>
      </c>
      <c r="E448" s="16" t="s">
        <v>36</v>
      </c>
      <c r="F448" s="17" t="s">
        <v>30</v>
      </c>
      <c r="G448" s="15">
        <v>5</v>
      </c>
      <c r="H448" s="15" t="s">
        <v>18</v>
      </c>
      <c r="I448" s="17" t="s">
        <v>30</v>
      </c>
      <c r="J448" s="16" t="s">
        <v>1369</v>
      </c>
      <c r="K448" s="16" t="s">
        <v>44</v>
      </c>
      <c r="L448" s="18" t="s">
        <v>21</v>
      </c>
    </row>
    <row r="449" spans="1:12" x14ac:dyDescent="0.35">
      <c r="A449" s="9" t="s">
        <v>1370</v>
      </c>
      <c r="B449" s="10" t="s">
        <v>13</v>
      </c>
      <c r="C449" s="11" t="s">
        <v>1371</v>
      </c>
      <c r="D449" s="11" t="s">
        <v>15</v>
      </c>
      <c r="E449" s="11" t="s">
        <v>29</v>
      </c>
      <c r="F449" s="12" t="s">
        <v>30</v>
      </c>
      <c r="G449" s="10">
        <v>9</v>
      </c>
      <c r="H449" s="10" t="s">
        <v>18</v>
      </c>
      <c r="I449" s="12" t="s">
        <v>30</v>
      </c>
      <c r="J449" s="11" t="s">
        <v>1372</v>
      </c>
      <c r="K449" s="11" t="s">
        <v>25</v>
      </c>
      <c r="L449" s="13" t="s">
        <v>21</v>
      </c>
    </row>
    <row r="450" spans="1:12" x14ac:dyDescent="0.35">
      <c r="A450" s="14" t="s">
        <v>1373</v>
      </c>
      <c r="B450" s="15" t="s">
        <v>13</v>
      </c>
      <c r="C450" s="16" t="s">
        <v>1374</v>
      </c>
      <c r="D450" s="16" t="s">
        <v>34</v>
      </c>
      <c r="E450" s="16" t="s">
        <v>35</v>
      </c>
      <c r="F450" s="17" t="s">
        <v>52</v>
      </c>
      <c r="G450" s="15">
        <v>16</v>
      </c>
      <c r="H450" s="15" t="s">
        <v>18</v>
      </c>
      <c r="I450" s="17" t="s">
        <v>52</v>
      </c>
      <c r="J450" s="16" t="s">
        <v>1375</v>
      </c>
      <c r="K450" s="16" t="s">
        <v>39</v>
      </c>
      <c r="L450" s="18" t="s">
        <v>21</v>
      </c>
    </row>
    <row r="451" spans="1:12" x14ac:dyDescent="0.35">
      <c r="A451" s="9" t="s">
        <v>1376</v>
      </c>
      <c r="B451" s="10" t="s">
        <v>13</v>
      </c>
      <c r="C451" s="11" t="s">
        <v>1377</v>
      </c>
      <c r="D451" s="11" t="s">
        <v>34</v>
      </c>
      <c r="E451" s="11" t="s">
        <v>165</v>
      </c>
      <c r="F451" s="12" t="s">
        <v>29</v>
      </c>
      <c r="G451" s="10">
        <v>15</v>
      </c>
      <c r="H451" s="10" t="s">
        <v>18</v>
      </c>
      <c r="I451" s="12" t="s">
        <v>104</v>
      </c>
      <c r="J451" s="11" t="s">
        <v>1378</v>
      </c>
      <c r="K451" s="11" t="s">
        <v>130</v>
      </c>
      <c r="L451" s="13" t="s">
        <v>21</v>
      </c>
    </row>
    <row r="452" spans="1:12" x14ac:dyDescent="0.35">
      <c r="A452" s="14" t="s">
        <v>1379</v>
      </c>
      <c r="B452" s="15" t="s">
        <v>13</v>
      </c>
      <c r="C452" s="16" t="s">
        <v>1380</v>
      </c>
      <c r="D452" s="16" t="s">
        <v>34</v>
      </c>
      <c r="E452" s="16" t="s">
        <v>97</v>
      </c>
      <c r="F452" s="17" t="s">
        <v>52</v>
      </c>
      <c r="G452" s="15">
        <v>6</v>
      </c>
      <c r="H452" s="15" t="s">
        <v>18</v>
      </c>
      <c r="I452" s="17" t="s">
        <v>17</v>
      </c>
      <c r="J452" s="16" t="s">
        <v>1381</v>
      </c>
      <c r="K452" s="16" t="s">
        <v>44</v>
      </c>
      <c r="L452" s="18" t="s">
        <v>21</v>
      </c>
    </row>
    <row r="453" spans="1:12" x14ac:dyDescent="0.35">
      <c r="A453" s="9" t="s">
        <v>1382</v>
      </c>
      <c r="B453" s="10" t="s">
        <v>13</v>
      </c>
      <c r="C453" s="11" t="s">
        <v>1383</v>
      </c>
      <c r="D453" s="11" t="s">
        <v>34</v>
      </c>
      <c r="E453" s="11" t="s">
        <v>51</v>
      </c>
      <c r="F453" s="12" t="s">
        <v>29</v>
      </c>
      <c r="G453" s="10">
        <v>4</v>
      </c>
      <c r="H453" s="10" t="s">
        <v>18</v>
      </c>
      <c r="I453" s="12" t="s">
        <v>62</v>
      </c>
      <c r="J453" s="11" t="s">
        <v>1384</v>
      </c>
      <c r="K453" s="11" t="s">
        <v>130</v>
      </c>
      <c r="L453" s="13" t="s">
        <v>21</v>
      </c>
    </row>
    <row r="454" spans="1:12" x14ac:dyDescent="0.35">
      <c r="A454" s="14" t="s">
        <v>1385</v>
      </c>
      <c r="B454" s="15" t="s">
        <v>13</v>
      </c>
      <c r="C454" s="16" t="s">
        <v>1386</v>
      </c>
      <c r="D454" s="16" t="s">
        <v>34</v>
      </c>
      <c r="E454" s="16" t="s">
        <v>457</v>
      </c>
      <c r="F454" s="17" t="s">
        <v>37</v>
      </c>
      <c r="G454" s="15">
        <v>18</v>
      </c>
      <c r="H454" s="15" t="s">
        <v>18</v>
      </c>
      <c r="I454" s="17" t="s">
        <v>113</v>
      </c>
      <c r="J454" s="16" t="s">
        <v>1387</v>
      </c>
      <c r="K454" s="16" t="s">
        <v>25</v>
      </c>
      <c r="L454" s="18" t="s">
        <v>21</v>
      </c>
    </row>
    <row r="455" spans="1:12" x14ac:dyDescent="0.35">
      <c r="A455" s="9" t="s">
        <v>1388</v>
      </c>
      <c r="B455" s="10" t="s">
        <v>13</v>
      </c>
      <c r="C455" s="11" t="s">
        <v>1389</v>
      </c>
      <c r="D455" s="11" t="s">
        <v>15</v>
      </c>
      <c r="E455" s="11" t="s">
        <v>97</v>
      </c>
      <c r="F455" s="12" t="s">
        <v>23</v>
      </c>
      <c r="G455" s="10">
        <v>5</v>
      </c>
      <c r="H455" s="10" t="s">
        <v>18</v>
      </c>
      <c r="I455" s="12" t="s">
        <v>23</v>
      </c>
      <c r="J455" s="11" t="s">
        <v>1390</v>
      </c>
      <c r="K455" s="11" t="s">
        <v>25</v>
      </c>
      <c r="L455" s="13" t="s">
        <v>21</v>
      </c>
    </row>
    <row r="456" spans="1:12" x14ac:dyDescent="0.35">
      <c r="A456" s="14" t="s">
        <v>1391</v>
      </c>
      <c r="B456" s="15" t="s">
        <v>13</v>
      </c>
      <c r="C456" s="16" t="s">
        <v>1392</v>
      </c>
      <c r="D456" s="16" t="s">
        <v>15</v>
      </c>
      <c r="E456" s="16" t="s">
        <v>37</v>
      </c>
      <c r="F456" s="17" t="s">
        <v>30</v>
      </c>
      <c r="G456" s="15">
        <v>4</v>
      </c>
      <c r="H456" s="15" t="s">
        <v>18</v>
      </c>
      <c r="I456" s="17" t="s">
        <v>30</v>
      </c>
      <c r="J456" s="16" t="s">
        <v>1393</v>
      </c>
      <c r="K456" s="16" t="s">
        <v>25</v>
      </c>
      <c r="L456" s="18" t="s">
        <v>26</v>
      </c>
    </row>
    <row r="457" spans="1:12" x14ac:dyDescent="0.35">
      <c r="A457" s="9" t="s">
        <v>1394</v>
      </c>
      <c r="B457" s="10" t="s">
        <v>13</v>
      </c>
      <c r="C457" s="11" t="s">
        <v>1395</v>
      </c>
      <c r="D457" s="11" t="s">
        <v>34</v>
      </c>
      <c r="E457" s="11" t="s">
        <v>275</v>
      </c>
      <c r="F457" s="12" t="s">
        <v>30</v>
      </c>
      <c r="G457" s="10">
        <v>24</v>
      </c>
      <c r="H457" s="10" t="s">
        <v>18</v>
      </c>
      <c r="I457" s="12" t="s">
        <v>30</v>
      </c>
      <c r="J457" s="11" t="s">
        <v>1396</v>
      </c>
      <c r="K457" s="11" t="s">
        <v>39</v>
      </c>
      <c r="L457" s="13" t="s">
        <v>21</v>
      </c>
    </row>
    <row r="458" spans="1:12" x14ac:dyDescent="0.35">
      <c r="A458" s="14" t="s">
        <v>1397</v>
      </c>
      <c r="B458" s="15" t="s">
        <v>13</v>
      </c>
      <c r="C458" s="16" t="s">
        <v>1398</v>
      </c>
      <c r="D458" s="16" t="s">
        <v>34</v>
      </c>
      <c r="E458" s="16" t="s">
        <v>47</v>
      </c>
      <c r="F458" s="17" t="s">
        <v>29</v>
      </c>
      <c r="G458" s="15">
        <v>2</v>
      </c>
      <c r="H458" s="15" t="s">
        <v>18</v>
      </c>
      <c r="I458" s="17" t="s">
        <v>29</v>
      </c>
      <c r="J458" s="16" t="s">
        <v>1399</v>
      </c>
      <c r="K458" s="16" t="s">
        <v>130</v>
      </c>
      <c r="L458" s="18" t="s">
        <v>21</v>
      </c>
    </row>
    <row r="459" spans="1:12" ht="15" customHeight="1" x14ac:dyDescent="0.35">
      <c r="A459" s="19" t="s">
        <v>1400</v>
      </c>
      <c r="B459" s="20" t="s">
        <v>13</v>
      </c>
      <c r="C459" s="21" t="s">
        <v>1401</v>
      </c>
      <c r="D459" s="21" t="s">
        <v>34</v>
      </c>
      <c r="E459" s="21" t="s">
        <v>37</v>
      </c>
      <c r="F459" s="22" t="s">
        <v>17</v>
      </c>
      <c r="G459" s="20">
        <v>4</v>
      </c>
      <c r="H459" s="20" t="s">
        <v>18</v>
      </c>
      <c r="I459" s="22" t="s">
        <v>17</v>
      </c>
      <c r="J459" s="21" t="s">
        <v>1402</v>
      </c>
      <c r="K459" s="21" t="s">
        <v>72</v>
      </c>
      <c r="L459" s="23" t="s">
        <v>21</v>
      </c>
    </row>
    <row r="460" spans="1:12" x14ac:dyDescent="0.35">
      <c r="A460" s="24" t="s">
        <v>1403</v>
      </c>
      <c r="B460" s="24" t="s">
        <v>13</v>
      </c>
      <c r="C460" s="24" t="s">
        <v>1404</v>
      </c>
      <c r="D460" s="24" t="s">
        <v>34</v>
      </c>
      <c r="E460" s="24" t="s">
        <v>36</v>
      </c>
      <c r="F460" s="25" t="s">
        <v>70</v>
      </c>
      <c r="G460" s="24">
        <v>7</v>
      </c>
      <c r="H460" s="24" t="s">
        <v>42</v>
      </c>
      <c r="I460" s="25"/>
      <c r="J460" s="24" t="s">
        <v>1405</v>
      </c>
      <c r="K460" s="24" t="s">
        <v>25</v>
      </c>
      <c r="L460" s="24" t="s">
        <v>26</v>
      </c>
    </row>
    <row r="461" spans="1:12" x14ac:dyDescent="0.35">
      <c r="A461" s="36" t="s">
        <v>1406</v>
      </c>
      <c r="B461" s="36" t="s">
        <v>13</v>
      </c>
      <c r="C461" s="36" t="s">
        <v>1407</v>
      </c>
      <c r="D461" s="36" t="s">
        <v>34</v>
      </c>
      <c r="E461" s="36" t="s">
        <v>62</v>
      </c>
      <c r="F461" s="37" t="s">
        <v>36</v>
      </c>
      <c r="G461" s="36">
        <v>2</v>
      </c>
      <c r="H461" s="36" t="s">
        <v>109</v>
      </c>
      <c r="I461" s="37"/>
      <c r="J461" s="36" t="s">
        <v>1408</v>
      </c>
      <c r="K461" s="36" t="s">
        <v>115</v>
      </c>
      <c r="L461" s="36" t="s">
        <v>21</v>
      </c>
    </row>
    <row r="462" spans="1:12" x14ac:dyDescent="0.35">
      <c r="A462" s="38" t="s">
        <v>1409</v>
      </c>
      <c r="B462" s="39" t="s">
        <v>13</v>
      </c>
      <c r="C462" s="40" t="s">
        <v>1410</v>
      </c>
      <c r="D462" s="40" t="s">
        <v>34</v>
      </c>
      <c r="E462" s="40" t="s">
        <v>51</v>
      </c>
      <c r="F462" s="41" t="s">
        <v>133</v>
      </c>
      <c r="G462" s="39">
        <v>2</v>
      </c>
      <c r="H462" s="39" t="s">
        <v>18</v>
      </c>
      <c r="I462" s="41" t="s">
        <v>104</v>
      </c>
      <c r="J462" s="40" t="s">
        <v>1411</v>
      </c>
      <c r="K462" s="40" t="s">
        <v>44</v>
      </c>
      <c r="L462" s="42" t="s">
        <v>26</v>
      </c>
    </row>
    <row r="463" spans="1:12" x14ac:dyDescent="0.35">
      <c r="A463" s="9" t="s">
        <v>1412</v>
      </c>
      <c r="B463" s="10" t="s">
        <v>13</v>
      </c>
      <c r="C463" s="11" t="s">
        <v>1413</v>
      </c>
      <c r="D463" s="11" t="s">
        <v>34</v>
      </c>
      <c r="E463" s="11" t="s">
        <v>178</v>
      </c>
      <c r="F463" s="12" t="s">
        <v>97</v>
      </c>
      <c r="G463" s="10">
        <v>9</v>
      </c>
      <c r="H463" s="10" t="s">
        <v>18</v>
      </c>
      <c r="I463" s="12" t="s">
        <v>118</v>
      </c>
      <c r="J463" s="11" t="s">
        <v>1414</v>
      </c>
      <c r="K463" s="11" t="s">
        <v>130</v>
      </c>
      <c r="L463" s="13" t="s">
        <v>21</v>
      </c>
    </row>
    <row r="464" spans="1:12" x14ac:dyDescent="0.35">
      <c r="A464" s="14" t="s">
        <v>1415</v>
      </c>
      <c r="B464" s="15" t="s">
        <v>13</v>
      </c>
      <c r="C464" s="16" t="s">
        <v>1416</v>
      </c>
      <c r="D464" s="16" t="s">
        <v>34</v>
      </c>
      <c r="E464" s="16" t="s">
        <v>35</v>
      </c>
      <c r="F464" s="17" t="s">
        <v>17</v>
      </c>
      <c r="G464" s="15">
        <v>18</v>
      </c>
      <c r="H464" s="15" t="s">
        <v>18</v>
      </c>
      <c r="I464" s="17" t="s">
        <v>17</v>
      </c>
      <c r="J464" s="16" t="s">
        <v>1417</v>
      </c>
      <c r="K464" s="16" t="s">
        <v>39</v>
      </c>
      <c r="L464" s="18" t="s">
        <v>21</v>
      </c>
    </row>
    <row r="465" spans="1:12" ht="15" customHeight="1" x14ac:dyDescent="0.35">
      <c r="A465" s="19" t="s">
        <v>1418</v>
      </c>
      <c r="B465" s="20" t="s">
        <v>13</v>
      </c>
      <c r="C465" s="21" t="s">
        <v>1419</v>
      </c>
      <c r="D465" s="21" t="s">
        <v>363</v>
      </c>
      <c r="E465" s="21" t="s">
        <v>793</v>
      </c>
      <c r="F465" s="22" t="s">
        <v>104</v>
      </c>
      <c r="G465" s="20">
        <v>26</v>
      </c>
      <c r="H465" s="20" t="s">
        <v>18</v>
      </c>
      <c r="I465" s="22" t="s">
        <v>104</v>
      </c>
      <c r="J465" s="21" t="s">
        <v>1420</v>
      </c>
      <c r="K465" s="21" t="s">
        <v>20</v>
      </c>
      <c r="L465" s="23" t="s">
        <v>21</v>
      </c>
    </row>
    <row r="466" spans="1:12" x14ac:dyDescent="0.35">
      <c r="A466" s="24" t="s">
        <v>1421</v>
      </c>
      <c r="B466" s="24" t="s">
        <v>13</v>
      </c>
      <c r="C466" s="24" t="s">
        <v>1422</v>
      </c>
      <c r="D466" s="24" t="s">
        <v>34</v>
      </c>
      <c r="E466" s="24" t="s">
        <v>29</v>
      </c>
      <c r="F466" s="25" t="s">
        <v>118</v>
      </c>
      <c r="G466" s="24">
        <v>3</v>
      </c>
      <c r="H466" s="24" t="s">
        <v>42</v>
      </c>
      <c r="I466" s="25"/>
      <c r="J466" s="24" t="s">
        <v>1423</v>
      </c>
      <c r="K466" s="24" t="s">
        <v>44</v>
      </c>
      <c r="L466" s="24" t="s">
        <v>21</v>
      </c>
    </row>
    <row r="467" spans="1:12" x14ac:dyDescent="0.35">
      <c r="A467" s="26" t="s">
        <v>1424</v>
      </c>
      <c r="B467" s="27" t="s">
        <v>13</v>
      </c>
      <c r="C467" s="28" t="s">
        <v>1425</v>
      </c>
      <c r="D467" s="28" t="s">
        <v>15</v>
      </c>
      <c r="E467" s="28" t="s">
        <v>104</v>
      </c>
      <c r="F467" s="29" t="s">
        <v>30</v>
      </c>
      <c r="G467" s="27">
        <v>10</v>
      </c>
      <c r="H467" s="27" t="s">
        <v>18</v>
      </c>
      <c r="I467" s="29" t="s">
        <v>30</v>
      </c>
      <c r="J467" s="28" t="s">
        <v>1426</v>
      </c>
      <c r="K467" s="28" t="s">
        <v>25</v>
      </c>
      <c r="L467" s="30" t="s">
        <v>21</v>
      </c>
    </row>
    <row r="468" spans="1:12" ht="15" customHeight="1" x14ac:dyDescent="0.35">
      <c r="A468" s="31" t="s">
        <v>1427</v>
      </c>
      <c r="B468" s="32" t="s">
        <v>13</v>
      </c>
      <c r="C468" s="33" t="s">
        <v>1428</v>
      </c>
      <c r="D468" s="33" t="s">
        <v>15</v>
      </c>
      <c r="E468" s="33" t="s">
        <v>133</v>
      </c>
      <c r="F468" s="34" t="s">
        <v>52</v>
      </c>
      <c r="G468" s="32">
        <v>9</v>
      </c>
      <c r="H468" s="32" t="s">
        <v>18</v>
      </c>
      <c r="I468" s="34" t="s">
        <v>52</v>
      </c>
      <c r="J468" s="33" t="s">
        <v>1429</v>
      </c>
      <c r="K468" s="33" t="s">
        <v>25</v>
      </c>
      <c r="L468" s="35" t="s">
        <v>21</v>
      </c>
    </row>
    <row r="469" spans="1:12" x14ac:dyDescent="0.35">
      <c r="A469" s="36" t="s">
        <v>1430</v>
      </c>
      <c r="B469" s="36" t="s">
        <v>13</v>
      </c>
      <c r="C469" s="36" t="s">
        <v>1431</v>
      </c>
      <c r="D469" s="36" t="s">
        <v>34</v>
      </c>
      <c r="E469" s="36" t="s">
        <v>133</v>
      </c>
      <c r="F469" s="37" t="s">
        <v>37</v>
      </c>
      <c r="G469" s="36">
        <v>6</v>
      </c>
      <c r="H469" s="36" t="s">
        <v>42</v>
      </c>
      <c r="I469" s="37"/>
      <c r="J469" s="36" t="s">
        <v>1432</v>
      </c>
      <c r="K469" s="36" t="s">
        <v>25</v>
      </c>
      <c r="L469" s="36" t="s">
        <v>21</v>
      </c>
    </row>
    <row r="470" spans="1:12" x14ac:dyDescent="0.35">
      <c r="A470" s="38" t="s">
        <v>1433</v>
      </c>
      <c r="B470" s="39" t="s">
        <v>13</v>
      </c>
      <c r="C470" s="40" t="s">
        <v>1434</v>
      </c>
      <c r="D470" s="40" t="s">
        <v>78</v>
      </c>
      <c r="E470" s="40" t="s">
        <v>497</v>
      </c>
      <c r="F470" s="41" t="s">
        <v>23</v>
      </c>
      <c r="G470" s="39">
        <v>17</v>
      </c>
      <c r="H470" s="39" t="s">
        <v>18</v>
      </c>
      <c r="I470" s="41" t="s">
        <v>30</v>
      </c>
      <c r="J470" s="40" t="s">
        <v>1435</v>
      </c>
      <c r="K470" s="40" t="s">
        <v>25</v>
      </c>
      <c r="L470" s="42" t="s">
        <v>21</v>
      </c>
    </row>
    <row r="471" spans="1:12" x14ac:dyDescent="0.35">
      <c r="A471" s="9" t="s">
        <v>1436</v>
      </c>
      <c r="B471" s="10" t="s">
        <v>13</v>
      </c>
      <c r="C471" s="11" t="s">
        <v>1437</v>
      </c>
      <c r="D471" s="11" t="s">
        <v>34</v>
      </c>
      <c r="E471" s="11" t="s">
        <v>97</v>
      </c>
      <c r="F471" s="12" t="s">
        <v>36</v>
      </c>
      <c r="G471" s="10">
        <v>1</v>
      </c>
      <c r="H471" s="10" t="s">
        <v>18</v>
      </c>
      <c r="I471" s="12" t="s">
        <v>36</v>
      </c>
      <c r="J471" s="11" t="s">
        <v>1438</v>
      </c>
      <c r="K471" s="11" t="s">
        <v>44</v>
      </c>
      <c r="L471" s="13" t="s">
        <v>21</v>
      </c>
    </row>
    <row r="472" spans="1:12" x14ac:dyDescent="0.35">
      <c r="A472" s="14" t="s">
        <v>1439</v>
      </c>
      <c r="B472" s="15" t="s">
        <v>13</v>
      </c>
      <c r="C472" s="16" t="s">
        <v>1440</v>
      </c>
      <c r="D472" s="16" t="s">
        <v>34</v>
      </c>
      <c r="E472" s="16" t="s">
        <v>497</v>
      </c>
      <c r="F472" s="17" t="s">
        <v>66</v>
      </c>
      <c r="G472" s="15">
        <v>5</v>
      </c>
      <c r="H472" s="15" t="s">
        <v>18</v>
      </c>
      <c r="I472" s="17" t="s">
        <v>66</v>
      </c>
      <c r="J472" s="16" t="s">
        <v>1441</v>
      </c>
      <c r="K472" s="16" t="s">
        <v>130</v>
      </c>
      <c r="L472" s="18" t="s">
        <v>26</v>
      </c>
    </row>
    <row r="473" spans="1:12" x14ac:dyDescent="0.35">
      <c r="A473" s="9" t="s">
        <v>1442</v>
      </c>
      <c r="B473" s="10" t="s">
        <v>13</v>
      </c>
      <c r="C473" s="11" t="s">
        <v>1443</v>
      </c>
      <c r="D473" s="11" t="s">
        <v>34</v>
      </c>
      <c r="E473" s="11" t="s">
        <v>133</v>
      </c>
      <c r="F473" s="12" t="s">
        <v>97</v>
      </c>
      <c r="G473" s="10">
        <v>4</v>
      </c>
      <c r="H473" s="10" t="s">
        <v>18</v>
      </c>
      <c r="I473" s="12" t="s">
        <v>97</v>
      </c>
      <c r="J473" s="11" t="s">
        <v>1444</v>
      </c>
      <c r="K473" s="11" t="s">
        <v>44</v>
      </c>
      <c r="L473" s="13" t="s">
        <v>26</v>
      </c>
    </row>
    <row r="474" spans="1:12" x14ac:dyDescent="0.35">
      <c r="A474" s="14" t="s">
        <v>1445</v>
      </c>
      <c r="B474" s="15" t="s">
        <v>13</v>
      </c>
      <c r="C474" s="16" t="s">
        <v>1446</v>
      </c>
      <c r="D474" s="16" t="s">
        <v>34</v>
      </c>
      <c r="E474" s="16" t="s">
        <v>252</v>
      </c>
      <c r="F474" s="17" t="s">
        <v>133</v>
      </c>
      <c r="G474" s="15">
        <v>9</v>
      </c>
      <c r="H474" s="15" t="s">
        <v>18</v>
      </c>
      <c r="I474" s="17" t="s">
        <v>104</v>
      </c>
      <c r="J474" s="16" t="s">
        <v>1447</v>
      </c>
      <c r="K474" s="16" t="s">
        <v>25</v>
      </c>
      <c r="L474" s="18" t="s">
        <v>21</v>
      </c>
    </row>
    <row r="475" spans="1:12" x14ac:dyDescent="0.35">
      <c r="A475" s="9" t="s">
        <v>1448</v>
      </c>
      <c r="B475" s="10" t="s">
        <v>13</v>
      </c>
      <c r="C475" s="11" t="s">
        <v>1449</v>
      </c>
      <c r="D475" s="11" t="s">
        <v>34</v>
      </c>
      <c r="E475" s="11" t="s">
        <v>497</v>
      </c>
      <c r="F475" s="12" t="s">
        <v>47</v>
      </c>
      <c r="G475" s="10">
        <v>6</v>
      </c>
      <c r="H475" s="10" t="s">
        <v>18</v>
      </c>
      <c r="I475" s="12" t="s">
        <v>47</v>
      </c>
      <c r="J475" s="11" t="s">
        <v>1450</v>
      </c>
      <c r="K475" s="11" t="s">
        <v>25</v>
      </c>
      <c r="L475" s="13" t="s">
        <v>21</v>
      </c>
    </row>
    <row r="476" spans="1:12" ht="15" customHeight="1" x14ac:dyDescent="0.35">
      <c r="A476" s="31" t="s">
        <v>1451</v>
      </c>
      <c r="B476" s="32" t="s">
        <v>13</v>
      </c>
      <c r="C476" s="33" t="s">
        <v>1452</v>
      </c>
      <c r="D476" s="33" t="s">
        <v>34</v>
      </c>
      <c r="E476" s="33" t="s">
        <v>97</v>
      </c>
      <c r="F476" s="34" t="s">
        <v>23</v>
      </c>
      <c r="G476" s="32">
        <v>5</v>
      </c>
      <c r="H476" s="32" t="s">
        <v>18</v>
      </c>
      <c r="I476" s="34" t="s">
        <v>52</v>
      </c>
      <c r="J476" s="33" t="s">
        <v>1453</v>
      </c>
      <c r="K476" s="33" t="s">
        <v>115</v>
      </c>
      <c r="L476" s="35" t="s">
        <v>26</v>
      </c>
    </row>
    <row r="477" spans="1:12" x14ac:dyDescent="0.35">
      <c r="A477" s="36" t="s">
        <v>1454</v>
      </c>
      <c r="B477" s="36" t="s">
        <v>13</v>
      </c>
      <c r="C477" s="36" t="s">
        <v>1455</v>
      </c>
      <c r="D477" s="36" t="s">
        <v>78</v>
      </c>
      <c r="E477" s="36" t="s">
        <v>252</v>
      </c>
      <c r="F477" s="37" t="s">
        <v>66</v>
      </c>
      <c r="G477" s="36">
        <v>6</v>
      </c>
      <c r="H477" s="36" t="s">
        <v>109</v>
      </c>
      <c r="I477" s="37"/>
      <c r="J477" s="36" t="s">
        <v>1456</v>
      </c>
      <c r="K477" s="36" t="s">
        <v>39</v>
      </c>
      <c r="L477" s="36" t="s">
        <v>21</v>
      </c>
    </row>
    <row r="478" spans="1:12" ht="15" customHeight="1" x14ac:dyDescent="0.35">
      <c r="A478" s="48" t="s">
        <v>1454</v>
      </c>
      <c r="B478" s="49" t="s">
        <v>13</v>
      </c>
      <c r="C478" s="50" t="s">
        <v>1455</v>
      </c>
      <c r="D478" s="50" t="s">
        <v>78</v>
      </c>
      <c r="E478" s="50" t="s">
        <v>252</v>
      </c>
      <c r="F478" s="51" t="s">
        <v>17</v>
      </c>
      <c r="G478" s="49">
        <v>21</v>
      </c>
      <c r="H478" s="49" t="s">
        <v>18</v>
      </c>
      <c r="I478" s="51" t="s">
        <v>17</v>
      </c>
      <c r="J478" s="50" t="s">
        <v>1456</v>
      </c>
      <c r="K478" s="50" t="s">
        <v>39</v>
      </c>
      <c r="L478" s="52" t="s">
        <v>21</v>
      </c>
    </row>
    <row r="479" spans="1:12" x14ac:dyDescent="0.35">
      <c r="A479" s="36" t="s">
        <v>1457</v>
      </c>
      <c r="B479" s="36" t="s">
        <v>13</v>
      </c>
      <c r="C479" s="36" t="s">
        <v>1458</v>
      </c>
      <c r="D479" s="36" t="s">
        <v>34</v>
      </c>
      <c r="E479" s="36" t="s">
        <v>29</v>
      </c>
      <c r="F479" s="37" t="s">
        <v>97</v>
      </c>
      <c r="G479" s="36">
        <v>2</v>
      </c>
      <c r="H479" s="36" t="s">
        <v>109</v>
      </c>
      <c r="I479" s="37"/>
      <c r="J479" s="36" t="s">
        <v>1459</v>
      </c>
      <c r="K479" s="36" t="s">
        <v>44</v>
      </c>
      <c r="L479" s="36" t="s">
        <v>21</v>
      </c>
    </row>
    <row r="480" spans="1:12" x14ac:dyDescent="0.35">
      <c r="A480" s="38" t="s">
        <v>1460</v>
      </c>
      <c r="B480" s="39" t="s">
        <v>13</v>
      </c>
      <c r="C480" s="40" t="s">
        <v>1461</v>
      </c>
      <c r="D480" s="40" t="s">
        <v>34</v>
      </c>
      <c r="E480" s="40" t="s">
        <v>497</v>
      </c>
      <c r="F480" s="41" t="s">
        <v>104</v>
      </c>
      <c r="G480" s="39">
        <v>9</v>
      </c>
      <c r="H480" s="39" t="s">
        <v>18</v>
      </c>
      <c r="I480" s="41" t="s">
        <v>29</v>
      </c>
      <c r="J480" s="40" t="s">
        <v>1462</v>
      </c>
      <c r="K480" s="40" t="s">
        <v>25</v>
      </c>
      <c r="L480" s="42" t="s">
        <v>21</v>
      </c>
    </row>
    <row r="481" spans="1:12" x14ac:dyDescent="0.35">
      <c r="A481" s="9" t="s">
        <v>1463</v>
      </c>
      <c r="B481" s="10" t="s">
        <v>13</v>
      </c>
      <c r="C481" s="11" t="s">
        <v>1464</v>
      </c>
      <c r="D481" s="11" t="s">
        <v>34</v>
      </c>
      <c r="E481" s="11" t="s">
        <v>35</v>
      </c>
      <c r="F481" s="12" t="s">
        <v>29</v>
      </c>
      <c r="G481" s="10">
        <v>7</v>
      </c>
      <c r="H481" s="10" t="s">
        <v>18</v>
      </c>
      <c r="I481" s="12" t="s">
        <v>29</v>
      </c>
      <c r="J481" s="11" t="s">
        <v>1465</v>
      </c>
      <c r="K481" s="11" t="s">
        <v>130</v>
      </c>
      <c r="L481" s="13" t="s">
        <v>26</v>
      </c>
    </row>
    <row r="482" spans="1:12" x14ac:dyDescent="0.35">
      <c r="A482" s="14" t="s">
        <v>1466</v>
      </c>
      <c r="B482" s="15" t="s">
        <v>13</v>
      </c>
      <c r="C482" s="16" t="s">
        <v>1467</v>
      </c>
      <c r="D482" s="16" t="s">
        <v>34</v>
      </c>
      <c r="E482" s="16" t="s">
        <v>244</v>
      </c>
      <c r="F482" s="17" t="s">
        <v>23</v>
      </c>
      <c r="G482" s="15">
        <v>20</v>
      </c>
      <c r="H482" s="15" t="s">
        <v>18</v>
      </c>
      <c r="I482" s="17" t="s">
        <v>23</v>
      </c>
      <c r="J482" s="16" t="s">
        <v>1468</v>
      </c>
      <c r="K482" s="16" t="s">
        <v>25</v>
      </c>
      <c r="L482" s="18" t="s">
        <v>21</v>
      </c>
    </row>
    <row r="483" spans="1:12" x14ac:dyDescent="0.35">
      <c r="A483" s="9" t="s">
        <v>1469</v>
      </c>
      <c r="B483" s="10" t="s">
        <v>13</v>
      </c>
      <c r="C483" s="11" t="s">
        <v>1470</v>
      </c>
      <c r="D483" s="11" t="s">
        <v>34</v>
      </c>
      <c r="E483" s="11" t="s">
        <v>118</v>
      </c>
      <c r="F483" s="12" t="s">
        <v>113</v>
      </c>
      <c r="G483" s="10">
        <v>2</v>
      </c>
      <c r="H483" s="10" t="s">
        <v>18</v>
      </c>
      <c r="I483" s="12" t="s">
        <v>52</v>
      </c>
      <c r="J483" s="11" t="s">
        <v>1471</v>
      </c>
      <c r="K483" s="11" t="s">
        <v>115</v>
      </c>
      <c r="L483" s="13" t="s">
        <v>21</v>
      </c>
    </row>
    <row r="484" spans="1:12" x14ac:dyDescent="0.35">
      <c r="A484" s="14" t="s">
        <v>1472</v>
      </c>
      <c r="B484" s="15" t="s">
        <v>13</v>
      </c>
      <c r="C484" s="16" t="s">
        <v>1473</v>
      </c>
      <c r="D484" s="16" t="s">
        <v>34</v>
      </c>
      <c r="E484" s="16" t="s">
        <v>62</v>
      </c>
      <c r="F484" s="17" t="s">
        <v>23</v>
      </c>
      <c r="G484" s="15">
        <v>6</v>
      </c>
      <c r="H484" s="15" t="s">
        <v>18</v>
      </c>
      <c r="I484" s="17" t="s">
        <v>23</v>
      </c>
      <c r="J484" s="16" t="s">
        <v>1124</v>
      </c>
      <c r="K484" s="16" t="s">
        <v>115</v>
      </c>
      <c r="L484" s="18" t="s">
        <v>26</v>
      </c>
    </row>
    <row r="485" spans="1:12" x14ac:dyDescent="0.35">
      <c r="A485" s="9" t="s">
        <v>1474</v>
      </c>
      <c r="B485" s="10" t="s">
        <v>13</v>
      </c>
      <c r="C485" s="11" t="s">
        <v>1475</v>
      </c>
      <c r="D485" s="11" t="s">
        <v>34</v>
      </c>
      <c r="E485" s="11" t="s">
        <v>29</v>
      </c>
      <c r="F485" s="12" t="s">
        <v>30</v>
      </c>
      <c r="G485" s="10">
        <v>9</v>
      </c>
      <c r="H485" s="10" t="s">
        <v>18</v>
      </c>
      <c r="I485" s="12" t="s">
        <v>30</v>
      </c>
      <c r="J485" s="11" t="s">
        <v>1476</v>
      </c>
      <c r="K485" s="11" t="s">
        <v>44</v>
      </c>
      <c r="L485" s="13" t="s">
        <v>21</v>
      </c>
    </row>
    <row r="486" spans="1:12" x14ac:dyDescent="0.35">
      <c r="A486" s="14" t="s">
        <v>1477</v>
      </c>
      <c r="B486" s="15" t="s">
        <v>13</v>
      </c>
      <c r="C486" s="16" t="s">
        <v>1478</v>
      </c>
      <c r="D486" s="16" t="s">
        <v>34</v>
      </c>
      <c r="E486" s="16" t="s">
        <v>457</v>
      </c>
      <c r="F486" s="17" t="s">
        <v>133</v>
      </c>
      <c r="G486" s="15">
        <v>10</v>
      </c>
      <c r="H486" s="15" t="s">
        <v>18</v>
      </c>
      <c r="I486" s="17" t="s">
        <v>133</v>
      </c>
      <c r="J486" s="16" t="s">
        <v>1479</v>
      </c>
      <c r="K486" s="16" t="s">
        <v>25</v>
      </c>
      <c r="L486" s="18" t="s">
        <v>21</v>
      </c>
    </row>
    <row r="487" spans="1:12" x14ac:dyDescent="0.35">
      <c r="A487" s="9" t="s">
        <v>1480</v>
      </c>
      <c r="B487" s="10" t="s">
        <v>13</v>
      </c>
      <c r="C487" s="11" t="s">
        <v>1481</v>
      </c>
      <c r="D487" s="11" t="s">
        <v>34</v>
      </c>
      <c r="E487" s="11" t="s">
        <v>62</v>
      </c>
      <c r="F487" s="12" t="s">
        <v>118</v>
      </c>
      <c r="G487" s="10">
        <v>2</v>
      </c>
      <c r="H487" s="10" t="s">
        <v>18</v>
      </c>
      <c r="I487" s="12" t="s">
        <v>118</v>
      </c>
      <c r="J487" s="11" t="s">
        <v>1399</v>
      </c>
      <c r="K487" s="11" t="s">
        <v>130</v>
      </c>
      <c r="L487" s="13" t="s">
        <v>21</v>
      </c>
    </row>
    <row r="488" spans="1:12" ht="15" customHeight="1" x14ac:dyDescent="0.35">
      <c r="A488" s="31" t="s">
        <v>1482</v>
      </c>
      <c r="B488" s="32" t="s">
        <v>13</v>
      </c>
      <c r="C488" s="33" t="s">
        <v>1483</v>
      </c>
      <c r="D488" s="33" t="s">
        <v>34</v>
      </c>
      <c r="E488" s="33" t="s">
        <v>47</v>
      </c>
      <c r="F488" s="34" t="s">
        <v>29</v>
      </c>
      <c r="G488" s="32">
        <v>3</v>
      </c>
      <c r="H488" s="32" t="s">
        <v>18</v>
      </c>
      <c r="I488" s="34" t="s">
        <v>62</v>
      </c>
      <c r="J488" s="33" t="s">
        <v>1484</v>
      </c>
      <c r="K488" s="33" t="s">
        <v>130</v>
      </c>
      <c r="L488" s="35" t="s">
        <v>21</v>
      </c>
    </row>
    <row r="489" spans="1:12" x14ac:dyDescent="0.35">
      <c r="A489" s="36" t="s">
        <v>1485</v>
      </c>
      <c r="B489" s="36" t="s">
        <v>13</v>
      </c>
      <c r="C489" s="36" t="s">
        <v>1486</v>
      </c>
      <c r="D489" s="36" t="s">
        <v>90</v>
      </c>
      <c r="E489" s="36" t="s">
        <v>104</v>
      </c>
      <c r="F489" s="37" t="s">
        <v>30</v>
      </c>
      <c r="G489" s="36">
        <v>9</v>
      </c>
      <c r="H489" s="36" t="s">
        <v>109</v>
      </c>
      <c r="I489" s="37"/>
      <c r="J489" s="36" t="s">
        <v>1487</v>
      </c>
      <c r="K489" s="36" t="s">
        <v>25</v>
      </c>
      <c r="L489" s="36" t="s">
        <v>26</v>
      </c>
    </row>
    <row r="490" spans="1:12" x14ac:dyDescent="0.35">
      <c r="A490" s="38" t="s">
        <v>1488</v>
      </c>
      <c r="B490" s="39" t="s">
        <v>13</v>
      </c>
      <c r="C490" s="40" t="s">
        <v>1489</v>
      </c>
      <c r="D490" s="40" t="s">
        <v>34</v>
      </c>
      <c r="E490" s="40" t="s">
        <v>47</v>
      </c>
      <c r="F490" s="41" t="s">
        <v>70</v>
      </c>
      <c r="G490" s="39">
        <v>14</v>
      </c>
      <c r="H490" s="39" t="s">
        <v>18</v>
      </c>
      <c r="I490" s="41" t="s">
        <v>70</v>
      </c>
      <c r="J490" s="40" t="s">
        <v>1490</v>
      </c>
      <c r="K490" s="40" t="s">
        <v>130</v>
      </c>
      <c r="L490" s="42" t="s">
        <v>21</v>
      </c>
    </row>
    <row r="491" spans="1:12" x14ac:dyDescent="0.35">
      <c r="A491" s="9" t="s">
        <v>1491</v>
      </c>
      <c r="B491" s="10" t="s">
        <v>13</v>
      </c>
      <c r="C491" s="11" t="s">
        <v>1492</v>
      </c>
      <c r="D491" s="11" t="s">
        <v>78</v>
      </c>
      <c r="E491" s="11" t="s">
        <v>453</v>
      </c>
      <c r="F491" s="12" t="s">
        <v>51</v>
      </c>
      <c r="G491" s="10">
        <v>10</v>
      </c>
      <c r="H491" s="10" t="s">
        <v>18</v>
      </c>
      <c r="I491" s="12" t="s">
        <v>51</v>
      </c>
      <c r="J491" s="11" t="s">
        <v>1493</v>
      </c>
      <c r="K491" s="11" t="s">
        <v>25</v>
      </c>
      <c r="L491" s="13" t="s">
        <v>21</v>
      </c>
    </row>
    <row r="492" spans="1:12" x14ac:dyDescent="0.35">
      <c r="A492" s="14" t="s">
        <v>1494</v>
      </c>
      <c r="B492" s="15" t="s">
        <v>13</v>
      </c>
      <c r="C492" s="16" t="s">
        <v>1495</v>
      </c>
      <c r="D492" s="16" t="s">
        <v>34</v>
      </c>
      <c r="E492" s="16" t="s">
        <v>47</v>
      </c>
      <c r="F492" s="17" t="s">
        <v>97</v>
      </c>
      <c r="G492" s="15">
        <v>5</v>
      </c>
      <c r="H492" s="15" t="s">
        <v>18</v>
      </c>
      <c r="I492" s="17" t="s">
        <v>97</v>
      </c>
      <c r="J492" s="16" t="s">
        <v>1496</v>
      </c>
      <c r="K492" s="16" t="s">
        <v>115</v>
      </c>
      <c r="L492" s="18" t="s">
        <v>21</v>
      </c>
    </row>
    <row r="493" spans="1:12" x14ac:dyDescent="0.35">
      <c r="A493" s="9" t="s">
        <v>1497</v>
      </c>
      <c r="B493" s="10" t="s">
        <v>13</v>
      </c>
      <c r="C493" s="11" t="s">
        <v>1498</v>
      </c>
      <c r="D493" s="11" t="s">
        <v>15</v>
      </c>
      <c r="E493" s="11" t="s">
        <v>37</v>
      </c>
      <c r="F493" s="12" t="s">
        <v>30</v>
      </c>
      <c r="G493" s="10">
        <v>4</v>
      </c>
      <c r="H493" s="10" t="s">
        <v>18</v>
      </c>
      <c r="I493" s="12" t="s">
        <v>30</v>
      </c>
      <c r="J493" s="11" t="s">
        <v>1499</v>
      </c>
      <c r="K493" s="11" t="s">
        <v>25</v>
      </c>
      <c r="L493" s="13" t="s">
        <v>26</v>
      </c>
    </row>
    <row r="494" spans="1:12" ht="15" customHeight="1" x14ac:dyDescent="0.35">
      <c r="A494" s="31" t="s">
        <v>1500</v>
      </c>
      <c r="B494" s="32" t="s">
        <v>13</v>
      </c>
      <c r="C494" s="33" t="s">
        <v>1501</v>
      </c>
      <c r="D494" s="33" t="s">
        <v>15</v>
      </c>
      <c r="E494" s="33" t="s">
        <v>36</v>
      </c>
      <c r="F494" s="34" t="s">
        <v>23</v>
      </c>
      <c r="G494" s="32">
        <v>3</v>
      </c>
      <c r="H494" s="32" t="s">
        <v>18</v>
      </c>
      <c r="I494" s="34" t="s">
        <v>23</v>
      </c>
      <c r="J494" s="33" t="s">
        <v>1502</v>
      </c>
      <c r="K494" s="33" t="s">
        <v>25</v>
      </c>
      <c r="L494" s="35" t="s">
        <v>21</v>
      </c>
    </row>
    <row r="495" spans="1:12" x14ac:dyDescent="0.35">
      <c r="A495" s="36" t="s">
        <v>1503</v>
      </c>
      <c r="B495" s="36" t="s">
        <v>13</v>
      </c>
      <c r="C495" s="36" t="s">
        <v>1504</v>
      </c>
      <c r="D495" s="36" t="s">
        <v>34</v>
      </c>
      <c r="E495" s="36" t="s">
        <v>62</v>
      </c>
      <c r="F495" s="37" t="s">
        <v>118</v>
      </c>
      <c r="G495" s="36">
        <v>2</v>
      </c>
      <c r="H495" s="36" t="s">
        <v>42</v>
      </c>
      <c r="I495" s="37"/>
      <c r="J495" s="36" t="s">
        <v>1505</v>
      </c>
      <c r="K495" s="36" t="s">
        <v>130</v>
      </c>
      <c r="L495" s="36" t="s">
        <v>21</v>
      </c>
    </row>
    <row r="496" spans="1:12" x14ac:dyDescent="0.35">
      <c r="A496" s="38" t="s">
        <v>1506</v>
      </c>
      <c r="B496" s="39" t="s">
        <v>13</v>
      </c>
      <c r="C496" s="40" t="s">
        <v>1507</v>
      </c>
      <c r="D496" s="40" t="s">
        <v>34</v>
      </c>
      <c r="E496" s="40" t="s">
        <v>1086</v>
      </c>
      <c r="F496" s="41" t="s">
        <v>104</v>
      </c>
      <c r="G496" s="39">
        <v>21</v>
      </c>
      <c r="H496" s="39" t="s">
        <v>18</v>
      </c>
      <c r="I496" s="41" t="s">
        <v>104</v>
      </c>
      <c r="J496" s="40" t="s">
        <v>1508</v>
      </c>
      <c r="K496" s="40" t="s">
        <v>241</v>
      </c>
      <c r="L496" s="42" t="s">
        <v>21</v>
      </c>
    </row>
    <row r="497" spans="1:12" x14ac:dyDescent="0.35">
      <c r="A497" s="9" t="s">
        <v>1509</v>
      </c>
      <c r="B497" s="10" t="s">
        <v>13</v>
      </c>
      <c r="C497" s="11" t="s">
        <v>1510</v>
      </c>
      <c r="D497" s="11" t="s">
        <v>78</v>
      </c>
      <c r="E497" s="11" t="s">
        <v>1511</v>
      </c>
      <c r="F497" s="12" t="s">
        <v>66</v>
      </c>
      <c r="G497" s="10">
        <v>36</v>
      </c>
      <c r="H497" s="10" t="s">
        <v>18</v>
      </c>
      <c r="I497" s="12" t="s">
        <v>51</v>
      </c>
      <c r="J497" s="11" t="s">
        <v>1512</v>
      </c>
      <c r="K497" s="11" t="s">
        <v>25</v>
      </c>
      <c r="L497" s="13" t="s">
        <v>21</v>
      </c>
    </row>
    <row r="498" spans="1:12" x14ac:dyDescent="0.35">
      <c r="A498" s="14" t="s">
        <v>1513</v>
      </c>
      <c r="B498" s="15" t="s">
        <v>13</v>
      </c>
      <c r="C498" s="16" t="s">
        <v>1514</v>
      </c>
      <c r="D498" s="16" t="s">
        <v>34</v>
      </c>
      <c r="E498" s="16" t="s">
        <v>497</v>
      </c>
      <c r="F498" s="17" t="s">
        <v>133</v>
      </c>
      <c r="G498" s="15">
        <v>8</v>
      </c>
      <c r="H498" s="15" t="s">
        <v>18</v>
      </c>
      <c r="I498" s="17" t="s">
        <v>133</v>
      </c>
      <c r="J498" s="16" t="s">
        <v>1515</v>
      </c>
      <c r="K498" s="16" t="s">
        <v>241</v>
      </c>
      <c r="L498" s="18" t="s">
        <v>21</v>
      </c>
    </row>
    <row r="499" spans="1:12" x14ac:dyDescent="0.35">
      <c r="A499" s="9" t="s">
        <v>1516</v>
      </c>
      <c r="B499" s="10" t="s">
        <v>13</v>
      </c>
      <c r="C499" s="11" t="s">
        <v>1517</v>
      </c>
      <c r="D499" s="11" t="s">
        <v>34</v>
      </c>
      <c r="E499" s="11" t="s">
        <v>62</v>
      </c>
      <c r="F499" s="12" t="s">
        <v>30</v>
      </c>
      <c r="G499" s="10">
        <v>7</v>
      </c>
      <c r="H499" s="10" t="s">
        <v>18</v>
      </c>
      <c r="I499" s="12" t="s">
        <v>30</v>
      </c>
      <c r="J499" s="11" t="s">
        <v>1518</v>
      </c>
      <c r="K499" s="11" t="s">
        <v>44</v>
      </c>
      <c r="L499" s="13" t="s">
        <v>21</v>
      </c>
    </row>
    <row r="500" spans="1:12" ht="15" customHeight="1" x14ac:dyDescent="0.35">
      <c r="A500" s="31" t="s">
        <v>1519</v>
      </c>
      <c r="B500" s="32" t="s">
        <v>13</v>
      </c>
      <c r="C500" s="33" t="s">
        <v>1520</v>
      </c>
      <c r="D500" s="33" t="s">
        <v>34</v>
      </c>
      <c r="E500" s="33" t="s">
        <v>36</v>
      </c>
      <c r="F500" s="34" t="s">
        <v>30</v>
      </c>
      <c r="G500" s="32">
        <v>6</v>
      </c>
      <c r="H500" s="32" t="s">
        <v>18</v>
      </c>
      <c r="I500" s="34" t="s">
        <v>17</v>
      </c>
      <c r="J500" s="33" t="s">
        <v>1521</v>
      </c>
      <c r="K500" s="33" t="s">
        <v>115</v>
      </c>
      <c r="L500" s="35" t="s">
        <v>26</v>
      </c>
    </row>
    <row r="501" spans="1:12" x14ac:dyDescent="0.35">
      <c r="A501" s="36" t="s">
        <v>1522</v>
      </c>
      <c r="B501" s="36" t="s">
        <v>13</v>
      </c>
      <c r="C501" s="36" t="s">
        <v>1523</v>
      </c>
      <c r="D501" s="36" t="s">
        <v>15</v>
      </c>
      <c r="E501" s="36" t="s">
        <v>453</v>
      </c>
      <c r="F501" s="37" t="s">
        <v>36</v>
      </c>
      <c r="G501" s="36">
        <v>18</v>
      </c>
      <c r="H501" s="36" t="s">
        <v>109</v>
      </c>
      <c r="I501" s="37"/>
      <c r="J501" s="36" t="s">
        <v>1524</v>
      </c>
      <c r="K501" s="36" t="s">
        <v>25</v>
      </c>
      <c r="L501" s="36" t="s">
        <v>21</v>
      </c>
    </row>
    <row r="502" spans="1:12" ht="15" customHeight="1" x14ac:dyDescent="0.35">
      <c r="A502" s="48" t="s">
        <v>1525</v>
      </c>
      <c r="B502" s="49" t="s">
        <v>13</v>
      </c>
      <c r="C502" s="50" t="s">
        <v>1526</v>
      </c>
      <c r="D502" s="50" t="s">
        <v>34</v>
      </c>
      <c r="E502" s="50" t="s">
        <v>113</v>
      </c>
      <c r="F502" s="51" t="s">
        <v>17</v>
      </c>
      <c r="G502" s="49">
        <v>4</v>
      </c>
      <c r="H502" s="49" t="s">
        <v>18</v>
      </c>
      <c r="I502" s="51" t="s">
        <v>70</v>
      </c>
      <c r="J502" s="50" t="s">
        <v>1527</v>
      </c>
      <c r="K502" s="50" t="s">
        <v>25</v>
      </c>
      <c r="L502" s="52" t="s">
        <v>21</v>
      </c>
    </row>
    <row r="503" spans="1:12" x14ac:dyDescent="0.35">
      <c r="A503" s="36" t="s">
        <v>1528</v>
      </c>
      <c r="B503" s="36" t="s">
        <v>13</v>
      </c>
      <c r="C503" s="36" t="s">
        <v>1529</v>
      </c>
      <c r="D503" s="36" t="s">
        <v>34</v>
      </c>
      <c r="E503" s="36" t="s">
        <v>104</v>
      </c>
      <c r="F503" s="37" t="s">
        <v>36</v>
      </c>
      <c r="G503" s="36">
        <v>4</v>
      </c>
      <c r="H503" s="36" t="s">
        <v>42</v>
      </c>
      <c r="I503" s="37"/>
      <c r="J503" s="36" t="s">
        <v>1530</v>
      </c>
      <c r="K503" s="36" t="s">
        <v>44</v>
      </c>
      <c r="L503" s="36" t="s">
        <v>21</v>
      </c>
    </row>
    <row r="504" spans="1:12" ht="15" customHeight="1" x14ac:dyDescent="0.35">
      <c r="A504" s="48" t="s">
        <v>1531</v>
      </c>
      <c r="B504" s="49" t="s">
        <v>13</v>
      </c>
      <c r="C504" s="50" t="s">
        <v>1532</v>
      </c>
      <c r="D504" s="50" t="s">
        <v>34</v>
      </c>
      <c r="E504" s="50" t="s">
        <v>47</v>
      </c>
      <c r="F504" s="51" t="s">
        <v>104</v>
      </c>
      <c r="G504" s="49">
        <v>2</v>
      </c>
      <c r="H504" s="49" t="s">
        <v>18</v>
      </c>
      <c r="I504" s="51" t="s">
        <v>104</v>
      </c>
      <c r="J504" s="50" t="s">
        <v>1533</v>
      </c>
      <c r="K504" s="50" t="s">
        <v>130</v>
      </c>
      <c r="L504" s="52" t="s">
        <v>26</v>
      </c>
    </row>
    <row r="505" spans="1:12" x14ac:dyDescent="0.35">
      <c r="A505" s="36" t="s">
        <v>1534</v>
      </c>
      <c r="B505" s="36" t="s">
        <v>13</v>
      </c>
      <c r="C505" s="36" t="s">
        <v>1535</v>
      </c>
      <c r="D505" s="36" t="s">
        <v>34</v>
      </c>
      <c r="E505" s="36" t="s">
        <v>62</v>
      </c>
      <c r="F505" s="37" t="s">
        <v>36</v>
      </c>
      <c r="G505" s="36">
        <v>3</v>
      </c>
      <c r="H505" s="36" t="s">
        <v>42</v>
      </c>
      <c r="I505" s="37"/>
      <c r="J505" s="36" t="s">
        <v>1536</v>
      </c>
      <c r="K505" s="36" t="s">
        <v>115</v>
      </c>
      <c r="L505" s="36" t="s">
        <v>21</v>
      </c>
    </row>
    <row r="506" spans="1:12" x14ac:dyDescent="0.35">
      <c r="A506" s="38" t="s">
        <v>1537</v>
      </c>
      <c r="B506" s="39" t="s">
        <v>13</v>
      </c>
      <c r="C506" s="40" t="s">
        <v>1538</v>
      </c>
      <c r="D506" s="40" t="s">
        <v>34</v>
      </c>
      <c r="E506" s="40" t="s">
        <v>35</v>
      </c>
      <c r="F506" s="41" t="s">
        <v>23</v>
      </c>
      <c r="G506" s="39">
        <v>15</v>
      </c>
      <c r="H506" s="39" t="s">
        <v>18</v>
      </c>
      <c r="I506" s="41" t="s">
        <v>52</v>
      </c>
      <c r="J506" s="40" t="s">
        <v>1539</v>
      </c>
      <c r="K506" s="40" t="s">
        <v>25</v>
      </c>
      <c r="L506" s="42" t="s">
        <v>21</v>
      </c>
    </row>
    <row r="507" spans="1:12" x14ac:dyDescent="0.35">
      <c r="A507" s="9" t="s">
        <v>1540</v>
      </c>
      <c r="B507" s="10" t="s">
        <v>13</v>
      </c>
      <c r="C507" s="11" t="s">
        <v>1541</v>
      </c>
      <c r="D507" s="11" t="s">
        <v>34</v>
      </c>
      <c r="E507" s="11" t="s">
        <v>178</v>
      </c>
      <c r="F507" s="12" t="s">
        <v>47</v>
      </c>
      <c r="G507" s="10">
        <v>4</v>
      </c>
      <c r="H507" s="10" t="s">
        <v>18</v>
      </c>
      <c r="I507" s="12" t="s">
        <v>47</v>
      </c>
      <c r="J507" s="11" t="s">
        <v>1542</v>
      </c>
      <c r="K507" s="11" t="s">
        <v>130</v>
      </c>
      <c r="L507" s="13" t="s">
        <v>26</v>
      </c>
    </row>
    <row r="508" spans="1:12" x14ac:dyDescent="0.35">
      <c r="A508" s="14" t="s">
        <v>1543</v>
      </c>
      <c r="B508" s="15" t="s">
        <v>13</v>
      </c>
      <c r="C508" s="16" t="s">
        <v>1544</v>
      </c>
      <c r="D508" s="16" t="s">
        <v>34</v>
      </c>
      <c r="E508" s="16" t="s">
        <v>36</v>
      </c>
      <c r="F508" s="17" t="s">
        <v>70</v>
      </c>
      <c r="G508" s="15">
        <v>7</v>
      </c>
      <c r="H508" s="15" t="s">
        <v>18</v>
      </c>
      <c r="I508" s="17" t="s">
        <v>70</v>
      </c>
      <c r="J508" s="16" t="s">
        <v>1545</v>
      </c>
      <c r="K508" s="16" t="s">
        <v>115</v>
      </c>
      <c r="L508" s="18" t="s">
        <v>21</v>
      </c>
    </row>
    <row r="509" spans="1:12" x14ac:dyDescent="0.35">
      <c r="A509" s="9" t="s">
        <v>1546</v>
      </c>
      <c r="B509" s="10" t="s">
        <v>13</v>
      </c>
      <c r="C509" s="11" t="s">
        <v>1547</v>
      </c>
      <c r="D509" s="11" t="s">
        <v>34</v>
      </c>
      <c r="E509" s="11" t="s">
        <v>51</v>
      </c>
      <c r="F509" s="12" t="s">
        <v>133</v>
      </c>
      <c r="G509" s="10">
        <v>2</v>
      </c>
      <c r="H509" s="10" t="s">
        <v>18</v>
      </c>
      <c r="I509" s="12" t="s">
        <v>104</v>
      </c>
      <c r="J509" s="11" t="s">
        <v>1110</v>
      </c>
      <c r="K509" s="11" t="s">
        <v>44</v>
      </c>
      <c r="L509" s="13" t="s">
        <v>26</v>
      </c>
    </row>
    <row r="510" spans="1:12" ht="15" customHeight="1" x14ac:dyDescent="0.35">
      <c r="A510" s="31" t="s">
        <v>1548</v>
      </c>
      <c r="B510" s="32" t="s">
        <v>13</v>
      </c>
      <c r="C510" s="33" t="s">
        <v>1549</v>
      </c>
      <c r="D510" s="33" t="s">
        <v>34</v>
      </c>
      <c r="E510" s="33" t="s">
        <v>793</v>
      </c>
      <c r="F510" s="34" t="s">
        <v>133</v>
      </c>
      <c r="G510" s="32">
        <v>24</v>
      </c>
      <c r="H510" s="32" t="s">
        <v>18</v>
      </c>
      <c r="I510" s="34" t="s">
        <v>133</v>
      </c>
      <c r="J510" s="33" t="s">
        <v>1550</v>
      </c>
      <c r="K510" s="33" t="s">
        <v>20</v>
      </c>
      <c r="L510" s="35" t="s">
        <v>21</v>
      </c>
    </row>
    <row r="511" spans="1:12" x14ac:dyDescent="0.35">
      <c r="A511" s="36" t="s">
        <v>1551</v>
      </c>
      <c r="B511" s="36" t="s">
        <v>13</v>
      </c>
      <c r="C511" s="36" t="s">
        <v>1552</v>
      </c>
      <c r="D511" s="36" t="s">
        <v>34</v>
      </c>
      <c r="E511" s="36" t="s">
        <v>118</v>
      </c>
      <c r="F511" s="37" t="s">
        <v>70</v>
      </c>
      <c r="G511" s="36">
        <v>7</v>
      </c>
      <c r="H511" s="36" t="s">
        <v>42</v>
      </c>
      <c r="I511" s="37"/>
      <c r="J511" s="36" t="s">
        <v>1553</v>
      </c>
      <c r="K511" s="36" t="s">
        <v>115</v>
      </c>
      <c r="L511" s="36" t="s">
        <v>21</v>
      </c>
    </row>
    <row r="512" spans="1:12" x14ac:dyDescent="0.35">
      <c r="A512" s="38" t="s">
        <v>1554</v>
      </c>
      <c r="B512" s="39" t="s">
        <v>13</v>
      </c>
      <c r="C512" s="40" t="s">
        <v>1555</v>
      </c>
      <c r="D512" s="40" t="s">
        <v>34</v>
      </c>
      <c r="E512" s="40" t="s">
        <v>82</v>
      </c>
      <c r="F512" s="41" t="s">
        <v>97</v>
      </c>
      <c r="G512" s="39">
        <v>8</v>
      </c>
      <c r="H512" s="39" t="s">
        <v>18</v>
      </c>
      <c r="I512" s="41" t="s">
        <v>97</v>
      </c>
      <c r="J512" s="40" t="s">
        <v>1556</v>
      </c>
      <c r="K512" s="40" t="s">
        <v>130</v>
      </c>
      <c r="L512" s="42" t="s">
        <v>21</v>
      </c>
    </row>
    <row r="513" spans="1:12" x14ac:dyDescent="0.35">
      <c r="A513" s="9" t="s">
        <v>1557</v>
      </c>
      <c r="B513" s="10" t="s">
        <v>13</v>
      </c>
      <c r="C513" s="11" t="s">
        <v>1558</v>
      </c>
      <c r="D513" s="11" t="s">
        <v>34</v>
      </c>
      <c r="E513" s="11" t="s">
        <v>66</v>
      </c>
      <c r="F513" s="12" t="s">
        <v>47</v>
      </c>
      <c r="G513" s="10">
        <v>2</v>
      </c>
      <c r="H513" s="10" t="s">
        <v>18</v>
      </c>
      <c r="I513" s="12" t="s">
        <v>47</v>
      </c>
      <c r="J513" s="11" t="s">
        <v>1559</v>
      </c>
      <c r="K513" s="11" t="s">
        <v>130</v>
      </c>
      <c r="L513" s="13" t="s">
        <v>26</v>
      </c>
    </row>
    <row r="514" spans="1:12" x14ac:dyDescent="0.35">
      <c r="A514" s="14" t="s">
        <v>1560</v>
      </c>
      <c r="B514" s="15" t="s">
        <v>13</v>
      </c>
      <c r="C514" s="16" t="s">
        <v>1561</v>
      </c>
      <c r="D514" s="16" t="s">
        <v>34</v>
      </c>
      <c r="E514" s="16" t="s">
        <v>47</v>
      </c>
      <c r="F514" s="17" t="s">
        <v>29</v>
      </c>
      <c r="G514" s="15">
        <v>3</v>
      </c>
      <c r="H514" s="15" t="s">
        <v>18</v>
      </c>
      <c r="I514" s="17" t="s">
        <v>29</v>
      </c>
      <c r="J514" s="16" t="s">
        <v>1562</v>
      </c>
      <c r="K514" s="16" t="s">
        <v>44</v>
      </c>
      <c r="L514" s="18" t="s">
        <v>26</v>
      </c>
    </row>
    <row r="515" spans="1:12" x14ac:dyDescent="0.35">
      <c r="A515" s="9" t="s">
        <v>1563</v>
      </c>
      <c r="B515" s="10" t="s">
        <v>13</v>
      </c>
      <c r="C515" s="11" t="s">
        <v>1564</v>
      </c>
      <c r="D515" s="11" t="s">
        <v>363</v>
      </c>
      <c r="E515" s="11" t="s">
        <v>1086</v>
      </c>
      <c r="F515" s="12" t="s">
        <v>104</v>
      </c>
      <c r="G515" s="10">
        <v>21</v>
      </c>
      <c r="H515" s="10" t="s">
        <v>18</v>
      </c>
      <c r="I515" s="12" t="s">
        <v>29</v>
      </c>
      <c r="J515" s="11" t="s">
        <v>1565</v>
      </c>
      <c r="K515" s="11" t="s">
        <v>25</v>
      </c>
      <c r="L515" s="13" t="s">
        <v>21</v>
      </c>
    </row>
    <row r="516" spans="1:12" ht="15" customHeight="1" x14ac:dyDescent="0.35">
      <c r="A516" s="31" t="s">
        <v>1566</v>
      </c>
      <c r="B516" s="32" t="s">
        <v>13</v>
      </c>
      <c r="C516" s="33" t="s">
        <v>1567</v>
      </c>
      <c r="D516" s="33" t="s">
        <v>34</v>
      </c>
      <c r="E516" s="33" t="s">
        <v>51</v>
      </c>
      <c r="F516" s="34" t="s">
        <v>104</v>
      </c>
      <c r="G516" s="32">
        <v>3</v>
      </c>
      <c r="H516" s="32" t="s">
        <v>18</v>
      </c>
      <c r="I516" s="34" t="s">
        <v>29</v>
      </c>
      <c r="J516" s="33" t="s">
        <v>288</v>
      </c>
      <c r="K516" s="33" t="s">
        <v>130</v>
      </c>
      <c r="L516" s="35" t="s">
        <v>26</v>
      </c>
    </row>
    <row r="517" spans="1:12" x14ac:dyDescent="0.35">
      <c r="A517" s="36" t="s">
        <v>1568</v>
      </c>
      <c r="B517" s="36" t="s">
        <v>13</v>
      </c>
      <c r="C517" s="36" t="s">
        <v>1569</v>
      </c>
      <c r="D517" s="36" t="s">
        <v>34</v>
      </c>
      <c r="E517" s="36" t="s">
        <v>47</v>
      </c>
      <c r="F517" s="37" t="s">
        <v>52</v>
      </c>
      <c r="G517" s="36">
        <v>11</v>
      </c>
      <c r="H517" s="36" t="s">
        <v>42</v>
      </c>
      <c r="I517" s="37"/>
      <c r="J517" s="36" t="s">
        <v>1570</v>
      </c>
      <c r="K517" s="36" t="s">
        <v>44</v>
      </c>
      <c r="L517" s="36" t="s">
        <v>21</v>
      </c>
    </row>
    <row r="518" spans="1:12" x14ac:dyDescent="0.35">
      <c r="A518" s="38" t="s">
        <v>1571</v>
      </c>
      <c r="B518" s="39" t="s">
        <v>13</v>
      </c>
      <c r="C518" s="40" t="s">
        <v>1572</v>
      </c>
      <c r="D518" s="40" t="s">
        <v>34</v>
      </c>
      <c r="E518" s="40" t="s">
        <v>29</v>
      </c>
      <c r="F518" s="41" t="s">
        <v>97</v>
      </c>
      <c r="G518" s="39">
        <v>2</v>
      </c>
      <c r="H518" s="39" t="s">
        <v>18</v>
      </c>
      <c r="I518" s="41" t="s">
        <v>118</v>
      </c>
      <c r="J518" s="40" t="s">
        <v>1573</v>
      </c>
      <c r="K518" s="40" t="s">
        <v>115</v>
      </c>
      <c r="L518" s="42" t="s">
        <v>26</v>
      </c>
    </row>
    <row r="519" spans="1:12" x14ac:dyDescent="0.35">
      <c r="A519" s="9" t="s">
        <v>1574</v>
      </c>
      <c r="B519" s="10" t="s">
        <v>13</v>
      </c>
      <c r="C519" s="11" t="s">
        <v>1575</v>
      </c>
      <c r="D519" s="11" t="s">
        <v>15</v>
      </c>
      <c r="E519" s="11" t="s">
        <v>36</v>
      </c>
      <c r="F519" s="12" t="s">
        <v>17</v>
      </c>
      <c r="G519" s="10">
        <v>6</v>
      </c>
      <c r="H519" s="10" t="s">
        <v>18</v>
      </c>
      <c r="I519" s="12" t="s">
        <v>17</v>
      </c>
      <c r="J519" s="11" t="s">
        <v>1576</v>
      </c>
      <c r="K519" s="11" t="s">
        <v>25</v>
      </c>
      <c r="L519" s="13" t="s">
        <v>21</v>
      </c>
    </row>
    <row r="520" spans="1:12" x14ac:dyDescent="0.35">
      <c r="A520" s="14" t="s">
        <v>1577</v>
      </c>
      <c r="B520" s="15" t="s">
        <v>13</v>
      </c>
      <c r="C520" s="16" t="s">
        <v>1578</v>
      </c>
      <c r="D520" s="16" t="s">
        <v>78</v>
      </c>
      <c r="E520" s="16" t="s">
        <v>275</v>
      </c>
      <c r="F520" s="17" t="s">
        <v>113</v>
      </c>
      <c r="G520" s="15">
        <v>22</v>
      </c>
      <c r="H520" s="15" t="s">
        <v>18</v>
      </c>
      <c r="I520" s="17" t="s">
        <v>23</v>
      </c>
      <c r="J520" s="16" t="s">
        <v>1579</v>
      </c>
      <c r="K520" s="16" t="s">
        <v>25</v>
      </c>
      <c r="L520" s="18" t="s">
        <v>21</v>
      </c>
    </row>
    <row r="521" spans="1:12" x14ac:dyDescent="0.35">
      <c r="A521" s="9" t="s">
        <v>1580</v>
      </c>
      <c r="B521" s="10" t="s">
        <v>13</v>
      </c>
      <c r="C521" s="11" t="s">
        <v>1581</v>
      </c>
      <c r="D521" s="11" t="s">
        <v>34</v>
      </c>
      <c r="E521" s="11" t="s">
        <v>37</v>
      </c>
      <c r="F521" s="12" t="s">
        <v>52</v>
      </c>
      <c r="G521" s="10">
        <v>3</v>
      </c>
      <c r="H521" s="10" t="s">
        <v>18</v>
      </c>
      <c r="I521" s="12" t="s">
        <v>52</v>
      </c>
      <c r="J521" s="11" t="s">
        <v>1582</v>
      </c>
      <c r="K521" s="11" t="s">
        <v>44</v>
      </c>
      <c r="L521" s="13" t="s">
        <v>21</v>
      </c>
    </row>
    <row r="522" spans="1:12" ht="15" customHeight="1" x14ac:dyDescent="0.35">
      <c r="A522" s="14" t="s">
        <v>1583</v>
      </c>
      <c r="B522" s="15" t="s">
        <v>13</v>
      </c>
      <c r="C522" s="16" t="s">
        <v>1584</v>
      </c>
      <c r="D522" s="16" t="s">
        <v>15</v>
      </c>
      <c r="E522" s="16" t="s">
        <v>780</v>
      </c>
      <c r="F522" s="17" t="s">
        <v>47</v>
      </c>
      <c r="G522" s="15">
        <v>15</v>
      </c>
      <c r="H522" s="15" t="s">
        <v>18</v>
      </c>
      <c r="I522" s="17" t="s">
        <v>47</v>
      </c>
      <c r="J522" s="16" t="s">
        <v>1585</v>
      </c>
      <c r="K522" s="16" t="s">
        <v>25</v>
      </c>
      <c r="L522" s="18" t="s">
        <v>21</v>
      </c>
    </row>
    <row r="523" spans="1:12" ht="15" customHeight="1" x14ac:dyDescent="0.35">
      <c r="A523" s="9" t="s">
        <v>1586</v>
      </c>
      <c r="B523" s="10" t="s">
        <v>13</v>
      </c>
      <c r="C523" s="11" t="s">
        <v>1587</v>
      </c>
      <c r="D523" s="11" t="s">
        <v>34</v>
      </c>
      <c r="E523" s="11" t="s">
        <v>66</v>
      </c>
      <c r="F523" s="12" t="s">
        <v>29</v>
      </c>
      <c r="G523" s="10">
        <v>4</v>
      </c>
      <c r="H523" s="10" t="s">
        <v>18</v>
      </c>
      <c r="I523" s="12" t="s">
        <v>29</v>
      </c>
      <c r="J523" s="11" t="s">
        <v>1588</v>
      </c>
      <c r="K523" s="11" t="s">
        <v>44</v>
      </c>
      <c r="L523" s="13" t="s">
        <v>26</v>
      </c>
    </row>
    <row r="524" spans="1:12" ht="15" customHeight="1" x14ac:dyDescent="0.35">
      <c r="A524" s="14" t="s">
        <v>1589</v>
      </c>
      <c r="B524" s="15" t="s">
        <v>13</v>
      </c>
      <c r="C524" s="16" t="s">
        <v>1590</v>
      </c>
      <c r="D524" s="16" t="s">
        <v>15</v>
      </c>
      <c r="E524" s="16" t="s">
        <v>118</v>
      </c>
      <c r="F524" s="17" t="s">
        <v>30</v>
      </c>
      <c r="G524" s="15">
        <v>5</v>
      </c>
      <c r="H524" s="15" t="s">
        <v>18</v>
      </c>
      <c r="I524" s="17" t="s">
        <v>30</v>
      </c>
      <c r="J524" s="16" t="s">
        <v>1591</v>
      </c>
      <c r="K524" s="16" t="s">
        <v>25</v>
      </c>
      <c r="L524" s="18" t="s">
        <v>26</v>
      </c>
    </row>
    <row r="525" spans="1:12" ht="15" customHeight="1" x14ac:dyDescent="0.35">
      <c r="A525" s="19" t="s">
        <v>1592</v>
      </c>
      <c r="B525" s="20" t="s">
        <v>13</v>
      </c>
      <c r="C525" s="21" t="s">
        <v>1593</v>
      </c>
      <c r="D525" s="21" t="s">
        <v>34</v>
      </c>
      <c r="E525" s="21" t="s">
        <v>178</v>
      </c>
      <c r="F525" s="22" t="s">
        <v>29</v>
      </c>
      <c r="G525" s="20">
        <v>6</v>
      </c>
      <c r="H525" s="20" t="s">
        <v>18</v>
      </c>
      <c r="I525" s="22" t="s">
        <v>29</v>
      </c>
      <c r="J525" s="21" t="s">
        <v>1594</v>
      </c>
      <c r="K525" s="21" t="s">
        <v>130</v>
      </c>
      <c r="L525" s="23" t="s">
        <v>21</v>
      </c>
    </row>
    <row r="526" spans="1:12" ht="15" customHeight="1" x14ac:dyDescent="0.35">
      <c r="A526" s="24" t="s">
        <v>1595</v>
      </c>
      <c r="B526" s="24" t="s">
        <v>13</v>
      </c>
      <c r="C526" s="24" t="s">
        <v>1596</v>
      </c>
      <c r="D526" s="24" t="s">
        <v>90</v>
      </c>
      <c r="E526" s="24" t="s">
        <v>29</v>
      </c>
      <c r="F526" s="25" t="s">
        <v>118</v>
      </c>
      <c r="G526" s="24">
        <v>3</v>
      </c>
      <c r="H526" s="24" t="s">
        <v>42</v>
      </c>
      <c r="I526" s="25"/>
      <c r="J526" s="24" t="s">
        <v>1597</v>
      </c>
      <c r="K526" s="24" t="s">
        <v>25</v>
      </c>
      <c r="L526" s="24" t="s">
        <v>21</v>
      </c>
    </row>
    <row r="527" spans="1:12" ht="15" customHeight="1" x14ac:dyDescent="0.35">
      <c r="A527" s="26" t="s">
        <v>1598</v>
      </c>
      <c r="B527" s="27" t="s">
        <v>13</v>
      </c>
      <c r="C527" s="28" t="s">
        <v>1599</v>
      </c>
      <c r="D527" s="28" t="s">
        <v>34</v>
      </c>
      <c r="E527" s="28" t="s">
        <v>113</v>
      </c>
      <c r="F527" s="29" t="s">
        <v>17</v>
      </c>
      <c r="G527" s="27">
        <v>4</v>
      </c>
      <c r="H527" s="27" t="s">
        <v>18</v>
      </c>
      <c r="I527" s="29" t="s">
        <v>17</v>
      </c>
      <c r="J527" s="28" t="s">
        <v>1600</v>
      </c>
      <c r="K527" s="28" t="s">
        <v>25</v>
      </c>
      <c r="L527" s="30" t="s">
        <v>26</v>
      </c>
    </row>
    <row r="528" spans="1:12" ht="15" customHeight="1" x14ac:dyDescent="0.35">
      <c r="A528" s="14" t="s">
        <v>1601</v>
      </c>
      <c r="B528" s="15" t="s">
        <v>13</v>
      </c>
      <c r="C528" s="16" t="s">
        <v>1602</v>
      </c>
      <c r="D528" s="16" t="s">
        <v>78</v>
      </c>
      <c r="E528" s="16" t="s">
        <v>1603</v>
      </c>
      <c r="F528" s="17" t="s">
        <v>37</v>
      </c>
      <c r="G528" s="15">
        <v>36</v>
      </c>
      <c r="H528" s="15" t="s">
        <v>18</v>
      </c>
      <c r="I528" s="17" t="s">
        <v>23</v>
      </c>
      <c r="J528" s="16" t="s">
        <v>1604</v>
      </c>
      <c r="K528" s="16" t="s">
        <v>727</v>
      </c>
      <c r="L528" s="18" t="s">
        <v>21</v>
      </c>
    </row>
    <row r="529" spans="1:12" ht="15" customHeight="1" x14ac:dyDescent="0.35">
      <c r="A529" s="9" t="s">
        <v>1605</v>
      </c>
      <c r="B529" s="10" t="s">
        <v>13</v>
      </c>
      <c r="C529" s="11" t="s">
        <v>1606</v>
      </c>
      <c r="D529" s="11" t="s">
        <v>90</v>
      </c>
      <c r="E529" s="11" t="s">
        <v>36</v>
      </c>
      <c r="F529" s="12" t="s">
        <v>113</v>
      </c>
      <c r="G529" s="10">
        <v>2</v>
      </c>
      <c r="H529" s="10" t="s">
        <v>18</v>
      </c>
      <c r="I529" s="12" t="s">
        <v>52</v>
      </c>
      <c r="J529" s="11" t="s">
        <v>1607</v>
      </c>
      <c r="K529" s="11" t="s">
        <v>39</v>
      </c>
      <c r="L529" s="13" t="s">
        <v>21</v>
      </c>
    </row>
    <row r="530" spans="1:12" ht="15" customHeight="1" x14ac:dyDescent="0.35">
      <c r="A530" s="31" t="s">
        <v>1608</v>
      </c>
      <c r="B530" s="32" t="s">
        <v>13</v>
      </c>
      <c r="C530" s="33" t="s">
        <v>1609</v>
      </c>
      <c r="D530" s="33" t="s">
        <v>34</v>
      </c>
      <c r="E530" s="33" t="s">
        <v>133</v>
      </c>
      <c r="F530" s="34" t="s">
        <v>30</v>
      </c>
      <c r="G530" s="32">
        <v>10</v>
      </c>
      <c r="H530" s="32" t="s">
        <v>18</v>
      </c>
      <c r="I530" s="34" t="s">
        <v>70</v>
      </c>
      <c r="J530" s="33" t="s">
        <v>1610</v>
      </c>
      <c r="K530" s="33" t="s">
        <v>44</v>
      </c>
      <c r="L530" s="35" t="s">
        <v>21</v>
      </c>
    </row>
    <row r="531" spans="1:12" ht="15" customHeight="1" x14ac:dyDescent="0.35">
      <c r="A531" s="36" t="s">
        <v>1611</v>
      </c>
      <c r="B531" s="36" t="s">
        <v>13</v>
      </c>
      <c r="C531" s="36" t="s">
        <v>1612</v>
      </c>
      <c r="D531" s="36" t="s">
        <v>34</v>
      </c>
      <c r="E531" s="36" t="s">
        <v>252</v>
      </c>
      <c r="F531" s="37" t="s">
        <v>118</v>
      </c>
      <c r="G531" s="36">
        <v>14</v>
      </c>
      <c r="H531" s="36" t="s">
        <v>42</v>
      </c>
      <c r="I531" s="37"/>
      <c r="J531" s="36" t="s">
        <v>1613</v>
      </c>
      <c r="K531" s="36" t="s">
        <v>130</v>
      </c>
      <c r="L531" s="36" t="s">
        <v>21</v>
      </c>
    </row>
    <row r="532" spans="1:12" ht="15" customHeight="1" x14ac:dyDescent="0.35">
      <c r="A532" s="38" t="s">
        <v>1614</v>
      </c>
      <c r="B532" s="39" t="s">
        <v>13</v>
      </c>
      <c r="C532" s="40" t="s">
        <v>1615</v>
      </c>
      <c r="D532" s="40" t="s">
        <v>34</v>
      </c>
      <c r="E532" s="40" t="s">
        <v>47</v>
      </c>
      <c r="F532" s="41" t="s">
        <v>30</v>
      </c>
      <c r="G532" s="39">
        <v>12</v>
      </c>
      <c r="H532" s="39" t="s">
        <v>18</v>
      </c>
      <c r="I532" s="41" t="s">
        <v>30</v>
      </c>
      <c r="J532" s="40" t="s">
        <v>1616</v>
      </c>
      <c r="K532" s="40" t="s">
        <v>130</v>
      </c>
      <c r="L532" s="42" t="s">
        <v>21</v>
      </c>
    </row>
    <row r="533" spans="1:12" ht="15" customHeight="1" x14ac:dyDescent="0.35">
      <c r="A533" s="19" t="s">
        <v>1617</v>
      </c>
      <c r="B533" s="20" t="s">
        <v>13</v>
      </c>
      <c r="C533" s="21" t="s">
        <v>1618</v>
      </c>
      <c r="D533" s="21" t="s">
        <v>15</v>
      </c>
      <c r="E533" s="21" t="s">
        <v>118</v>
      </c>
      <c r="F533" s="22" t="s">
        <v>30</v>
      </c>
      <c r="G533" s="20">
        <v>6</v>
      </c>
      <c r="H533" s="20" t="s">
        <v>18</v>
      </c>
      <c r="I533" s="22" t="s">
        <v>30</v>
      </c>
      <c r="J533" s="21" t="s">
        <v>1619</v>
      </c>
      <c r="K533" s="21" t="s">
        <v>25</v>
      </c>
      <c r="L533" s="23" t="s">
        <v>26</v>
      </c>
    </row>
    <row r="534" spans="1:12" ht="15" customHeight="1" x14ac:dyDescent="0.35">
      <c r="A534" s="24" t="s">
        <v>1620</v>
      </c>
      <c r="B534" s="24" t="s">
        <v>13</v>
      </c>
      <c r="C534" s="24" t="s">
        <v>1621</v>
      </c>
      <c r="D534" s="24" t="s">
        <v>34</v>
      </c>
      <c r="E534" s="24" t="s">
        <v>29</v>
      </c>
      <c r="F534" s="25" t="s">
        <v>70</v>
      </c>
      <c r="G534" s="24">
        <v>11</v>
      </c>
      <c r="H534" s="24" t="s">
        <v>42</v>
      </c>
      <c r="I534" s="25"/>
      <c r="J534" s="24" t="s">
        <v>1622</v>
      </c>
      <c r="K534" s="24" t="s">
        <v>44</v>
      </c>
      <c r="L534" s="24" t="s">
        <v>21</v>
      </c>
    </row>
    <row r="535" spans="1:12" ht="15" customHeight="1" x14ac:dyDescent="0.35">
      <c r="A535" s="36" t="s">
        <v>1623</v>
      </c>
      <c r="B535" s="36" t="s">
        <v>13</v>
      </c>
      <c r="C535" s="36" t="s">
        <v>1624</v>
      </c>
      <c r="D535" s="36" t="s">
        <v>78</v>
      </c>
      <c r="E535" s="36" t="s">
        <v>553</v>
      </c>
      <c r="F535" s="37" t="s">
        <v>118</v>
      </c>
      <c r="G535" s="36">
        <v>33</v>
      </c>
      <c r="H535" s="36" t="s">
        <v>109</v>
      </c>
      <c r="I535" s="37"/>
      <c r="J535" s="36" t="s">
        <v>1625</v>
      </c>
      <c r="K535" s="36" t="s">
        <v>727</v>
      </c>
      <c r="L535" s="36" t="s">
        <v>21</v>
      </c>
    </row>
    <row r="536" spans="1:12" ht="15" customHeight="1" x14ac:dyDescent="0.35">
      <c r="A536" s="38" t="s">
        <v>1626</v>
      </c>
      <c r="B536" s="39" t="s">
        <v>13</v>
      </c>
      <c r="C536" s="40" t="s">
        <v>1627</v>
      </c>
      <c r="D536" s="40" t="s">
        <v>34</v>
      </c>
      <c r="E536" s="40" t="s">
        <v>66</v>
      </c>
      <c r="F536" s="41" t="s">
        <v>118</v>
      </c>
      <c r="G536" s="39">
        <v>7</v>
      </c>
      <c r="H536" s="39" t="s">
        <v>18</v>
      </c>
      <c r="I536" s="41" t="s">
        <v>118</v>
      </c>
      <c r="J536" s="40" t="s">
        <v>1628</v>
      </c>
      <c r="K536" s="40" t="s">
        <v>25</v>
      </c>
      <c r="L536" s="42" t="s">
        <v>21</v>
      </c>
    </row>
    <row r="537" spans="1:12" ht="15" customHeight="1" x14ac:dyDescent="0.35">
      <c r="A537" s="19" t="s">
        <v>1629</v>
      </c>
      <c r="B537" s="20" t="s">
        <v>13</v>
      </c>
      <c r="C537" s="21" t="s">
        <v>1630</v>
      </c>
      <c r="D537" s="21" t="s">
        <v>34</v>
      </c>
      <c r="E537" s="21" t="s">
        <v>36</v>
      </c>
      <c r="F537" s="22" t="s">
        <v>30</v>
      </c>
      <c r="G537" s="20">
        <v>5</v>
      </c>
      <c r="H537" s="20" t="s">
        <v>18</v>
      </c>
      <c r="I537" s="22" t="s">
        <v>30</v>
      </c>
      <c r="J537" s="21" t="s">
        <v>1631</v>
      </c>
      <c r="K537" s="21" t="s">
        <v>115</v>
      </c>
      <c r="L537" s="23" t="s">
        <v>21</v>
      </c>
    </row>
    <row r="538" spans="1:12" ht="15" customHeight="1" x14ac:dyDescent="0.35">
      <c r="A538" s="24" t="s">
        <v>1632</v>
      </c>
      <c r="B538" s="24" t="s">
        <v>13</v>
      </c>
      <c r="C538" s="24" t="s">
        <v>1633</v>
      </c>
      <c r="D538" s="24" t="s">
        <v>34</v>
      </c>
      <c r="E538" s="24" t="s">
        <v>23</v>
      </c>
      <c r="F538" s="25" t="s">
        <v>70</v>
      </c>
      <c r="G538" s="24">
        <v>4</v>
      </c>
      <c r="H538" s="24" t="s">
        <v>42</v>
      </c>
      <c r="I538" s="25"/>
      <c r="J538" s="24" t="s">
        <v>1634</v>
      </c>
      <c r="K538" s="24" t="s">
        <v>44</v>
      </c>
      <c r="L538" s="24" t="s">
        <v>21</v>
      </c>
    </row>
    <row r="539" spans="1:12" ht="15" customHeight="1" x14ac:dyDescent="0.35">
      <c r="A539" s="26" t="s">
        <v>1635</v>
      </c>
      <c r="B539" s="27" t="s">
        <v>13</v>
      </c>
      <c r="C539" s="28" t="s">
        <v>1636</v>
      </c>
      <c r="D539" s="28" t="s">
        <v>15</v>
      </c>
      <c r="E539" s="28" t="s">
        <v>248</v>
      </c>
      <c r="F539" s="29" t="s">
        <v>30</v>
      </c>
      <c r="G539" s="27">
        <v>28</v>
      </c>
      <c r="H539" s="27" t="s">
        <v>18</v>
      </c>
      <c r="I539" s="29" t="s">
        <v>30</v>
      </c>
      <c r="J539" s="28" t="s">
        <v>1637</v>
      </c>
      <c r="K539" s="28" t="s">
        <v>25</v>
      </c>
      <c r="L539" s="30" t="s">
        <v>21</v>
      </c>
    </row>
    <row r="540" spans="1:12" ht="15" customHeight="1" x14ac:dyDescent="0.35">
      <c r="A540" s="14" t="s">
        <v>1638</v>
      </c>
      <c r="B540" s="15" t="s">
        <v>13</v>
      </c>
      <c r="C540" s="16" t="s">
        <v>1639</v>
      </c>
      <c r="D540" s="16" t="s">
        <v>34</v>
      </c>
      <c r="E540" s="16" t="s">
        <v>37</v>
      </c>
      <c r="F540" s="17" t="s">
        <v>30</v>
      </c>
      <c r="G540" s="15">
        <v>4</v>
      </c>
      <c r="H540" s="15" t="s">
        <v>18</v>
      </c>
      <c r="I540" s="17" t="s">
        <v>70</v>
      </c>
      <c r="J540" s="16" t="s">
        <v>1640</v>
      </c>
      <c r="K540" s="16" t="s">
        <v>72</v>
      </c>
      <c r="L540" s="18" t="s">
        <v>21</v>
      </c>
    </row>
    <row r="541" spans="1:12" ht="15" customHeight="1" x14ac:dyDescent="0.35">
      <c r="A541" s="9" t="s">
        <v>1641</v>
      </c>
      <c r="B541" s="10" t="s">
        <v>13</v>
      </c>
      <c r="C541" s="11" t="s">
        <v>1642</v>
      </c>
      <c r="D541" s="11" t="s">
        <v>34</v>
      </c>
      <c r="E541" s="11" t="s">
        <v>29</v>
      </c>
      <c r="F541" s="12" t="s">
        <v>30</v>
      </c>
      <c r="G541" s="10">
        <v>9</v>
      </c>
      <c r="H541" s="10" t="s">
        <v>18</v>
      </c>
      <c r="I541" s="12" t="s">
        <v>30</v>
      </c>
      <c r="J541" s="11" t="s">
        <v>1643</v>
      </c>
      <c r="K541" s="11" t="s">
        <v>25</v>
      </c>
      <c r="L541" s="13" t="s">
        <v>21</v>
      </c>
    </row>
    <row r="542" spans="1:12" ht="15" customHeight="1" x14ac:dyDescent="0.35">
      <c r="A542" s="14" t="s">
        <v>1644</v>
      </c>
      <c r="B542" s="15" t="s">
        <v>13</v>
      </c>
      <c r="C542" s="16" t="s">
        <v>1645</v>
      </c>
      <c r="D542" s="16" t="s">
        <v>34</v>
      </c>
      <c r="E542" s="16" t="s">
        <v>149</v>
      </c>
      <c r="F542" s="17" t="s">
        <v>37</v>
      </c>
      <c r="G542" s="15">
        <v>14</v>
      </c>
      <c r="H542" s="15" t="s">
        <v>18</v>
      </c>
      <c r="I542" s="17" t="s">
        <v>23</v>
      </c>
      <c r="J542" s="16" t="s">
        <v>1646</v>
      </c>
      <c r="K542" s="16" t="s">
        <v>115</v>
      </c>
      <c r="L542" s="18" t="s">
        <v>26</v>
      </c>
    </row>
    <row r="543" spans="1:12" ht="15" customHeight="1" x14ac:dyDescent="0.35">
      <c r="A543" s="9" t="s">
        <v>1647</v>
      </c>
      <c r="B543" s="10" t="s">
        <v>13</v>
      </c>
      <c r="C543" s="11" t="s">
        <v>1648</v>
      </c>
      <c r="D543" s="11" t="s">
        <v>34</v>
      </c>
      <c r="E543" s="11" t="s">
        <v>35</v>
      </c>
      <c r="F543" s="12" t="s">
        <v>52</v>
      </c>
      <c r="G543" s="10">
        <v>16</v>
      </c>
      <c r="H543" s="10" t="s">
        <v>18</v>
      </c>
      <c r="I543" s="12" t="s">
        <v>52</v>
      </c>
      <c r="J543" s="11" t="s">
        <v>1649</v>
      </c>
      <c r="K543" s="11" t="s">
        <v>130</v>
      </c>
      <c r="L543" s="13" t="s">
        <v>21</v>
      </c>
    </row>
    <row r="544" spans="1:12" ht="15" customHeight="1" x14ac:dyDescent="0.35">
      <c r="A544" s="14" t="s">
        <v>1650</v>
      </c>
      <c r="B544" s="15" t="s">
        <v>13</v>
      </c>
      <c r="C544" s="16" t="s">
        <v>1651</v>
      </c>
      <c r="D544" s="16" t="s">
        <v>34</v>
      </c>
      <c r="E544" s="16" t="s">
        <v>97</v>
      </c>
      <c r="F544" s="17" t="s">
        <v>23</v>
      </c>
      <c r="G544" s="15">
        <v>5</v>
      </c>
      <c r="H544" s="15" t="s">
        <v>18</v>
      </c>
      <c r="I544" s="17" t="s">
        <v>23</v>
      </c>
      <c r="J544" s="16" t="s">
        <v>1652</v>
      </c>
      <c r="K544" s="16" t="s">
        <v>44</v>
      </c>
      <c r="L544" s="18" t="s">
        <v>21</v>
      </c>
    </row>
    <row r="545" spans="1:12" ht="15" customHeight="1" x14ac:dyDescent="0.35">
      <c r="A545" s="9" t="s">
        <v>1653</v>
      </c>
      <c r="B545" s="10" t="s">
        <v>13</v>
      </c>
      <c r="C545" s="11" t="s">
        <v>1654</v>
      </c>
      <c r="D545" s="11" t="s">
        <v>34</v>
      </c>
      <c r="E545" s="11" t="s">
        <v>51</v>
      </c>
      <c r="F545" s="12" t="s">
        <v>133</v>
      </c>
      <c r="G545" s="10">
        <v>2</v>
      </c>
      <c r="H545" s="10" t="s">
        <v>18</v>
      </c>
      <c r="I545" s="12" t="s">
        <v>104</v>
      </c>
      <c r="J545" s="11" t="s">
        <v>269</v>
      </c>
      <c r="K545" s="11" t="s">
        <v>44</v>
      </c>
      <c r="L545" s="13" t="s">
        <v>26</v>
      </c>
    </row>
    <row r="546" spans="1:12" ht="15" customHeight="1" x14ac:dyDescent="0.35">
      <c r="A546" s="14" t="s">
        <v>1655</v>
      </c>
      <c r="B546" s="15" t="s">
        <v>13</v>
      </c>
      <c r="C546" s="16" t="s">
        <v>1656</v>
      </c>
      <c r="D546" s="16" t="s">
        <v>90</v>
      </c>
      <c r="E546" s="16" t="s">
        <v>122</v>
      </c>
      <c r="F546" s="17" t="s">
        <v>52</v>
      </c>
      <c r="G546" s="15">
        <v>29</v>
      </c>
      <c r="H546" s="15" t="s">
        <v>18</v>
      </c>
      <c r="I546" s="17" t="s">
        <v>52</v>
      </c>
      <c r="J546" s="16" t="s">
        <v>1657</v>
      </c>
      <c r="K546" s="16" t="s">
        <v>25</v>
      </c>
      <c r="L546" s="18" t="s">
        <v>21</v>
      </c>
    </row>
    <row r="547" spans="1:12" ht="15" customHeight="1" x14ac:dyDescent="0.35">
      <c r="A547" s="19" t="s">
        <v>1658</v>
      </c>
      <c r="B547" s="20" t="s">
        <v>13</v>
      </c>
      <c r="C547" s="21" t="s">
        <v>1659</v>
      </c>
      <c r="D547" s="21" t="s">
        <v>34</v>
      </c>
      <c r="E547" s="21" t="s">
        <v>62</v>
      </c>
      <c r="F547" s="22" t="s">
        <v>52</v>
      </c>
      <c r="G547" s="20">
        <v>7</v>
      </c>
      <c r="H547" s="20" t="s">
        <v>18</v>
      </c>
      <c r="I547" s="22" t="s">
        <v>70</v>
      </c>
      <c r="J547" s="21" t="s">
        <v>1660</v>
      </c>
      <c r="K547" s="21" t="s">
        <v>130</v>
      </c>
      <c r="L547" s="23" t="s">
        <v>21</v>
      </c>
    </row>
    <row r="548" spans="1:12" ht="15" customHeight="1" x14ac:dyDescent="0.35">
      <c r="A548" s="24" t="s">
        <v>1661</v>
      </c>
      <c r="B548" s="24" t="s">
        <v>85</v>
      </c>
      <c r="C548" s="24" t="s">
        <v>1662</v>
      </c>
      <c r="D548" s="24" t="s">
        <v>34</v>
      </c>
      <c r="E548" s="24" t="s">
        <v>97</v>
      </c>
      <c r="F548" s="25" t="s">
        <v>17</v>
      </c>
      <c r="G548" s="24">
        <v>7</v>
      </c>
      <c r="H548" s="24" t="s">
        <v>42</v>
      </c>
      <c r="I548" s="25"/>
      <c r="J548" s="24" t="s">
        <v>1663</v>
      </c>
      <c r="K548" s="24" t="s">
        <v>44</v>
      </c>
      <c r="L548" s="24" t="s">
        <v>21</v>
      </c>
    </row>
    <row r="549" spans="1:12" ht="15" customHeight="1" x14ac:dyDescent="0.35">
      <c r="A549" s="36" t="s">
        <v>1664</v>
      </c>
      <c r="B549" s="36" t="s">
        <v>13</v>
      </c>
      <c r="C549" s="36" t="s">
        <v>1665</v>
      </c>
      <c r="D549" s="36" t="s">
        <v>34</v>
      </c>
      <c r="E549" s="36" t="s">
        <v>453</v>
      </c>
      <c r="F549" s="37" t="s">
        <v>133</v>
      </c>
      <c r="G549" s="36">
        <v>11</v>
      </c>
      <c r="H549" s="36" t="s">
        <v>42</v>
      </c>
      <c r="I549" s="37"/>
      <c r="J549" s="36" t="s">
        <v>1666</v>
      </c>
      <c r="K549" s="36" t="s">
        <v>25</v>
      </c>
      <c r="L549" s="36" t="s">
        <v>21</v>
      </c>
    </row>
    <row r="550" spans="1:12" ht="15" customHeight="1" x14ac:dyDescent="0.35">
      <c r="A550" s="24" t="s">
        <v>1667</v>
      </c>
      <c r="B550" s="24" t="s">
        <v>13</v>
      </c>
      <c r="C550" s="24" t="s">
        <v>1668</v>
      </c>
      <c r="D550" s="24" t="s">
        <v>34</v>
      </c>
      <c r="E550" s="24" t="s">
        <v>104</v>
      </c>
      <c r="F550" s="25" t="s">
        <v>118</v>
      </c>
      <c r="G550" s="24">
        <v>4</v>
      </c>
      <c r="H550" s="24" t="s">
        <v>42</v>
      </c>
      <c r="I550" s="25"/>
      <c r="J550" s="24" t="s">
        <v>1669</v>
      </c>
      <c r="K550" s="24" t="s">
        <v>130</v>
      </c>
      <c r="L550" s="24" t="s">
        <v>21</v>
      </c>
    </row>
    <row r="551" spans="1:12" ht="15" customHeight="1" x14ac:dyDescent="0.35">
      <c r="A551" s="26" t="s">
        <v>1670</v>
      </c>
      <c r="B551" s="27" t="s">
        <v>13</v>
      </c>
      <c r="C551" s="28" t="s">
        <v>1671</v>
      </c>
      <c r="D551" s="28" t="s">
        <v>34</v>
      </c>
      <c r="E551" s="28" t="s">
        <v>51</v>
      </c>
      <c r="F551" s="29" t="s">
        <v>70</v>
      </c>
      <c r="G551" s="27">
        <v>14</v>
      </c>
      <c r="H551" s="27" t="s">
        <v>18</v>
      </c>
      <c r="I551" s="29" t="s">
        <v>70</v>
      </c>
      <c r="J551" s="28" t="s">
        <v>1672</v>
      </c>
      <c r="K551" s="28" t="s">
        <v>44</v>
      </c>
      <c r="L551" s="30" t="s">
        <v>21</v>
      </c>
    </row>
    <row r="552" spans="1:12" ht="15" customHeight="1" x14ac:dyDescent="0.35">
      <c r="A552" s="14" t="s">
        <v>1673</v>
      </c>
      <c r="B552" s="15" t="s">
        <v>13</v>
      </c>
      <c r="C552" s="16" t="s">
        <v>1674</v>
      </c>
      <c r="D552" s="16" t="s">
        <v>15</v>
      </c>
      <c r="E552" s="16" t="s">
        <v>82</v>
      </c>
      <c r="F552" s="17" t="s">
        <v>52</v>
      </c>
      <c r="G552" s="15">
        <v>15</v>
      </c>
      <c r="H552" s="15" t="s">
        <v>18</v>
      </c>
      <c r="I552" s="17" t="s">
        <v>52</v>
      </c>
      <c r="J552" s="16" t="s">
        <v>1675</v>
      </c>
      <c r="K552" s="16" t="s">
        <v>25</v>
      </c>
      <c r="L552" s="18" t="s">
        <v>21</v>
      </c>
    </row>
    <row r="553" spans="1:12" ht="15" customHeight="1" x14ac:dyDescent="0.35">
      <c r="A553" s="9" t="s">
        <v>1676</v>
      </c>
      <c r="B553" s="10" t="s">
        <v>13</v>
      </c>
      <c r="C553" s="11" t="s">
        <v>1677</v>
      </c>
      <c r="D553" s="11" t="s">
        <v>34</v>
      </c>
      <c r="E553" s="11" t="s">
        <v>104</v>
      </c>
      <c r="F553" s="12" t="s">
        <v>17</v>
      </c>
      <c r="G553" s="10">
        <v>10</v>
      </c>
      <c r="H553" s="10" t="s">
        <v>18</v>
      </c>
      <c r="I553" s="12" t="s">
        <v>17</v>
      </c>
      <c r="J553" s="11" t="s">
        <v>1678</v>
      </c>
      <c r="K553" s="11" t="s">
        <v>130</v>
      </c>
      <c r="L553" s="13" t="s">
        <v>21</v>
      </c>
    </row>
    <row r="554" spans="1:12" ht="15" customHeight="1" x14ac:dyDescent="0.35">
      <c r="A554" s="31" t="s">
        <v>1679</v>
      </c>
      <c r="B554" s="32" t="s">
        <v>13</v>
      </c>
      <c r="C554" s="33" t="s">
        <v>1680</v>
      </c>
      <c r="D554" s="33" t="s">
        <v>34</v>
      </c>
      <c r="E554" s="33" t="s">
        <v>36</v>
      </c>
      <c r="F554" s="34" t="s">
        <v>113</v>
      </c>
      <c r="G554" s="32">
        <v>2</v>
      </c>
      <c r="H554" s="32" t="s">
        <v>18</v>
      </c>
      <c r="I554" s="34" t="s">
        <v>23</v>
      </c>
      <c r="J554" s="33" t="s">
        <v>1681</v>
      </c>
      <c r="K554" s="33" t="s">
        <v>44</v>
      </c>
      <c r="L554" s="35" t="s">
        <v>21</v>
      </c>
    </row>
    <row r="555" spans="1:12" ht="15" customHeight="1" x14ac:dyDescent="0.35">
      <c r="A555" s="36" t="s">
        <v>1682</v>
      </c>
      <c r="B555" s="36" t="s">
        <v>13</v>
      </c>
      <c r="C555" s="36" t="s">
        <v>1683</v>
      </c>
      <c r="D555" s="36" t="s">
        <v>34</v>
      </c>
      <c r="E555" s="36" t="s">
        <v>37</v>
      </c>
      <c r="F555" s="37" t="s">
        <v>52</v>
      </c>
      <c r="G555" s="36">
        <v>3</v>
      </c>
      <c r="H555" s="36" t="s">
        <v>42</v>
      </c>
      <c r="I555" s="37"/>
      <c r="J555" s="36" t="s">
        <v>1684</v>
      </c>
      <c r="K555" s="36" t="s">
        <v>25</v>
      </c>
      <c r="L555" s="36" t="s">
        <v>21</v>
      </c>
    </row>
    <row r="556" spans="1:12" ht="15" customHeight="1" x14ac:dyDescent="0.35">
      <c r="A556" s="24" t="s">
        <v>1685</v>
      </c>
      <c r="B556" s="24" t="s">
        <v>13</v>
      </c>
      <c r="C556" s="24" t="s">
        <v>1686</v>
      </c>
      <c r="D556" s="24" t="s">
        <v>34</v>
      </c>
      <c r="E556" s="24" t="s">
        <v>133</v>
      </c>
      <c r="F556" s="25" t="s">
        <v>37</v>
      </c>
      <c r="G556" s="24">
        <v>6</v>
      </c>
      <c r="H556" s="24" t="s">
        <v>42</v>
      </c>
      <c r="I556" s="25"/>
      <c r="J556" s="24" t="s">
        <v>1687</v>
      </c>
      <c r="K556" s="24" t="s">
        <v>115</v>
      </c>
      <c r="L556" s="24" t="s">
        <v>26</v>
      </c>
    </row>
    <row r="557" spans="1:12" ht="15" customHeight="1" x14ac:dyDescent="0.35">
      <c r="A557" s="36" t="s">
        <v>1688</v>
      </c>
      <c r="B557" s="36" t="s">
        <v>13</v>
      </c>
      <c r="C557" s="36" t="s">
        <v>1689</v>
      </c>
      <c r="D557" s="36" t="s">
        <v>15</v>
      </c>
      <c r="E557" s="36" t="s">
        <v>392</v>
      </c>
      <c r="F557" s="37" t="s">
        <v>66</v>
      </c>
      <c r="G557" s="36">
        <v>28</v>
      </c>
      <c r="H557" s="36" t="s">
        <v>109</v>
      </c>
      <c r="I557" s="37"/>
      <c r="J557" s="36" t="s">
        <v>1690</v>
      </c>
      <c r="K557" s="36" t="s">
        <v>727</v>
      </c>
      <c r="L557" s="36" t="s">
        <v>21</v>
      </c>
    </row>
    <row r="558" spans="1:12" ht="15" customHeight="1" x14ac:dyDescent="0.35">
      <c r="A558" s="38" t="s">
        <v>1691</v>
      </c>
      <c r="B558" s="39" t="s">
        <v>13</v>
      </c>
      <c r="C558" s="40" t="s">
        <v>1692</v>
      </c>
      <c r="D558" s="40" t="s">
        <v>34</v>
      </c>
      <c r="E558" s="40" t="s">
        <v>244</v>
      </c>
      <c r="F558" s="41" t="s">
        <v>30</v>
      </c>
      <c r="G558" s="39">
        <v>22</v>
      </c>
      <c r="H558" s="39" t="s">
        <v>18</v>
      </c>
      <c r="I558" s="41" t="s">
        <v>30</v>
      </c>
      <c r="J558" s="40" t="s">
        <v>1693</v>
      </c>
      <c r="K558" s="40" t="s">
        <v>130</v>
      </c>
      <c r="L558" s="42" t="s">
        <v>21</v>
      </c>
    </row>
    <row r="559" spans="1:12" ht="15" customHeight="1" x14ac:dyDescent="0.35">
      <c r="A559" s="9" t="s">
        <v>1694</v>
      </c>
      <c r="B559" s="10" t="s">
        <v>13</v>
      </c>
      <c r="C559" s="11" t="s">
        <v>1695</v>
      </c>
      <c r="D559" s="11" t="s">
        <v>34</v>
      </c>
      <c r="E559" s="11" t="s">
        <v>149</v>
      </c>
      <c r="F559" s="12" t="s">
        <v>30</v>
      </c>
      <c r="G559" s="10">
        <v>18</v>
      </c>
      <c r="H559" s="10" t="s">
        <v>18</v>
      </c>
      <c r="I559" s="12" t="s">
        <v>30</v>
      </c>
      <c r="J559" s="11" t="s">
        <v>1696</v>
      </c>
      <c r="K559" s="11" t="s">
        <v>39</v>
      </c>
      <c r="L559" s="13" t="s">
        <v>21</v>
      </c>
    </row>
    <row r="560" spans="1:12" ht="15" customHeight="1" x14ac:dyDescent="0.35">
      <c r="A560" s="14" t="s">
        <v>1697</v>
      </c>
      <c r="B560" s="15" t="s">
        <v>13</v>
      </c>
      <c r="C560" s="16" t="s">
        <v>1698</v>
      </c>
      <c r="D560" s="16" t="s">
        <v>34</v>
      </c>
      <c r="E560" s="16" t="s">
        <v>62</v>
      </c>
      <c r="F560" s="17" t="s">
        <v>37</v>
      </c>
      <c r="G560" s="15">
        <v>4</v>
      </c>
      <c r="H560" s="15" t="s">
        <v>18</v>
      </c>
      <c r="I560" s="17" t="s">
        <v>37</v>
      </c>
      <c r="J560" s="16" t="s">
        <v>87</v>
      </c>
      <c r="K560" s="16" t="s">
        <v>44</v>
      </c>
      <c r="L560" s="18" t="s">
        <v>21</v>
      </c>
    </row>
    <row r="561" spans="1:12" ht="15" customHeight="1" x14ac:dyDescent="0.35">
      <c r="A561" s="9" t="s">
        <v>1699</v>
      </c>
      <c r="B561" s="10" t="s">
        <v>13</v>
      </c>
      <c r="C561" s="11" t="s">
        <v>1700</v>
      </c>
      <c r="D561" s="11" t="s">
        <v>34</v>
      </c>
      <c r="E561" s="11" t="s">
        <v>104</v>
      </c>
      <c r="F561" s="12" t="s">
        <v>30</v>
      </c>
      <c r="G561" s="10">
        <v>10</v>
      </c>
      <c r="H561" s="10" t="s">
        <v>18</v>
      </c>
      <c r="I561" s="12" t="s">
        <v>30</v>
      </c>
      <c r="J561" s="11" t="s">
        <v>1701</v>
      </c>
      <c r="K561" s="11" t="s">
        <v>25</v>
      </c>
      <c r="L561" s="13" t="s">
        <v>26</v>
      </c>
    </row>
    <row r="562" spans="1:12" ht="15" customHeight="1" x14ac:dyDescent="0.35">
      <c r="A562" s="14" t="s">
        <v>1702</v>
      </c>
      <c r="B562" s="15" t="s">
        <v>13</v>
      </c>
      <c r="C562" s="16" t="s">
        <v>1703</v>
      </c>
      <c r="D562" s="16" t="s">
        <v>34</v>
      </c>
      <c r="E562" s="16" t="s">
        <v>165</v>
      </c>
      <c r="F562" s="17" t="s">
        <v>118</v>
      </c>
      <c r="G562" s="15">
        <v>19</v>
      </c>
      <c r="H562" s="15" t="s">
        <v>18</v>
      </c>
      <c r="I562" s="17" t="s">
        <v>36</v>
      </c>
      <c r="J562" s="16" t="s">
        <v>1704</v>
      </c>
      <c r="K562" s="16" t="s">
        <v>130</v>
      </c>
      <c r="L562" s="18" t="s">
        <v>21</v>
      </c>
    </row>
    <row r="563" spans="1:12" ht="15" customHeight="1" x14ac:dyDescent="0.35">
      <c r="A563" s="9" t="s">
        <v>1705</v>
      </c>
      <c r="B563" s="10" t="s">
        <v>13</v>
      </c>
      <c r="C563" s="11" t="s">
        <v>1706</v>
      </c>
      <c r="D563" s="11" t="s">
        <v>34</v>
      </c>
      <c r="E563" s="11" t="s">
        <v>66</v>
      </c>
      <c r="F563" s="12" t="s">
        <v>29</v>
      </c>
      <c r="G563" s="10">
        <v>6</v>
      </c>
      <c r="H563" s="10" t="s">
        <v>18</v>
      </c>
      <c r="I563" s="12" t="s">
        <v>62</v>
      </c>
      <c r="J563" s="11" t="s">
        <v>1707</v>
      </c>
      <c r="K563" s="11" t="s">
        <v>130</v>
      </c>
      <c r="L563" s="13" t="s">
        <v>26</v>
      </c>
    </row>
    <row r="564" spans="1:12" ht="15" customHeight="1" x14ac:dyDescent="0.35">
      <c r="A564" s="31" t="s">
        <v>1708</v>
      </c>
      <c r="B564" s="32" t="s">
        <v>13</v>
      </c>
      <c r="C564" s="33" t="s">
        <v>1709</v>
      </c>
      <c r="D564" s="33" t="s">
        <v>34</v>
      </c>
      <c r="E564" s="33" t="s">
        <v>149</v>
      </c>
      <c r="F564" s="34" t="s">
        <v>29</v>
      </c>
      <c r="G564" s="32">
        <v>8</v>
      </c>
      <c r="H564" s="32" t="s">
        <v>18</v>
      </c>
      <c r="I564" s="34" t="s">
        <v>62</v>
      </c>
      <c r="J564" s="33" t="s">
        <v>1710</v>
      </c>
      <c r="K564" s="33" t="s">
        <v>115</v>
      </c>
      <c r="L564" s="35" t="s">
        <v>26</v>
      </c>
    </row>
    <row r="565" spans="1:12" ht="15" customHeight="1" x14ac:dyDescent="0.35">
      <c r="A565" s="36" t="s">
        <v>1711</v>
      </c>
      <c r="B565" s="36" t="s">
        <v>13</v>
      </c>
      <c r="C565" s="36" t="s">
        <v>1712</v>
      </c>
      <c r="D565" s="36" t="s">
        <v>15</v>
      </c>
      <c r="E565" s="36" t="s">
        <v>36</v>
      </c>
      <c r="F565" s="37" t="s">
        <v>70</v>
      </c>
      <c r="G565" s="36">
        <v>7</v>
      </c>
      <c r="H565" s="36" t="s">
        <v>42</v>
      </c>
      <c r="I565" s="37"/>
      <c r="J565" s="36" t="s">
        <v>1713</v>
      </c>
      <c r="K565" s="36" t="s">
        <v>25</v>
      </c>
      <c r="L565" s="36" t="s">
        <v>26</v>
      </c>
    </row>
    <row r="566" spans="1:12" ht="15" customHeight="1" x14ac:dyDescent="0.35">
      <c r="A566" s="48" t="s">
        <v>1714</v>
      </c>
      <c r="B566" s="49" t="s">
        <v>13</v>
      </c>
      <c r="C566" s="50" t="s">
        <v>1715</v>
      </c>
      <c r="D566" s="50" t="s">
        <v>90</v>
      </c>
      <c r="E566" s="50" t="s">
        <v>118</v>
      </c>
      <c r="F566" s="51" t="s">
        <v>23</v>
      </c>
      <c r="G566" s="49">
        <v>4</v>
      </c>
      <c r="H566" s="49" t="s">
        <v>18</v>
      </c>
      <c r="I566" s="51" t="s">
        <v>23</v>
      </c>
      <c r="J566" s="50" t="s">
        <v>1716</v>
      </c>
      <c r="K566" s="50" t="s">
        <v>39</v>
      </c>
      <c r="L566" s="52" t="s">
        <v>26</v>
      </c>
    </row>
    <row r="567" spans="1:12" ht="15" customHeight="1" x14ac:dyDescent="0.35">
      <c r="A567" s="36" t="s">
        <v>1717</v>
      </c>
      <c r="B567" s="36" t="s">
        <v>13</v>
      </c>
      <c r="C567" s="36" t="s">
        <v>1718</v>
      </c>
      <c r="D567" s="36" t="s">
        <v>34</v>
      </c>
      <c r="E567" s="36" t="s">
        <v>29</v>
      </c>
      <c r="F567" s="37" t="s">
        <v>118</v>
      </c>
      <c r="G567" s="36">
        <v>2</v>
      </c>
      <c r="H567" s="36" t="s">
        <v>42</v>
      </c>
      <c r="I567" s="37"/>
      <c r="J567" s="36" t="s">
        <v>1719</v>
      </c>
      <c r="K567" s="36" t="s">
        <v>44</v>
      </c>
      <c r="L567" s="36" t="s">
        <v>21</v>
      </c>
    </row>
    <row r="568" spans="1:12" ht="15" customHeight="1" x14ac:dyDescent="0.35">
      <c r="A568" s="38" t="s">
        <v>1720</v>
      </c>
      <c r="B568" s="39" t="s">
        <v>13</v>
      </c>
      <c r="C568" s="40" t="s">
        <v>1721</v>
      </c>
      <c r="D568" s="40" t="s">
        <v>34</v>
      </c>
      <c r="E568" s="40" t="s">
        <v>29</v>
      </c>
      <c r="F568" s="41" t="s">
        <v>52</v>
      </c>
      <c r="G568" s="39">
        <v>8</v>
      </c>
      <c r="H568" s="39" t="s">
        <v>18</v>
      </c>
      <c r="I568" s="41" t="s">
        <v>52</v>
      </c>
      <c r="J568" s="40" t="s">
        <v>1722</v>
      </c>
      <c r="K568" s="40" t="s">
        <v>115</v>
      </c>
      <c r="L568" s="42" t="s">
        <v>26</v>
      </c>
    </row>
    <row r="569" spans="1:12" ht="15" customHeight="1" x14ac:dyDescent="0.35">
      <c r="A569" s="9" t="s">
        <v>1723</v>
      </c>
      <c r="B569" s="10" t="s">
        <v>13</v>
      </c>
      <c r="C569" s="11" t="s">
        <v>1724</v>
      </c>
      <c r="D569" s="11" t="s">
        <v>34</v>
      </c>
      <c r="E569" s="11" t="s">
        <v>118</v>
      </c>
      <c r="F569" s="12" t="s">
        <v>30</v>
      </c>
      <c r="G569" s="10">
        <v>6</v>
      </c>
      <c r="H569" s="10" t="s">
        <v>18</v>
      </c>
      <c r="I569" s="12" t="s">
        <v>30</v>
      </c>
      <c r="J569" s="11" t="s">
        <v>1725</v>
      </c>
      <c r="K569" s="11" t="s">
        <v>44</v>
      </c>
      <c r="L569" s="13" t="s">
        <v>21</v>
      </c>
    </row>
    <row r="570" spans="1:12" ht="15" customHeight="1" x14ac:dyDescent="0.35">
      <c r="A570" s="14" t="s">
        <v>1726</v>
      </c>
      <c r="B570" s="15" t="s">
        <v>13</v>
      </c>
      <c r="C570" s="16" t="s">
        <v>1727</v>
      </c>
      <c r="D570" s="16" t="s">
        <v>34</v>
      </c>
      <c r="E570" s="16" t="s">
        <v>37</v>
      </c>
      <c r="F570" s="17" t="s">
        <v>70</v>
      </c>
      <c r="G570" s="15">
        <v>6</v>
      </c>
      <c r="H570" s="15" t="s">
        <v>18</v>
      </c>
      <c r="I570" s="17" t="s">
        <v>70</v>
      </c>
      <c r="J570" s="16" t="s">
        <v>1728</v>
      </c>
      <c r="K570" s="16" t="s">
        <v>44</v>
      </c>
      <c r="L570" s="18" t="s">
        <v>21</v>
      </c>
    </row>
    <row r="571" spans="1:12" ht="15" customHeight="1" x14ac:dyDescent="0.35">
      <c r="A571" s="19" t="s">
        <v>1729</v>
      </c>
      <c r="B571" s="20" t="s">
        <v>13</v>
      </c>
      <c r="C571" s="21" t="s">
        <v>1730</v>
      </c>
      <c r="D571" s="21" t="s">
        <v>34</v>
      </c>
      <c r="E571" s="21" t="s">
        <v>36</v>
      </c>
      <c r="F571" s="22" t="s">
        <v>113</v>
      </c>
      <c r="G571" s="20">
        <v>2</v>
      </c>
      <c r="H571" s="20" t="s">
        <v>18</v>
      </c>
      <c r="I571" s="22" t="s">
        <v>23</v>
      </c>
      <c r="J571" s="21" t="s">
        <v>1731</v>
      </c>
      <c r="K571" s="21" t="s">
        <v>72</v>
      </c>
      <c r="L571" s="23" t="s">
        <v>21</v>
      </c>
    </row>
    <row r="572" spans="1:12" ht="15" customHeight="1" x14ac:dyDescent="0.35">
      <c r="A572" s="24" t="s">
        <v>1732</v>
      </c>
      <c r="B572" s="24" t="s">
        <v>13</v>
      </c>
      <c r="C572" s="24" t="s">
        <v>1733</v>
      </c>
      <c r="D572" s="24" t="s">
        <v>34</v>
      </c>
      <c r="E572" s="24" t="s">
        <v>37</v>
      </c>
      <c r="F572" s="25" t="s">
        <v>17</v>
      </c>
      <c r="G572" s="24">
        <v>4</v>
      </c>
      <c r="H572" s="24" t="s">
        <v>42</v>
      </c>
      <c r="I572" s="25"/>
      <c r="J572" s="24" t="s">
        <v>1734</v>
      </c>
      <c r="K572" s="24" t="s">
        <v>72</v>
      </c>
      <c r="L572" s="24" t="s">
        <v>21</v>
      </c>
    </row>
    <row r="573" spans="1:12" ht="15" customHeight="1" x14ac:dyDescent="0.35">
      <c r="A573" s="26" t="s">
        <v>1735</v>
      </c>
      <c r="B573" s="27" t="s">
        <v>13</v>
      </c>
      <c r="C573" s="28" t="s">
        <v>1736</v>
      </c>
      <c r="D573" s="28" t="s">
        <v>34</v>
      </c>
      <c r="E573" s="28" t="s">
        <v>248</v>
      </c>
      <c r="F573" s="29" t="s">
        <v>70</v>
      </c>
      <c r="G573" s="27">
        <v>30</v>
      </c>
      <c r="H573" s="27" t="s">
        <v>18</v>
      </c>
      <c r="I573" s="29" t="s">
        <v>70</v>
      </c>
      <c r="J573" s="28" t="s">
        <v>1737</v>
      </c>
      <c r="K573" s="28" t="s">
        <v>25</v>
      </c>
      <c r="L573" s="30" t="s">
        <v>21</v>
      </c>
    </row>
    <row r="574" spans="1:12" ht="15" customHeight="1" x14ac:dyDescent="0.35">
      <c r="A574" s="14" t="s">
        <v>1738</v>
      </c>
      <c r="B574" s="15" t="s">
        <v>13</v>
      </c>
      <c r="C574" s="16" t="s">
        <v>1739</v>
      </c>
      <c r="D574" s="16" t="s">
        <v>90</v>
      </c>
      <c r="E574" s="16" t="s">
        <v>51</v>
      </c>
      <c r="F574" s="17" t="s">
        <v>118</v>
      </c>
      <c r="G574" s="15">
        <v>6</v>
      </c>
      <c r="H574" s="15" t="s">
        <v>18</v>
      </c>
      <c r="I574" s="17" t="s">
        <v>36</v>
      </c>
      <c r="J574" s="16" t="s">
        <v>1740</v>
      </c>
      <c r="K574" s="16" t="s">
        <v>25</v>
      </c>
      <c r="L574" s="18" t="s">
        <v>21</v>
      </c>
    </row>
    <row r="575" spans="1:12" ht="15" customHeight="1" x14ac:dyDescent="0.35">
      <c r="A575" s="19" t="s">
        <v>1741</v>
      </c>
      <c r="B575" s="20" t="s">
        <v>13</v>
      </c>
      <c r="C575" s="21" t="s">
        <v>1742</v>
      </c>
      <c r="D575" s="21" t="s">
        <v>34</v>
      </c>
      <c r="E575" s="21" t="s">
        <v>37</v>
      </c>
      <c r="F575" s="22" t="s">
        <v>30</v>
      </c>
      <c r="G575" s="20">
        <v>4</v>
      </c>
      <c r="H575" s="20" t="s">
        <v>18</v>
      </c>
      <c r="I575" s="22" t="s">
        <v>17</v>
      </c>
      <c r="J575" s="21" t="s">
        <v>1743</v>
      </c>
      <c r="K575" s="21" t="s">
        <v>72</v>
      </c>
      <c r="L575" s="23" t="s">
        <v>21</v>
      </c>
    </row>
    <row r="576" spans="1:12" ht="15" customHeight="1" x14ac:dyDescent="0.35">
      <c r="A576" s="24" t="s">
        <v>1744</v>
      </c>
      <c r="B576" s="24" t="s">
        <v>13</v>
      </c>
      <c r="C576" s="24" t="s">
        <v>1745</v>
      </c>
      <c r="D576" s="24" t="s">
        <v>34</v>
      </c>
      <c r="E576" s="24" t="s">
        <v>133</v>
      </c>
      <c r="F576" s="25" t="s">
        <v>113</v>
      </c>
      <c r="G576" s="24">
        <v>8</v>
      </c>
      <c r="H576" s="24" t="s">
        <v>109</v>
      </c>
      <c r="I576" s="25"/>
      <c r="J576" s="24" t="s">
        <v>1746</v>
      </c>
      <c r="K576" s="24" t="s">
        <v>115</v>
      </c>
      <c r="L576" s="24" t="s">
        <v>21</v>
      </c>
    </row>
    <row r="577" spans="1:12" ht="15" customHeight="1" x14ac:dyDescent="0.35">
      <c r="A577" s="26" t="s">
        <v>1747</v>
      </c>
      <c r="B577" s="27" t="s">
        <v>13</v>
      </c>
      <c r="C577" s="28" t="s">
        <v>1748</v>
      </c>
      <c r="D577" s="28" t="s">
        <v>34</v>
      </c>
      <c r="E577" s="28" t="s">
        <v>118</v>
      </c>
      <c r="F577" s="29" t="s">
        <v>113</v>
      </c>
      <c r="G577" s="27">
        <v>2</v>
      </c>
      <c r="H577" s="27" t="s">
        <v>18</v>
      </c>
      <c r="I577" s="29" t="s">
        <v>17</v>
      </c>
      <c r="J577" s="28" t="s">
        <v>1749</v>
      </c>
      <c r="K577" s="28" t="s">
        <v>44</v>
      </c>
      <c r="L577" s="30" t="s">
        <v>21</v>
      </c>
    </row>
    <row r="578" spans="1:12" ht="15" customHeight="1" x14ac:dyDescent="0.35">
      <c r="A578" s="31" t="s">
        <v>1750</v>
      </c>
      <c r="B578" s="32" t="s">
        <v>13</v>
      </c>
      <c r="C578" s="33" t="s">
        <v>1751</v>
      </c>
      <c r="D578" s="33" t="s">
        <v>15</v>
      </c>
      <c r="E578" s="33" t="s">
        <v>29</v>
      </c>
      <c r="F578" s="34" t="s">
        <v>113</v>
      </c>
      <c r="G578" s="32">
        <v>6</v>
      </c>
      <c r="H578" s="32" t="s">
        <v>18</v>
      </c>
      <c r="I578" s="34" t="s">
        <v>23</v>
      </c>
      <c r="J578" s="33" t="s">
        <v>1752</v>
      </c>
      <c r="K578" s="33" t="s">
        <v>25</v>
      </c>
      <c r="L578" s="35" t="s">
        <v>21</v>
      </c>
    </row>
    <row r="579" spans="1:12" ht="15" customHeight="1" x14ac:dyDescent="0.35">
      <c r="A579" s="36" t="s">
        <v>1753</v>
      </c>
      <c r="B579" s="36" t="s">
        <v>13</v>
      </c>
      <c r="C579" s="36" t="s">
        <v>1754</v>
      </c>
      <c r="D579" s="36" t="s">
        <v>34</v>
      </c>
      <c r="E579" s="36" t="s">
        <v>35</v>
      </c>
      <c r="F579" s="37" t="s">
        <v>70</v>
      </c>
      <c r="G579" s="36">
        <v>19</v>
      </c>
      <c r="H579" s="36" t="s">
        <v>42</v>
      </c>
      <c r="I579" s="37"/>
      <c r="J579" s="36" t="s">
        <v>1755</v>
      </c>
      <c r="K579" s="36" t="s">
        <v>39</v>
      </c>
      <c r="L579" s="36" t="s">
        <v>21</v>
      </c>
    </row>
    <row r="580" spans="1:12" ht="15" customHeight="1" x14ac:dyDescent="0.35">
      <c r="A580" s="38" t="s">
        <v>1756</v>
      </c>
      <c r="B580" s="39" t="s">
        <v>13</v>
      </c>
      <c r="C580" s="40" t="s">
        <v>1757</v>
      </c>
      <c r="D580" s="40" t="s">
        <v>34</v>
      </c>
      <c r="E580" s="40" t="s">
        <v>51</v>
      </c>
      <c r="F580" s="41" t="s">
        <v>29</v>
      </c>
      <c r="G580" s="39">
        <v>4</v>
      </c>
      <c r="H580" s="39" t="s">
        <v>18</v>
      </c>
      <c r="I580" s="41" t="s">
        <v>62</v>
      </c>
      <c r="J580" s="40" t="s">
        <v>1321</v>
      </c>
      <c r="K580" s="40" t="s">
        <v>44</v>
      </c>
      <c r="L580" s="42" t="s">
        <v>26</v>
      </c>
    </row>
    <row r="581" spans="1:12" ht="15" customHeight="1" x14ac:dyDescent="0.35">
      <c r="A581" s="9" t="s">
        <v>1758</v>
      </c>
      <c r="B581" s="10" t="s">
        <v>13</v>
      </c>
      <c r="C581" s="11" t="s">
        <v>1759</v>
      </c>
      <c r="D581" s="11" t="s">
        <v>34</v>
      </c>
      <c r="E581" s="11" t="s">
        <v>66</v>
      </c>
      <c r="F581" s="12" t="s">
        <v>118</v>
      </c>
      <c r="G581" s="10">
        <v>8</v>
      </c>
      <c r="H581" s="10" t="s">
        <v>18</v>
      </c>
      <c r="I581" s="12" t="s">
        <v>36</v>
      </c>
      <c r="J581" s="11" t="s">
        <v>1760</v>
      </c>
      <c r="K581" s="11" t="s">
        <v>44</v>
      </c>
      <c r="L581" s="13" t="s">
        <v>26</v>
      </c>
    </row>
    <row r="582" spans="1:12" ht="15" customHeight="1" x14ac:dyDescent="0.35">
      <c r="A582" s="31" t="s">
        <v>1761</v>
      </c>
      <c r="B582" s="32" t="s">
        <v>13</v>
      </c>
      <c r="C582" s="33" t="s">
        <v>1762</v>
      </c>
      <c r="D582" s="33" t="s">
        <v>34</v>
      </c>
      <c r="E582" s="33" t="s">
        <v>497</v>
      </c>
      <c r="F582" s="34" t="s">
        <v>133</v>
      </c>
      <c r="G582" s="32">
        <v>8</v>
      </c>
      <c r="H582" s="32" t="s">
        <v>18</v>
      </c>
      <c r="I582" s="34" t="s">
        <v>133</v>
      </c>
      <c r="J582" s="33" t="s">
        <v>1763</v>
      </c>
      <c r="K582" s="33" t="s">
        <v>241</v>
      </c>
      <c r="L582" s="35" t="s">
        <v>21</v>
      </c>
    </row>
    <row r="583" spans="1:12" ht="15" customHeight="1" x14ac:dyDescent="0.35">
      <c r="A583" s="36" t="s">
        <v>1764</v>
      </c>
      <c r="B583" s="36" t="s">
        <v>13</v>
      </c>
      <c r="C583" s="36" t="s">
        <v>1765</v>
      </c>
      <c r="D583" s="36" t="s">
        <v>15</v>
      </c>
      <c r="E583" s="36" t="s">
        <v>37</v>
      </c>
      <c r="F583" s="37" t="s">
        <v>70</v>
      </c>
      <c r="G583" s="36">
        <v>5</v>
      </c>
      <c r="H583" s="36" t="s">
        <v>42</v>
      </c>
      <c r="I583" s="37"/>
      <c r="J583" s="36" t="s">
        <v>1766</v>
      </c>
      <c r="K583" s="36" t="s">
        <v>25</v>
      </c>
      <c r="L583" s="36" t="s">
        <v>21</v>
      </c>
    </row>
    <row r="584" spans="1:12" ht="15" customHeight="1" x14ac:dyDescent="0.35">
      <c r="A584" s="38" t="s">
        <v>1767</v>
      </c>
      <c r="B584" s="39" t="s">
        <v>13</v>
      </c>
      <c r="C584" s="40" t="s">
        <v>1768</v>
      </c>
      <c r="D584" s="40" t="s">
        <v>90</v>
      </c>
      <c r="E584" s="40" t="s">
        <v>275</v>
      </c>
      <c r="F584" s="41" t="s">
        <v>113</v>
      </c>
      <c r="G584" s="39">
        <v>21</v>
      </c>
      <c r="H584" s="39" t="s">
        <v>18</v>
      </c>
      <c r="I584" s="41" t="s">
        <v>23</v>
      </c>
      <c r="J584" s="40" t="s">
        <v>1769</v>
      </c>
      <c r="K584" s="40" t="s">
        <v>25</v>
      </c>
      <c r="L584" s="42" t="s">
        <v>21</v>
      </c>
    </row>
    <row r="585" spans="1:12" ht="15" customHeight="1" x14ac:dyDescent="0.35">
      <c r="A585" s="9" t="s">
        <v>1770</v>
      </c>
      <c r="B585" s="10" t="s">
        <v>13</v>
      </c>
      <c r="C585" s="11" t="s">
        <v>1771</v>
      </c>
      <c r="D585" s="11" t="s">
        <v>34</v>
      </c>
      <c r="E585" s="11" t="s">
        <v>23</v>
      </c>
      <c r="F585" s="12" t="s">
        <v>70</v>
      </c>
      <c r="G585" s="10">
        <v>4</v>
      </c>
      <c r="H585" s="10" t="s">
        <v>18</v>
      </c>
      <c r="I585" s="12" t="s">
        <v>70</v>
      </c>
      <c r="J585" s="11" t="s">
        <v>1772</v>
      </c>
      <c r="K585" s="11" t="s">
        <v>25</v>
      </c>
      <c r="L585" s="13" t="s">
        <v>21</v>
      </c>
    </row>
    <row r="586" spans="1:12" ht="15" customHeight="1" x14ac:dyDescent="0.35">
      <c r="A586" s="14" t="s">
        <v>1773</v>
      </c>
      <c r="B586" s="15" t="s">
        <v>13</v>
      </c>
      <c r="C586" s="16" t="s">
        <v>1774</v>
      </c>
      <c r="D586" s="16" t="s">
        <v>34</v>
      </c>
      <c r="E586" s="16" t="s">
        <v>97</v>
      </c>
      <c r="F586" s="17" t="s">
        <v>17</v>
      </c>
      <c r="G586" s="15">
        <v>7</v>
      </c>
      <c r="H586" s="15" t="s">
        <v>18</v>
      </c>
      <c r="I586" s="17" t="s">
        <v>17</v>
      </c>
      <c r="J586" s="16" t="s">
        <v>1775</v>
      </c>
      <c r="K586" s="16" t="s">
        <v>44</v>
      </c>
      <c r="L586" s="18" t="s">
        <v>21</v>
      </c>
    </row>
    <row r="587" spans="1:12" ht="15" customHeight="1" x14ac:dyDescent="0.35">
      <c r="A587" s="9" t="s">
        <v>1776</v>
      </c>
      <c r="B587" s="10" t="s">
        <v>13</v>
      </c>
      <c r="C587" s="11" t="s">
        <v>1777</v>
      </c>
      <c r="D587" s="11" t="s">
        <v>34</v>
      </c>
      <c r="E587" s="11" t="s">
        <v>275</v>
      </c>
      <c r="F587" s="12" t="s">
        <v>133</v>
      </c>
      <c r="G587" s="10">
        <v>12</v>
      </c>
      <c r="H587" s="10" t="s">
        <v>18</v>
      </c>
      <c r="I587" s="12" t="s">
        <v>133</v>
      </c>
      <c r="J587" s="11" t="s">
        <v>1266</v>
      </c>
      <c r="K587" s="11" t="s">
        <v>130</v>
      </c>
      <c r="L587" s="13" t="s">
        <v>21</v>
      </c>
    </row>
    <row r="588" spans="1:12" ht="15" customHeight="1" x14ac:dyDescent="0.35">
      <c r="A588" s="14" t="s">
        <v>1778</v>
      </c>
      <c r="B588" s="15" t="s">
        <v>13</v>
      </c>
      <c r="C588" s="16" t="s">
        <v>1779</v>
      </c>
      <c r="D588" s="16" t="s">
        <v>34</v>
      </c>
      <c r="E588" s="16" t="s">
        <v>118</v>
      </c>
      <c r="F588" s="17" t="s">
        <v>23</v>
      </c>
      <c r="G588" s="15">
        <v>4</v>
      </c>
      <c r="H588" s="15" t="s">
        <v>18</v>
      </c>
      <c r="I588" s="17" t="s">
        <v>52</v>
      </c>
      <c r="J588" s="16" t="s">
        <v>1780</v>
      </c>
      <c r="K588" s="16" t="s">
        <v>44</v>
      </c>
      <c r="L588" s="18" t="s">
        <v>21</v>
      </c>
    </row>
    <row r="589" spans="1:12" ht="15" customHeight="1" x14ac:dyDescent="0.35">
      <c r="A589" s="9" t="s">
        <v>1781</v>
      </c>
      <c r="B589" s="10" t="s">
        <v>13</v>
      </c>
      <c r="C589" s="11" t="s">
        <v>1782</v>
      </c>
      <c r="D589" s="11" t="s">
        <v>34</v>
      </c>
      <c r="E589" s="11" t="s">
        <v>133</v>
      </c>
      <c r="F589" s="12" t="s">
        <v>97</v>
      </c>
      <c r="G589" s="10">
        <v>4</v>
      </c>
      <c r="H589" s="10" t="s">
        <v>18</v>
      </c>
      <c r="I589" s="12" t="s">
        <v>118</v>
      </c>
      <c r="J589" s="11" t="s">
        <v>1783</v>
      </c>
      <c r="K589" s="11" t="s">
        <v>115</v>
      </c>
      <c r="L589" s="13" t="s">
        <v>21</v>
      </c>
    </row>
    <row r="590" spans="1:12" ht="15" customHeight="1" x14ac:dyDescent="0.35">
      <c r="A590" s="14" t="s">
        <v>1784</v>
      </c>
      <c r="B590" s="15" t="s">
        <v>13</v>
      </c>
      <c r="C590" s="16" t="s">
        <v>1785</v>
      </c>
      <c r="D590" s="16" t="s">
        <v>34</v>
      </c>
      <c r="E590" s="16" t="s">
        <v>178</v>
      </c>
      <c r="F590" s="17" t="s">
        <v>133</v>
      </c>
      <c r="G590" s="15">
        <v>5</v>
      </c>
      <c r="H590" s="15" t="s">
        <v>18</v>
      </c>
      <c r="I590" s="17" t="s">
        <v>133</v>
      </c>
      <c r="J590" s="16" t="s">
        <v>1660</v>
      </c>
      <c r="K590" s="16" t="s">
        <v>130</v>
      </c>
      <c r="L590" s="18" t="s">
        <v>26</v>
      </c>
    </row>
    <row r="591" spans="1:12" ht="15" customHeight="1" x14ac:dyDescent="0.35">
      <c r="A591" s="9" t="s">
        <v>1786</v>
      </c>
      <c r="B591" s="10" t="s">
        <v>13</v>
      </c>
      <c r="C591" s="11" t="s">
        <v>1787</v>
      </c>
      <c r="D591" s="11" t="s">
        <v>34</v>
      </c>
      <c r="E591" s="11" t="s">
        <v>149</v>
      </c>
      <c r="F591" s="12" t="s">
        <v>97</v>
      </c>
      <c r="G591" s="10">
        <v>11</v>
      </c>
      <c r="H591" s="10" t="s">
        <v>18</v>
      </c>
      <c r="I591" s="12" t="s">
        <v>118</v>
      </c>
      <c r="J591" s="11" t="s">
        <v>1788</v>
      </c>
      <c r="K591" s="11" t="s">
        <v>130</v>
      </c>
      <c r="L591" s="13" t="s">
        <v>21</v>
      </c>
    </row>
    <row r="592" spans="1:12" ht="15" customHeight="1" x14ac:dyDescent="0.35">
      <c r="A592" s="14" t="s">
        <v>1789</v>
      </c>
      <c r="B592" s="15" t="s">
        <v>13</v>
      </c>
      <c r="C592" s="16" t="s">
        <v>1790</v>
      </c>
      <c r="D592" s="16" t="s">
        <v>34</v>
      </c>
      <c r="E592" s="16" t="s">
        <v>35</v>
      </c>
      <c r="F592" s="17" t="s">
        <v>66</v>
      </c>
      <c r="G592" s="15">
        <v>3</v>
      </c>
      <c r="H592" s="15" t="s">
        <v>18</v>
      </c>
      <c r="I592" s="17" t="s">
        <v>51</v>
      </c>
      <c r="J592" s="16" t="s">
        <v>1791</v>
      </c>
      <c r="K592" s="16" t="s">
        <v>130</v>
      </c>
      <c r="L592" s="18" t="s">
        <v>21</v>
      </c>
    </row>
    <row r="593" spans="1:12" ht="15" customHeight="1" x14ac:dyDescent="0.35">
      <c r="A593" s="9" t="s">
        <v>1792</v>
      </c>
      <c r="B593" s="10" t="s">
        <v>13</v>
      </c>
      <c r="C593" s="11" t="s">
        <v>1793</v>
      </c>
      <c r="D593" s="11" t="s">
        <v>34</v>
      </c>
      <c r="E593" s="11" t="s">
        <v>118</v>
      </c>
      <c r="F593" s="12" t="s">
        <v>23</v>
      </c>
      <c r="G593" s="10">
        <v>4</v>
      </c>
      <c r="H593" s="10" t="s">
        <v>18</v>
      </c>
      <c r="I593" s="12" t="s">
        <v>23</v>
      </c>
      <c r="J593" s="11" t="s">
        <v>1794</v>
      </c>
      <c r="K593" s="11" t="s">
        <v>115</v>
      </c>
      <c r="L593" s="13" t="s">
        <v>26</v>
      </c>
    </row>
    <row r="594" spans="1:12" ht="15" customHeight="1" x14ac:dyDescent="0.35">
      <c r="A594" s="14" t="s">
        <v>1795</v>
      </c>
      <c r="B594" s="15" t="s">
        <v>13</v>
      </c>
      <c r="C594" s="16" t="s">
        <v>1796</v>
      </c>
      <c r="D594" s="16" t="s">
        <v>34</v>
      </c>
      <c r="E594" s="16" t="s">
        <v>178</v>
      </c>
      <c r="F594" s="17" t="s">
        <v>51</v>
      </c>
      <c r="G594" s="15">
        <v>3</v>
      </c>
      <c r="H594" s="15" t="s">
        <v>18</v>
      </c>
      <c r="I594" s="17" t="s">
        <v>47</v>
      </c>
      <c r="J594" s="16" t="s">
        <v>1145</v>
      </c>
      <c r="K594" s="16" t="s">
        <v>130</v>
      </c>
      <c r="L594" s="18" t="s">
        <v>21</v>
      </c>
    </row>
    <row r="595" spans="1:12" ht="15" customHeight="1" x14ac:dyDescent="0.35">
      <c r="A595" s="19" t="s">
        <v>1797</v>
      </c>
      <c r="B595" s="20" t="s">
        <v>13</v>
      </c>
      <c r="C595" s="21" t="s">
        <v>1798</v>
      </c>
      <c r="D595" s="21" t="s">
        <v>34</v>
      </c>
      <c r="E595" s="21" t="s">
        <v>133</v>
      </c>
      <c r="F595" s="22" t="s">
        <v>97</v>
      </c>
      <c r="G595" s="20">
        <v>4</v>
      </c>
      <c r="H595" s="20" t="s">
        <v>18</v>
      </c>
      <c r="I595" s="22" t="s">
        <v>97</v>
      </c>
      <c r="J595" s="21" t="s">
        <v>1799</v>
      </c>
      <c r="K595" s="21" t="s">
        <v>44</v>
      </c>
      <c r="L595" s="23" t="s">
        <v>21</v>
      </c>
    </row>
    <row r="596" spans="1:12" ht="15" customHeight="1" x14ac:dyDescent="0.35">
      <c r="A596" s="24" t="s">
        <v>1800</v>
      </c>
      <c r="B596" s="24" t="s">
        <v>13</v>
      </c>
      <c r="C596" s="24" t="s">
        <v>1801</v>
      </c>
      <c r="D596" s="24" t="s">
        <v>34</v>
      </c>
      <c r="E596" s="24" t="s">
        <v>82</v>
      </c>
      <c r="F596" s="25" t="s">
        <v>36</v>
      </c>
      <c r="G596" s="24">
        <v>10</v>
      </c>
      <c r="H596" s="24" t="s">
        <v>109</v>
      </c>
      <c r="I596" s="25"/>
      <c r="J596" s="24" t="s">
        <v>1802</v>
      </c>
      <c r="K596" s="24" t="s">
        <v>20</v>
      </c>
      <c r="L596" s="24" t="s">
        <v>21</v>
      </c>
    </row>
    <row r="597" spans="1:12" ht="15" customHeight="1" x14ac:dyDescent="0.35">
      <c r="A597" s="26" t="s">
        <v>1800</v>
      </c>
      <c r="B597" s="27" t="s">
        <v>13</v>
      </c>
      <c r="C597" s="28" t="s">
        <v>1801</v>
      </c>
      <c r="D597" s="28" t="s">
        <v>34</v>
      </c>
      <c r="E597" s="28" t="s">
        <v>82</v>
      </c>
      <c r="F597" s="29" t="s">
        <v>17</v>
      </c>
      <c r="G597" s="27">
        <v>16</v>
      </c>
      <c r="H597" s="27" t="s">
        <v>18</v>
      </c>
      <c r="I597" s="29" t="s">
        <v>70</v>
      </c>
      <c r="J597" s="28" t="s">
        <v>1802</v>
      </c>
      <c r="K597" s="28" t="s">
        <v>20</v>
      </c>
      <c r="L597" s="30" t="s">
        <v>21</v>
      </c>
    </row>
    <row r="598" spans="1:12" ht="15" customHeight="1" x14ac:dyDescent="0.35">
      <c r="A598" s="31" t="s">
        <v>1803</v>
      </c>
      <c r="B598" s="32" t="s">
        <v>13</v>
      </c>
      <c r="C598" s="33" t="s">
        <v>1804</v>
      </c>
      <c r="D598" s="33" t="s">
        <v>78</v>
      </c>
      <c r="E598" s="33" t="s">
        <v>165</v>
      </c>
      <c r="F598" s="34" t="s">
        <v>47</v>
      </c>
      <c r="G598" s="32">
        <v>13</v>
      </c>
      <c r="H598" s="32" t="s">
        <v>18</v>
      </c>
      <c r="I598" s="34" t="s">
        <v>47</v>
      </c>
      <c r="J598" s="33" t="s">
        <v>1805</v>
      </c>
      <c r="K598" s="33" t="s">
        <v>25</v>
      </c>
      <c r="L598" s="35" t="s">
        <v>21</v>
      </c>
    </row>
    <row r="599" spans="1:12" ht="15" customHeight="1" x14ac:dyDescent="0.35">
      <c r="A599" s="36" t="s">
        <v>1806</v>
      </c>
      <c r="B599" s="36" t="s">
        <v>13</v>
      </c>
      <c r="C599" s="36" t="s">
        <v>1807</v>
      </c>
      <c r="D599" s="36" t="s">
        <v>15</v>
      </c>
      <c r="E599" s="36" t="s">
        <v>118</v>
      </c>
      <c r="F599" s="37" t="s">
        <v>23</v>
      </c>
      <c r="G599" s="36">
        <v>4</v>
      </c>
      <c r="H599" s="36" t="s">
        <v>109</v>
      </c>
      <c r="I599" s="37"/>
      <c r="J599" s="36" t="s">
        <v>1808</v>
      </c>
      <c r="K599" s="36" t="s">
        <v>25</v>
      </c>
      <c r="L599" s="36" t="s">
        <v>26</v>
      </c>
    </row>
    <row r="600" spans="1:12" ht="15" customHeight="1" x14ac:dyDescent="0.35">
      <c r="A600" s="38" t="s">
        <v>1809</v>
      </c>
      <c r="B600" s="39" t="s">
        <v>13</v>
      </c>
      <c r="C600" s="40" t="s">
        <v>1810</v>
      </c>
      <c r="D600" s="40" t="s">
        <v>34</v>
      </c>
      <c r="E600" s="40" t="s">
        <v>51</v>
      </c>
      <c r="F600" s="41" t="s">
        <v>118</v>
      </c>
      <c r="G600" s="39">
        <v>8</v>
      </c>
      <c r="H600" s="39" t="s">
        <v>18</v>
      </c>
      <c r="I600" s="41" t="s">
        <v>118</v>
      </c>
      <c r="J600" s="40" t="s">
        <v>1728</v>
      </c>
      <c r="K600" s="40" t="s">
        <v>44</v>
      </c>
      <c r="L600" s="42" t="s">
        <v>26</v>
      </c>
    </row>
    <row r="601" spans="1:12" ht="15" customHeight="1" x14ac:dyDescent="0.35">
      <c r="A601" s="19" t="s">
        <v>1811</v>
      </c>
      <c r="B601" s="20" t="s">
        <v>13</v>
      </c>
      <c r="C601" s="21" t="s">
        <v>1812</v>
      </c>
      <c r="D601" s="21" t="s">
        <v>34</v>
      </c>
      <c r="E601" s="21" t="s">
        <v>66</v>
      </c>
      <c r="F601" s="22" t="s">
        <v>29</v>
      </c>
      <c r="G601" s="20">
        <v>5</v>
      </c>
      <c r="H601" s="20" t="s">
        <v>18</v>
      </c>
      <c r="I601" s="22" t="s">
        <v>62</v>
      </c>
      <c r="J601" s="21" t="s">
        <v>1813</v>
      </c>
      <c r="K601" s="21" t="s">
        <v>130</v>
      </c>
      <c r="L601" s="23" t="s">
        <v>21</v>
      </c>
    </row>
    <row r="602" spans="1:12" ht="15" customHeight="1" x14ac:dyDescent="0.35">
      <c r="A602" s="24" t="s">
        <v>1811</v>
      </c>
      <c r="B602" s="24" t="s">
        <v>13</v>
      </c>
      <c r="C602" s="24" t="s">
        <v>1814</v>
      </c>
      <c r="D602" s="24" t="s">
        <v>34</v>
      </c>
      <c r="E602" s="24" t="s">
        <v>23</v>
      </c>
      <c r="F602" s="25" t="s">
        <v>70</v>
      </c>
      <c r="G602" s="24">
        <v>3</v>
      </c>
      <c r="H602" s="24" t="s">
        <v>42</v>
      </c>
      <c r="I602" s="25"/>
      <c r="J602" s="24" t="s">
        <v>48</v>
      </c>
      <c r="K602" s="24" t="s">
        <v>44</v>
      </c>
      <c r="L602" s="24" t="s">
        <v>21</v>
      </c>
    </row>
    <row r="603" spans="1:12" ht="15" customHeight="1" x14ac:dyDescent="0.35">
      <c r="A603" s="26" t="s">
        <v>1815</v>
      </c>
      <c r="B603" s="27" t="s">
        <v>13</v>
      </c>
      <c r="C603" s="28" t="s">
        <v>1816</v>
      </c>
      <c r="D603" s="28" t="s">
        <v>90</v>
      </c>
      <c r="E603" s="28" t="s">
        <v>23</v>
      </c>
      <c r="F603" s="29" t="s">
        <v>52</v>
      </c>
      <c r="G603" s="27">
        <v>1</v>
      </c>
      <c r="H603" s="27" t="s">
        <v>18</v>
      </c>
      <c r="I603" s="29" t="s">
        <v>52</v>
      </c>
      <c r="J603" s="28" t="s">
        <v>1817</v>
      </c>
      <c r="K603" s="28" t="s">
        <v>25</v>
      </c>
      <c r="L603" s="30" t="s">
        <v>21</v>
      </c>
    </row>
    <row r="604" spans="1:12" ht="15" customHeight="1" x14ac:dyDescent="0.35">
      <c r="A604" s="14" t="s">
        <v>1818</v>
      </c>
      <c r="B604" s="15" t="s">
        <v>13</v>
      </c>
      <c r="C604" s="16" t="s">
        <v>1819</v>
      </c>
      <c r="D604" s="16" t="s">
        <v>34</v>
      </c>
      <c r="E604" s="16" t="s">
        <v>35</v>
      </c>
      <c r="F604" s="17" t="s">
        <v>23</v>
      </c>
      <c r="G604" s="15">
        <v>16</v>
      </c>
      <c r="H604" s="15" t="s">
        <v>18</v>
      </c>
      <c r="I604" s="17" t="s">
        <v>52</v>
      </c>
      <c r="J604" s="16" t="s">
        <v>1820</v>
      </c>
      <c r="K604" s="16" t="s">
        <v>39</v>
      </c>
      <c r="L604" s="18" t="s">
        <v>21</v>
      </c>
    </row>
    <row r="605" spans="1:12" ht="15" customHeight="1" x14ac:dyDescent="0.35">
      <c r="A605" s="9" t="s">
        <v>1821</v>
      </c>
      <c r="B605" s="10" t="s">
        <v>13</v>
      </c>
      <c r="C605" s="11" t="s">
        <v>1822</v>
      </c>
      <c r="D605" s="11" t="s">
        <v>34</v>
      </c>
      <c r="E605" s="11" t="s">
        <v>133</v>
      </c>
      <c r="F605" s="12" t="s">
        <v>17</v>
      </c>
      <c r="G605" s="10">
        <v>12</v>
      </c>
      <c r="H605" s="10" t="s">
        <v>18</v>
      </c>
      <c r="I605" s="12" t="s">
        <v>70</v>
      </c>
      <c r="J605" s="11" t="s">
        <v>1823</v>
      </c>
      <c r="K605" s="11" t="s">
        <v>115</v>
      </c>
      <c r="L605" s="13" t="s">
        <v>26</v>
      </c>
    </row>
    <row r="606" spans="1:12" ht="15" customHeight="1" x14ac:dyDescent="0.35">
      <c r="A606" s="14" t="s">
        <v>1824</v>
      </c>
      <c r="B606" s="15" t="s">
        <v>13</v>
      </c>
      <c r="C606" s="16" t="s">
        <v>1825</v>
      </c>
      <c r="D606" s="16" t="s">
        <v>34</v>
      </c>
      <c r="E606" s="16" t="s">
        <v>118</v>
      </c>
      <c r="F606" s="17" t="s">
        <v>23</v>
      </c>
      <c r="G606" s="15">
        <v>4</v>
      </c>
      <c r="H606" s="15" t="s">
        <v>18</v>
      </c>
      <c r="I606" s="17" t="s">
        <v>52</v>
      </c>
      <c r="J606" s="16" t="s">
        <v>1826</v>
      </c>
      <c r="K606" s="16" t="s">
        <v>44</v>
      </c>
      <c r="L606" s="18" t="s">
        <v>21</v>
      </c>
    </row>
    <row r="607" spans="1:12" ht="15" customHeight="1" x14ac:dyDescent="0.35">
      <c r="A607" s="9" t="s">
        <v>1827</v>
      </c>
      <c r="B607" s="10" t="s">
        <v>13</v>
      </c>
      <c r="C607" s="11" t="s">
        <v>1828</v>
      </c>
      <c r="D607" s="11" t="s">
        <v>34</v>
      </c>
      <c r="E607" s="11" t="s">
        <v>82</v>
      </c>
      <c r="F607" s="12" t="s">
        <v>17</v>
      </c>
      <c r="G607" s="10">
        <v>17</v>
      </c>
      <c r="H607" s="10" t="s">
        <v>18</v>
      </c>
      <c r="I607" s="12" t="s">
        <v>17</v>
      </c>
      <c r="J607" s="11" t="s">
        <v>1829</v>
      </c>
      <c r="K607" s="11" t="s">
        <v>130</v>
      </c>
      <c r="L607" s="13" t="s">
        <v>21</v>
      </c>
    </row>
    <row r="608" spans="1:12" ht="15" customHeight="1" x14ac:dyDescent="0.35">
      <c r="A608" s="14" t="s">
        <v>1830</v>
      </c>
      <c r="B608" s="15" t="s">
        <v>13</v>
      </c>
      <c r="C608" s="16" t="s">
        <v>1831</v>
      </c>
      <c r="D608" s="16" t="s">
        <v>34</v>
      </c>
      <c r="E608" s="16" t="s">
        <v>37</v>
      </c>
      <c r="F608" s="17" t="s">
        <v>30</v>
      </c>
      <c r="G608" s="15">
        <v>4</v>
      </c>
      <c r="H608" s="15" t="s">
        <v>18</v>
      </c>
      <c r="I608" s="17" t="s">
        <v>30</v>
      </c>
      <c r="J608" s="16" t="s">
        <v>1832</v>
      </c>
      <c r="K608" s="16" t="s">
        <v>115</v>
      </c>
      <c r="L608" s="18" t="s">
        <v>21</v>
      </c>
    </row>
    <row r="609" spans="1:12" ht="15" customHeight="1" x14ac:dyDescent="0.35">
      <c r="A609" s="9" t="s">
        <v>1833</v>
      </c>
      <c r="B609" s="10" t="s">
        <v>13</v>
      </c>
      <c r="C609" s="11" t="s">
        <v>1834</v>
      </c>
      <c r="D609" s="11" t="s">
        <v>15</v>
      </c>
      <c r="E609" s="11" t="s">
        <v>66</v>
      </c>
      <c r="F609" s="12" t="s">
        <v>133</v>
      </c>
      <c r="G609" s="10">
        <v>3</v>
      </c>
      <c r="H609" s="10" t="s">
        <v>18</v>
      </c>
      <c r="I609" s="12" t="s">
        <v>29</v>
      </c>
      <c r="J609" s="11" t="s">
        <v>1835</v>
      </c>
      <c r="K609" s="11" t="s">
        <v>25</v>
      </c>
      <c r="L609" s="13" t="s">
        <v>21</v>
      </c>
    </row>
    <row r="610" spans="1:12" ht="15" customHeight="1" x14ac:dyDescent="0.35">
      <c r="A610" s="14" t="s">
        <v>1836</v>
      </c>
      <c r="B610" s="15" t="s">
        <v>13</v>
      </c>
      <c r="C610" s="16" t="s">
        <v>1837</v>
      </c>
      <c r="D610" s="16" t="s">
        <v>34</v>
      </c>
      <c r="E610" s="16" t="s">
        <v>29</v>
      </c>
      <c r="F610" s="17" t="s">
        <v>52</v>
      </c>
      <c r="G610" s="15">
        <v>8</v>
      </c>
      <c r="H610" s="15" t="s">
        <v>18</v>
      </c>
      <c r="I610" s="17" t="s">
        <v>30</v>
      </c>
      <c r="J610" s="16" t="s">
        <v>1838</v>
      </c>
      <c r="K610" s="16" t="s">
        <v>44</v>
      </c>
      <c r="L610" s="18" t="s">
        <v>21</v>
      </c>
    </row>
    <row r="611" spans="1:12" ht="15" customHeight="1" x14ac:dyDescent="0.35">
      <c r="A611" s="19" t="s">
        <v>1839</v>
      </c>
      <c r="B611" s="20" t="s">
        <v>13</v>
      </c>
      <c r="C611" s="21" t="s">
        <v>1840</v>
      </c>
      <c r="D611" s="21" t="s">
        <v>34</v>
      </c>
      <c r="E611" s="21" t="s">
        <v>252</v>
      </c>
      <c r="F611" s="22" t="s">
        <v>62</v>
      </c>
      <c r="G611" s="20">
        <v>12</v>
      </c>
      <c r="H611" s="20" t="s">
        <v>18</v>
      </c>
      <c r="I611" s="22" t="s">
        <v>62</v>
      </c>
      <c r="J611" s="21" t="s">
        <v>1841</v>
      </c>
      <c r="K611" s="21" t="s">
        <v>130</v>
      </c>
      <c r="L611" s="23" t="s">
        <v>21</v>
      </c>
    </row>
    <row r="612" spans="1:12" ht="15" customHeight="1" x14ac:dyDescent="0.35">
      <c r="A612" s="24" t="s">
        <v>1842</v>
      </c>
      <c r="B612" s="24" t="s">
        <v>13</v>
      </c>
      <c r="C612" s="24" t="s">
        <v>1843</v>
      </c>
      <c r="D612" s="24" t="s">
        <v>15</v>
      </c>
      <c r="E612" s="24" t="s">
        <v>29</v>
      </c>
      <c r="F612" s="25" t="s">
        <v>30</v>
      </c>
      <c r="G612" s="24">
        <v>9</v>
      </c>
      <c r="H612" s="24" t="s">
        <v>42</v>
      </c>
      <c r="I612" s="25"/>
      <c r="J612" s="24" t="s">
        <v>1844</v>
      </c>
      <c r="K612" s="24" t="s">
        <v>25</v>
      </c>
      <c r="L612" s="24" t="s">
        <v>21</v>
      </c>
    </row>
    <row r="613" spans="1:12" ht="15" customHeight="1" x14ac:dyDescent="0.35">
      <c r="A613" s="43" t="s">
        <v>1845</v>
      </c>
      <c r="B613" s="44" t="s">
        <v>13</v>
      </c>
      <c r="C613" s="45" t="s">
        <v>1846</v>
      </c>
      <c r="D613" s="45" t="s">
        <v>34</v>
      </c>
      <c r="E613" s="45" t="s">
        <v>66</v>
      </c>
      <c r="F613" s="46" t="s">
        <v>29</v>
      </c>
      <c r="G613" s="44">
        <v>5</v>
      </c>
      <c r="H613" s="44" t="s">
        <v>18</v>
      </c>
      <c r="I613" s="46" t="s">
        <v>29</v>
      </c>
      <c r="J613" s="45" t="s">
        <v>1847</v>
      </c>
      <c r="K613" s="45" t="s">
        <v>115</v>
      </c>
      <c r="L613" s="47" t="s">
        <v>21</v>
      </c>
    </row>
    <row r="614" spans="1:12" ht="15" customHeight="1" x14ac:dyDescent="0.35">
      <c r="A614" s="24" t="s">
        <v>1848</v>
      </c>
      <c r="B614" s="24" t="s">
        <v>13</v>
      </c>
      <c r="C614" s="24" t="s">
        <v>1849</v>
      </c>
      <c r="D614" s="24" t="s">
        <v>34</v>
      </c>
      <c r="E614" s="24" t="s">
        <v>62</v>
      </c>
      <c r="F614" s="25" t="s">
        <v>30</v>
      </c>
      <c r="G614" s="24">
        <v>7</v>
      </c>
      <c r="H614" s="24" t="s">
        <v>42</v>
      </c>
      <c r="I614" s="25"/>
      <c r="J614" s="24" t="s">
        <v>1850</v>
      </c>
      <c r="K614" s="24" t="s">
        <v>115</v>
      </c>
      <c r="L614" s="24" t="s">
        <v>26</v>
      </c>
    </row>
    <row r="615" spans="1:12" ht="15" customHeight="1" x14ac:dyDescent="0.35">
      <c r="A615" s="26" t="s">
        <v>1851</v>
      </c>
      <c r="B615" s="27" t="s">
        <v>13</v>
      </c>
      <c r="C615" s="28" t="s">
        <v>1852</v>
      </c>
      <c r="D615" s="28" t="s">
        <v>34</v>
      </c>
      <c r="E615" s="28" t="s">
        <v>291</v>
      </c>
      <c r="F615" s="29" t="s">
        <v>47</v>
      </c>
      <c r="G615" s="27">
        <v>32</v>
      </c>
      <c r="H615" s="27" t="s">
        <v>18</v>
      </c>
      <c r="I615" s="29" t="s">
        <v>47</v>
      </c>
      <c r="J615" s="28" t="s">
        <v>1853</v>
      </c>
      <c r="K615" s="28" t="s">
        <v>293</v>
      </c>
      <c r="L615" s="30" t="s">
        <v>21</v>
      </c>
    </row>
    <row r="616" spans="1:12" ht="15" customHeight="1" x14ac:dyDescent="0.35">
      <c r="A616" s="14" t="s">
        <v>1854</v>
      </c>
      <c r="B616" s="15" t="s">
        <v>13</v>
      </c>
      <c r="C616" s="16" t="s">
        <v>1855</v>
      </c>
      <c r="D616" s="16" t="s">
        <v>34</v>
      </c>
      <c r="E616" s="16" t="s">
        <v>35</v>
      </c>
      <c r="F616" s="17" t="s">
        <v>133</v>
      </c>
      <c r="G616" s="15">
        <v>7</v>
      </c>
      <c r="H616" s="15" t="s">
        <v>18</v>
      </c>
      <c r="I616" s="17" t="s">
        <v>104</v>
      </c>
      <c r="J616" s="16" t="s">
        <v>1856</v>
      </c>
      <c r="K616" s="16" t="s">
        <v>130</v>
      </c>
      <c r="L616" s="18" t="s">
        <v>26</v>
      </c>
    </row>
    <row r="617" spans="1:12" ht="15" customHeight="1" x14ac:dyDescent="0.35">
      <c r="A617" s="9" t="s">
        <v>1857</v>
      </c>
      <c r="B617" s="10" t="s">
        <v>13</v>
      </c>
      <c r="C617" s="11" t="s">
        <v>1858</v>
      </c>
      <c r="D617" s="11" t="s">
        <v>34</v>
      </c>
      <c r="E617" s="11" t="s">
        <v>29</v>
      </c>
      <c r="F617" s="12" t="s">
        <v>30</v>
      </c>
      <c r="G617" s="10">
        <v>9</v>
      </c>
      <c r="H617" s="10" t="s">
        <v>18</v>
      </c>
      <c r="I617" s="12" t="s">
        <v>17</v>
      </c>
      <c r="J617" s="11" t="s">
        <v>1859</v>
      </c>
      <c r="K617" s="11" t="s">
        <v>44</v>
      </c>
      <c r="L617" s="13" t="s">
        <v>21</v>
      </c>
    </row>
    <row r="618" spans="1:12" ht="15" customHeight="1" x14ac:dyDescent="0.35">
      <c r="A618" s="14" t="s">
        <v>1860</v>
      </c>
      <c r="B618" s="15" t="s">
        <v>13</v>
      </c>
      <c r="C618" s="16" t="s">
        <v>1861</v>
      </c>
      <c r="D618" s="16" t="s">
        <v>34</v>
      </c>
      <c r="E618" s="16" t="s">
        <v>23</v>
      </c>
      <c r="F618" s="17" t="s">
        <v>30</v>
      </c>
      <c r="G618" s="15">
        <v>2</v>
      </c>
      <c r="H618" s="15" t="s">
        <v>18</v>
      </c>
      <c r="I618" s="17" t="s">
        <v>17</v>
      </c>
      <c r="J618" s="16" t="s">
        <v>1862</v>
      </c>
      <c r="K618" s="16" t="s">
        <v>72</v>
      </c>
      <c r="L618" s="18" t="s">
        <v>21</v>
      </c>
    </row>
    <row r="619" spans="1:12" ht="15" customHeight="1" x14ac:dyDescent="0.35">
      <c r="A619" s="9" t="s">
        <v>1863</v>
      </c>
      <c r="B619" s="10" t="s">
        <v>13</v>
      </c>
      <c r="C619" s="11" t="s">
        <v>1864</v>
      </c>
      <c r="D619" s="11" t="s">
        <v>15</v>
      </c>
      <c r="E619" s="11" t="s">
        <v>133</v>
      </c>
      <c r="F619" s="12" t="s">
        <v>37</v>
      </c>
      <c r="G619" s="10">
        <v>8</v>
      </c>
      <c r="H619" s="10" t="s">
        <v>18</v>
      </c>
      <c r="I619" s="12" t="s">
        <v>113</v>
      </c>
      <c r="J619" s="11" t="s">
        <v>1865</v>
      </c>
      <c r="K619" s="11" t="s">
        <v>25</v>
      </c>
      <c r="L619" s="13" t="s">
        <v>21</v>
      </c>
    </row>
    <row r="620" spans="1:12" ht="15" customHeight="1" x14ac:dyDescent="0.35">
      <c r="A620" s="14" t="s">
        <v>1866</v>
      </c>
      <c r="B620" s="15" t="s">
        <v>13</v>
      </c>
      <c r="C620" s="16" t="s">
        <v>1867</v>
      </c>
      <c r="D620" s="16" t="s">
        <v>34</v>
      </c>
      <c r="E620" s="16" t="s">
        <v>47</v>
      </c>
      <c r="F620" s="17" t="s">
        <v>118</v>
      </c>
      <c r="G620" s="15">
        <v>6</v>
      </c>
      <c r="H620" s="15" t="s">
        <v>18</v>
      </c>
      <c r="I620" s="17" t="s">
        <v>36</v>
      </c>
      <c r="J620" s="16" t="s">
        <v>1868</v>
      </c>
      <c r="K620" s="16" t="s">
        <v>115</v>
      </c>
      <c r="L620" s="18" t="s">
        <v>21</v>
      </c>
    </row>
    <row r="621" spans="1:12" ht="15" customHeight="1" x14ac:dyDescent="0.35">
      <c r="A621" s="9" t="s">
        <v>1869</v>
      </c>
      <c r="B621" s="10" t="s">
        <v>13</v>
      </c>
      <c r="C621" s="11" t="s">
        <v>1870</v>
      </c>
      <c r="D621" s="11" t="s">
        <v>34</v>
      </c>
      <c r="E621" s="11" t="s">
        <v>62</v>
      </c>
      <c r="F621" s="12" t="s">
        <v>118</v>
      </c>
      <c r="G621" s="10">
        <v>2</v>
      </c>
      <c r="H621" s="10" t="s">
        <v>18</v>
      </c>
      <c r="I621" s="12" t="s">
        <v>97</v>
      </c>
      <c r="J621" s="11" t="s">
        <v>1871</v>
      </c>
      <c r="K621" s="11" t="s">
        <v>130</v>
      </c>
      <c r="L621" s="13" t="s">
        <v>26</v>
      </c>
    </row>
    <row r="622" spans="1:12" ht="15" customHeight="1" x14ac:dyDescent="0.35">
      <c r="A622" s="14" t="s">
        <v>1872</v>
      </c>
      <c r="B622" s="15" t="s">
        <v>13</v>
      </c>
      <c r="C622" s="16" t="s">
        <v>1873</v>
      </c>
      <c r="D622" s="16" t="s">
        <v>34</v>
      </c>
      <c r="E622" s="16" t="s">
        <v>29</v>
      </c>
      <c r="F622" s="17" t="s">
        <v>23</v>
      </c>
      <c r="G622" s="15">
        <v>8</v>
      </c>
      <c r="H622" s="15" t="s">
        <v>18</v>
      </c>
      <c r="I622" s="17" t="s">
        <v>23</v>
      </c>
      <c r="J622" s="16" t="s">
        <v>150</v>
      </c>
      <c r="K622" s="16" t="s">
        <v>130</v>
      </c>
      <c r="L622" s="18" t="s">
        <v>21</v>
      </c>
    </row>
    <row r="623" spans="1:12" ht="15" customHeight="1" x14ac:dyDescent="0.35">
      <c r="A623" s="9" t="s">
        <v>1874</v>
      </c>
      <c r="B623" s="10" t="s">
        <v>13</v>
      </c>
      <c r="C623" s="11" t="s">
        <v>1875</v>
      </c>
      <c r="D623" s="11" t="s">
        <v>78</v>
      </c>
      <c r="E623" s="11" t="s">
        <v>66</v>
      </c>
      <c r="F623" s="12" t="s">
        <v>104</v>
      </c>
      <c r="G623" s="10">
        <v>4</v>
      </c>
      <c r="H623" s="10" t="s">
        <v>18</v>
      </c>
      <c r="I623" s="12" t="s">
        <v>104</v>
      </c>
      <c r="J623" s="11" t="s">
        <v>1876</v>
      </c>
      <c r="K623" s="11" t="s">
        <v>25</v>
      </c>
      <c r="L623" s="13" t="s">
        <v>21</v>
      </c>
    </row>
    <row r="624" spans="1:12" ht="15" customHeight="1" x14ac:dyDescent="0.35">
      <c r="A624" s="14" t="s">
        <v>1877</v>
      </c>
      <c r="B624" s="15" t="s">
        <v>13</v>
      </c>
      <c r="C624" s="16" t="s">
        <v>1878</v>
      </c>
      <c r="D624" s="16" t="s">
        <v>15</v>
      </c>
      <c r="E624" s="16" t="s">
        <v>252</v>
      </c>
      <c r="F624" s="17" t="s">
        <v>52</v>
      </c>
      <c r="G624" s="15">
        <v>19</v>
      </c>
      <c r="H624" s="15" t="s">
        <v>18</v>
      </c>
      <c r="I624" s="17" t="s">
        <v>30</v>
      </c>
      <c r="J624" s="16" t="s">
        <v>1879</v>
      </c>
      <c r="K624" s="16" t="s">
        <v>39</v>
      </c>
      <c r="L624" s="18" t="s">
        <v>21</v>
      </c>
    </row>
    <row r="625" spans="1:12" ht="15" customHeight="1" x14ac:dyDescent="0.35">
      <c r="A625" s="9" t="s">
        <v>1880</v>
      </c>
      <c r="B625" s="10" t="s">
        <v>13</v>
      </c>
      <c r="C625" s="11" t="s">
        <v>1881</v>
      </c>
      <c r="D625" s="11" t="s">
        <v>90</v>
      </c>
      <c r="E625" s="11" t="s">
        <v>51</v>
      </c>
      <c r="F625" s="12" t="s">
        <v>52</v>
      </c>
      <c r="G625" s="10">
        <v>12</v>
      </c>
      <c r="H625" s="10" t="s">
        <v>18</v>
      </c>
      <c r="I625" s="12" t="s">
        <v>30</v>
      </c>
      <c r="J625" s="11" t="s">
        <v>1882</v>
      </c>
      <c r="K625" s="11" t="s">
        <v>25</v>
      </c>
      <c r="L625" s="13" t="s">
        <v>26</v>
      </c>
    </row>
    <row r="626" spans="1:12" ht="15" customHeight="1" x14ac:dyDescent="0.35">
      <c r="A626" s="14" t="s">
        <v>1883</v>
      </c>
      <c r="B626" s="15" t="s">
        <v>13</v>
      </c>
      <c r="C626" s="16" t="s">
        <v>1884</v>
      </c>
      <c r="D626" s="16" t="s">
        <v>78</v>
      </c>
      <c r="E626" s="16" t="s">
        <v>104</v>
      </c>
      <c r="F626" s="17" t="s">
        <v>52</v>
      </c>
      <c r="G626" s="15">
        <v>8</v>
      </c>
      <c r="H626" s="15" t="s">
        <v>18</v>
      </c>
      <c r="I626" s="17" t="s">
        <v>30</v>
      </c>
      <c r="J626" s="16" t="s">
        <v>1885</v>
      </c>
      <c r="K626" s="16" t="s">
        <v>39</v>
      </c>
      <c r="L626" s="18" t="s">
        <v>26</v>
      </c>
    </row>
    <row r="627" spans="1:12" ht="15" customHeight="1" x14ac:dyDescent="0.35">
      <c r="A627" s="9" t="s">
        <v>1886</v>
      </c>
      <c r="B627" s="10" t="s">
        <v>13</v>
      </c>
      <c r="C627" s="11" t="s">
        <v>1887</v>
      </c>
      <c r="D627" s="11" t="s">
        <v>34</v>
      </c>
      <c r="E627" s="11" t="s">
        <v>497</v>
      </c>
      <c r="F627" s="12" t="s">
        <v>133</v>
      </c>
      <c r="G627" s="10">
        <v>7</v>
      </c>
      <c r="H627" s="10" t="s">
        <v>18</v>
      </c>
      <c r="I627" s="12" t="s">
        <v>133</v>
      </c>
      <c r="J627" s="11" t="s">
        <v>1505</v>
      </c>
      <c r="K627" s="11" t="s">
        <v>130</v>
      </c>
      <c r="L627" s="13" t="s">
        <v>26</v>
      </c>
    </row>
    <row r="628" spans="1:12" ht="15" customHeight="1" x14ac:dyDescent="0.35">
      <c r="A628" s="14" t="s">
        <v>1888</v>
      </c>
      <c r="B628" s="15" t="s">
        <v>13</v>
      </c>
      <c r="C628" s="16" t="s">
        <v>1889</v>
      </c>
      <c r="D628" s="16" t="s">
        <v>34</v>
      </c>
      <c r="E628" s="16" t="s">
        <v>47</v>
      </c>
      <c r="F628" s="17" t="s">
        <v>118</v>
      </c>
      <c r="G628" s="15">
        <v>6</v>
      </c>
      <c r="H628" s="15" t="s">
        <v>18</v>
      </c>
      <c r="I628" s="17" t="s">
        <v>118</v>
      </c>
      <c r="J628" s="16" t="s">
        <v>1890</v>
      </c>
      <c r="K628" s="16" t="s">
        <v>130</v>
      </c>
      <c r="L628" s="18" t="s">
        <v>21</v>
      </c>
    </row>
    <row r="629" spans="1:12" ht="15" customHeight="1" x14ac:dyDescent="0.35">
      <c r="A629" s="9" t="s">
        <v>1891</v>
      </c>
      <c r="B629" s="10" t="s">
        <v>13</v>
      </c>
      <c r="C629" s="11" t="s">
        <v>1892</v>
      </c>
      <c r="D629" s="11" t="s">
        <v>34</v>
      </c>
      <c r="E629" s="11" t="s">
        <v>66</v>
      </c>
      <c r="F629" s="12" t="s">
        <v>104</v>
      </c>
      <c r="G629" s="10">
        <v>4</v>
      </c>
      <c r="H629" s="10" t="s">
        <v>18</v>
      </c>
      <c r="I629" s="12" t="s">
        <v>104</v>
      </c>
      <c r="J629" s="11" t="s">
        <v>1893</v>
      </c>
      <c r="K629" s="11" t="s">
        <v>44</v>
      </c>
      <c r="L629" s="13" t="s">
        <v>26</v>
      </c>
    </row>
    <row r="630" spans="1:12" ht="15" customHeight="1" x14ac:dyDescent="0.35">
      <c r="A630" s="14" t="s">
        <v>1894</v>
      </c>
      <c r="B630" s="15" t="s">
        <v>13</v>
      </c>
      <c r="C630" s="16" t="s">
        <v>1895</v>
      </c>
      <c r="D630" s="16" t="s">
        <v>15</v>
      </c>
      <c r="E630" s="16" t="s">
        <v>35</v>
      </c>
      <c r="F630" s="17" t="s">
        <v>66</v>
      </c>
      <c r="G630" s="15">
        <v>3</v>
      </c>
      <c r="H630" s="15" t="s">
        <v>18</v>
      </c>
      <c r="I630" s="17" t="s">
        <v>66</v>
      </c>
      <c r="J630" s="16" t="s">
        <v>1896</v>
      </c>
      <c r="K630" s="16" t="s">
        <v>25</v>
      </c>
      <c r="L630" s="18" t="s">
        <v>21</v>
      </c>
    </row>
    <row r="631" spans="1:12" ht="15" customHeight="1" x14ac:dyDescent="0.35">
      <c r="A631" s="19" t="s">
        <v>1897</v>
      </c>
      <c r="B631" s="20" t="s">
        <v>13</v>
      </c>
      <c r="C631" s="21" t="s">
        <v>1898</v>
      </c>
      <c r="D631" s="21" t="s">
        <v>34</v>
      </c>
      <c r="E631" s="21" t="s">
        <v>453</v>
      </c>
      <c r="F631" s="22" t="s">
        <v>62</v>
      </c>
      <c r="G631" s="20">
        <v>15</v>
      </c>
      <c r="H631" s="20" t="s">
        <v>18</v>
      </c>
      <c r="I631" s="22" t="s">
        <v>62</v>
      </c>
      <c r="J631" s="21" t="s">
        <v>1899</v>
      </c>
      <c r="K631" s="21" t="s">
        <v>25</v>
      </c>
      <c r="L631" s="23" t="s">
        <v>21</v>
      </c>
    </row>
    <row r="632" spans="1:12" ht="15" customHeight="1" x14ac:dyDescent="0.35">
      <c r="A632" s="24" t="s">
        <v>1900</v>
      </c>
      <c r="B632" s="24" t="s">
        <v>13</v>
      </c>
      <c r="C632" s="24" t="s">
        <v>1901</v>
      </c>
      <c r="D632" s="24" t="s">
        <v>34</v>
      </c>
      <c r="E632" s="24" t="s">
        <v>252</v>
      </c>
      <c r="F632" s="25" t="s">
        <v>52</v>
      </c>
      <c r="G632" s="24">
        <v>19</v>
      </c>
      <c r="H632" s="24" t="s">
        <v>42</v>
      </c>
      <c r="I632" s="25"/>
      <c r="J632" s="24" t="s">
        <v>1902</v>
      </c>
      <c r="K632" s="24" t="s">
        <v>130</v>
      </c>
      <c r="L632" s="24" t="s">
        <v>21</v>
      </c>
    </row>
    <row r="633" spans="1:12" ht="15" customHeight="1" x14ac:dyDescent="0.35">
      <c r="A633" s="26" t="s">
        <v>1903</v>
      </c>
      <c r="B633" s="27" t="s">
        <v>13</v>
      </c>
      <c r="C633" s="28" t="s">
        <v>1904</v>
      </c>
      <c r="D633" s="28" t="s">
        <v>90</v>
      </c>
      <c r="E633" s="28" t="s">
        <v>62</v>
      </c>
      <c r="F633" s="29" t="s">
        <v>23</v>
      </c>
      <c r="G633" s="27">
        <v>6</v>
      </c>
      <c r="H633" s="27" t="s">
        <v>18</v>
      </c>
      <c r="I633" s="29" t="s">
        <v>23</v>
      </c>
      <c r="J633" s="28" t="s">
        <v>1905</v>
      </c>
      <c r="K633" s="28" t="s">
        <v>25</v>
      </c>
      <c r="L633" s="30" t="s">
        <v>26</v>
      </c>
    </row>
    <row r="634" spans="1:12" ht="15" customHeight="1" x14ac:dyDescent="0.35">
      <c r="A634" s="14" t="s">
        <v>1906</v>
      </c>
      <c r="B634" s="15" t="s">
        <v>13</v>
      </c>
      <c r="C634" s="16" t="s">
        <v>1907</v>
      </c>
      <c r="D634" s="16" t="s">
        <v>15</v>
      </c>
      <c r="E634" s="16" t="s">
        <v>29</v>
      </c>
      <c r="F634" s="17" t="s">
        <v>97</v>
      </c>
      <c r="G634" s="15">
        <v>1</v>
      </c>
      <c r="H634" s="15" t="s">
        <v>18</v>
      </c>
      <c r="I634" s="17" t="s">
        <v>97</v>
      </c>
      <c r="J634" s="16" t="s">
        <v>1066</v>
      </c>
      <c r="K634" s="16" t="s">
        <v>25</v>
      </c>
      <c r="L634" s="18" t="s">
        <v>26</v>
      </c>
    </row>
    <row r="635" spans="1:12" ht="15" customHeight="1" x14ac:dyDescent="0.35">
      <c r="A635" s="9" t="s">
        <v>1908</v>
      </c>
      <c r="B635" s="10" t="s">
        <v>13</v>
      </c>
      <c r="C635" s="11" t="s">
        <v>1909</v>
      </c>
      <c r="D635" s="11" t="s">
        <v>15</v>
      </c>
      <c r="E635" s="11" t="s">
        <v>104</v>
      </c>
      <c r="F635" s="12" t="s">
        <v>30</v>
      </c>
      <c r="G635" s="10">
        <v>11</v>
      </c>
      <c r="H635" s="10" t="s">
        <v>18</v>
      </c>
      <c r="I635" s="12" t="s">
        <v>30</v>
      </c>
      <c r="J635" s="11" t="s">
        <v>1910</v>
      </c>
      <c r="K635" s="11" t="s">
        <v>25</v>
      </c>
      <c r="L635" s="13" t="s">
        <v>21</v>
      </c>
    </row>
    <row r="636" spans="1:12" ht="15" customHeight="1" x14ac:dyDescent="0.35">
      <c r="A636" s="31" t="s">
        <v>1911</v>
      </c>
      <c r="B636" s="32" t="s">
        <v>13</v>
      </c>
      <c r="C636" s="33" t="s">
        <v>1912</v>
      </c>
      <c r="D636" s="33" t="s">
        <v>34</v>
      </c>
      <c r="E636" s="33" t="s">
        <v>133</v>
      </c>
      <c r="F636" s="34" t="s">
        <v>30</v>
      </c>
      <c r="G636" s="32">
        <v>11</v>
      </c>
      <c r="H636" s="32" t="s">
        <v>18</v>
      </c>
      <c r="I636" s="34" t="s">
        <v>17</v>
      </c>
      <c r="J636" s="33" t="s">
        <v>1913</v>
      </c>
      <c r="K636" s="33" t="s">
        <v>44</v>
      </c>
      <c r="L636" s="35" t="s">
        <v>26</v>
      </c>
    </row>
    <row r="637" spans="1:12" ht="15" customHeight="1" x14ac:dyDescent="0.35">
      <c r="A637" s="36" t="s">
        <v>1914</v>
      </c>
      <c r="B637" s="36" t="s">
        <v>13</v>
      </c>
      <c r="C637" s="36" t="s">
        <v>1915</v>
      </c>
      <c r="D637" s="36" t="s">
        <v>34</v>
      </c>
      <c r="E637" s="36" t="s">
        <v>133</v>
      </c>
      <c r="F637" s="37" t="s">
        <v>52</v>
      </c>
      <c r="G637" s="36">
        <v>9</v>
      </c>
      <c r="H637" s="36" t="s">
        <v>109</v>
      </c>
      <c r="I637" s="37"/>
      <c r="J637" s="36" t="s">
        <v>1916</v>
      </c>
      <c r="K637" s="36" t="s">
        <v>44</v>
      </c>
      <c r="L637" s="36" t="s">
        <v>21</v>
      </c>
    </row>
    <row r="638" spans="1:12" ht="15" customHeight="1" x14ac:dyDescent="0.35">
      <c r="A638" s="38" t="s">
        <v>1917</v>
      </c>
      <c r="B638" s="39" t="s">
        <v>13</v>
      </c>
      <c r="C638" s="40" t="s">
        <v>1918</v>
      </c>
      <c r="D638" s="40" t="s">
        <v>34</v>
      </c>
      <c r="E638" s="40" t="s">
        <v>178</v>
      </c>
      <c r="F638" s="41" t="s">
        <v>133</v>
      </c>
      <c r="G638" s="39">
        <v>5</v>
      </c>
      <c r="H638" s="39" t="s">
        <v>18</v>
      </c>
      <c r="I638" s="41" t="s">
        <v>133</v>
      </c>
      <c r="J638" s="40" t="s">
        <v>1919</v>
      </c>
      <c r="K638" s="40" t="s">
        <v>130</v>
      </c>
      <c r="L638" s="42" t="s">
        <v>21</v>
      </c>
    </row>
    <row r="639" spans="1:12" ht="15" customHeight="1" x14ac:dyDescent="0.35">
      <c r="A639" s="19" t="s">
        <v>1920</v>
      </c>
      <c r="B639" s="20" t="s">
        <v>13</v>
      </c>
      <c r="C639" s="21" t="s">
        <v>1921</v>
      </c>
      <c r="D639" s="21" t="s">
        <v>15</v>
      </c>
      <c r="E639" s="21" t="s">
        <v>252</v>
      </c>
      <c r="F639" s="22" t="s">
        <v>62</v>
      </c>
      <c r="G639" s="20">
        <v>12</v>
      </c>
      <c r="H639" s="20" t="s">
        <v>18</v>
      </c>
      <c r="I639" s="22" t="s">
        <v>62</v>
      </c>
      <c r="J639" s="21" t="s">
        <v>1922</v>
      </c>
      <c r="K639" s="21" t="s">
        <v>25</v>
      </c>
      <c r="L639" s="23" t="s">
        <v>21</v>
      </c>
    </row>
    <row r="640" spans="1:12" ht="15" customHeight="1" x14ac:dyDescent="0.35">
      <c r="A640" s="24" t="s">
        <v>1923</v>
      </c>
      <c r="B640" s="24" t="s">
        <v>13</v>
      </c>
      <c r="C640" s="24" t="s">
        <v>1924</v>
      </c>
      <c r="D640" s="24" t="s">
        <v>34</v>
      </c>
      <c r="E640" s="24" t="s">
        <v>275</v>
      </c>
      <c r="F640" s="25" t="s">
        <v>118</v>
      </c>
      <c r="G640" s="24">
        <v>18</v>
      </c>
      <c r="H640" s="24" t="s">
        <v>109</v>
      </c>
      <c r="I640" s="25"/>
      <c r="J640" s="24" t="s">
        <v>1925</v>
      </c>
      <c r="K640" s="24" t="s">
        <v>130</v>
      </c>
      <c r="L640" s="24" t="s">
        <v>21</v>
      </c>
    </row>
    <row r="641" spans="1:12" ht="15" customHeight="1" x14ac:dyDescent="0.35">
      <c r="A641" s="26" t="s">
        <v>1923</v>
      </c>
      <c r="B641" s="27" t="s">
        <v>13</v>
      </c>
      <c r="C641" s="28" t="s">
        <v>1924</v>
      </c>
      <c r="D641" s="28" t="s">
        <v>34</v>
      </c>
      <c r="E641" s="28" t="s">
        <v>275</v>
      </c>
      <c r="F641" s="29" t="s">
        <v>23</v>
      </c>
      <c r="G641" s="27">
        <v>22</v>
      </c>
      <c r="H641" s="27" t="s">
        <v>18</v>
      </c>
      <c r="I641" s="29" t="s">
        <v>23</v>
      </c>
      <c r="J641" s="28" t="s">
        <v>1925</v>
      </c>
      <c r="K641" s="28" t="s">
        <v>130</v>
      </c>
      <c r="L641" s="30" t="s">
        <v>21</v>
      </c>
    </row>
    <row r="642" spans="1:12" ht="15" customHeight="1" x14ac:dyDescent="0.35">
      <c r="A642" s="14" t="s">
        <v>1926</v>
      </c>
      <c r="B642" s="15" t="s">
        <v>13</v>
      </c>
      <c r="C642" s="16" t="s">
        <v>1927</v>
      </c>
      <c r="D642" s="16" t="s">
        <v>34</v>
      </c>
      <c r="E642" s="16" t="s">
        <v>252</v>
      </c>
      <c r="F642" s="17" t="s">
        <v>29</v>
      </c>
      <c r="G642" s="15">
        <v>12</v>
      </c>
      <c r="H642" s="15" t="s">
        <v>18</v>
      </c>
      <c r="I642" s="17" t="s">
        <v>29</v>
      </c>
      <c r="J642" s="16" t="s">
        <v>1928</v>
      </c>
      <c r="K642" s="16" t="s">
        <v>130</v>
      </c>
      <c r="L642" s="18" t="s">
        <v>21</v>
      </c>
    </row>
    <row r="643" spans="1:12" ht="15" customHeight="1" x14ac:dyDescent="0.35">
      <c r="A643" s="9" t="s">
        <v>1929</v>
      </c>
      <c r="B643" s="10" t="s">
        <v>13</v>
      </c>
      <c r="C643" s="11" t="s">
        <v>1930</v>
      </c>
      <c r="D643" s="11" t="s">
        <v>34</v>
      </c>
      <c r="E643" s="11" t="s">
        <v>36</v>
      </c>
      <c r="F643" s="12" t="s">
        <v>30</v>
      </c>
      <c r="G643" s="10">
        <v>4</v>
      </c>
      <c r="H643" s="10" t="s">
        <v>18</v>
      </c>
      <c r="I643" s="12" t="s">
        <v>30</v>
      </c>
      <c r="J643" s="11" t="s">
        <v>1931</v>
      </c>
      <c r="K643" s="11" t="s">
        <v>115</v>
      </c>
      <c r="L643" s="13" t="s">
        <v>21</v>
      </c>
    </row>
    <row r="644" spans="1:12" ht="15" customHeight="1" x14ac:dyDescent="0.35">
      <c r="A644" s="14" t="s">
        <v>1932</v>
      </c>
      <c r="B644" s="15" t="s">
        <v>13</v>
      </c>
      <c r="C644" s="16" t="s">
        <v>1933</v>
      </c>
      <c r="D644" s="16" t="s">
        <v>34</v>
      </c>
      <c r="E644" s="16" t="s">
        <v>66</v>
      </c>
      <c r="F644" s="17" t="s">
        <v>133</v>
      </c>
      <c r="G644" s="15">
        <v>2</v>
      </c>
      <c r="H644" s="15" t="s">
        <v>18</v>
      </c>
      <c r="I644" s="17" t="s">
        <v>133</v>
      </c>
      <c r="J644" s="16" t="s">
        <v>1934</v>
      </c>
      <c r="K644" s="16" t="s">
        <v>44</v>
      </c>
      <c r="L644" s="18" t="s">
        <v>26</v>
      </c>
    </row>
    <row r="645" spans="1:12" ht="15" customHeight="1" x14ac:dyDescent="0.35">
      <c r="A645" s="9" t="s">
        <v>1935</v>
      </c>
      <c r="B645" s="10" t="s">
        <v>13</v>
      </c>
      <c r="C645" s="11" t="s">
        <v>1936</v>
      </c>
      <c r="D645" s="11" t="s">
        <v>34</v>
      </c>
      <c r="E645" s="11" t="s">
        <v>23</v>
      </c>
      <c r="F645" s="12" t="s">
        <v>52</v>
      </c>
      <c r="G645" s="10">
        <v>1</v>
      </c>
      <c r="H645" s="10" t="s">
        <v>18</v>
      </c>
      <c r="I645" s="12" t="s">
        <v>52</v>
      </c>
      <c r="J645" s="11" t="s">
        <v>1937</v>
      </c>
      <c r="K645" s="11" t="s">
        <v>25</v>
      </c>
      <c r="L645" s="13" t="s">
        <v>21</v>
      </c>
    </row>
    <row r="646" spans="1:12" ht="15" customHeight="1" x14ac:dyDescent="0.35">
      <c r="A646" s="14" t="s">
        <v>1938</v>
      </c>
      <c r="B646" s="15" t="s">
        <v>13</v>
      </c>
      <c r="C646" s="16" t="s">
        <v>1939</v>
      </c>
      <c r="D646" s="16" t="s">
        <v>34</v>
      </c>
      <c r="E646" s="16" t="s">
        <v>149</v>
      </c>
      <c r="F646" s="17" t="s">
        <v>23</v>
      </c>
      <c r="G646" s="15">
        <v>16</v>
      </c>
      <c r="H646" s="15" t="s">
        <v>18</v>
      </c>
      <c r="I646" s="17" t="s">
        <v>23</v>
      </c>
      <c r="J646" s="16" t="s">
        <v>1940</v>
      </c>
      <c r="K646" s="16" t="s">
        <v>115</v>
      </c>
      <c r="L646" s="18" t="s">
        <v>21</v>
      </c>
    </row>
    <row r="647" spans="1:12" ht="15" customHeight="1" x14ac:dyDescent="0.35">
      <c r="A647" s="9" t="s">
        <v>1941</v>
      </c>
      <c r="B647" s="10" t="s">
        <v>13</v>
      </c>
      <c r="C647" s="11" t="s">
        <v>1942</v>
      </c>
      <c r="D647" s="11" t="s">
        <v>34</v>
      </c>
      <c r="E647" s="11" t="s">
        <v>66</v>
      </c>
      <c r="F647" s="12" t="s">
        <v>133</v>
      </c>
      <c r="G647" s="10">
        <v>3</v>
      </c>
      <c r="H647" s="10" t="s">
        <v>18</v>
      </c>
      <c r="I647" s="12" t="s">
        <v>133</v>
      </c>
      <c r="J647" s="11" t="s">
        <v>1943</v>
      </c>
      <c r="K647" s="11" t="s">
        <v>44</v>
      </c>
      <c r="L647" s="13" t="s">
        <v>21</v>
      </c>
    </row>
    <row r="648" spans="1:12" ht="15" customHeight="1" x14ac:dyDescent="0.35">
      <c r="A648" s="14" t="s">
        <v>1944</v>
      </c>
      <c r="B648" s="15" t="s">
        <v>13</v>
      </c>
      <c r="C648" s="16" t="s">
        <v>1945</v>
      </c>
      <c r="D648" s="16" t="s">
        <v>90</v>
      </c>
      <c r="E648" s="16" t="s">
        <v>62</v>
      </c>
      <c r="F648" s="17" t="s">
        <v>37</v>
      </c>
      <c r="G648" s="15">
        <v>5</v>
      </c>
      <c r="H648" s="15" t="s">
        <v>18</v>
      </c>
      <c r="I648" s="17" t="s">
        <v>113</v>
      </c>
      <c r="J648" s="16" t="s">
        <v>1946</v>
      </c>
      <c r="K648" s="16" t="s">
        <v>39</v>
      </c>
      <c r="L648" s="18" t="s">
        <v>21</v>
      </c>
    </row>
    <row r="649" spans="1:12" ht="15" customHeight="1" x14ac:dyDescent="0.35">
      <c r="A649" s="9" t="s">
        <v>1947</v>
      </c>
      <c r="B649" s="10" t="s">
        <v>13</v>
      </c>
      <c r="C649" s="11" t="s">
        <v>1948</v>
      </c>
      <c r="D649" s="11" t="s">
        <v>34</v>
      </c>
      <c r="E649" s="11" t="s">
        <v>51</v>
      </c>
      <c r="F649" s="12" t="s">
        <v>29</v>
      </c>
      <c r="G649" s="10">
        <v>4</v>
      </c>
      <c r="H649" s="10" t="s">
        <v>18</v>
      </c>
      <c r="I649" s="12" t="s">
        <v>97</v>
      </c>
      <c r="J649" s="11" t="s">
        <v>1949</v>
      </c>
      <c r="K649" s="11" t="s">
        <v>44</v>
      </c>
      <c r="L649" s="13" t="s">
        <v>26</v>
      </c>
    </row>
    <row r="650" spans="1:12" ht="15" customHeight="1" x14ac:dyDescent="0.35">
      <c r="A650" s="14" t="s">
        <v>1950</v>
      </c>
      <c r="B650" s="15" t="s">
        <v>13</v>
      </c>
      <c r="C650" s="16" t="s">
        <v>1951</v>
      </c>
      <c r="D650" s="16" t="s">
        <v>34</v>
      </c>
      <c r="E650" s="16" t="s">
        <v>51</v>
      </c>
      <c r="F650" s="17" t="s">
        <v>29</v>
      </c>
      <c r="G650" s="15">
        <v>4</v>
      </c>
      <c r="H650" s="15" t="s">
        <v>18</v>
      </c>
      <c r="I650" s="17" t="s">
        <v>29</v>
      </c>
      <c r="J650" s="16" t="s">
        <v>1952</v>
      </c>
      <c r="K650" s="16" t="s">
        <v>44</v>
      </c>
      <c r="L650" s="18" t="s">
        <v>26</v>
      </c>
    </row>
    <row r="651" spans="1:12" ht="15" customHeight="1" x14ac:dyDescent="0.35">
      <c r="A651" s="9" t="s">
        <v>1953</v>
      </c>
      <c r="B651" s="10" t="s">
        <v>13</v>
      </c>
      <c r="C651" s="11" t="s">
        <v>1954</v>
      </c>
      <c r="D651" s="11" t="s">
        <v>34</v>
      </c>
      <c r="E651" s="11" t="s">
        <v>51</v>
      </c>
      <c r="F651" s="12" t="s">
        <v>29</v>
      </c>
      <c r="G651" s="10">
        <v>3</v>
      </c>
      <c r="H651" s="10" t="s">
        <v>18</v>
      </c>
      <c r="I651" s="12" t="s">
        <v>29</v>
      </c>
      <c r="J651" s="11" t="s">
        <v>1955</v>
      </c>
      <c r="K651" s="11" t="s">
        <v>130</v>
      </c>
      <c r="L651" s="13" t="s">
        <v>21</v>
      </c>
    </row>
    <row r="652" spans="1:12" ht="15" customHeight="1" x14ac:dyDescent="0.35">
      <c r="A652" s="14" t="s">
        <v>1956</v>
      </c>
      <c r="B652" s="15" t="s">
        <v>13</v>
      </c>
      <c r="C652" s="16" t="s">
        <v>1957</v>
      </c>
      <c r="D652" s="16" t="s">
        <v>34</v>
      </c>
      <c r="E652" s="16" t="s">
        <v>118</v>
      </c>
      <c r="F652" s="17" t="s">
        <v>52</v>
      </c>
      <c r="G652" s="15">
        <v>5</v>
      </c>
      <c r="H652" s="15" t="s">
        <v>18</v>
      </c>
      <c r="I652" s="17" t="s">
        <v>70</v>
      </c>
      <c r="J652" s="16" t="s">
        <v>1958</v>
      </c>
      <c r="K652" s="16" t="s">
        <v>44</v>
      </c>
      <c r="L652" s="18" t="s">
        <v>21</v>
      </c>
    </row>
    <row r="653" spans="1:12" ht="15" customHeight="1" x14ac:dyDescent="0.35">
      <c r="A653" s="9" t="s">
        <v>1959</v>
      </c>
      <c r="B653" s="10" t="s">
        <v>13</v>
      </c>
      <c r="C653" s="11" t="s">
        <v>1960</v>
      </c>
      <c r="D653" s="11" t="s">
        <v>15</v>
      </c>
      <c r="E653" s="11" t="s">
        <v>37</v>
      </c>
      <c r="F653" s="12" t="s">
        <v>52</v>
      </c>
      <c r="G653" s="10">
        <v>2</v>
      </c>
      <c r="H653" s="10" t="s">
        <v>18</v>
      </c>
      <c r="I653" s="12" t="s">
        <v>30</v>
      </c>
      <c r="J653" s="11" t="s">
        <v>1961</v>
      </c>
      <c r="K653" s="11" t="s">
        <v>25</v>
      </c>
      <c r="L653" s="13" t="s">
        <v>26</v>
      </c>
    </row>
    <row r="654" spans="1:12" ht="15" customHeight="1" x14ac:dyDescent="0.35">
      <c r="A654" s="14" t="s">
        <v>1962</v>
      </c>
      <c r="B654" s="15" t="s">
        <v>13</v>
      </c>
      <c r="C654" s="16" t="s">
        <v>1963</v>
      </c>
      <c r="D654" s="16" t="s">
        <v>34</v>
      </c>
      <c r="E654" s="16" t="s">
        <v>97</v>
      </c>
      <c r="F654" s="17" t="s">
        <v>30</v>
      </c>
      <c r="G654" s="15">
        <v>6</v>
      </c>
      <c r="H654" s="15" t="s">
        <v>18</v>
      </c>
      <c r="I654" s="17" t="s">
        <v>30</v>
      </c>
      <c r="J654" s="16" t="s">
        <v>1964</v>
      </c>
      <c r="K654" s="16" t="s">
        <v>115</v>
      </c>
      <c r="L654" s="18" t="s">
        <v>21</v>
      </c>
    </row>
    <row r="655" spans="1:12" ht="15" customHeight="1" x14ac:dyDescent="0.35">
      <c r="A655" s="9" t="s">
        <v>1965</v>
      </c>
      <c r="B655" s="10" t="s">
        <v>13</v>
      </c>
      <c r="C655" s="11" t="s">
        <v>1966</v>
      </c>
      <c r="D655" s="11" t="s">
        <v>34</v>
      </c>
      <c r="E655" s="11" t="s">
        <v>36</v>
      </c>
      <c r="F655" s="12" t="s">
        <v>113</v>
      </c>
      <c r="G655" s="10">
        <v>2</v>
      </c>
      <c r="H655" s="10" t="s">
        <v>18</v>
      </c>
      <c r="I655" s="12" t="s">
        <v>23</v>
      </c>
      <c r="J655" s="11" t="s">
        <v>1967</v>
      </c>
      <c r="K655" s="11" t="s">
        <v>72</v>
      </c>
      <c r="L655" s="13" t="s">
        <v>21</v>
      </c>
    </row>
    <row r="656" spans="1:12" ht="15" customHeight="1" x14ac:dyDescent="0.35">
      <c r="A656" s="14" t="s">
        <v>1968</v>
      </c>
      <c r="B656" s="15" t="s">
        <v>13</v>
      </c>
      <c r="C656" s="16" t="s">
        <v>1969</v>
      </c>
      <c r="D656" s="16" t="s">
        <v>34</v>
      </c>
      <c r="E656" s="16" t="s">
        <v>97</v>
      </c>
      <c r="F656" s="17" t="s">
        <v>52</v>
      </c>
      <c r="G656" s="15">
        <v>5</v>
      </c>
      <c r="H656" s="15" t="s">
        <v>18</v>
      </c>
      <c r="I656" s="17" t="s">
        <v>52</v>
      </c>
      <c r="J656" s="16" t="s">
        <v>1970</v>
      </c>
      <c r="K656" s="16" t="s">
        <v>25</v>
      </c>
      <c r="L656" s="18" t="s">
        <v>21</v>
      </c>
    </row>
    <row r="657" spans="1:12" ht="15" customHeight="1" x14ac:dyDescent="0.35">
      <c r="A657" s="9" t="s">
        <v>1971</v>
      </c>
      <c r="B657" s="10" t="s">
        <v>13</v>
      </c>
      <c r="C657" s="11" t="s">
        <v>1972</v>
      </c>
      <c r="D657" s="11" t="s">
        <v>34</v>
      </c>
      <c r="E657" s="11" t="s">
        <v>178</v>
      </c>
      <c r="F657" s="12" t="s">
        <v>62</v>
      </c>
      <c r="G657" s="10">
        <v>8</v>
      </c>
      <c r="H657" s="10" t="s">
        <v>18</v>
      </c>
      <c r="I657" s="12" t="s">
        <v>97</v>
      </c>
      <c r="J657" s="11" t="s">
        <v>1973</v>
      </c>
      <c r="K657" s="11" t="s">
        <v>130</v>
      </c>
      <c r="L657" s="13" t="s">
        <v>26</v>
      </c>
    </row>
    <row r="658" spans="1:12" ht="15" customHeight="1" x14ac:dyDescent="0.35">
      <c r="A658" s="31" t="s">
        <v>1974</v>
      </c>
      <c r="B658" s="32" t="s">
        <v>13</v>
      </c>
      <c r="C658" s="33" t="s">
        <v>1975</v>
      </c>
      <c r="D658" s="33" t="s">
        <v>34</v>
      </c>
      <c r="E658" s="33" t="s">
        <v>82</v>
      </c>
      <c r="F658" s="34" t="s">
        <v>62</v>
      </c>
      <c r="G658" s="32">
        <v>7</v>
      </c>
      <c r="H658" s="32" t="s">
        <v>18</v>
      </c>
      <c r="I658" s="34" t="s">
        <v>97</v>
      </c>
      <c r="J658" s="33" t="s">
        <v>1976</v>
      </c>
      <c r="K658" s="33" t="s">
        <v>130</v>
      </c>
      <c r="L658" s="35" t="s">
        <v>21</v>
      </c>
    </row>
    <row r="659" spans="1:12" ht="15" customHeight="1" x14ac:dyDescent="0.35">
      <c r="A659" s="36" t="s">
        <v>1977</v>
      </c>
      <c r="B659" s="36" t="s">
        <v>13</v>
      </c>
      <c r="C659" s="36" t="s">
        <v>1978</v>
      </c>
      <c r="D659" s="36" t="s">
        <v>15</v>
      </c>
      <c r="E659" s="36" t="s">
        <v>62</v>
      </c>
      <c r="F659" s="37" t="s">
        <v>37</v>
      </c>
      <c r="G659" s="36">
        <v>4</v>
      </c>
      <c r="H659" s="36" t="s">
        <v>42</v>
      </c>
      <c r="I659" s="37"/>
      <c r="J659" s="36" t="s">
        <v>371</v>
      </c>
      <c r="K659" s="36" t="s">
        <v>25</v>
      </c>
      <c r="L659" s="36" t="s">
        <v>26</v>
      </c>
    </row>
    <row r="660" spans="1:12" ht="15" customHeight="1" x14ac:dyDescent="0.35">
      <c r="A660" s="38" t="s">
        <v>1979</v>
      </c>
      <c r="B660" s="39" t="s">
        <v>13</v>
      </c>
      <c r="C660" s="40" t="s">
        <v>1980</v>
      </c>
      <c r="D660" s="40" t="s">
        <v>34</v>
      </c>
      <c r="E660" s="40" t="s">
        <v>62</v>
      </c>
      <c r="F660" s="41" t="s">
        <v>113</v>
      </c>
      <c r="G660" s="39">
        <v>5</v>
      </c>
      <c r="H660" s="39" t="s">
        <v>18</v>
      </c>
      <c r="I660" s="41" t="s">
        <v>23</v>
      </c>
      <c r="J660" s="40" t="s">
        <v>1981</v>
      </c>
      <c r="K660" s="40" t="s">
        <v>44</v>
      </c>
      <c r="L660" s="42" t="s">
        <v>21</v>
      </c>
    </row>
    <row r="661" spans="1:12" ht="15" customHeight="1" x14ac:dyDescent="0.35">
      <c r="A661" s="9" t="s">
        <v>1982</v>
      </c>
      <c r="B661" s="10" t="s">
        <v>13</v>
      </c>
      <c r="C661" s="11" t="s">
        <v>1983</v>
      </c>
      <c r="D661" s="11" t="s">
        <v>34</v>
      </c>
      <c r="E661" s="11" t="s">
        <v>66</v>
      </c>
      <c r="F661" s="12" t="s">
        <v>133</v>
      </c>
      <c r="G661" s="10">
        <v>3</v>
      </c>
      <c r="H661" s="10" t="s">
        <v>18</v>
      </c>
      <c r="I661" s="12" t="s">
        <v>133</v>
      </c>
      <c r="J661" s="11" t="s">
        <v>1984</v>
      </c>
      <c r="K661" s="11" t="s">
        <v>130</v>
      </c>
      <c r="L661" s="13" t="s">
        <v>21</v>
      </c>
    </row>
    <row r="662" spans="1:12" ht="15" customHeight="1" x14ac:dyDescent="0.35">
      <c r="A662" s="14" t="s">
        <v>1985</v>
      </c>
      <c r="B662" s="15" t="s">
        <v>13</v>
      </c>
      <c r="C662" s="16" t="s">
        <v>1986</v>
      </c>
      <c r="D662" s="16" t="s">
        <v>15</v>
      </c>
      <c r="E662" s="16" t="s">
        <v>244</v>
      </c>
      <c r="F662" s="17" t="s">
        <v>97</v>
      </c>
      <c r="G662" s="15">
        <v>15</v>
      </c>
      <c r="H662" s="15" t="s">
        <v>18</v>
      </c>
      <c r="I662" s="17" t="s">
        <v>97</v>
      </c>
      <c r="J662" s="16" t="s">
        <v>1987</v>
      </c>
      <c r="K662" s="16" t="s">
        <v>25</v>
      </c>
      <c r="L662" s="18" t="s">
        <v>21</v>
      </c>
    </row>
    <row r="663" spans="1:12" ht="15" customHeight="1" x14ac:dyDescent="0.35">
      <c r="A663" s="19" t="s">
        <v>1988</v>
      </c>
      <c r="B663" s="20" t="s">
        <v>13</v>
      </c>
      <c r="C663" s="21" t="s">
        <v>1989</v>
      </c>
      <c r="D663" s="21" t="s">
        <v>34</v>
      </c>
      <c r="E663" s="21" t="s">
        <v>51</v>
      </c>
      <c r="F663" s="22" t="s">
        <v>29</v>
      </c>
      <c r="G663" s="20">
        <v>4</v>
      </c>
      <c r="H663" s="20" t="s">
        <v>18</v>
      </c>
      <c r="I663" s="22" t="s">
        <v>29</v>
      </c>
      <c r="J663" s="21" t="s">
        <v>1990</v>
      </c>
      <c r="K663" s="21" t="s">
        <v>130</v>
      </c>
      <c r="L663" s="23" t="s">
        <v>26</v>
      </c>
    </row>
    <row r="664" spans="1:12" ht="15" customHeight="1" x14ac:dyDescent="0.35">
      <c r="A664" s="24" t="s">
        <v>1991</v>
      </c>
      <c r="B664" s="24" t="s">
        <v>13</v>
      </c>
      <c r="C664" s="24" t="s">
        <v>1992</v>
      </c>
      <c r="D664" s="24" t="s">
        <v>34</v>
      </c>
      <c r="E664" s="24" t="s">
        <v>51</v>
      </c>
      <c r="F664" s="25" t="s">
        <v>37</v>
      </c>
      <c r="G664" s="24">
        <v>9</v>
      </c>
      <c r="H664" s="24" t="s">
        <v>42</v>
      </c>
      <c r="I664" s="25"/>
      <c r="J664" s="24" t="s">
        <v>1993</v>
      </c>
      <c r="K664" s="24" t="s">
        <v>25</v>
      </c>
      <c r="L664" s="24" t="s">
        <v>21</v>
      </c>
    </row>
    <row r="665" spans="1:12" ht="15" customHeight="1" x14ac:dyDescent="0.35">
      <c r="A665" s="26" t="s">
        <v>1994</v>
      </c>
      <c r="B665" s="27" t="s">
        <v>13</v>
      </c>
      <c r="C665" s="28" t="s">
        <v>1995</v>
      </c>
      <c r="D665" s="28" t="s">
        <v>34</v>
      </c>
      <c r="E665" s="28" t="s">
        <v>133</v>
      </c>
      <c r="F665" s="29" t="s">
        <v>97</v>
      </c>
      <c r="G665" s="27">
        <v>3</v>
      </c>
      <c r="H665" s="27" t="s">
        <v>18</v>
      </c>
      <c r="I665" s="29" t="s">
        <v>97</v>
      </c>
      <c r="J665" s="28" t="s">
        <v>1996</v>
      </c>
      <c r="K665" s="28" t="s">
        <v>20</v>
      </c>
      <c r="L665" s="30" t="s">
        <v>21</v>
      </c>
    </row>
    <row r="666" spans="1:12" ht="15" customHeight="1" x14ac:dyDescent="0.35">
      <c r="A666" s="14" t="s">
        <v>1997</v>
      </c>
      <c r="B666" s="15" t="s">
        <v>13</v>
      </c>
      <c r="C666" s="16" t="s">
        <v>1998</v>
      </c>
      <c r="D666" s="16" t="s">
        <v>15</v>
      </c>
      <c r="E666" s="16" t="s">
        <v>149</v>
      </c>
      <c r="F666" s="17" t="s">
        <v>113</v>
      </c>
      <c r="G666" s="15">
        <v>15</v>
      </c>
      <c r="H666" s="15" t="s">
        <v>18</v>
      </c>
      <c r="I666" s="17" t="s">
        <v>113</v>
      </c>
      <c r="J666" s="16" t="s">
        <v>1999</v>
      </c>
      <c r="K666" s="16" t="s">
        <v>25</v>
      </c>
      <c r="L666" s="18" t="s">
        <v>21</v>
      </c>
    </row>
    <row r="667" spans="1:12" ht="15" customHeight="1" x14ac:dyDescent="0.35">
      <c r="A667" s="9" t="s">
        <v>2000</v>
      </c>
      <c r="B667" s="10" t="s">
        <v>13</v>
      </c>
      <c r="C667" s="11" t="s">
        <v>2001</v>
      </c>
      <c r="D667" s="11" t="s">
        <v>90</v>
      </c>
      <c r="E667" s="11" t="s">
        <v>35</v>
      </c>
      <c r="F667" s="12" t="s">
        <v>97</v>
      </c>
      <c r="G667" s="10">
        <v>11</v>
      </c>
      <c r="H667" s="10" t="s">
        <v>18</v>
      </c>
      <c r="I667" s="12" t="s">
        <v>118</v>
      </c>
      <c r="J667" s="11" t="s">
        <v>2002</v>
      </c>
      <c r="K667" s="11" t="s">
        <v>195</v>
      </c>
      <c r="L667" s="13" t="s">
        <v>21</v>
      </c>
    </row>
    <row r="668" spans="1:12" ht="15" customHeight="1" x14ac:dyDescent="0.35">
      <c r="A668" s="31" t="s">
        <v>2003</v>
      </c>
      <c r="B668" s="32" t="s">
        <v>13</v>
      </c>
      <c r="C668" s="33" t="s">
        <v>2004</v>
      </c>
      <c r="D668" s="33" t="s">
        <v>34</v>
      </c>
      <c r="E668" s="33" t="s">
        <v>35</v>
      </c>
      <c r="F668" s="34" t="s">
        <v>133</v>
      </c>
      <c r="G668" s="32">
        <v>6</v>
      </c>
      <c r="H668" s="32" t="s">
        <v>18</v>
      </c>
      <c r="I668" s="34" t="s">
        <v>133</v>
      </c>
      <c r="J668" s="33" t="s">
        <v>2005</v>
      </c>
      <c r="K668" s="33" t="s">
        <v>130</v>
      </c>
      <c r="L668" s="35" t="s">
        <v>21</v>
      </c>
    </row>
    <row r="669" spans="1:12" ht="15" customHeight="1" x14ac:dyDescent="0.35">
      <c r="A669" s="36" t="s">
        <v>2006</v>
      </c>
      <c r="B669" s="36" t="s">
        <v>13</v>
      </c>
      <c r="C669" s="36" t="s">
        <v>2007</v>
      </c>
      <c r="D669" s="36" t="s">
        <v>34</v>
      </c>
      <c r="E669" s="36" t="s">
        <v>62</v>
      </c>
      <c r="F669" s="37" t="s">
        <v>30</v>
      </c>
      <c r="G669" s="36">
        <v>7</v>
      </c>
      <c r="H669" s="36" t="s">
        <v>109</v>
      </c>
      <c r="I669" s="37"/>
      <c r="J669" s="36" t="s">
        <v>2008</v>
      </c>
      <c r="K669" s="36" t="s">
        <v>115</v>
      </c>
      <c r="L669" s="36" t="s">
        <v>21</v>
      </c>
    </row>
    <row r="670" spans="1:12" ht="15" customHeight="1" x14ac:dyDescent="0.35">
      <c r="A670" s="38" t="s">
        <v>2009</v>
      </c>
      <c r="B670" s="39" t="s">
        <v>13</v>
      </c>
      <c r="C670" s="40" t="s">
        <v>2010</v>
      </c>
      <c r="D670" s="40" t="s">
        <v>34</v>
      </c>
      <c r="E670" s="40" t="s">
        <v>104</v>
      </c>
      <c r="F670" s="41" t="s">
        <v>17</v>
      </c>
      <c r="G670" s="39">
        <v>11</v>
      </c>
      <c r="H670" s="39" t="s">
        <v>18</v>
      </c>
      <c r="I670" s="41" t="s">
        <v>17</v>
      </c>
      <c r="J670" s="40" t="s">
        <v>1139</v>
      </c>
      <c r="K670" s="40" t="s">
        <v>130</v>
      </c>
      <c r="L670" s="42" t="s">
        <v>21</v>
      </c>
    </row>
    <row r="671" spans="1:12" ht="15" customHeight="1" x14ac:dyDescent="0.35">
      <c r="A671" s="9" t="s">
        <v>2011</v>
      </c>
      <c r="B671" s="10" t="s">
        <v>13</v>
      </c>
      <c r="C671" s="11" t="s">
        <v>2012</v>
      </c>
      <c r="D671" s="11" t="s">
        <v>34</v>
      </c>
      <c r="E671" s="11" t="s">
        <v>29</v>
      </c>
      <c r="F671" s="12" t="s">
        <v>30</v>
      </c>
      <c r="G671" s="10">
        <v>9</v>
      </c>
      <c r="H671" s="10" t="s">
        <v>18</v>
      </c>
      <c r="I671" s="12" t="s">
        <v>17</v>
      </c>
      <c r="J671" s="11" t="s">
        <v>2013</v>
      </c>
      <c r="K671" s="11" t="s">
        <v>115</v>
      </c>
      <c r="L671" s="13" t="s">
        <v>21</v>
      </c>
    </row>
    <row r="672" spans="1:12" ht="15" customHeight="1" x14ac:dyDescent="0.35">
      <c r="A672" s="31" t="s">
        <v>2014</v>
      </c>
      <c r="B672" s="32" t="s">
        <v>13</v>
      </c>
      <c r="C672" s="33" t="s">
        <v>2015</v>
      </c>
      <c r="D672" s="33" t="s">
        <v>34</v>
      </c>
      <c r="E672" s="33" t="s">
        <v>51</v>
      </c>
      <c r="F672" s="34" t="s">
        <v>30</v>
      </c>
      <c r="G672" s="32">
        <v>13</v>
      </c>
      <c r="H672" s="32" t="s">
        <v>18</v>
      </c>
      <c r="I672" s="34" t="s">
        <v>30</v>
      </c>
      <c r="J672" s="33" t="s">
        <v>2016</v>
      </c>
      <c r="K672" s="33" t="s">
        <v>44</v>
      </c>
      <c r="L672" s="35" t="s">
        <v>26</v>
      </c>
    </row>
    <row r="673" spans="1:12" ht="15" customHeight="1" x14ac:dyDescent="0.35">
      <c r="A673" s="36" t="s">
        <v>2017</v>
      </c>
      <c r="B673" s="36" t="s">
        <v>13</v>
      </c>
      <c r="C673" s="36" t="s">
        <v>2018</v>
      </c>
      <c r="D673" s="36" t="s">
        <v>34</v>
      </c>
      <c r="E673" s="36" t="s">
        <v>29</v>
      </c>
      <c r="F673" s="37" t="s">
        <v>118</v>
      </c>
      <c r="G673" s="36">
        <v>2</v>
      </c>
      <c r="H673" s="36" t="s">
        <v>109</v>
      </c>
      <c r="I673" s="37"/>
      <c r="J673" s="36" t="s">
        <v>2019</v>
      </c>
      <c r="K673" s="36" t="s">
        <v>115</v>
      </c>
      <c r="L673" s="36" t="s">
        <v>21</v>
      </c>
    </row>
    <row r="674" spans="1:12" ht="15" customHeight="1" x14ac:dyDescent="0.35">
      <c r="A674" s="24" t="s">
        <v>2020</v>
      </c>
      <c r="B674" s="24" t="s">
        <v>13</v>
      </c>
      <c r="C674" s="24" t="s">
        <v>2021</v>
      </c>
      <c r="D674" s="24" t="s">
        <v>78</v>
      </c>
      <c r="E674" s="24" t="s">
        <v>62</v>
      </c>
      <c r="F674" s="25" t="s">
        <v>97</v>
      </c>
      <c r="G674" s="24">
        <v>1</v>
      </c>
      <c r="H674" s="24" t="s">
        <v>109</v>
      </c>
      <c r="I674" s="25"/>
      <c r="J674" s="24" t="s">
        <v>2022</v>
      </c>
      <c r="K674" s="24" t="s">
        <v>39</v>
      </c>
      <c r="L674" s="24" t="s">
        <v>21</v>
      </c>
    </row>
    <row r="675" spans="1:12" ht="15" customHeight="1" x14ac:dyDescent="0.35">
      <c r="A675" s="36" t="s">
        <v>2023</v>
      </c>
      <c r="B675" s="36" t="s">
        <v>13</v>
      </c>
      <c r="C675" s="36" t="s">
        <v>2024</v>
      </c>
      <c r="D675" s="36" t="s">
        <v>34</v>
      </c>
      <c r="E675" s="36" t="s">
        <v>29</v>
      </c>
      <c r="F675" s="37" t="s">
        <v>36</v>
      </c>
      <c r="G675" s="36">
        <v>3</v>
      </c>
      <c r="H675" s="36" t="s">
        <v>109</v>
      </c>
      <c r="I675" s="37"/>
      <c r="J675" s="36" t="s">
        <v>2025</v>
      </c>
      <c r="K675" s="36" t="s">
        <v>115</v>
      </c>
      <c r="L675" s="36" t="s">
        <v>21</v>
      </c>
    </row>
    <row r="676" spans="1:12" ht="15" customHeight="1" x14ac:dyDescent="0.35">
      <c r="A676" s="38" t="s">
        <v>2026</v>
      </c>
      <c r="B676" s="39" t="s">
        <v>13</v>
      </c>
      <c r="C676" s="40" t="s">
        <v>2027</v>
      </c>
      <c r="D676" s="40" t="s">
        <v>34</v>
      </c>
      <c r="E676" s="40" t="s">
        <v>37</v>
      </c>
      <c r="F676" s="41" t="s">
        <v>30</v>
      </c>
      <c r="G676" s="39">
        <v>4</v>
      </c>
      <c r="H676" s="39" t="s">
        <v>18</v>
      </c>
      <c r="I676" s="41" t="s">
        <v>30</v>
      </c>
      <c r="J676" s="40" t="s">
        <v>2028</v>
      </c>
      <c r="K676" s="40" t="s">
        <v>115</v>
      </c>
      <c r="L676" s="42" t="s">
        <v>21</v>
      </c>
    </row>
    <row r="677" spans="1:12" ht="15" customHeight="1" x14ac:dyDescent="0.35">
      <c r="A677" s="19" t="s">
        <v>2029</v>
      </c>
      <c r="B677" s="20" t="s">
        <v>13</v>
      </c>
      <c r="C677" s="21" t="s">
        <v>2030</v>
      </c>
      <c r="D677" s="21" t="s">
        <v>34</v>
      </c>
      <c r="E677" s="21" t="s">
        <v>97</v>
      </c>
      <c r="F677" s="22" t="s">
        <v>30</v>
      </c>
      <c r="G677" s="20">
        <v>7</v>
      </c>
      <c r="H677" s="20" t="s">
        <v>18</v>
      </c>
      <c r="I677" s="22" t="s">
        <v>30</v>
      </c>
      <c r="J677" s="21" t="s">
        <v>2031</v>
      </c>
      <c r="K677" s="21" t="s">
        <v>115</v>
      </c>
      <c r="L677" s="23" t="s">
        <v>26</v>
      </c>
    </row>
    <row r="678" spans="1:12" ht="15" customHeight="1" x14ac:dyDescent="0.35">
      <c r="A678" s="24" t="s">
        <v>2032</v>
      </c>
      <c r="B678" s="24" t="s">
        <v>13</v>
      </c>
      <c r="C678" s="24" t="s">
        <v>2033</v>
      </c>
      <c r="D678" s="24" t="s">
        <v>34</v>
      </c>
      <c r="E678" s="24" t="s">
        <v>66</v>
      </c>
      <c r="F678" s="25" t="s">
        <v>133</v>
      </c>
      <c r="G678" s="24">
        <v>3</v>
      </c>
      <c r="H678" s="24" t="s">
        <v>42</v>
      </c>
      <c r="I678" s="25"/>
      <c r="J678" s="24" t="s">
        <v>2034</v>
      </c>
      <c r="K678" s="24" t="s">
        <v>44</v>
      </c>
      <c r="L678" s="24" t="s">
        <v>21</v>
      </c>
    </row>
    <row r="679" spans="1:12" ht="15" customHeight="1" x14ac:dyDescent="0.35">
      <c r="A679" s="26" t="s">
        <v>2035</v>
      </c>
      <c r="B679" s="27" t="s">
        <v>13</v>
      </c>
      <c r="C679" s="28" t="s">
        <v>2036</v>
      </c>
      <c r="D679" s="28" t="s">
        <v>34</v>
      </c>
      <c r="E679" s="28" t="s">
        <v>29</v>
      </c>
      <c r="F679" s="29" t="s">
        <v>62</v>
      </c>
      <c r="G679" s="27">
        <v>2</v>
      </c>
      <c r="H679" s="27" t="s">
        <v>18</v>
      </c>
      <c r="I679" s="29" t="s">
        <v>62</v>
      </c>
      <c r="J679" s="28" t="s">
        <v>1290</v>
      </c>
      <c r="K679" s="28" t="s">
        <v>130</v>
      </c>
      <c r="L679" s="30" t="s">
        <v>26</v>
      </c>
    </row>
    <row r="680" spans="1:12" ht="15" customHeight="1" x14ac:dyDescent="0.35">
      <c r="A680" s="31" t="s">
        <v>2037</v>
      </c>
      <c r="B680" s="32" t="s">
        <v>13</v>
      </c>
      <c r="C680" s="33" t="s">
        <v>2038</v>
      </c>
      <c r="D680" s="33" t="s">
        <v>34</v>
      </c>
      <c r="E680" s="33" t="s">
        <v>133</v>
      </c>
      <c r="F680" s="34" t="s">
        <v>113</v>
      </c>
      <c r="G680" s="32">
        <v>8</v>
      </c>
      <c r="H680" s="32" t="s">
        <v>18</v>
      </c>
      <c r="I680" s="34" t="s">
        <v>113</v>
      </c>
      <c r="J680" s="33" t="s">
        <v>2039</v>
      </c>
      <c r="K680" s="33" t="s">
        <v>44</v>
      </c>
      <c r="L680" s="35" t="s">
        <v>21</v>
      </c>
    </row>
    <row r="681" spans="1:12" ht="15" customHeight="1" x14ac:dyDescent="0.35">
      <c r="A681" s="36" t="s">
        <v>2040</v>
      </c>
      <c r="B681" s="36" t="s">
        <v>13</v>
      </c>
      <c r="C681" s="36" t="s">
        <v>2041</v>
      </c>
      <c r="D681" s="36" t="s">
        <v>34</v>
      </c>
      <c r="E681" s="36" t="s">
        <v>165</v>
      </c>
      <c r="F681" s="37" t="s">
        <v>133</v>
      </c>
      <c r="G681" s="36">
        <v>15</v>
      </c>
      <c r="H681" s="36" t="s">
        <v>109</v>
      </c>
      <c r="I681" s="37"/>
      <c r="J681" s="36" t="s">
        <v>2042</v>
      </c>
      <c r="K681" s="36" t="s">
        <v>25</v>
      </c>
      <c r="L681" s="36" t="s">
        <v>21</v>
      </c>
    </row>
    <row r="682" spans="1:12" ht="15" customHeight="1" x14ac:dyDescent="0.35">
      <c r="A682" s="38" t="s">
        <v>2040</v>
      </c>
      <c r="B682" s="39" t="s">
        <v>13</v>
      </c>
      <c r="C682" s="40" t="s">
        <v>2041</v>
      </c>
      <c r="D682" s="40" t="s">
        <v>34</v>
      </c>
      <c r="E682" s="40" t="s">
        <v>165</v>
      </c>
      <c r="F682" s="41" t="s">
        <v>52</v>
      </c>
      <c r="G682" s="39">
        <v>24</v>
      </c>
      <c r="H682" s="39" t="s">
        <v>18</v>
      </c>
      <c r="I682" s="41" t="s">
        <v>52</v>
      </c>
      <c r="J682" s="40" t="s">
        <v>2042</v>
      </c>
      <c r="K682" s="40" t="s">
        <v>25</v>
      </c>
      <c r="L682" s="42" t="s">
        <v>21</v>
      </c>
    </row>
    <row r="683" spans="1:12" ht="15" customHeight="1" x14ac:dyDescent="0.35">
      <c r="A683" s="9" t="s">
        <v>2043</v>
      </c>
      <c r="B683" s="10" t="s">
        <v>13</v>
      </c>
      <c r="C683" s="11" t="s">
        <v>2044</v>
      </c>
      <c r="D683" s="11" t="s">
        <v>34</v>
      </c>
      <c r="E683" s="11" t="s">
        <v>97</v>
      </c>
      <c r="F683" s="12" t="s">
        <v>36</v>
      </c>
      <c r="G683" s="10">
        <v>2</v>
      </c>
      <c r="H683" s="10" t="s">
        <v>18</v>
      </c>
      <c r="I683" s="12" t="s">
        <v>36</v>
      </c>
      <c r="J683" s="11" t="s">
        <v>1582</v>
      </c>
      <c r="K683" s="11" t="s">
        <v>44</v>
      </c>
      <c r="L683" s="13" t="s">
        <v>21</v>
      </c>
    </row>
    <row r="684" spans="1:12" ht="15" customHeight="1" x14ac:dyDescent="0.35">
      <c r="A684" s="14" t="s">
        <v>2045</v>
      </c>
      <c r="B684" s="15" t="s">
        <v>13</v>
      </c>
      <c r="C684" s="16" t="s">
        <v>2046</v>
      </c>
      <c r="D684" s="16" t="s">
        <v>34</v>
      </c>
      <c r="E684" s="16" t="s">
        <v>29</v>
      </c>
      <c r="F684" s="17" t="s">
        <v>113</v>
      </c>
      <c r="G684" s="15">
        <v>6</v>
      </c>
      <c r="H684" s="15" t="s">
        <v>18</v>
      </c>
      <c r="I684" s="17" t="s">
        <v>30</v>
      </c>
      <c r="J684" s="16" t="s">
        <v>2047</v>
      </c>
      <c r="K684" s="16" t="s">
        <v>44</v>
      </c>
      <c r="L684" s="18" t="s">
        <v>21</v>
      </c>
    </row>
    <row r="685" spans="1:12" ht="15" customHeight="1" x14ac:dyDescent="0.35">
      <c r="A685" s="9" t="s">
        <v>2048</v>
      </c>
      <c r="B685" s="10" t="s">
        <v>13</v>
      </c>
      <c r="C685" s="11" t="s">
        <v>2049</v>
      </c>
      <c r="D685" s="11" t="s">
        <v>34</v>
      </c>
      <c r="E685" s="11" t="s">
        <v>29</v>
      </c>
      <c r="F685" s="12" t="s">
        <v>52</v>
      </c>
      <c r="G685" s="10">
        <v>8</v>
      </c>
      <c r="H685" s="10" t="s">
        <v>18</v>
      </c>
      <c r="I685" s="12" t="s">
        <v>70</v>
      </c>
      <c r="J685" s="11" t="s">
        <v>2050</v>
      </c>
      <c r="K685" s="11" t="s">
        <v>115</v>
      </c>
      <c r="L685" s="13" t="s">
        <v>21</v>
      </c>
    </row>
    <row r="686" spans="1:12" ht="15" customHeight="1" x14ac:dyDescent="0.35">
      <c r="A686" s="14" t="s">
        <v>2051</v>
      </c>
      <c r="B686" s="15" t="s">
        <v>13</v>
      </c>
      <c r="C686" s="16" t="s">
        <v>2052</v>
      </c>
      <c r="D686" s="16" t="s">
        <v>34</v>
      </c>
      <c r="E686" s="16" t="s">
        <v>104</v>
      </c>
      <c r="F686" s="17" t="s">
        <v>52</v>
      </c>
      <c r="G686" s="15">
        <v>9</v>
      </c>
      <c r="H686" s="15" t="s">
        <v>18</v>
      </c>
      <c r="I686" s="17" t="s">
        <v>17</v>
      </c>
      <c r="J686" s="16" t="s">
        <v>2053</v>
      </c>
      <c r="K686" s="16" t="s">
        <v>115</v>
      </c>
      <c r="L686" s="18" t="s">
        <v>21</v>
      </c>
    </row>
    <row r="687" spans="1:12" ht="15" customHeight="1" x14ac:dyDescent="0.35">
      <c r="A687" s="19" t="s">
        <v>2054</v>
      </c>
      <c r="B687" s="20" t="s">
        <v>13</v>
      </c>
      <c r="C687" s="21" t="s">
        <v>2055</v>
      </c>
      <c r="D687" s="21" t="s">
        <v>34</v>
      </c>
      <c r="E687" s="21" t="s">
        <v>275</v>
      </c>
      <c r="F687" s="22" t="s">
        <v>17</v>
      </c>
      <c r="G687" s="20">
        <v>25</v>
      </c>
      <c r="H687" s="20" t="s">
        <v>18</v>
      </c>
      <c r="I687" s="22" t="s">
        <v>17</v>
      </c>
      <c r="J687" s="21" t="s">
        <v>2056</v>
      </c>
      <c r="K687" s="21" t="s">
        <v>241</v>
      </c>
      <c r="L687" s="23" t="s">
        <v>21</v>
      </c>
    </row>
    <row r="688" spans="1:12" ht="15" customHeight="1" x14ac:dyDescent="0.35">
      <c r="A688" s="24" t="s">
        <v>2057</v>
      </c>
      <c r="B688" s="24" t="s">
        <v>13</v>
      </c>
      <c r="C688" s="24" t="s">
        <v>2058</v>
      </c>
      <c r="D688" s="24" t="s">
        <v>90</v>
      </c>
      <c r="E688" s="24" t="s">
        <v>118</v>
      </c>
      <c r="F688" s="25" t="s">
        <v>70</v>
      </c>
      <c r="G688" s="24">
        <v>8</v>
      </c>
      <c r="H688" s="24" t="s">
        <v>42</v>
      </c>
      <c r="I688" s="25"/>
      <c r="J688" s="24" t="s">
        <v>2059</v>
      </c>
      <c r="K688" s="24" t="s">
        <v>25</v>
      </c>
      <c r="L688" s="24" t="s">
        <v>26</v>
      </c>
    </row>
    <row r="689" spans="1:12" ht="15" customHeight="1" x14ac:dyDescent="0.35">
      <c r="A689" s="26" t="s">
        <v>2060</v>
      </c>
      <c r="B689" s="27" t="s">
        <v>13</v>
      </c>
      <c r="C689" s="28" t="s">
        <v>2061</v>
      </c>
      <c r="D689" s="28" t="s">
        <v>34</v>
      </c>
      <c r="E689" s="28" t="s">
        <v>29</v>
      </c>
      <c r="F689" s="29" t="s">
        <v>37</v>
      </c>
      <c r="G689" s="27">
        <v>4</v>
      </c>
      <c r="H689" s="27" t="s">
        <v>18</v>
      </c>
      <c r="I689" s="29" t="s">
        <v>37</v>
      </c>
      <c r="J689" s="28" t="s">
        <v>1110</v>
      </c>
      <c r="K689" s="28" t="s">
        <v>44</v>
      </c>
      <c r="L689" s="30" t="s">
        <v>26</v>
      </c>
    </row>
    <row r="690" spans="1:12" ht="15" customHeight="1" x14ac:dyDescent="0.35">
      <c r="A690" s="14" t="s">
        <v>2062</v>
      </c>
      <c r="B690" s="15" t="s">
        <v>13</v>
      </c>
      <c r="C690" s="16" t="s">
        <v>2063</v>
      </c>
      <c r="D690" s="16" t="s">
        <v>34</v>
      </c>
      <c r="E690" s="16" t="s">
        <v>2064</v>
      </c>
      <c r="F690" s="17" t="s">
        <v>97</v>
      </c>
      <c r="G690" s="15">
        <v>32</v>
      </c>
      <c r="H690" s="15" t="s">
        <v>18</v>
      </c>
      <c r="I690" s="17" t="s">
        <v>97</v>
      </c>
      <c r="J690" s="16" t="s">
        <v>2065</v>
      </c>
      <c r="K690" s="16" t="s">
        <v>25</v>
      </c>
      <c r="L690" s="18" t="s">
        <v>21</v>
      </c>
    </row>
    <row r="691" spans="1:12" ht="15" customHeight="1" x14ac:dyDescent="0.35">
      <c r="A691" s="9" t="s">
        <v>2066</v>
      </c>
      <c r="B691" s="10" t="s">
        <v>13</v>
      </c>
      <c r="C691" s="11" t="s">
        <v>2067</v>
      </c>
      <c r="D691" s="11" t="s">
        <v>34</v>
      </c>
      <c r="E691" s="11" t="s">
        <v>133</v>
      </c>
      <c r="F691" s="12" t="s">
        <v>118</v>
      </c>
      <c r="G691" s="10">
        <v>5</v>
      </c>
      <c r="H691" s="10" t="s">
        <v>18</v>
      </c>
      <c r="I691" s="12" t="s">
        <v>118</v>
      </c>
      <c r="J691" s="11" t="s">
        <v>2068</v>
      </c>
      <c r="K691" s="11" t="s">
        <v>115</v>
      </c>
      <c r="L691" s="13" t="s">
        <v>26</v>
      </c>
    </row>
    <row r="692" spans="1:12" ht="15" customHeight="1" x14ac:dyDescent="0.35">
      <c r="A692" s="31" t="s">
        <v>2069</v>
      </c>
      <c r="B692" s="32" t="s">
        <v>13</v>
      </c>
      <c r="C692" s="33" t="s">
        <v>2070</v>
      </c>
      <c r="D692" s="33" t="s">
        <v>34</v>
      </c>
      <c r="E692" s="33" t="s">
        <v>66</v>
      </c>
      <c r="F692" s="34" t="s">
        <v>133</v>
      </c>
      <c r="G692" s="32">
        <v>3</v>
      </c>
      <c r="H692" s="32" t="s">
        <v>18</v>
      </c>
      <c r="I692" s="34" t="s">
        <v>133</v>
      </c>
      <c r="J692" s="33" t="s">
        <v>2071</v>
      </c>
      <c r="K692" s="33" t="s">
        <v>44</v>
      </c>
      <c r="L692" s="35" t="s">
        <v>21</v>
      </c>
    </row>
    <row r="693" spans="1:12" ht="15" customHeight="1" x14ac:dyDescent="0.35">
      <c r="A693" s="36" t="s">
        <v>2072</v>
      </c>
      <c r="B693" s="36" t="s">
        <v>13</v>
      </c>
      <c r="C693" s="36" t="s">
        <v>2073</v>
      </c>
      <c r="D693" s="36" t="s">
        <v>78</v>
      </c>
      <c r="E693" s="36" t="s">
        <v>252</v>
      </c>
      <c r="F693" s="37" t="s">
        <v>37</v>
      </c>
      <c r="G693" s="36">
        <v>16</v>
      </c>
      <c r="H693" s="36" t="s">
        <v>42</v>
      </c>
      <c r="I693" s="37"/>
      <c r="J693" s="36" t="s">
        <v>2074</v>
      </c>
      <c r="K693" s="36" t="s">
        <v>25</v>
      </c>
      <c r="L693" s="36" t="s">
        <v>21</v>
      </c>
    </row>
    <row r="694" spans="1:12" ht="15" customHeight="1" x14ac:dyDescent="0.35">
      <c r="A694" s="38" t="s">
        <v>2075</v>
      </c>
      <c r="B694" s="39" t="s">
        <v>13</v>
      </c>
      <c r="C694" s="40" t="s">
        <v>2076</v>
      </c>
      <c r="D694" s="40" t="s">
        <v>34</v>
      </c>
      <c r="E694" s="40" t="s">
        <v>62</v>
      </c>
      <c r="F694" s="41" t="s">
        <v>62</v>
      </c>
      <c r="G694" s="39">
        <v>0</v>
      </c>
      <c r="H694" s="39" t="s">
        <v>18</v>
      </c>
      <c r="I694" s="41" t="s">
        <v>62</v>
      </c>
      <c r="J694" s="40" t="s">
        <v>2077</v>
      </c>
      <c r="K694" s="40" t="s">
        <v>115</v>
      </c>
      <c r="L694" s="42" t="s">
        <v>26</v>
      </c>
    </row>
    <row r="695" spans="1:12" ht="15" customHeight="1" x14ac:dyDescent="0.35">
      <c r="A695" s="9" t="s">
        <v>2078</v>
      </c>
      <c r="B695" s="10" t="s">
        <v>13</v>
      </c>
      <c r="C695" s="11" t="s">
        <v>2079</v>
      </c>
      <c r="D695" s="11" t="s">
        <v>34</v>
      </c>
      <c r="E695" s="11" t="s">
        <v>118</v>
      </c>
      <c r="F695" s="12" t="s">
        <v>113</v>
      </c>
      <c r="G695" s="10">
        <v>3</v>
      </c>
      <c r="H695" s="10" t="s">
        <v>18</v>
      </c>
      <c r="I695" s="12" t="s">
        <v>30</v>
      </c>
      <c r="J695" s="11" t="s">
        <v>2080</v>
      </c>
      <c r="K695" s="11" t="s">
        <v>115</v>
      </c>
      <c r="L695" s="13" t="s">
        <v>21</v>
      </c>
    </row>
    <row r="696" spans="1:12" ht="15" customHeight="1" x14ac:dyDescent="0.35">
      <c r="A696" s="14" t="s">
        <v>2081</v>
      </c>
      <c r="B696" s="15" t="s">
        <v>13</v>
      </c>
      <c r="C696" s="16" t="s">
        <v>2082</v>
      </c>
      <c r="D696" s="16" t="s">
        <v>15</v>
      </c>
      <c r="E696" s="16" t="s">
        <v>62</v>
      </c>
      <c r="F696" s="17" t="s">
        <v>113</v>
      </c>
      <c r="G696" s="15">
        <v>5</v>
      </c>
      <c r="H696" s="15" t="s">
        <v>18</v>
      </c>
      <c r="I696" s="17" t="s">
        <v>23</v>
      </c>
      <c r="J696" s="16" t="s">
        <v>2083</v>
      </c>
      <c r="K696" s="16" t="s">
        <v>25</v>
      </c>
      <c r="L696" s="18" t="s">
        <v>21</v>
      </c>
    </row>
    <row r="697" spans="1:12" ht="15" customHeight="1" x14ac:dyDescent="0.35">
      <c r="A697" s="9" t="s">
        <v>2084</v>
      </c>
      <c r="B697" s="10" t="s">
        <v>13</v>
      </c>
      <c r="C697" s="11" t="s">
        <v>2085</v>
      </c>
      <c r="D697" s="11" t="s">
        <v>34</v>
      </c>
      <c r="E697" s="11" t="s">
        <v>51</v>
      </c>
      <c r="F697" s="12" t="s">
        <v>29</v>
      </c>
      <c r="G697" s="10">
        <v>4</v>
      </c>
      <c r="H697" s="10" t="s">
        <v>18</v>
      </c>
      <c r="I697" s="12" t="s">
        <v>29</v>
      </c>
      <c r="J697" s="11" t="s">
        <v>2086</v>
      </c>
      <c r="K697" s="11" t="s">
        <v>44</v>
      </c>
      <c r="L697" s="13" t="s">
        <v>26</v>
      </c>
    </row>
    <row r="698" spans="1:12" ht="15" customHeight="1" x14ac:dyDescent="0.35">
      <c r="A698" s="14" t="s">
        <v>2087</v>
      </c>
      <c r="B698" s="15" t="s">
        <v>13</v>
      </c>
      <c r="C698" s="16" t="s">
        <v>2088</v>
      </c>
      <c r="D698" s="16" t="s">
        <v>34</v>
      </c>
      <c r="E698" s="16" t="s">
        <v>23</v>
      </c>
      <c r="F698" s="17" t="s">
        <v>17</v>
      </c>
      <c r="G698" s="15">
        <v>4</v>
      </c>
      <c r="H698" s="15" t="s">
        <v>18</v>
      </c>
      <c r="I698" s="17" t="s">
        <v>70</v>
      </c>
      <c r="J698" s="16" t="s">
        <v>2089</v>
      </c>
      <c r="K698" s="16" t="s">
        <v>72</v>
      </c>
      <c r="L698" s="18" t="s">
        <v>21</v>
      </c>
    </row>
    <row r="699" spans="1:12" ht="15" customHeight="1" x14ac:dyDescent="0.35">
      <c r="A699" s="9" t="s">
        <v>2090</v>
      </c>
      <c r="B699" s="10" t="s">
        <v>13</v>
      </c>
      <c r="C699" s="11" t="s">
        <v>2091</v>
      </c>
      <c r="D699" s="11" t="s">
        <v>34</v>
      </c>
      <c r="E699" s="11" t="s">
        <v>453</v>
      </c>
      <c r="F699" s="12" t="s">
        <v>97</v>
      </c>
      <c r="G699" s="10">
        <v>16</v>
      </c>
      <c r="H699" s="10" t="s">
        <v>18</v>
      </c>
      <c r="I699" s="12" t="s">
        <v>37</v>
      </c>
      <c r="J699" s="11" t="s">
        <v>1704</v>
      </c>
      <c r="K699" s="11" t="s">
        <v>130</v>
      </c>
      <c r="L699" s="13" t="s">
        <v>21</v>
      </c>
    </row>
    <row r="700" spans="1:12" ht="15" customHeight="1" x14ac:dyDescent="0.35">
      <c r="A700" s="14" t="s">
        <v>2092</v>
      </c>
      <c r="B700" s="15" t="s">
        <v>13</v>
      </c>
      <c r="C700" s="16" t="s">
        <v>2093</v>
      </c>
      <c r="D700" s="16" t="s">
        <v>34</v>
      </c>
      <c r="E700" s="16" t="s">
        <v>178</v>
      </c>
      <c r="F700" s="17" t="s">
        <v>29</v>
      </c>
      <c r="G700" s="15">
        <v>6</v>
      </c>
      <c r="H700" s="15" t="s">
        <v>18</v>
      </c>
      <c r="I700" s="17" t="s">
        <v>29</v>
      </c>
      <c r="J700" s="16" t="s">
        <v>2094</v>
      </c>
      <c r="K700" s="16" t="s">
        <v>130</v>
      </c>
      <c r="L700" s="18" t="s">
        <v>21</v>
      </c>
    </row>
    <row r="701" spans="1:12" ht="15" customHeight="1" x14ac:dyDescent="0.35">
      <c r="A701" s="19" t="s">
        <v>2095</v>
      </c>
      <c r="B701" s="20" t="s">
        <v>13</v>
      </c>
      <c r="C701" s="21" t="s">
        <v>2096</v>
      </c>
      <c r="D701" s="21" t="s">
        <v>90</v>
      </c>
      <c r="E701" s="21" t="s">
        <v>62</v>
      </c>
      <c r="F701" s="22" t="s">
        <v>52</v>
      </c>
      <c r="G701" s="20">
        <v>7</v>
      </c>
      <c r="H701" s="20" t="s">
        <v>18</v>
      </c>
      <c r="I701" s="22" t="s">
        <v>30</v>
      </c>
      <c r="J701" s="21" t="s">
        <v>2097</v>
      </c>
      <c r="K701" s="21" t="s">
        <v>39</v>
      </c>
      <c r="L701" s="23" t="s">
        <v>21</v>
      </c>
    </row>
    <row r="702" spans="1:12" ht="15" customHeight="1" x14ac:dyDescent="0.35">
      <c r="A702" s="24" t="s">
        <v>2098</v>
      </c>
      <c r="B702" s="24" t="s">
        <v>13</v>
      </c>
      <c r="C702" s="24" t="s">
        <v>2099</v>
      </c>
      <c r="D702" s="24" t="s">
        <v>34</v>
      </c>
      <c r="E702" s="24" t="s">
        <v>62</v>
      </c>
      <c r="F702" s="25" t="s">
        <v>52</v>
      </c>
      <c r="G702" s="24">
        <v>7</v>
      </c>
      <c r="H702" s="24" t="s">
        <v>42</v>
      </c>
      <c r="I702" s="25"/>
      <c r="J702" s="24" t="s">
        <v>557</v>
      </c>
      <c r="K702" s="24" t="s">
        <v>115</v>
      </c>
      <c r="L702" s="24" t="s">
        <v>21</v>
      </c>
    </row>
    <row r="703" spans="1:12" ht="15" customHeight="1" x14ac:dyDescent="0.35">
      <c r="A703" s="26" t="s">
        <v>2100</v>
      </c>
      <c r="B703" s="27" t="s">
        <v>13</v>
      </c>
      <c r="C703" s="28" t="s">
        <v>2101</v>
      </c>
      <c r="D703" s="28" t="s">
        <v>34</v>
      </c>
      <c r="E703" s="28" t="s">
        <v>51</v>
      </c>
      <c r="F703" s="29" t="s">
        <v>29</v>
      </c>
      <c r="G703" s="27">
        <v>4</v>
      </c>
      <c r="H703" s="27" t="s">
        <v>18</v>
      </c>
      <c r="I703" s="29" t="s">
        <v>62</v>
      </c>
      <c r="J703" s="28" t="s">
        <v>2102</v>
      </c>
      <c r="K703" s="28" t="s">
        <v>25</v>
      </c>
      <c r="L703" s="30" t="s">
        <v>21</v>
      </c>
    </row>
    <row r="704" spans="1:12" ht="15" customHeight="1" x14ac:dyDescent="0.35">
      <c r="A704" s="14" t="s">
        <v>2103</v>
      </c>
      <c r="B704" s="15" t="s">
        <v>13</v>
      </c>
      <c r="C704" s="16" t="s">
        <v>2104</v>
      </c>
      <c r="D704" s="16" t="s">
        <v>34</v>
      </c>
      <c r="E704" s="16" t="s">
        <v>553</v>
      </c>
      <c r="F704" s="17" t="s">
        <v>133</v>
      </c>
      <c r="G704" s="15">
        <v>28</v>
      </c>
      <c r="H704" s="15" t="s">
        <v>18</v>
      </c>
      <c r="I704" s="17" t="s">
        <v>104</v>
      </c>
      <c r="J704" s="16" t="s">
        <v>2105</v>
      </c>
      <c r="K704" s="16" t="s">
        <v>25</v>
      </c>
      <c r="L704" s="18" t="s">
        <v>21</v>
      </c>
    </row>
    <row r="705" spans="1:12" ht="15" customHeight="1" x14ac:dyDescent="0.35">
      <c r="A705" s="9" t="s">
        <v>2106</v>
      </c>
      <c r="B705" s="10" t="s">
        <v>13</v>
      </c>
      <c r="C705" s="11" t="s">
        <v>2107</v>
      </c>
      <c r="D705" s="11" t="s">
        <v>34</v>
      </c>
      <c r="E705" s="11" t="s">
        <v>62</v>
      </c>
      <c r="F705" s="12" t="s">
        <v>52</v>
      </c>
      <c r="G705" s="10">
        <v>7</v>
      </c>
      <c r="H705" s="10" t="s">
        <v>18</v>
      </c>
      <c r="I705" s="12" t="s">
        <v>17</v>
      </c>
      <c r="J705" s="11" t="s">
        <v>2108</v>
      </c>
      <c r="K705" s="11" t="s">
        <v>115</v>
      </c>
      <c r="L705" s="13" t="s">
        <v>21</v>
      </c>
    </row>
    <row r="706" spans="1:12" ht="15" customHeight="1" x14ac:dyDescent="0.35">
      <c r="A706" s="14" t="s">
        <v>2109</v>
      </c>
      <c r="B706" s="15" t="s">
        <v>13</v>
      </c>
      <c r="C706" s="16" t="s">
        <v>2110</v>
      </c>
      <c r="D706" s="16" t="s">
        <v>34</v>
      </c>
      <c r="E706" s="16" t="s">
        <v>149</v>
      </c>
      <c r="F706" s="17" t="s">
        <v>29</v>
      </c>
      <c r="G706" s="15">
        <v>9</v>
      </c>
      <c r="H706" s="15" t="s">
        <v>18</v>
      </c>
      <c r="I706" s="17" t="s">
        <v>62</v>
      </c>
      <c r="J706" s="16" t="s">
        <v>2111</v>
      </c>
      <c r="K706" s="16" t="s">
        <v>130</v>
      </c>
      <c r="L706" s="18" t="s">
        <v>21</v>
      </c>
    </row>
    <row r="707" spans="1:12" ht="15" customHeight="1" x14ac:dyDescent="0.35">
      <c r="A707" s="9" t="s">
        <v>2112</v>
      </c>
      <c r="B707" s="10" t="s">
        <v>13</v>
      </c>
      <c r="C707" s="11" t="s">
        <v>2113</v>
      </c>
      <c r="D707" s="11" t="s">
        <v>34</v>
      </c>
      <c r="E707" s="11" t="s">
        <v>35</v>
      </c>
      <c r="F707" s="12" t="s">
        <v>29</v>
      </c>
      <c r="G707" s="10">
        <v>8</v>
      </c>
      <c r="H707" s="10" t="s">
        <v>18</v>
      </c>
      <c r="I707" s="12" t="s">
        <v>62</v>
      </c>
      <c r="J707" s="11" t="s">
        <v>2114</v>
      </c>
      <c r="K707" s="11" t="s">
        <v>130</v>
      </c>
      <c r="L707" s="13" t="s">
        <v>21</v>
      </c>
    </row>
    <row r="708" spans="1:12" ht="15" customHeight="1" x14ac:dyDescent="0.35">
      <c r="A708" s="14" t="s">
        <v>2115</v>
      </c>
      <c r="B708" s="15" t="s">
        <v>13</v>
      </c>
      <c r="C708" s="16" t="s">
        <v>2116</v>
      </c>
      <c r="D708" s="16" t="s">
        <v>34</v>
      </c>
      <c r="E708" s="16" t="s">
        <v>97</v>
      </c>
      <c r="F708" s="17" t="s">
        <v>52</v>
      </c>
      <c r="G708" s="15">
        <v>5</v>
      </c>
      <c r="H708" s="15" t="s">
        <v>18</v>
      </c>
      <c r="I708" s="17" t="s">
        <v>52</v>
      </c>
      <c r="J708" s="16" t="s">
        <v>2117</v>
      </c>
      <c r="K708" s="16" t="s">
        <v>25</v>
      </c>
      <c r="L708" s="18" t="s">
        <v>21</v>
      </c>
    </row>
    <row r="709" spans="1:12" ht="15" customHeight="1" x14ac:dyDescent="0.35">
      <c r="A709" s="9" t="s">
        <v>2118</v>
      </c>
      <c r="B709" s="10" t="s">
        <v>13</v>
      </c>
      <c r="C709" s="11" t="s">
        <v>2119</v>
      </c>
      <c r="D709" s="11" t="s">
        <v>34</v>
      </c>
      <c r="E709" s="11" t="s">
        <v>118</v>
      </c>
      <c r="F709" s="12" t="s">
        <v>52</v>
      </c>
      <c r="G709" s="10">
        <v>4</v>
      </c>
      <c r="H709" s="10" t="s">
        <v>18</v>
      </c>
      <c r="I709" s="12" t="s">
        <v>30</v>
      </c>
      <c r="J709" s="11" t="s">
        <v>2120</v>
      </c>
      <c r="K709" s="11" t="s">
        <v>115</v>
      </c>
      <c r="L709" s="13" t="s">
        <v>21</v>
      </c>
    </row>
    <row r="710" spans="1:12" ht="15" customHeight="1" x14ac:dyDescent="0.35">
      <c r="A710" s="31" t="s">
        <v>2121</v>
      </c>
      <c r="B710" s="32" t="s">
        <v>13</v>
      </c>
      <c r="C710" s="33" t="s">
        <v>2122</v>
      </c>
      <c r="D710" s="33" t="s">
        <v>34</v>
      </c>
      <c r="E710" s="33" t="s">
        <v>82</v>
      </c>
      <c r="F710" s="34" t="s">
        <v>47</v>
      </c>
      <c r="G710" s="32">
        <v>2</v>
      </c>
      <c r="H710" s="32" t="s">
        <v>18</v>
      </c>
      <c r="I710" s="34" t="s">
        <v>47</v>
      </c>
      <c r="J710" s="33" t="s">
        <v>2123</v>
      </c>
      <c r="K710" s="33" t="s">
        <v>130</v>
      </c>
      <c r="L710" s="35" t="s">
        <v>21</v>
      </c>
    </row>
    <row r="711" spans="1:12" ht="15" customHeight="1" x14ac:dyDescent="0.35">
      <c r="A711" s="36" t="s">
        <v>2124</v>
      </c>
      <c r="B711" s="36" t="s">
        <v>13</v>
      </c>
      <c r="C711" s="36" t="s">
        <v>2125</v>
      </c>
      <c r="D711" s="36" t="s">
        <v>34</v>
      </c>
      <c r="E711" s="36" t="s">
        <v>133</v>
      </c>
      <c r="F711" s="37" t="s">
        <v>97</v>
      </c>
      <c r="G711" s="36">
        <v>4</v>
      </c>
      <c r="H711" s="36" t="s">
        <v>109</v>
      </c>
      <c r="I711" s="37"/>
      <c r="J711" s="36" t="s">
        <v>2126</v>
      </c>
      <c r="K711" s="36" t="s">
        <v>130</v>
      </c>
      <c r="L711" s="36" t="s">
        <v>21</v>
      </c>
    </row>
    <row r="712" spans="1:12" ht="15" customHeight="1" x14ac:dyDescent="0.35">
      <c r="A712" s="24" t="s">
        <v>2127</v>
      </c>
      <c r="B712" s="24" t="s">
        <v>13</v>
      </c>
      <c r="C712" s="24" t="s">
        <v>2128</v>
      </c>
      <c r="D712" s="24" t="s">
        <v>15</v>
      </c>
      <c r="E712" s="24" t="s">
        <v>29</v>
      </c>
      <c r="F712" s="25" t="s">
        <v>70</v>
      </c>
      <c r="G712" s="24">
        <v>10</v>
      </c>
      <c r="H712" s="24" t="s">
        <v>42</v>
      </c>
      <c r="I712" s="25"/>
      <c r="J712" s="24" t="s">
        <v>2129</v>
      </c>
      <c r="K712" s="24" t="s">
        <v>25</v>
      </c>
      <c r="L712" s="24" t="s">
        <v>21</v>
      </c>
    </row>
    <row r="713" spans="1:12" ht="15" customHeight="1" x14ac:dyDescent="0.35">
      <c r="A713" s="26" t="s">
        <v>2130</v>
      </c>
      <c r="B713" s="27" t="s">
        <v>13</v>
      </c>
      <c r="C713" s="28" t="s">
        <v>2131</v>
      </c>
      <c r="D713" s="28" t="s">
        <v>34</v>
      </c>
      <c r="E713" s="28" t="s">
        <v>66</v>
      </c>
      <c r="F713" s="29" t="s">
        <v>36</v>
      </c>
      <c r="G713" s="27">
        <v>9</v>
      </c>
      <c r="H713" s="27" t="s">
        <v>18</v>
      </c>
      <c r="I713" s="29" t="s">
        <v>36</v>
      </c>
      <c r="J713" s="28" t="s">
        <v>2132</v>
      </c>
      <c r="K713" s="28" t="s">
        <v>130</v>
      </c>
      <c r="L713" s="30" t="s">
        <v>21</v>
      </c>
    </row>
    <row r="714" spans="1:12" ht="15" customHeight="1" x14ac:dyDescent="0.35">
      <c r="A714" s="31" t="s">
        <v>2133</v>
      </c>
      <c r="B714" s="32" t="s">
        <v>85</v>
      </c>
      <c r="C714" s="33" t="s">
        <v>2134</v>
      </c>
      <c r="D714" s="33" t="s">
        <v>34</v>
      </c>
      <c r="E714" s="33" t="s">
        <v>113</v>
      </c>
      <c r="F714" s="34" t="s">
        <v>30</v>
      </c>
      <c r="G714" s="32">
        <v>3</v>
      </c>
      <c r="H714" s="32" t="s">
        <v>18</v>
      </c>
      <c r="I714" s="34" t="s">
        <v>70</v>
      </c>
      <c r="J714" s="33" t="s">
        <v>2135</v>
      </c>
      <c r="K714" s="33" t="s">
        <v>130</v>
      </c>
      <c r="L714" s="35" t="s">
        <v>21</v>
      </c>
    </row>
    <row r="715" spans="1:12" ht="15" customHeight="1" x14ac:dyDescent="0.35">
      <c r="A715" s="36" t="s">
        <v>2136</v>
      </c>
      <c r="B715" s="36" t="s">
        <v>13</v>
      </c>
      <c r="C715" s="36" t="s">
        <v>2137</v>
      </c>
      <c r="D715" s="36" t="s">
        <v>34</v>
      </c>
      <c r="E715" s="36" t="s">
        <v>133</v>
      </c>
      <c r="F715" s="37" t="s">
        <v>37</v>
      </c>
      <c r="G715" s="36">
        <v>7</v>
      </c>
      <c r="H715" s="36" t="s">
        <v>42</v>
      </c>
      <c r="I715" s="37"/>
      <c r="J715" s="36" t="s">
        <v>2138</v>
      </c>
      <c r="K715" s="36" t="s">
        <v>115</v>
      </c>
      <c r="L715" s="36" t="s">
        <v>26</v>
      </c>
    </row>
    <row r="716" spans="1:12" ht="15" customHeight="1" x14ac:dyDescent="0.35">
      <c r="A716" s="48" t="s">
        <v>2139</v>
      </c>
      <c r="B716" s="49" t="s">
        <v>13</v>
      </c>
      <c r="C716" s="50" t="s">
        <v>2140</v>
      </c>
      <c r="D716" s="50" t="s">
        <v>34</v>
      </c>
      <c r="E716" s="50" t="s">
        <v>104</v>
      </c>
      <c r="F716" s="51" t="s">
        <v>62</v>
      </c>
      <c r="G716" s="49">
        <v>2</v>
      </c>
      <c r="H716" s="49" t="s">
        <v>18</v>
      </c>
      <c r="I716" s="51" t="s">
        <v>52</v>
      </c>
      <c r="J716" s="50" t="s">
        <v>2141</v>
      </c>
      <c r="K716" s="50" t="s">
        <v>44</v>
      </c>
      <c r="L716" s="52" t="s">
        <v>26</v>
      </c>
    </row>
    <row r="717" spans="1:12" ht="15" customHeight="1" x14ac:dyDescent="0.35">
      <c r="A717" s="36" t="s">
        <v>2142</v>
      </c>
      <c r="B717" s="36" t="s">
        <v>13</v>
      </c>
      <c r="C717" s="36" t="s">
        <v>2143</v>
      </c>
      <c r="D717" s="36" t="s">
        <v>34</v>
      </c>
      <c r="E717" s="36" t="s">
        <v>133</v>
      </c>
      <c r="F717" s="37" t="s">
        <v>97</v>
      </c>
      <c r="G717" s="36">
        <v>3</v>
      </c>
      <c r="H717" s="36" t="s">
        <v>42</v>
      </c>
      <c r="I717" s="37"/>
      <c r="J717" s="36" t="s">
        <v>2144</v>
      </c>
      <c r="K717" s="36" t="s">
        <v>44</v>
      </c>
      <c r="L717" s="36" t="s">
        <v>21</v>
      </c>
    </row>
    <row r="718" spans="1:12" ht="15" customHeight="1" x14ac:dyDescent="0.35">
      <c r="A718" s="48" t="s">
        <v>2145</v>
      </c>
      <c r="B718" s="49" t="s">
        <v>13</v>
      </c>
      <c r="C718" s="50" t="s">
        <v>2146</v>
      </c>
      <c r="D718" s="50" t="s">
        <v>15</v>
      </c>
      <c r="E718" s="50" t="s">
        <v>97</v>
      </c>
      <c r="F718" s="51" t="s">
        <v>23</v>
      </c>
      <c r="G718" s="49">
        <v>5</v>
      </c>
      <c r="H718" s="49" t="s">
        <v>18</v>
      </c>
      <c r="I718" s="51" t="s">
        <v>23</v>
      </c>
      <c r="J718" s="50" t="s">
        <v>2147</v>
      </c>
      <c r="K718" s="50" t="s">
        <v>25</v>
      </c>
      <c r="L718" s="52" t="s">
        <v>21</v>
      </c>
    </row>
    <row r="719" spans="1:12" ht="15" customHeight="1" x14ac:dyDescent="0.35">
      <c r="A719" s="36" t="s">
        <v>2148</v>
      </c>
      <c r="B719" s="36" t="s">
        <v>13</v>
      </c>
      <c r="C719" s="36" t="s">
        <v>2149</v>
      </c>
      <c r="D719" s="36" t="s">
        <v>90</v>
      </c>
      <c r="E719" s="36" t="s">
        <v>62</v>
      </c>
      <c r="F719" s="37" t="s">
        <v>36</v>
      </c>
      <c r="G719" s="36">
        <v>2</v>
      </c>
      <c r="H719" s="36" t="s">
        <v>109</v>
      </c>
      <c r="I719" s="37"/>
      <c r="J719" s="36" t="s">
        <v>2150</v>
      </c>
      <c r="K719" s="36" t="s">
        <v>39</v>
      </c>
      <c r="L719" s="36" t="s">
        <v>21</v>
      </c>
    </row>
    <row r="720" spans="1:12" ht="15" customHeight="1" x14ac:dyDescent="0.35">
      <c r="A720" s="24" t="s">
        <v>2148</v>
      </c>
      <c r="B720" s="24" t="s">
        <v>13</v>
      </c>
      <c r="C720" s="24" t="s">
        <v>2149</v>
      </c>
      <c r="D720" s="24" t="s">
        <v>90</v>
      </c>
      <c r="E720" s="24" t="s">
        <v>165</v>
      </c>
      <c r="F720" s="25" t="s">
        <v>70</v>
      </c>
      <c r="G720" s="24">
        <v>27</v>
      </c>
      <c r="H720" s="24" t="s">
        <v>42</v>
      </c>
      <c r="I720" s="25"/>
      <c r="J720" s="24" t="s">
        <v>2150</v>
      </c>
      <c r="K720" s="24" t="s">
        <v>39</v>
      </c>
      <c r="L720" s="24" t="s">
        <v>21</v>
      </c>
    </row>
    <row r="721" spans="1:12" ht="15" customHeight="1" x14ac:dyDescent="0.35">
      <c r="A721" s="36" t="s">
        <v>2151</v>
      </c>
      <c r="B721" s="36" t="s">
        <v>13</v>
      </c>
      <c r="C721" s="36" t="s">
        <v>2152</v>
      </c>
      <c r="D721" s="36" t="s">
        <v>34</v>
      </c>
      <c r="E721" s="36" t="s">
        <v>113</v>
      </c>
      <c r="F721" s="37" t="s">
        <v>23</v>
      </c>
      <c r="G721" s="36">
        <v>1</v>
      </c>
      <c r="H721" s="36" t="s">
        <v>42</v>
      </c>
      <c r="I721" s="37"/>
      <c r="J721" s="36" t="s">
        <v>2153</v>
      </c>
      <c r="K721" s="36" t="s">
        <v>25</v>
      </c>
      <c r="L721" s="36" t="s">
        <v>21</v>
      </c>
    </row>
    <row r="722" spans="1:12" ht="15" customHeight="1" x14ac:dyDescent="0.35">
      <c r="A722" s="38" t="s">
        <v>2154</v>
      </c>
      <c r="B722" s="39" t="s">
        <v>13</v>
      </c>
      <c r="C722" s="40" t="s">
        <v>2155</v>
      </c>
      <c r="D722" s="40" t="s">
        <v>34</v>
      </c>
      <c r="E722" s="40" t="s">
        <v>66</v>
      </c>
      <c r="F722" s="41" t="s">
        <v>62</v>
      </c>
      <c r="G722" s="39">
        <v>6</v>
      </c>
      <c r="H722" s="39" t="s">
        <v>18</v>
      </c>
      <c r="I722" s="41" t="s">
        <v>97</v>
      </c>
      <c r="J722" s="40" t="s">
        <v>2156</v>
      </c>
      <c r="K722" s="40" t="s">
        <v>130</v>
      </c>
      <c r="L722" s="42" t="s">
        <v>21</v>
      </c>
    </row>
    <row r="723" spans="1:12" ht="15" customHeight="1" x14ac:dyDescent="0.35">
      <c r="A723" s="19" t="s">
        <v>2157</v>
      </c>
      <c r="B723" s="20" t="s">
        <v>13</v>
      </c>
      <c r="C723" s="21" t="s">
        <v>2158</v>
      </c>
      <c r="D723" s="21" t="s">
        <v>34</v>
      </c>
      <c r="E723" s="21" t="s">
        <v>149</v>
      </c>
      <c r="F723" s="22" t="s">
        <v>23</v>
      </c>
      <c r="G723" s="20">
        <v>16</v>
      </c>
      <c r="H723" s="20" t="s">
        <v>18</v>
      </c>
      <c r="I723" s="22" t="s">
        <v>52</v>
      </c>
      <c r="J723" s="21" t="s">
        <v>2159</v>
      </c>
      <c r="K723" s="21" t="s">
        <v>115</v>
      </c>
      <c r="L723" s="23" t="s">
        <v>21</v>
      </c>
    </row>
    <row r="724" spans="1:12" ht="15" customHeight="1" x14ac:dyDescent="0.35">
      <c r="A724" s="24" t="s">
        <v>2160</v>
      </c>
      <c r="B724" s="24" t="s">
        <v>13</v>
      </c>
      <c r="C724" s="24" t="s">
        <v>2161</v>
      </c>
      <c r="D724" s="24" t="s">
        <v>34</v>
      </c>
      <c r="E724" s="24" t="s">
        <v>457</v>
      </c>
      <c r="F724" s="25" t="s">
        <v>104</v>
      </c>
      <c r="G724" s="24">
        <v>11</v>
      </c>
      <c r="H724" s="24" t="s">
        <v>109</v>
      </c>
      <c r="I724" s="25"/>
      <c r="J724" s="24" t="s">
        <v>2162</v>
      </c>
      <c r="K724" s="24" t="s">
        <v>130</v>
      </c>
      <c r="L724" s="24" t="s">
        <v>21</v>
      </c>
    </row>
    <row r="725" spans="1:12" ht="15" customHeight="1" x14ac:dyDescent="0.35">
      <c r="A725" s="36" t="s">
        <v>2163</v>
      </c>
      <c r="B725" s="36" t="s">
        <v>13</v>
      </c>
      <c r="C725" s="36" t="s">
        <v>2164</v>
      </c>
      <c r="D725" s="36" t="s">
        <v>34</v>
      </c>
      <c r="E725" s="36" t="s">
        <v>47</v>
      </c>
      <c r="F725" s="37" t="s">
        <v>23</v>
      </c>
      <c r="G725" s="36">
        <v>10</v>
      </c>
      <c r="H725" s="36" t="s">
        <v>109</v>
      </c>
      <c r="I725" s="37"/>
      <c r="J725" s="36" t="s">
        <v>2165</v>
      </c>
      <c r="K725" s="36" t="s">
        <v>44</v>
      </c>
      <c r="L725" s="36" t="s">
        <v>21</v>
      </c>
    </row>
    <row r="726" spans="1:12" ht="15" customHeight="1" x14ac:dyDescent="0.35">
      <c r="A726" s="24" t="s">
        <v>2166</v>
      </c>
      <c r="B726" s="24" t="s">
        <v>13</v>
      </c>
      <c r="C726" s="24" t="s">
        <v>2167</v>
      </c>
      <c r="D726" s="24" t="s">
        <v>34</v>
      </c>
      <c r="E726" s="24" t="s">
        <v>118</v>
      </c>
      <c r="F726" s="25" t="s">
        <v>37</v>
      </c>
      <c r="G726" s="24">
        <v>2</v>
      </c>
      <c r="H726" s="24" t="s">
        <v>42</v>
      </c>
      <c r="I726" s="25"/>
      <c r="J726" s="24" t="s">
        <v>2168</v>
      </c>
      <c r="K726" s="24" t="s">
        <v>44</v>
      </c>
      <c r="L726" s="24" t="s">
        <v>26</v>
      </c>
    </row>
    <row r="727" spans="1:12" ht="15" customHeight="1" x14ac:dyDescent="0.35">
      <c r="A727" s="26" t="s">
        <v>2169</v>
      </c>
      <c r="B727" s="27" t="s">
        <v>13</v>
      </c>
      <c r="C727" s="28" t="s">
        <v>2170</v>
      </c>
      <c r="D727" s="28" t="s">
        <v>34</v>
      </c>
      <c r="E727" s="28" t="s">
        <v>302</v>
      </c>
      <c r="F727" s="29" t="s">
        <v>66</v>
      </c>
      <c r="G727" s="27">
        <v>16</v>
      </c>
      <c r="H727" s="27" t="s">
        <v>18</v>
      </c>
      <c r="I727" s="29" t="s">
        <v>66</v>
      </c>
      <c r="J727" s="28" t="s">
        <v>2171</v>
      </c>
      <c r="K727" s="28" t="s">
        <v>25</v>
      </c>
      <c r="L727" s="30" t="s">
        <v>21</v>
      </c>
    </row>
    <row r="728" spans="1:12" ht="15" customHeight="1" x14ac:dyDescent="0.35">
      <c r="A728" s="14" t="s">
        <v>2172</v>
      </c>
      <c r="B728" s="15" t="s">
        <v>13</v>
      </c>
      <c r="C728" s="16" t="s">
        <v>2173</v>
      </c>
      <c r="D728" s="16" t="s">
        <v>34</v>
      </c>
      <c r="E728" s="16" t="s">
        <v>29</v>
      </c>
      <c r="F728" s="17" t="s">
        <v>97</v>
      </c>
      <c r="G728" s="15">
        <v>2</v>
      </c>
      <c r="H728" s="15" t="s">
        <v>18</v>
      </c>
      <c r="I728" s="17" t="s">
        <v>97</v>
      </c>
      <c r="J728" s="16" t="s">
        <v>1794</v>
      </c>
      <c r="K728" s="16" t="s">
        <v>115</v>
      </c>
      <c r="L728" s="18" t="s">
        <v>26</v>
      </c>
    </row>
    <row r="729" spans="1:12" ht="15" customHeight="1" x14ac:dyDescent="0.35">
      <c r="A729" s="9" t="s">
        <v>2174</v>
      </c>
      <c r="B729" s="10" t="s">
        <v>13</v>
      </c>
      <c r="C729" s="11" t="s">
        <v>2175</v>
      </c>
      <c r="D729" s="11" t="s">
        <v>34</v>
      </c>
      <c r="E729" s="11" t="s">
        <v>104</v>
      </c>
      <c r="F729" s="12" t="s">
        <v>113</v>
      </c>
      <c r="G729" s="10">
        <v>7</v>
      </c>
      <c r="H729" s="10" t="s">
        <v>18</v>
      </c>
      <c r="I729" s="12" t="s">
        <v>23</v>
      </c>
      <c r="J729" s="11" t="s">
        <v>2176</v>
      </c>
      <c r="K729" s="11" t="s">
        <v>25</v>
      </c>
      <c r="L729" s="13" t="s">
        <v>21</v>
      </c>
    </row>
    <row r="730" spans="1:12" ht="15" customHeight="1" x14ac:dyDescent="0.35">
      <c r="A730" s="31" t="s">
        <v>2177</v>
      </c>
      <c r="B730" s="32" t="s">
        <v>13</v>
      </c>
      <c r="C730" s="33" t="s">
        <v>2178</v>
      </c>
      <c r="D730" s="33" t="s">
        <v>34</v>
      </c>
      <c r="E730" s="33" t="s">
        <v>457</v>
      </c>
      <c r="F730" s="34" t="s">
        <v>30</v>
      </c>
      <c r="G730" s="32">
        <v>21</v>
      </c>
      <c r="H730" s="32" t="s">
        <v>18</v>
      </c>
      <c r="I730" s="34" t="s">
        <v>30</v>
      </c>
      <c r="J730" s="33" t="s">
        <v>2179</v>
      </c>
      <c r="K730" s="33" t="s">
        <v>25</v>
      </c>
      <c r="L730" s="35" t="s">
        <v>21</v>
      </c>
    </row>
    <row r="731" spans="1:12" ht="15" customHeight="1" x14ac:dyDescent="0.35">
      <c r="A731" s="36" t="s">
        <v>2180</v>
      </c>
      <c r="B731" s="36" t="s">
        <v>13</v>
      </c>
      <c r="C731" s="36" t="s">
        <v>2181</v>
      </c>
      <c r="D731" s="36" t="s">
        <v>34</v>
      </c>
      <c r="E731" s="36" t="s">
        <v>178</v>
      </c>
      <c r="F731" s="37" t="s">
        <v>97</v>
      </c>
      <c r="G731" s="36">
        <v>9</v>
      </c>
      <c r="H731" s="36" t="s">
        <v>42</v>
      </c>
      <c r="I731" s="37"/>
      <c r="J731" s="36" t="s">
        <v>2182</v>
      </c>
      <c r="K731" s="36" t="s">
        <v>130</v>
      </c>
      <c r="L731" s="36" t="s">
        <v>21</v>
      </c>
    </row>
    <row r="732" spans="1:12" ht="15" customHeight="1" x14ac:dyDescent="0.35">
      <c r="A732" s="48" t="s">
        <v>2183</v>
      </c>
      <c r="B732" s="49" t="s">
        <v>13</v>
      </c>
      <c r="C732" s="50" t="s">
        <v>2184</v>
      </c>
      <c r="D732" s="50" t="s">
        <v>34</v>
      </c>
      <c r="E732" s="50" t="s">
        <v>97</v>
      </c>
      <c r="F732" s="51" t="s">
        <v>30</v>
      </c>
      <c r="G732" s="49">
        <v>6</v>
      </c>
      <c r="H732" s="49" t="s">
        <v>18</v>
      </c>
      <c r="I732" s="51" t="s">
        <v>30</v>
      </c>
      <c r="J732" s="50" t="s">
        <v>2185</v>
      </c>
      <c r="K732" s="50" t="s">
        <v>44</v>
      </c>
      <c r="L732" s="52" t="s">
        <v>21</v>
      </c>
    </row>
    <row r="733" spans="1:12" ht="15" customHeight="1" x14ac:dyDescent="0.35">
      <c r="A733" s="36" t="s">
        <v>2186</v>
      </c>
      <c r="B733" s="36" t="s">
        <v>13</v>
      </c>
      <c r="C733" s="36" t="s">
        <v>2187</v>
      </c>
      <c r="D733" s="36" t="s">
        <v>78</v>
      </c>
      <c r="E733" s="36" t="s">
        <v>29</v>
      </c>
      <c r="F733" s="37" t="s">
        <v>17</v>
      </c>
      <c r="G733" s="36">
        <v>11</v>
      </c>
      <c r="H733" s="36" t="s">
        <v>42</v>
      </c>
      <c r="I733" s="37"/>
      <c r="J733" s="36" t="s">
        <v>2188</v>
      </c>
      <c r="K733" s="36" t="s">
        <v>39</v>
      </c>
      <c r="L733" s="36" t="s">
        <v>26</v>
      </c>
    </row>
    <row r="734" spans="1:12" ht="15" customHeight="1" x14ac:dyDescent="0.35">
      <c r="A734" s="24" t="s">
        <v>2189</v>
      </c>
      <c r="B734" s="24" t="s">
        <v>13</v>
      </c>
      <c r="C734" s="24" t="s">
        <v>2190</v>
      </c>
      <c r="D734" s="24" t="s">
        <v>34</v>
      </c>
      <c r="E734" s="24" t="s">
        <v>62</v>
      </c>
      <c r="F734" s="25" t="s">
        <v>36</v>
      </c>
      <c r="G734" s="24">
        <v>3</v>
      </c>
      <c r="H734" s="24" t="s">
        <v>42</v>
      </c>
      <c r="I734" s="25"/>
      <c r="J734" s="24" t="s">
        <v>2191</v>
      </c>
      <c r="K734" s="24" t="s">
        <v>115</v>
      </c>
      <c r="L734" s="24" t="s">
        <v>26</v>
      </c>
    </row>
    <row r="735" spans="1:12" ht="15" customHeight="1" x14ac:dyDescent="0.35">
      <c r="A735" s="26" t="s">
        <v>2192</v>
      </c>
      <c r="B735" s="27" t="s">
        <v>13</v>
      </c>
      <c r="C735" s="28" t="s">
        <v>2193</v>
      </c>
      <c r="D735" s="28" t="s">
        <v>34</v>
      </c>
      <c r="E735" s="28" t="s">
        <v>178</v>
      </c>
      <c r="F735" s="29" t="s">
        <v>133</v>
      </c>
      <c r="G735" s="27">
        <v>5</v>
      </c>
      <c r="H735" s="27" t="s">
        <v>18</v>
      </c>
      <c r="I735" s="29" t="s">
        <v>133</v>
      </c>
      <c r="J735" s="28" t="s">
        <v>2194</v>
      </c>
      <c r="K735" s="28" t="s">
        <v>130</v>
      </c>
      <c r="L735" s="30" t="s">
        <v>26</v>
      </c>
    </row>
    <row r="736" spans="1:12" ht="15" customHeight="1" x14ac:dyDescent="0.35">
      <c r="A736" s="31" t="s">
        <v>2195</v>
      </c>
      <c r="B736" s="32" t="s">
        <v>13</v>
      </c>
      <c r="C736" s="33" t="s">
        <v>2196</v>
      </c>
      <c r="D736" s="33" t="s">
        <v>34</v>
      </c>
      <c r="E736" s="33" t="s">
        <v>252</v>
      </c>
      <c r="F736" s="34" t="s">
        <v>66</v>
      </c>
      <c r="G736" s="32">
        <v>6</v>
      </c>
      <c r="H736" s="32" t="s">
        <v>18</v>
      </c>
      <c r="I736" s="34" t="s">
        <v>66</v>
      </c>
      <c r="J736" s="33" t="s">
        <v>2197</v>
      </c>
      <c r="K736" s="33" t="s">
        <v>130</v>
      </c>
      <c r="L736" s="35" t="s">
        <v>21</v>
      </c>
    </row>
    <row r="737" spans="1:12" ht="15" customHeight="1" x14ac:dyDescent="0.35">
      <c r="A737" s="36" t="s">
        <v>2198</v>
      </c>
      <c r="B737" s="36" t="s">
        <v>13</v>
      </c>
      <c r="C737" s="36" t="s">
        <v>2199</v>
      </c>
      <c r="D737" s="36" t="s">
        <v>34</v>
      </c>
      <c r="E737" s="36" t="s">
        <v>113</v>
      </c>
      <c r="F737" s="37" t="s">
        <v>70</v>
      </c>
      <c r="G737" s="36">
        <v>5</v>
      </c>
      <c r="H737" s="36" t="s">
        <v>42</v>
      </c>
      <c r="I737" s="37"/>
      <c r="J737" s="36" t="s">
        <v>2200</v>
      </c>
      <c r="K737" s="36" t="s">
        <v>44</v>
      </c>
      <c r="L737" s="36" t="s">
        <v>21</v>
      </c>
    </row>
    <row r="738" spans="1:12" ht="15" customHeight="1" x14ac:dyDescent="0.35">
      <c r="A738" s="38" t="s">
        <v>2201</v>
      </c>
      <c r="B738" s="39" t="s">
        <v>13</v>
      </c>
      <c r="C738" s="40" t="s">
        <v>2202</v>
      </c>
      <c r="D738" s="40" t="s">
        <v>34</v>
      </c>
      <c r="E738" s="40" t="s">
        <v>133</v>
      </c>
      <c r="F738" s="41" t="s">
        <v>36</v>
      </c>
      <c r="G738" s="39">
        <v>6</v>
      </c>
      <c r="H738" s="39" t="s">
        <v>18</v>
      </c>
      <c r="I738" s="41" t="s">
        <v>36</v>
      </c>
      <c r="J738" s="40" t="s">
        <v>2203</v>
      </c>
      <c r="K738" s="40" t="s">
        <v>25</v>
      </c>
      <c r="L738" s="42" t="s">
        <v>21</v>
      </c>
    </row>
    <row r="739" spans="1:12" ht="15" customHeight="1" x14ac:dyDescent="0.35">
      <c r="A739" s="9" t="s">
        <v>2204</v>
      </c>
      <c r="B739" s="10" t="s">
        <v>13</v>
      </c>
      <c r="C739" s="11" t="s">
        <v>2205</v>
      </c>
      <c r="D739" s="11" t="s">
        <v>34</v>
      </c>
      <c r="E739" s="11" t="s">
        <v>66</v>
      </c>
      <c r="F739" s="12" t="s">
        <v>29</v>
      </c>
      <c r="G739" s="10">
        <v>5</v>
      </c>
      <c r="H739" s="10" t="s">
        <v>18</v>
      </c>
      <c r="I739" s="12" t="s">
        <v>62</v>
      </c>
      <c r="J739" s="11" t="s">
        <v>2206</v>
      </c>
      <c r="K739" s="11" t="s">
        <v>130</v>
      </c>
      <c r="L739" s="13" t="s">
        <v>26</v>
      </c>
    </row>
    <row r="740" spans="1:12" ht="15" customHeight="1" x14ac:dyDescent="0.35">
      <c r="A740" s="31" t="s">
        <v>2207</v>
      </c>
      <c r="B740" s="32" t="s">
        <v>13</v>
      </c>
      <c r="C740" s="33" t="s">
        <v>2208</v>
      </c>
      <c r="D740" s="33" t="s">
        <v>78</v>
      </c>
      <c r="E740" s="33" t="s">
        <v>51</v>
      </c>
      <c r="F740" s="34" t="s">
        <v>118</v>
      </c>
      <c r="G740" s="32">
        <v>7</v>
      </c>
      <c r="H740" s="32" t="s">
        <v>18</v>
      </c>
      <c r="I740" s="34" t="s">
        <v>118</v>
      </c>
      <c r="J740" s="33" t="s">
        <v>2209</v>
      </c>
      <c r="K740" s="33" t="s">
        <v>25</v>
      </c>
      <c r="L740" s="35" t="s">
        <v>21</v>
      </c>
    </row>
    <row r="741" spans="1:12" ht="15" customHeight="1" x14ac:dyDescent="0.35">
      <c r="A741" s="36" t="s">
        <v>2210</v>
      </c>
      <c r="B741" s="36" t="s">
        <v>13</v>
      </c>
      <c r="C741" s="36" t="s">
        <v>2211</v>
      </c>
      <c r="D741" s="36" t="s">
        <v>34</v>
      </c>
      <c r="E741" s="36" t="s">
        <v>133</v>
      </c>
      <c r="F741" s="37" t="s">
        <v>36</v>
      </c>
      <c r="G741" s="36">
        <v>6</v>
      </c>
      <c r="H741" s="36" t="s">
        <v>42</v>
      </c>
      <c r="I741" s="37"/>
      <c r="J741" s="36" t="s">
        <v>2212</v>
      </c>
      <c r="K741" s="36" t="s">
        <v>44</v>
      </c>
      <c r="L741" s="36" t="s">
        <v>21</v>
      </c>
    </row>
    <row r="742" spans="1:12" ht="15" customHeight="1" x14ac:dyDescent="0.35">
      <c r="A742" s="38" t="s">
        <v>2213</v>
      </c>
      <c r="B742" s="39" t="s">
        <v>13</v>
      </c>
      <c r="C742" s="40" t="s">
        <v>2214</v>
      </c>
      <c r="D742" s="40" t="s">
        <v>34</v>
      </c>
      <c r="E742" s="40" t="s">
        <v>118</v>
      </c>
      <c r="F742" s="41" t="s">
        <v>23</v>
      </c>
      <c r="G742" s="39">
        <v>3</v>
      </c>
      <c r="H742" s="39" t="s">
        <v>18</v>
      </c>
      <c r="I742" s="41" t="s">
        <v>23</v>
      </c>
      <c r="J742" s="40" t="s">
        <v>2215</v>
      </c>
      <c r="K742" s="40" t="s">
        <v>44</v>
      </c>
      <c r="L742" s="42" t="s">
        <v>21</v>
      </c>
    </row>
    <row r="743" spans="1:12" ht="15" customHeight="1" x14ac:dyDescent="0.35">
      <c r="A743" s="19" t="s">
        <v>2216</v>
      </c>
      <c r="B743" s="20" t="s">
        <v>13</v>
      </c>
      <c r="C743" s="21" t="s">
        <v>2217</v>
      </c>
      <c r="D743" s="21" t="s">
        <v>34</v>
      </c>
      <c r="E743" s="21" t="s">
        <v>66</v>
      </c>
      <c r="F743" s="22" t="s">
        <v>52</v>
      </c>
      <c r="G743" s="20">
        <v>12</v>
      </c>
      <c r="H743" s="20" t="s">
        <v>18</v>
      </c>
      <c r="I743" s="22" t="s">
        <v>30</v>
      </c>
      <c r="J743" s="21" t="s">
        <v>2218</v>
      </c>
      <c r="K743" s="21" t="s">
        <v>115</v>
      </c>
      <c r="L743" s="23" t="s">
        <v>21</v>
      </c>
    </row>
    <row r="744" spans="1:12" ht="15" customHeight="1" x14ac:dyDescent="0.35">
      <c r="A744" s="24" t="s">
        <v>2219</v>
      </c>
      <c r="B744" s="24" t="s">
        <v>13</v>
      </c>
      <c r="C744" s="24" t="s">
        <v>2220</v>
      </c>
      <c r="D744" s="24" t="s">
        <v>15</v>
      </c>
      <c r="E744" s="24" t="s">
        <v>97</v>
      </c>
      <c r="F744" s="25" t="s">
        <v>70</v>
      </c>
      <c r="G744" s="24">
        <v>9</v>
      </c>
      <c r="H744" s="24" t="s">
        <v>42</v>
      </c>
      <c r="I744" s="25"/>
      <c r="J744" s="24" t="s">
        <v>2221</v>
      </c>
      <c r="K744" s="24" t="s">
        <v>25</v>
      </c>
      <c r="L744" s="24" t="s">
        <v>26</v>
      </c>
    </row>
    <row r="745" spans="1:12" ht="15" customHeight="1" x14ac:dyDescent="0.35">
      <c r="A745" s="26" t="s">
        <v>2222</v>
      </c>
      <c r="B745" s="27" t="s">
        <v>13</v>
      </c>
      <c r="C745" s="28" t="s">
        <v>2223</v>
      </c>
      <c r="D745" s="28" t="s">
        <v>363</v>
      </c>
      <c r="E745" s="28" t="s">
        <v>1086</v>
      </c>
      <c r="F745" s="29" t="s">
        <v>29</v>
      </c>
      <c r="G745" s="27">
        <v>22</v>
      </c>
      <c r="H745" s="27" t="s">
        <v>18</v>
      </c>
      <c r="I745" s="29" t="s">
        <v>62</v>
      </c>
      <c r="J745" s="28" t="s">
        <v>2224</v>
      </c>
      <c r="K745" s="28" t="s">
        <v>25</v>
      </c>
      <c r="L745" s="30" t="s">
        <v>21</v>
      </c>
    </row>
    <row r="746" spans="1:12" ht="15" customHeight="1" x14ac:dyDescent="0.35">
      <c r="A746" s="31" t="s">
        <v>2225</v>
      </c>
      <c r="B746" s="32" t="s">
        <v>13</v>
      </c>
      <c r="C746" s="33" t="s">
        <v>2226</v>
      </c>
      <c r="D746" s="33" t="s">
        <v>34</v>
      </c>
      <c r="E746" s="33" t="s">
        <v>113</v>
      </c>
      <c r="F746" s="34" t="s">
        <v>52</v>
      </c>
      <c r="G746" s="32">
        <v>2</v>
      </c>
      <c r="H746" s="32" t="s">
        <v>18</v>
      </c>
      <c r="I746" s="34" t="s">
        <v>52</v>
      </c>
      <c r="J746" s="33" t="s">
        <v>2227</v>
      </c>
      <c r="K746" s="33" t="s">
        <v>72</v>
      </c>
      <c r="L746" s="35" t="s">
        <v>21</v>
      </c>
    </row>
    <row r="747" spans="1:12" ht="15" customHeight="1" x14ac:dyDescent="0.35">
      <c r="A747" s="36" t="s">
        <v>2228</v>
      </c>
      <c r="B747" s="36" t="s">
        <v>13</v>
      </c>
      <c r="C747" s="36" t="s">
        <v>2229</v>
      </c>
      <c r="D747" s="36" t="s">
        <v>90</v>
      </c>
      <c r="E747" s="36" t="s">
        <v>62</v>
      </c>
      <c r="F747" s="37" t="s">
        <v>118</v>
      </c>
      <c r="G747" s="36">
        <v>2</v>
      </c>
      <c r="H747" s="36" t="s">
        <v>42</v>
      </c>
      <c r="I747" s="37"/>
      <c r="J747" s="36" t="s">
        <v>2230</v>
      </c>
      <c r="K747" s="36" t="s">
        <v>25</v>
      </c>
      <c r="L747" s="36" t="s">
        <v>26</v>
      </c>
    </row>
    <row r="748" spans="1:12" ht="15" customHeight="1" x14ac:dyDescent="0.35">
      <c r="A748" s="38" t="s">
        <v>2231</v>
      </c>
      <c r="B748" s="39" t="s">
        <v>13</v>
      </c>
      <c r="C748" s="40" t="s">
        <v>2232</v>
      </c>
      <c r="D748" s="40" t="s">
        <v>34</v>
      </c>
      <c r="E748" s="40" t="s">
        <v>23</v>
      </c>
      <c r="F748" s="41" t="s">
        <v>17</v>
      </c>
      <c r="G748" s="39">
        <v>3</v>
      </c>
      <c r="H748" s="39" t="s">
        <v>18</v>
      </c>
      <c r="I748" s="41" t="s">
        <v>17</v>
      </c>
      <c r="J748" s="40" t="s">
        <v>2233</v>
      </c>
      <c r="K748" s="40" t="s">
        <v>44</v>
      </c>
      <c r="L748" s="42" t="s">
        <v>21</v>
      </c>
    </row>
    <row r="749" spans="1:12" ht="15" customHeight="1" x14ac:dyDescent="0.35">
      <c r="A749" s="9" t="s">
        <v>2234</v>
      </c>
      <c r="B749" s="10" t="s">
        <v>13</v>
      </c>
      <c r="C749" s="11" t="s">
        <v>2235</v>
      </c>
      <c r="D749" s="11" t="s">
        <v>34</v>
      </c>
      <c r="E749" s="11" t="s">
        <v>104</v>
      </c>
      <c r="F749" s="12" t="s">
        <v>62</v>
      </c>
      <c r="G749" s="10">
        <v>2</v>
      </c>
      <c r="H749" s="10" t="s">
        <v>18</v>
      </c>
      <c r="I749" s="12" t="s">
        <v>62</v>
      </c>
      <c r="J749" s="11" t="s">
        <v>1145</v>
      </c>
      <c r="K749" s="11" t="s">
        <v>130</v>
      </c>
      <c r="L749" s="13" t="s">
        <v>26</v>
      </c>
    </row>
    <row r="750" spans="1:12" ht="15" customHeight="1" x14ac:dyDescent="0.35">
      <c r="A750" s="14" t="s">
        <v>2236</v>
      </c>
      <c r="B750" s="15" t="s">
        <v>13</v>
      </c>
      <c r="C750" s="16" t="s">
        <v>2237</v>
      </c>
      <c r="D750" s="16" t="s">
        <v>34</v>
      </c>
      <c r="E750" s="16" t="s">
        <v>457</v>
      </c>
      <c r="F750" s="17" t="s">
        <v>104</v>
      </c>
      <c r="G750" s="15">
        <v>11</v>
      </c>
      <c r="H750" s="15" t="s">
        <v>18</v>
      </c>
      <c r="I750" s="17" t="s">
        <v>104</v>
      </c>
      <c r="J750" s="16" t="s">
        <v>2238</v>
      </c>
      <c r="K750" s="16" t="s">
        <v>25</v>
      </c>
      <c r="L750" s="18" t="s">
        <v>21</v>
      </c>
    </row>
    <row r="751" spans="1:12" ht="15" customHeight="1" x14ac:dyDescent="0.35">
      <c r="A751" s="9" t="s">
        <v>2239</v>
      </c>
      <c r="B751" s="10" t="s">
        <v>13</v>
      </c>
      <c r="C751" s="11" t="s">
        <v>2240</v>
      </c>
      <c r="D751" s="11" t="s">
        <v>363</v>
      </c>
      <c r="E751" s="11" t="s">
        <v>16</v>
      </c>
      <c r="F751" s="12" t="s">
        <v>62</v>
      </c>
      <c r="G751" s="10">
        <v>27</v>
      </c>
      <c r="H751" s="10" t="s">
        <v>18</v>
      </c>
      <c r="I751" s="12" t="s">
        <v>62</v>
      </c>
      <c r="J751" s="11" t="s">
        <v>2241</v>
      </c>
      <c r="K751" s="11" t="s">
        <v>20</v>
      </c>
      <c r="L751" s="13" t="s">
        <v>21</v>
      </c>
    </row>
    <row r="752" spans="1:12" ht="15" customHeight="1" x14ac:dyDescent="0.35">
      <c r="A752" s="14" t="s">
        <v>2242</v>
      </c>
      <c r="B752" s="15" t="s">
        <v>13</v>
      </c>
      <c r="C752" s="16" t="s">
        <v>2243</v>
      </c>
      <c r="D752" s="16" t="s">
        <v>34</v>
      </c>
      <c r="E752" s="16" t="s">
        <v>133</v>
      </c>
      <c r="F752" s="17" t="s">
        <v>70</v>
      </c>
      <c r="G752" s="15">
        <v>12</v>
      </c>
      <c r="H752" s="15" t="s">
        <v>18</v>
      </c>
      <c r="I752" s="17" t="s">
        <v>70</v>
      </c>
      <c r="J752" s="16" t="s">
        <v>2244</v>
      </c>
      <c r="K752" s="16" t="s">
        <v>44</v>
      </c>
      <c r="L752" s="18" t="s">
        <v>21</v>
      </c>
    </row>
    <row r="753" spans="1:12" ht="15" customHeight="1" x14ac:dyDescent="0.35">
      <c r="A753" s="9" t="s">
        <v>2245</v>
      </c>
      <c r="B753" s="10" t="s">
        <v>13</v>
      </c>
      <c r="C753" s="11" t="s">
        <v>2246</v>
      </c>
      <c r="D753" s="11" t="s">
        <v>34</v>
      </c>
      <c r="E753" s="11" t="s">
        <v>51</v>
      </c>
      <c r="F753" s="12" t="s">
        <v>133</v>
      </c>
      <c r="G753" s="10">
        <v>3</v>
      </c>
      <c r="H753" s="10" t="s">
        <v>18</v>
      </c>
      <c r="I753" s="12" t="s">
        <v>104</v>
      </c>
      <c r="J753" s="11" t="s">
        <v>2247</v>
      </c>
      <c r="K753" s="11" t="s">
        <v>25</v>
      </c>
      <c r="L753" s="13" t="s">
        <v>21</v>
      </c>
    </row>
    <row r="754" spans="1:12" ht="15" customHeight="1" x14ac:dyDescent="0.35">
      <c r="A754" s="31" t="s">
        <v>2248</v>
      </c>
      <c r="B754" s="32" t="s">
        <v>13</v>
      </c>
      <c r="C754" s="33" t="s">
        <v>2249</v>
      </c>
      <c r="D754" s="33" t="s">
        <v>34</v>
      </c>
      <c r="E754" s="33" t="s">
        <v>133</v>
      </c>
      <c r="F754" s="34" t="s">
        <v>97</v>
      </c>
      <c r="G754" s="32">
        <v>4</v>
      </c>
      <c r="H754" s="32" t="s">
        <v>18</v>
      </c>
      <c r="I754" s="34" t="s">
        <v>97</v>
      </c>
      <c r="J754" s="33" t="s">
        <v>1324</v>
      </c>
      <c r="K754" s="33" t="s">
        <v>115</v>
      </c>
      <c r="L754" s="35" t="s">
        <v>21</v>
      </c>
    </row>
    <row r="755" spans="1:12" ht="15" customHeight="1" x14ac:dyDescent="0.35">
      <c r="A755" s="36" t="s">
        <v>2250</v>
      </c>
      <c r="B755" s="36" t="s">
        <v>13</v>
      </c>
      <c r="C755" s="36" t="s">
        <v>2251</v>
      </c>
      <c r="D755" s="36" t="s">
        <v>15</v>
      </c>
      <c r="E755" s="36" t="s">
        <v>133</v>
      </c>
      <c r="F755" s="37" t="s">
        <v>97</v>
      </c>
      <c r="G755" s="36">
        <v>5</v>
      </c>
      <c r="H755" s="36" t="s">
        <v>42</v>
      </c>
      <c r="I755" s="37"/>
      <c r="J755" s="36" t="s">
        <v>2252</v>
      </c>
      <c r="K755" s="36" t="s">
        <v>25</v>
      </c>
      <c r="L755" s="36" t="s">
        <v>21</v>
      </c>
    </row>
    <row r="756" spans="1:12" ht="15" customHeight="1" x14ac:dyDescent="0.35">
      <c r="A756" s="38" t="s">
        <v>2253</v>
      </c>
      <c r="B756" s="39" t="s">
        <v>13</v>
      </c>
      <c r="C756" s="40" t="s">
        <v>2254</v>
      </c>
      <c r="D756" s="40" t="s">
        <v>90</v>
      </c>
      <c r="E756" s="40" t="s">
        <v>23</v>
      </c>
      <c r="F756" s="41" t="s">
        <v>30</v>
      </c>
      <c r="G756" s="39">
        <v>2</v>
      </c>
      <c r="H756" s="39" t="s">
        <v>18</v>
      </c>
      <c r="I756" s="41" t="s">
        <v>17</v>
      </c>
      <c r="J756" s="40" t="s">
        <v>2255</v>
      </c>
      <c r="K756" s="40" t="s">
        <v>25</v>
      </c>
      <c r="L756" s="42" t="s">
        <v>26</v>
      </c>
    </row>
    <row r="757" spans="1:12" ht="15" customHeight="1" x14ac:dyDescent="0.35">
      <c r="A757" s="19" t="s">
        <v>2256</v>
      </c>
      <c r="B757" s="20" t="s">
        <v>13</v>
      </c>
      <c r="C757" s="21" t="s">
        <v>2257</v>
      </c>
      <c r="D757" s="21" t="s">
        <v>34</v>
      </c>
      <c r="E757" s="21" t="s">
        <v>149</v>
      </c>
      <c r="F757" s="22" t="s">
        <v>133</v>
      </c>
      <c r="G757" s="20">
        <v>7</v>
      </c>
      <c r="H757" s="20" t="s">
        <v>18</v>
      </c>
      <c r="I757" s="22" t="s">
        <v>104</v>
      </c>
      <c r="J757" s="21" t="s">
        <v>2258</v>
      </c>
      <c r="K757" s="21" t="s">
        <v>130</v>
      </c>
      <c r="L757" s="23" t="s">
        <v>21</v>
      </c>
    </row>
    <row r="758" spans="1:12" ht="15" customHeight="1" x14ac:dyDescent="0.35">
      <c r="A758" s="24" t="s">
        <v>2259</v>
      </c>
      <c r="B758" s="24" t="s">
        <v>13</v>
      </c>
      <c r="C758" s="24" t="s">
        <v>2260</v>
      </c>
      <c r="D758" s="24" t="s">
        <v>34</v>
      </c>
      <c r="E758" s="24" t="s">
        <v>97</v>
      </c>
      <c r="F758" s="25" t="s">
        <v>37</v>
      </c>
      <c r="G758" s="24">
        <v>2</v>
      </c>
      <c r="H758" s="24" t="s">
        <v>42</v>
      </c>
      <c r="I758" s="25"/>
      <c r="J758" s="24" t="s">
        <v>2261</v>
      </c>
      <c r="K758" s="24" t="s">
        <v>44</v>
      </c>
      <c r="L758" s="24" t="s">
        <v>21</v>
      </c>
    </row>
    <row r="759" spans="1:12" x14ac:dyDescent="0.35">
      <c r="A759" s="26" t="s">
        <v>2262</v>
      </c>
      <c r="B759" s="27" t="s">
        <v>13</v>
      </c>
      <c r="C759" s="28" t="s">
        <v>2263</v>
      </c>
      <c r="D759" s="28" t="s">
        <v>34</v>
      </c>
      <c r="E759" s="28" t="s">
        <v>780</v>
      </c>
      <c r="F759" s="29" t="s">
        <v>66</v>
      </c>
      <c r="G759" s="27">
        <v>13</v>
      </c>
      <c r="H759" s="27" t="s">
        <v>18</v>
      </c>
      <c r="I759" s="29" t="s">
        <v>66</v>
      </c>
      <c r="J759" s="28" t="s">
        <v>2264</v>
      </c>
      <c r="K759" s="28" t="s">
        <v>25</v>
      </c>
      <c r="L759" s="30" t="s">
        <v>21</v>
      </c>
    </row>
    <row r="760" spans="1:12" x14ac:dyDescent="0.35">
      <c r="A760" s="14" t="s">
        <v>2265</v>
      </c>
      <c r="B760" s="15" t="s">
        <v>13</v>
      </c>
      <c r="C760" s="16" t="s">
        <v>2266</v>
      </c>
      <c r="D760" s="16" t="s">
        <v>34</v>
      </c>
      <c r="E760" s="16" t="s">
        <v>133</v>
      </c>
      <c r="F760" s="17" t="s">
        <v>62</v>
      </c>
      <c r="G760" s="15">
        <v>3</v>
      </c>
      <c r="H760" s="15" t="s">
        <v>18</v>
      </c>
      <c r="I760" s="17" t="s">
        <v>97</v>
      </c>
      <c r="J760" s="16" t="s">
        <v>2267</v>
      </c>
      <c r="K760" s="16" t="s">
        <v>44</v>
      </c>
      <c r="L760" s="18" t="s">
        <v>21</v>
      </c>
    </row>
    <row r="761" spans="1:12" x14ac:dyDescent="0.35">
      <c r="A761" s="9" t="s">
        <v>2268</v>
      </c>
      <c r="B761" s="10" t="s">
        <v>13</v>
      </c>
      <c r="C761" s="11" t="s">
        <v>2269</v>
      </c>
      <c r="D761" s="11" t="s">
        <v>34</v>
      </c>
      <c r="E761" s="11" t="s">
        <v>133</v>
      </c>
      <c r="F761" s="12" t="s">
        <v>30</v>
      </c>
      <c r="G761" s="10">
        <v>11</v>
      </c>
      <c r="H761" s="10" t="s">
        <v>18</v>
      </c>
      <c r="I761" s="12" t="s">
        <v>30</v>
      </c>
      <c r="J761" s="11" t="s">
        <v>2270</v>
      </c>
      <c r="K761" s="11" t="s">
        <v>44</v>
      </c>
      <c r="L761" s="13" t="s">
        <v>21</v>
      </c>
    </row>
    <row r="762" spans="1:12" ht="15" customHeight="1" x14ac:dyDescent="0.35">
      <c r="A762" s="31" t="s">
        <v>2271</v>
      </c>
      <c r="B762" s="32" t="s">
        <v>13</v>
      </c>
      <c r="C762" s="33" t="s">
        <v>2272</v>
      </c>
      <c r="D762" s="33" t="s">
        <v>34</v>
      </c>
      <c r="E762" s="33" t="s">
        <v>149</v>
      </c>
      <c r="F762" s="34" t="s">
        <v>104</v>
      </c>
      <c r="G762" s="32">
        <v>8</v>
      </c>
      <c r="H762" s="32" t="s">
        <v>18</v>
      </c>
      <c r="I762" s="34" t="s">
        <v>104</v>
      </c>
      <c r="J762" s="33" t="s">
        <v>2273</v>
      </c>
      <c r="K762" s="33" t="s">
        <v>25</v>
      </c>
      <c r="L762" s="35" t="s">
        <v>21</v>
      </c>
    </row>
    <row r="763" spans="1:12" x14ac:dyDescent="0.35">
      <c r="A763" s="36" t="s">
        <v>2274</v>
      </c>
      <c r="B763" s="36" t="s">
        <v>13</v>
      </c>
      <c r="C763" s="36" t="s">
        <v>2275</v>
      </c>
      <c r="D763" s="36" t="s">
        <v>34</v>
      </c>
      <c r="E763" s="36" t="s">
        <v>29</v>
      </c>
      <c r="F763" s="37" t="s">
        <v>62</v>
      </c>
      <c r="G763" s="36">
        <v>1</v>
      </c>
      <c r="H763" s="36" t="s">
        <v>109</v>
      </c>
      <c r="I763" s="37"/>
      <c r="J763" s="36" t="s">
        <v>2276</v>
      </c>
      <c r="K763" s="36" t="s">
        <v>115</v>
      </c>
      <c r="L763" s="36" t="s">
        <v>26</v>
      </c>
    </row>
    <row r="764" spans="1:12" x14ac:dyDescent="0.35">
      <c r="A764" s="24" t="s">
        <v>2274</v>
      </c>
      <c r="B764" s="24" t="s">
        <v>13</v>
      </c>
      <c r="C764" s="24" t="s">
        <v>2275</v>
      </c>
      <c r="D764" s="24" t="s">
        <v>34</v>
      </c>
      <c r="E764" s="24" t="s">
        <v>29</v>
      </c>
      <c r="F764" s="25" t="s">
        <v>52</v>
      </c>
      <c r="G764" s="24">
        <v>8</v>
      </c>
      <c r="H764" s="24" t="s">
        <v>42</v>
      </c>
      <c r="I764" s="25"/>
      <c r="J764" s="24" t="s">
        <v>2276</v>
      </c>
      <c r="K764" s="24" t="s">
        <v>115</v>
      </c>
      <c r="L764" s="24" t="s">
        <v>26</v>
      </c>
    </row>
    <row r="765" spans="1:12" x14ac:dyDescent="0.35">
      <c r="A765" s="26" t="s">
        <v>2277</v>
      </c>
      <c r="B765" s="27" t="s">
        <v>13</v>
      </c>
      <c r="C765" s="28" t="s">
        <v>2278</v>
      </c>
      <c r="D765" s="28" t="s">
        <v>34</v>
      </c>
      <c r="E765" s="28" t="s">
        <v>165</v>
      </c>
      <c r="F765" s="29" t="s">
        <v>23</v>
      </c>
      <c r="G765" s="27">
        <v>23</v>
      </c>
      <c r="H765" s="27" t="s">
        <v>18</v>
      </c>
      <c r="I765" s="29" t="s">
        <v>23</v>
      </c>
      <c r="J765" s="28" t="s">
        <v>2279</v>
      </c>
      <c r="K765" s="28" t="s">
        <v>241</v>
      </c>
      <c r="L765" s="30" t="s">
        <v>21</v>
      </c>
    </row>
    <row r="766" spans="1:12" x14ac:dyDescent="0.35">
      <c r="A766" s="14" t="s">
        <v>2280</v>
      </c>
      <c r="B766" s="15" t="s">
        <v>13</v>
      </c>
      <c r="C766" s="16" t="s">
        <v>2281</v>
      </c>
      <c r="D766" s="16" t="s">
        <v>34</v>
      </c>
      <c r="E766" s="16" t="s">
        <v>29</v>
      </c>
      <c r="F766" s="17" t="s">
        <v>37</v>
      </c>
      <c r="G766" s="15">
        <v>6</v>
      </c>
      <c r="H766" s="15" t="s">
        <v>18</v>
      </c>
      <c r="I766" s="17" t="s">
        <v>113</v>
      </c>
      <c r="J766" s="16" t="s">
        <v>2282</v>
      </c>
      <c r="K766" s="16" t="s">
        <v>115</v>
      </c>
      <c r="L766" s="18" t="s">
        <v>21</v>
      </c>
    </row>
    <row r="767" spans="1:12" x14ac:dyDescent="0.35">
      <c r="A767" s="9" t="s">
        <v>2283</v>
      </c>
      <c r="B767" s="10" t="s">
        <v>13</v>
      </c>
      <c r="C767" s="11" t="s">
        <v>2284</v>
      </c>
      <c r="D767" s="11" t="s">
        <v>34</v>
      </c>
      <c r="E767" s="11" t="s">
        <v>62</v>
      </c>
      <c r="F767" s="12" t="s">
        <v>113</v>
      </c>
      <c r="G767" s="10">
        <v>5</v>
      </c>
      <c r="H767" s="10" t="s">
        <v>18</v>
      </c>
      <c r="I767" s="12" t="s">
        <v>23</v>
      </c>
      <c r="J767" s="11" t="s">
        <v>2285</v>
      </c>
      <c r="K767" s="11" t="s">
        <v>115</v>
      </c>
      <c r="L767" s="13" t="s">
        <v>21</v>
      </c>
    </row>
    <row r="768" spans="1:12" x14ac:dyDescent="0.35">
      <c r="A768" s="14" t="s">
        <v>2286</v>
      </c>
      <c r="B768" s="15" t="s">
        <v>13</v>
      </c>
      <c r="C768" s="16" t="s">
        <v>2287</v>
      </c>
      <c r="D768" s="16" t="s">
        <v>90</v>
      </c>
      <c r="E768" s="16" t="s">
        <v>104</v>
      </c>
      <c r="F768" s="17" t="s">
        <v>97</v>
      </c>
      <c r="G768" s="15">
        <v>3</v>
      </c>
      <c r="H768" s="15" t="s">
        <v>18</v>
      </c>
      <c r="I768" s="17" t="s">
        <v>113</v>
      </c>
      <c r="J768" s="16" t="s">
        <v>2288</v>
      </c>
      <c r="K768" s="16" t="s">
        <v>39</v>
      </c>
      <c r="L768" s="18" t="s">
        <v>21</v>
      </c>
    </row>
    <row r="769" spans="1:12" x14ac:dyDescent="0.35">
      <c r="A769" s="9" t="s">
        <v>2289</v>
      </c>
      <c r="B769" s="10" t="s">
        <v>13</v>
      </c>
      <c r="C769" s="11" t="s">
        <v>2290</v>
      </c>
      <c r="D769" s="11" t="s">
        <v>34</v>
      </c>
      <c r="E769" s="11" t="s">
        <v>457</v>
      </c>
      <c r="F769" s="12" t="s">
        <v>29</v>
      </c>
      <c r="G769" s="10">
        <v>13</v>
      </c>
      <c r="H769" s="10" t="s">
        <v>18</v>
      </c>
      <c r="I769" s="12" t="s">
        <v>62</v>
      </c>
      <c r="J769" s="11" t="s">
        <v>2291</v>
      </c>
      <c r="K769" s="11" t="s">
        <v>25</v>
      </c>
      <c r="L769" s="13" t="s">
        <v>21</v>
      </c>
    </row>
    <row r="770" spans="1:12" x14ac:dyDescent="0.35">
      <c r="A770" s="14" t="s">
        <v>2292</v>
      </c>
      <c r="B770" s="15" t="s">
        <v>13</v>
      </c>
      <c r="C770" s="16" t="s">
        <v>2293</v>
      </c>
      <c r="D770" s="16" t="s">
        <v>34</v>
      </c>
      <c r="E770" s="16" t="s">
        <v>51</v>
      </c>
      <c r="F770" s="17" t="s">
        <v>62</v>
      </c>
      <c r="G770" s="15">
        <v>5</v>
      </c>
      <c r="H770" s="15" t="s">
        <v>18</v>
      </c>
      <c r="I770" s="17" t="s">
        <v>97</v>
      </c>
      <c r="J770" s="16" t="s">
        <v>2294</v>
      </c>
      <c r="K770" s="16" t="s">
        <v>44</v>
      </c>
      <c r="L770" s="18" t="s">
        <v>21</v>
      </c>
    </row>
    <row r="771" spans="1:12" ht="15" customHeight="1" x14ac:dyDescent="0.35">
      <c r="A771" s="19" t="s">
        <v>2295</v>
      </c>
      <c r="B771" s="20" t="s">
        <v>13</v>
      </c>
      <c r="C771" s="21" t="s">
        <v>2296</v>
      </c>
      <c r="D771" s="21" t="s">
        <v>78</v>
      </c>
      <c r="E771" s="21" t="s">
        <v>302</v>
      </c>
      <c r="F771" s="22" t="s">
        <v>29</v>
      </c>
      <c r="G771" s="20">
        <v>20</v>
      </c>
      <c r="H771" s="20" t="s">
        <v>18</v>
      </c>
      <c r="I771" s="22" t="s">
        <v>62</v>
      </c>
      <c r="J771" s="21" t="s">
        <v>2297</v>
      </c>
      <c r="K771" s="21" t="s">
        <v>25</v>
      </c>
      <c r="L771" s="23" t="s">
        <v>21</v>
      </c>
    </row>
    <row r="772" spans="1:12" x14ac:dyDescent="0.35">
      <c r="A772" s="24" t="s">
        <v>2298</v>
      </c>
      <c r="B772" s="24" t="s">
        <v>13</v>
      </c>
      <c r="C772" s="24" t="s">
        <v>2299</v>
      </c>
      <c r="D772" s="24" t="s">
        <v>34</v>
      </c>
      <c r="E772" s="24" t="s">
        <v>23</v>
      </c>
      <c r="F772" s="25" t="s">
        <v>70</v>
      </c>
      <c r="G772" s="24">
        <v>3</v>
      </c>
      <c r="H772" s="24" t="s">
        <v>42</v>
      </c>
      <c r="I772" s="25"/>
      <c r="J772" s="24" t="s">
        <v>2300</v>
      </c>
      <c r="K772" s="24" t="s">
        <v>44</v>
      </c>
      <c r="L772" s="24" t="s">
        <v>26</v>
      </c>
    </row>
    <row r="773" spans="1:12" x14ac:dyDescent="0.35">
      <c r="A773" s="26" t="s">
        <v>2301</v>
      </c>
      <c r="B773" s="27" t="s">
        <v>13</v>
      </c>
      <c r="C773" s="28" t="s">
        <v>2302</v>
      </c>
      <c r="D773" s="28" t="s">
        <v>78</v>
      </c>
      <c r="E773" s="28" t="s">
        <v>453</v>
      </c>
      <c r="F773" s="29" t="s">
        <v>133</v>
      </c>
      <c r="G773" s="27">
        <v>12</v>
      </c>
      <c r="H773" s="27" t="s">
        <v>18</v>
      </c>
      <c r="I773" s="29" t="s">
        <v>104</v>
      </c>
      <c r="J773" s="28" t="s">
        <v>2303</v>
      </c>
      <c r="K773" s="28" t="s">
        <v>25</v>
      </c>
      <c r="L773" s="30" t="s">
        <v>21</v>
      </c>
    </row>
    <row r="774" spans="1:12" x14ac:dyDescent="0.35">
      <c r="A774" s="14" t="s">
        <v>2304</v>
      </c>
      <c r="B774" s="15" t="s">
        <v>13</v>
      </c>
      <c r="C774" s="16" t="s">
        <v>2305</v>
      </c>
      <c r="D774" s="16" t="s">
        <v>34</v>
      </c>
      <c r="E774" s="16" t="s">
        <v>23</v>
      </c>
      <c r="F774" s="17" t="s">
        <v>30</v>
      </c>
      <c r="G774" s="15">
        <v>1</v>
      </c>
      <c r="H774" s="15" t="s">
        <v>18</v>
      </c>
      <c r="I774" s="17" t="s">
        <v>30</v>
      </c>
      <c r="J774" s="16" t="s">
        <v>2306</v>
      </c>
      <c r="K774" s="16" t="s">
        <v>130</v>
      </c>
      <c r="L774" s="18" t="s">
        <v>21</v>
      </c>
    </row>
    <row r="775" spans="1:12" x14ac:dyDescent="0.35">
      <c r="A775" s="9" t="s">
        <v>2307</v>
      </c>
      <c r="B775" s="10" t="s">
        <v>13</v>
      </c>
      <c r="C775" s="11" t="s">
        <v>2308</v>
      </c>
      <c r="D775" s="11" t="s">
        <v>34</v>
      </c>
      <c r="E775" s="11" t="s">
        <v>82</v>
      </c>
      <c r="F775" s="12" t="s">
        <v>97</v>
      </c>
      <c r="G775" s="10">
        <v>8</v>
      </c>
      <c r="H775" s="10" t="s">
        <v>18</v>
      </c>
      <c r="I775" s="12" t="s">
        <v>118</v>
      </c>
      <c r="J775" s="11" t="s">
        <v>2309</v>
      </c>
      <c r="K775" s="11" t="s">
        <v>130</v>
      </c>
      <c r="L775" s="13" t="s">
        <v>21</v>
      </c>
    </row>
    <row r="776" spans="1:12" x14ac:dyDescent="0.35">
      <c r="A776" s="14" t="s">
        <v>2310</v>
      </c>
      <c r="B776" s="15" t="s">
        <v>13</v>
      </c>
      <c r="C776" s="16" t="s">
        <v>2311</v>
      </c>
      <c r="D776" s="16" t="s">
        <v>34</v>
      </c>
      <c r="E776" s="16" t="s">
        <v>104</v>
      </c>
      <c r="F776" s="17" t="s">
        <v>97</v>
      </c>
      <c r="G776" s="15">
        <v>3</v>
      </c>
      <c r="H776" s="15" t="s">
        <v>18</v>
      </c>
      <c r="I776" s="17" t="s">
        <v>97</v>
      </c>
      <c r="J776" s="16" t="s">
        <v>2312</v>
      </c>
      <c r="K776" s="16" t="s">
        <v>130</v>
      </c>
      <c r="L776" s="18" t="s">
        <v>26</v>
      </c>
    </row>
    <row r="777" spans="1:12" x14ac:dyDescent="0.35">
      <c r="A777" s="9" t="s">
        <v>2313</v>
      </c>
      <c r="B777" s="10" t="s">
        <v>13</v>
      </c>
      <c r="C777" s="11" t="s">
        <v>2314</v>
      </c>
      <c r="D777" s="11" t="s">
        <v>34</v>
      </c>
      <c r="E777" s="11" t="s">
        <v>453</v>
      </c>
      <c r="F777" s="12" t="s">
        <v>118</v>
      </c>
      <c r="G777" s="10">
        <v>17</v>
      </c>
      <c r="H777" s="10" t="s">
        <v>18</v>
      </c>
      <c r="I777" s="12" t="s">
        <v>30</v>
      </c>
      <c r="J777" s="11" t="s">
        <v>2315</v>
      </c>
      <c r="K777" s="11" t="s">
        <v>25</v>
      </c>
      <c r="L777" s="13" t="s">
        <v>21</v>
      </c>
    </row>
    <row r="778" spans="1:12" x14ac:dyDescent="0.35">
      <c r="A778" s="14" t="s">
        <v>2316</v>
      </c>
      <c r="B778" s="15" t="s">
        <v>13</v>
      </c>
      <c r="C778" s="16" t="s">
        <v>2317</v>
      </c>
      <c r="D778" s="16" t="s">
        <v>15</v>
      </c>
      <c r="E778" s="16" t="s">
        <v>497</v>
      </c>
      <c r="F778" s="17" t="s">
        <v>118</v>
      </c>
      <c r="G778" s="15">
        <v>13</v>
      </c>
      <c r="H778" s="15" t="s">
        <v>18</v>
      </c>
      <c r="I778" s="17" t="s">
        <v>36</v>
      </c>
      <c r="J778" s="16" t="s">
        <v>2318</v>
      </c>
      <c r="K778" s="16" t="s">
        <v>25</v>
      </c>
      <c r="L778" s="18" t="s">
        <v>21</v>
      </c>
    </row>
    <row r="779" spans="1:12" ht="15" customHeight="1" x14ac:dyDescent="0.35">
      <c r="A779" s="19" t="s">
        <v>2319</v>
      </c>
      <c r="B779" s="20" t="s">
        <v>13</v>
      </c>
      <c r="C779" s="21" t="s">
        <v>2320</v>
      </c>
      <c r="D779" s="21" t="s">
        <v>34</v>
      </c>
      <c r="E779" s="21" t="s">
        <v>82</v>
      </c>
      <c r="F779" s="22" t="s">
        <v>113</v>
      </c>
      <c r="G779" s="20">
        <v>12</v>
      </c>
      <c r="H779" s="20" t="s">
        <v>18</v>
      </c>
      <c r="I779" s="22" t="s">
        <v>23</v>
      </c>
      <c r="J779" s="21" t="s">
        <v>2321</v>
      </c>
      <c r="K779" s="21" t="s">
        <v>130</v>
      </c>
      <c r="L779" s="23" t="s">
        <v>21</v>
      </c>
    </row>
    <row r="780" spans="1:12" x14ac:dyDescent="0.35">
      <c r="A780" s="24" t="s">
        <v>2322</v>
      </c>
      <c r="B780" s="24" t="s">
        <v>13</v>
      </c>
      <c r="C780" s="24" t="s">
        <v>2323</v>
      </c>
      <c r="D780" s="24" t="s">
        <v>34</v>
      </c>
      <c r="E780" s="24" t="s">
        <v>108</v>
      </c>
      <c r="F780" s="25" t="s">
        <v>66</v>
      </c>
      <c r="G780" s="24">
        <v>12</v>
      </c>
      <c r="H780" s="24" t="s">
        <v>109</v>
      </c>
      <c r="I780" s="25"/>
      <c r="J780" s="24" t="s">
        <v>2324</v>
      </c>
      <c r="K780" s="24" t="s">
        <v>130</v>
      </c>
      <c r="L780" s="24" t="s">
        <v>21</v>
      </c>
    </row>
    <row r="781" spans="1:12" x14ac:dyDescent="0.35">
      <c r="A781" s="26" t="s">
        <v>2325</v>
      </c>
      <c r="B781" s="27" t="s">
        <v>13</v>
      </c>
      <c r="C781" s="28" t="s">
        <v>2326</v>
      </c>
      <c r="D781" s="28" t="s">
        <v>34</v>
      </c>
      <c r="E781" s="28" t="s">
        <v>178</v>
      </c>
      <c r="F781" s="29" t="s">
        <v>29</v>
      </c>
      <c r="G781" s="27">
        <v>7</v>
      </c>
      <c r="H781" s="27" t="s">
        <v>18</v>
      </c>
      <c r="I781" s="29" t="s">
        <v>29</v>
      </c>
      <c r="J781" s="28" t="s">
        <v>2327</v>
      </c>
      <c r="K781" s="28" t="s">
        <v>25</v>
      </c>
      <c r="L781" s="30" t="s">
        <v>21</v>
      </c>
    </row>
    <row r="782" spans="1:12" ht="15" customHeight="1" x14ac:dyDescent="0.35">
      <c r="A782" s="31" t="s">
        <v>2328</v>
      </c>
      <c r="B782" s="32" t="s">
        <v>13</v>
      </c>
      <c r="C782" s="33" t="s">
        <v>2329</v>
      </c>
      <c r="D782" s="33" t="s">
        <v>34</v>
      </c>
      <c r="E782" s="33" t="s">
        <v>97</v>
      </c>
      <c r="F782" s="34" t="s">
        <v>17</v>
      </c>
      <c r="G782" s="32">
        <v>7</v>
      </c>
      <c r="H782" s="32" t="s">
        <v>18</v>
      </c>
      <c r="I782" s="34" t="s">
        <v>17</v>
      </c>
      <c r="J782" s="33" t="s">
        <v>2102</v>
      </c>
      <c r="K782" s="33" t="s">
        <v>25</v>
      </c>
      <c r="L782" s="35" t="s">
        <v>26</v>
      </c>
    </row>
    <row r="783" spans="1:12" x14ac:dyDescent="0.35">
      <c r="A783" s="36" t="s">
        <v>2330</v>
      </c>
      <c r="B783" s="36" t="s">
        <v>13</v>
      </c>
      <c r="C783" s="36" t="s">
        <v>2331</v>
      </c>
      <c r="D783" s="36" t="s">
        <v>34</v>
      </c>
      <c r="E783" s="36" t="s">
        <v>29</v>
      </c>
      <c r="F783" s="37" t="s">
        <v>30</v>
      </c>
      <c r="G783" s="36">
        <v>9</v>
      </c>
      <c r="H783" s="36" t="s">
        <v>42</v>
      </c>
      <c r="I783" s="37"/>
      <c r="J783" s="36" t="s">
        <v>2332</v>
      </c>
      <c r="K783" s="36" t="s">
        <v>44</v>
      </c>
      <c r="L783" s="36" t="s">
        <v>21</v>
      </c>
    </row>
    <row r="784" spans="1:12" x14ac:dyDescent="0.35">
      <c r="A784" s="38" t="s">
        <v>2333</v>
      </c>
      <c r="B784" s="39" t="s">
        <v>13</v>
      </c>
      <c r="C784" s="40" t="s">
        <v>2334</v>
      </c>
      <c r="D784" s="40" t="s">
        <v>34</v>
      </c>
      <c r="E784" s="40" t="s">
        <v>133</v>
      </c>
      <c r="F784" s="41" t="s">
        <v>97</v>
      </c>
      <c r="G784" s="39">
        <v>4</v>
      </c>
      <c r="H784" s="39" t="s">
        <v>18</v>
      </c>
      <c r="I784" s="41" t="s">
        <v>97</v>
      </c>
      <c r="J784" s="40" t="s">
        <v>2335</v>
      </c>
      <c r="K784" s="40" t="s">
        <v>44</v>
      </c>
      <c r="L784" s="42" t="s">
        <v>21</v>
      </c>
    </row>
    <row r="785" spans="1:12" x14ac:dyDescent="0.35">
      <c r="A785" s="9" t="s">
        <v>2336</v>
      </c>
      <c r="B785" s="10" t="s">
        <v>13</v>
      </c>
      <c r="C785" s="11" t="s">
        <v>2337</v>
      </c>
      <c r="D785" s="11" t="s">
        <v>15</v>
      </c>
      <c r="E785" s="11" t="s">
        <v>36</v>
      </c>
      <c r="F785" s="12" t="s">
        <v>23</v>
      </c>
      <c r="G785" s="10">
        <v>4</v>
      </c>
      <c r="H785" s="10" t="s">
        <v>18</v>
      </c>
      <c r="I785" s="12" t="s">
        <v>23</v>
      </c>
      <c r="J785" s="11" t="s">
        <v>2338</v>
      </c>
      <c r="K785" s="11" t="s">
        <v>25</v>
      </c>
      <c r="L785" s="13" t="s">
        <v>26</v>
      </c>
    </row>
    <row r="786" spans="1:12" x14ac:dyDescent="0.35">
      <c r="A786" s="14" t="s">
        <v>2339</v>
      </c>
      <c r="B786" s="15" t="s">
        <v>13</v>
      </c>
      <c r="C786" s="16" t="s">
        <v>2340</v>
      </c>
      <c r="D786" s="16" t="s">
        <v>15</v>
      </c>
      <c r="E786" s="16" t="s">
        <v>275</v>
      </c>
      <c r="F786" s="17" t="s">
        <v>118</v>
      </c>
      <c r="G786" s="15">
        <v>18</v>
      </c>
      <c r="H786" s="15" t="s">
        <v>18</v>
      </c>
      <c r="I786" s="17" t="s">
        <v>30</v>
      </c>
      <c r="J786" s="16" t="s">
        <v>2341</v>
      </c>
      <c r="K786" s="16" t="s">
        <v>25</v>
      </c>
      <c r="L786" s="18" t="s">
        <v>21</v>
      </c>
    </row>
    <row r="787" spans="1:12" x14ac:dyDescent="0.35">
      <c r="A787" s="9" t="s">
        <v>2342</v>
      </c>
      <c r="B787" s="10" t="s">
        <v>13</v>
      </c>
      <c r="C787" s="11" t="s">
        <v>2343</v>
      </c>
      <c r="D787" s="11" t="s">
        <v>34</v>
      </c>
      <c r="E787" s="11" t="s">
        <v>29</v>
      </c>
      <c r="F787" s="12" t="s">
        <v>23</v>
      </c>
      <c r="G787" s="10">
        <v>7</v>
      </c>
      <c r="H787" s="10" t="s">
        <v>18</v>
      </c>
      <c r="I787" s="12" t="s">
        <v>23</v>
      </c>
      <c r="J787" s="11" t="s">
        <v>2344</v>
      </c>
      <c r="K787" s="11" t="s">
        <v>115</v>
      </c>
      <c r="L787" s="13" t="s">
        <v>21</v>
      </c>
    </row>
    <row r="788" spans="1:12" ht="15" customHeight="1" x14ac:dyDescent="0.35">
      <c r="A788" s="31" t="s">
        <v>2345</v>
      </c>
      <c r="B788" s="32" t="s">
        <v>13</v>
      </c>
      <c r="C788" s="33" t="s">
        <v>2346</v>
      </c>
      <c r="D788" s="33" t="s">
        <v>15</v>
      </c>
      <c r="E788" s="33" t="s">
        <v>47</v>
      </c>
      <c r="F788" s="34" t="s">
        <v>62</v>
      </c>
      <c r="G788" s="32">
        <v>4</v>
      </c>
      <c r="H788" s="32" t="s">
        <v>18</v>
      </c>
      <c r="I788" s="34" t="s">
        <v>62</v>
      </c>
      <c r="J788" s="33" t="s">
        <v>2347</v>
      </c>
      <c r="K788" s="33" t="s">
        <v>25</v>
      </c>
      <c r="L788" s="35" t="s">
        <v>21</v>
      </c>
    </row>
    <row r="789" spans="1:12" x14ac:dyDescent="0.35">
      <c r="A789" s="36" t="s">
        <v>2348</v>
      </c>
      <c r="B789" s="36" t="s">
        <v>13</v>
      </c>
      <c r="C789" s="36" t="s">
        <v>2349</v>
      </c>
      <c r="D789" s="36" t="s">
        <v>34</v>
      </c>
      <c r="E789" s="36" t="s">
        <v>178</v>
      </c>
      <c r="F789" s="37" t="s">
        <v>37</v>
      </c>
      <c r="G789" s="36">
        <v>11</v>
      </c>
      <c r="H789" s="36" t="s">
        <v>109</v>
      </c>
      <c r="I789" s="37"/>
      <c r="J789" s="36" t="s">
        <v>2350</v>
      </c>
      <c r="K789" s="36" t="s">
        <v>130</v>
      </c>
      <c r="L789" s="36" t="s">
        <v>26</v>
      </c>
    </row>
    <row r="790" spans="1:12" x14ac:dyDescent="0.35">
      <c r="A790" s="38" t="s">
        <v>2348</v>
      </c>
      <c r="B790" s="39" t="s">
        <v>13</v>
      </c>
      <c r="C790" s="40" t="s">
        <v>2349</v>
      </c>
      <c r="D790" s="40" t="s">
        <v>34</v>
      </c>
      <c r="E790" s="40" t="s">
        <v>178</v>
      </c>
      <c r="F790" s="41" t="s">
        <v>17</v>
      </c>
      <c r="G790" s="39">
        <v>17</v>
      </c>
      <c r="H790" s="39" t="s">
        <v>18</v>
      </c>
      <c r="I790" s="41" t="s">
        <v>17</v>
      </c>
      <c r="J790" s="40" t="s">
        <v>2350</v>
      </c>
      <c r="K790" s="40" t="s">
        <v>130</v>
      </c>
      <c r="L790" s="42" t="s">
        <v>26</v>
      </c>
    </row>
    <row r="791" spans="1:12" x14ac:dyDescent="0.35">
      <c r="A791" s="9" t="s">
        <v>2351</v>
      </c>
      <c r="B791" s="10" t="s">
        <v>13</v>
      </c>
      <c r="C791" s="11" t="s">
        <v>2352</v>
      </c>
      <c r="D791" s="11" t="s">
        <v>15</v>
      </c>
      <c r="E791" s="11" t="s">
        <v>36</v>
      </c>
      <c r="F791" s="12" t="s">
        <v>30</v>
      </c>
      <c r="G791" s="10">
        <v>5</v>
      </c>
      <c r="H791" s="10" t="s">
        <v>18</v>
      </c>
      <c r="I791" s="12" t="s">
        <v>30</v>
      </c>
      <c r="J791" s="11" t="s">
        <v>2353</v>
      </c>
      <c r="K791" s="11" t="s">
        <v>25</v>
      </c>
      <c r="L791" s="13" t="s">
        <v>21</v>
      </c>
    </row>
    <row r="792" spans="1:12" ht="15" customHeight="1" x14ac:dyDescent="0.35">
      <c r="A792" s="31" t="s">
        <v>2354</v>
      </c>
      <c r="B792" s="32" t="s">
        <v>13</v>
      </c>
      <c r="C792" s="33" t="s">
        <v>2355</v>
      </c>
      <c r="D792" s="33" t="s">
        <v>90</v>
      </c>
      <c r="E792" s="33" t="s">
        <v>104</v>
      </c>
      <c r="F792" s="34" t="s">
        <v>118</v>
      </c>
      <c r="G792" s="32">
        <v>4</v>
      </c>
      <c r="H792" s="32" t="s">
        <v>18</v>
      </c>
      <c r="I792" s="34" t="s">
        <v>36</v>
      </c>
      <c r="J792" s="33" t="s">
        <v>2356</v>
      </c>
      <c r="K792" s="33" t="s">
        <v>25</v>
      </c>
      <c r="L792" s="35" t="s">
        <v>26</v>
      </c>
    </row>
    <row r="793" spans="1:12" x14ac:dyDescent="0.35">
      <c r="A793" s="36" t="s">
        <v>2357</v>
      </c>
      <c r="B793" s="36" t="s">
        <v>13</v>
      </c>
      <c r="C793" s="36" t="s">
        <v>2358</v>
      </c>
      <c r="D793" s="36" t="s">
        <v>15</v>
      </c>
      <c r="E793" s="36" t="s">
        <v>248</v>
      </c>
      <c r="F793" s="37" t="s">
        <v>51</v>
      </c>
      <c r="G793" s="36">
        <v>15</v>
      </c>
      <c r="H793" s="36" t="s">
        <v>109</v>
      </c>
      <c r="I793" s="37"/>
      <c r="J793" s="36" t="s">
        <v>2359</v>
      </c>
      <c r="K793" s="36" t="s">
        <v>25</v>
      </c>
      <c r="L793" s="36" t="s">
        <v>21</v>
      </c>
    </row>
    <row r="794" spans="1:12" x14ac:dyDescent="0.35">
      <c r="A794" s="24" t="s">
        <v>2357</v>
      </c>
      <c r="B794" s="24" t="s">
        <v>13</v>
      </c>
      <c r="C794" s="24" t="s">
        <v>2358</v>
      </c>
      <c r="D794" s="24" t="s">
        <v>15</v>
      </c>
      <c r="E794" s="24" t="s">
        <v>248</v>
      </c>
      <c r="F794" s="25" t="s">
        <v>17</v>
      </c>
      <c r="G794" s="24">
        <v>29</v>
      </c>
      <c r="H794" s="24" t="s">
        <v>42</v>
      </c>
      <c r="I794" s="25"/>
      <c r="J794" s="24" t="s">
        <v>2359</v>
      </c>
      <c r="K794" s="24" t="s">
        <v>25</v>
      </c>
      <c r="L794" s="24" t="s">
        <v>21</v>
      </c>
    </row>
    <row r="795" spans="1:12" ht="15" customHeight="1" x14ac:dyDescent="0.35">
      <c r="A795" s="43" t="s">
        <v>2360</v>
      </c>
      <c r="B795" s="44" t="s">
        <v>13</v>
      </c>
      <c r="C795" s="45" t="s">
        <v>2361</v>
      </c>
      <c r="D795" s="45" t="s">
        <v>15</v>
      </c>
      <c r="E795" s="45" t="s">
        <v>29</v>
      </c>
      <c r="F795" s="46" t="s">
        <v>30</v>
      </c>
      <c r="G795" s="44">
        <v>9</v>
      </c>
      <c r="H795" s="44" t="s">
        <v>18</v>
      </c>
      <c r="I795" s="46" t="s">
        <v>30</v>
      </c>
      <c r="J795" s="45" t="s">
        <v>2362</v>
      </c>
      <c r="K795" s="45" t="s">
        <v>25</v>
      </c>
      <c r="L795" s="47" t="s">
        <v>21</v>
      </c>
    </row>
    <row r="796" spans="1:12" x14ac:dyDescent="0.35">
      <c r="A796" s="24" t="s">
        <v>2363</v>
      </c>
      <c r="B796" s="24" t="s">
        <v>13</v>
      </c>
      <c r="C796" s="24" t="s">
        <v>2364</v>
      </c>
      <c r="D796" s="24" t="s">
        <v>15</v>
      </c>
      <c r="E796" s="24" t="s">
        <v>97</v>
      </c>
      <c r="F796" s="25" t="s">
        <v>23</v>
      </c>
      <c r="G796" s="24">
        <v>5</v>
      </c>
      <c r="H796" s="24" t="s">
        <v>42</v>
      </c>
      <c r="I796" s="25"/>
      <c r="J796" s="24" t="s">
        <v>2365</v>
      </c>
      <c r="K796" s="24" t="s">
        <v>25</v>
      </c>
      <c r="L796" s="24" t="s">
        <v>26</v>
      </c>
    </row>
    <row r="797" spans="1:12" x14ac:dyDescent="0.35">
      <c r="A797" s="26" t="s">
        <v>2366</v>
      </c>
      <c r="B797" s="27" t="s">
        <v>85</v>
      </c>
      <c r="C797" s="28" t="s">
        <v>2367</v>
      </c>
      <c r="D797" s="28" t="s">
        <v>90</v>
      </c>
      <c r="E797" s="28" t="s">
        <v>113</v>
      </c>
      <c r="F797" s="29" t="s">
        <v>30</v>
      </c>
      <c r="G797" s="27">
        <v>4</v>
      </c>
      <c r="H797" s="27" t="s">
        <v>18</v>
      </c>
      <c r="I797" s="29" t="s">
        <v>17</v>
      </c>
      <c r="J797" s="28" t="s">
        <v>2368</v>
      </c>
      <c r="K797" s="28" t="s">
        <v>115</v>
      </c>
      <c r="L797" s="30" t="s">
        <v>21</v>
      </c>
    </row>
    <row r="798" spans="1:12" x14ac:dyDescent="0.35">
      <c r="A798" s="14" t="s">
        <v>2369</v>
      </c>
      <c r="B798" s="15" t="s">
        <v>13</v>
      </c>
      <c r="C798" s="16" t="s">
        <v>2370</v>
      </c>
      <c r="D798" s="16" t="s">
        <v>34</v>
      </c>
      <c r="E798" s="16" t="s">
        <v>453</v>
      </c>
      <c r="F798" s="17" t="s">
        <v>29</v>
      </c>
      <c r="G798" s="15">
        <v>14</v>
      </c>
      <c r="H798" s="15" t="s">
        <v>18</v>
      </c>
      <c r="I798" s="17" t="s">
        <v>62</v>
      </c>
      <c r="J798" s="16" t="s">
        <v>2371</v>
      </c>
      <c r="K798" s="16" t="s">
        <v>241</v>
      </c>
      <c r="L798" s="18" t="s">
        <v>21</v>
      </c>
    </row>
    <row r="799" spans="1:12" x14ac:dyDescent="0.35">
      <c r="A799" s="9" t="s">
        <v>2372</v>
      </c>
      <c r="B799" s="10" t="s">
        <v>13</v>
      </c>
      <c r="C799" s="11" t="s">
        <v>2373</v>
      </c>
      <c r="D799" s="11" t="s">
        <v>34</v>
      </c>
      <c r="E799" s="11" t="s">
        <v>165</v>
      </c>
      <c r="F799" s="12" t="s">
        <v>23</v>
      </c>
      <c r="G799" s="10">
        <v>23</v>
      </c>
      <c r="H799" s="10" t="s">
        <v>18</v>
      </c>
      <c r="I799" s="12" t="s">
        <v>52</v>
      </c>
      <c r="J799" s="11" t="s">
        <v>2374</v>
      </c>
      <c r="K799" s="11" t="s">
        <v>241</v>
      </c>
      <c r="L799" s="13" t="s">
        <v>21</v>
      </c>
    </row>
    <row r="800" spans="1:12" x14ac:dyDescent="0.35">
      <c r="A800" s="14" t="s">
        <v>2375</v>
      </c>
      <c r="B800" s="15" t="s">
        <v>13</v>
      </c>
      <c r="C800" s="16" t="s">
        <v>2376</v>
      </c>
      <c r="D800" s="16" t="s">
        <v>34</v>
      </c>
      <c r="E800" s="16" t="s">
        <v>36</v>
      </c>
      <c r="F800" s="17" t="s">
        <v>30</v>
      </c>
      <c r="G800" s="15">
        <v>5</v>
      </c>
      <c r="H800" s="15" t="s">
        <v>18</v>
      </c>
      <c r="I800" s="17" t="s">
        <v>17</v>
      </c>
      <c r="J800" s="16" t="s">
        <v>2377</v>
      </c>
      <c r="K800" s="16" t="s">
        <v>115</v>
      </c>
      <c r="L800" s="18" t="s">
        <v>21</v>
      </c>
    </row>
    <row r="801" spans="1:12" ht="15" customHeight="1" x14ac:dyDescent="0.35">
      <c r="A801" s="19" t="s">
        <v>2378</v>
      </c>
      <c r="B801" s="20" t="s">
        <v>13</v>
      </c>
      <c r="C801" s="21" t="s">
        <v>2379</v>
      </c>
      <c r="D801" s="21" t="s">
        <v>34</v>
      </c>
      <c r="E801" s="21" t="s">
        <v>104</v>
      </c>
      <c r="F801" s="22" t="s">
        <v>37</v>
      </c>
      <c r="G801" s="20">
        <v>6</v>
      </c>
      <c r="H801" s="20" t="s">
        <v>18</v>
      </c>
      <c r="I801" s="22" t="s">
        <v>113</v>
      </c>
      <c r="J801" s="21" t="s">
        <v>2380</v>
      </c>
      <c r="K801" s="21" t="s">
        <v>44</v>
      </c>
      <c r="L801" s="23" t="s">
        <v>26</v>
      </c>
    </row>
    <row r="802" spans="1:12" x14ac:dyDescent="0.35">
      <c r="A802" s="24" t="s">
        <v>2381</v>
      </c>
      <c r="B802" s="24" t="s">
        <v>13</v>
      </c>
      <c r="C802" s="24" t="s">
        <v>2382</v>
      </c>
      <c r="D802" s="24" t="s">
        <v>15</v>
      </c>
      <c r="E802" s="24" t="s">
        <v>37</v>
      </c>
      <c r="F802" s="25" t="s">
        <v>70</v>
      </c>
      <c r="G802" s="24">
        <v>6</v>
      </c>
      <c r="H802" s="24" t="s">
        <v>42</v>
      </c>
      <c r="I802" s="25"/>
      <c r="J802" s="24" t="s">
        <v>2383</v>
      </c>
      <c r="K802" s="24" t="s">
        <v>25</v>
      </c>
      <c r="L802" s="24" t="s">
        <v>21</v>
      </c>
    </row>
    <row r="803" spans="1:12" x14ac:dyDescent="0.35">
      <c r="A803" s="26" t="s">
        <v>2384</v>
      </c>
      <c r="B803" s="27" t="s">
        <v>13</v>
      </c>
      <c r="C803" s="28" t="s">
        <v>2385</v>
      </c>
      <c r="D803" s="28" t="s">
        <v>34</v>
      </c>
      <c r="E803" s="28" t="s">
        <v>457</v>
      </c>
      <c r="F803" s="29" t="s">
        <v>62</v>
      </c>
      <c r="G803" s="27">
        <v>13</v>
      </c>
      <c r="H803" s="27" t="s">
        <v>18</v>
      </c>
      <c r="I803" s="29" t="s">
        <v>97</v>
      </c>
      <c r="J803" s="28" t="s">
        <v>2386</v>
      </c>
      <c r="K803" s="28" t="s">
        <v>25</v>
      </c>
      <c r="L803" s="30" t="s">
        <v>21</v>
      </c>
    </row>
    <row r="804" spans="1:12" ht="15" customHeight="1" x14ac:dyDescent="0.35">
      <c r="A804" s="31" t="s">
        <v>2387</v>
      </c>
      <c r="B804" s="32" t="s">
        <v>13</v>
      </c>
      <c r="C804" s="33" t="s">
        <v>2388</v>
      </c>
      <c r="D804" s="33" t="s">
        <v>34</v>
      </c>
      <c r="E804" s="33" t="s">
        <v>133</v>
      </c>
      <c r="F804" s="34" t="s">
        <v>52</v>
      </c>
      <c r="G804" s="32">
        <v>9</v>
      </c>
      <c r="H804" s="32" t="s">
        <v>18</v>
      </c>
      <c r="I804" s="34" t="s">
        <v>17</v>
      </c>
      <c r="J804" s="33" t="s">
        <v>2389</v>
      </c>
      <c r="K804" s="33" t="s">
        <v>115</v>
      </c>
      <c r="L804" s="35" t="s">
        <v>26</v>
      </c>
    </row>
    <row r="805" spans="1:12" x14ac:dyDescent="0.35">
      <c r="A805" s="36" t="s">
        <v>2390</v>
      </c>
      <c r="B805" s="36" t="s">
        <v>13</v>
      </c>
      <c r="C805" s="36" t="s">
        <v>2391</v>
      </c>
      <c r="D805" s="36" t="s">
        <v>34</v>
      </c>
      <c r="E805" s="36" t="s">
        <v>248</v>
      </c>
      <c r="F805" s="37" t="s">
        <v>133</v>
      </c>
      <c r="G805" s="36">
        <v>17</v>
      </c>
      <c r="H805" s="36" t="s">
        <v>42</v>
      </c>
      <c r="I805" s="37"/>
      <c r="J805" s="36" t="s">
        <v>2392</v>
      </c>
      <c r="K805" s="36" t="s">
        <v>1251</v>
      </c>
      <c r="L805" s="36" t="s">
        <v>21</v>
      </c>
    </row>
    <row r="806" spans="1:12" x14ac:dyDescent="0.35">
      <c r="A806" s="38" t="s">
        <v>2393</v>
      </c>
      <c r="B806" s="39" t="s">
        <v>13</v>
      </c>
      <c r="C806" s="40" t="s">
        <v>2394</v>
      </c>
      <c r="D806" s="40" t="s">
        <v>34</v>
      </c>
      <c r="E806" s="40" t="s">
        <v>457</v>
      </c>
      <c r="F806" s="41" t="s">
        <v>17</v>
      </c>
      <c r="G806" s="39">
        <v>22</v>
      </c>
      <c r="H806" s="39" t="s">
        <v>18</v>
      </c>
      <c r="I806" s="41" t="s">
        <v>17</v>
      </c>
      <c r="J806" s="40" t="s">
        <v>2395</v>
      </c>
      <c r="K806" s="40" t="s">
        <v>25</v>
      </c>
      <c r="L806" s="42" t="s">
        <v>21</v>
      </c>
    </row>
    <row r="807" spans="1:12" x14ac:dyDescent="0.35">
      <c r="A807" s="9" t="s">
        <v>2393</v>
      </c>
      <c r="B807" s="10" t="s">
        <v>13</v>
      </c>
      <c r="C807" s="11" t="s">
        <v>2396</v>
      </c>
      <c r="D807" s="11" t="s">
        <v>34</v>
      </c>
      <c r="E807" s="11" t="s">
        <v>23</v>
      </c>
      <c r="F807" s="12" t="s">
        <v>17</v>
      </c>
      <c r="G807" s="10">
        <v>3</v>
      </c>
      <c r="H807" s="10" t="s">
        <v>18</v>
      </c>
      <c r="I807" s="12" t="s">
        <v>17</v>
      </c>
      <c r="J807" s="11" t="s">
        <v>748</v>
      </c>
      <c r="K807" s="11" t="s">
        <v>25</v>
      </c>
      <c r="L807" s="13" t="s">
        <v>26</v>
      </c>
    </row>
    <row r="808" spans="1:12" x14ac:dyDescent="0.35">
      <c r="A808" s="14" t="s">
        <v>2397</v>
      </c>
      <c r="B808" s="15" t="s">
        <v>13</v>
      </c>
      <c r="C808" s="16" t="s">
        <v>2398</v>
      </c>
      <c r="D808" s="16" t="s">
        <v>34</v>
      </c>
      <c r="E808" s="16" t="s">
        <v>66</v>
      </c>
      <c r="F808" s="17" t="s">
        <v>29</v>
      </c>
      <c r="G808" s="15">
        <v>4</v>
      </c>
      <c r="H808" s="15" t="s">
        <v>18</v>
      </c>
      <c r="I808" s="17" t="s">
        <v>29</v>
      </c>
      <c r="J808" s="16" t="s">
        <v>2399</v>
      </c>
      <c r="K808" s="16" t="s">
        <v>44</v>
      </c>
      <c r="L808" s="18" t="s">
        <v>21</v>
      </c>
    </row>
    <row r="809" spans="1:12" x14ac:dyDescent="0.35">
      <c r="A809" s="9" t="s">
        <v>2400</v>
      </c>
      <c r="B809" s="10" t="s">
        <v>13</v>
      </c>
      <c r="C809" s="11" t="s">
        <v>2401</v>
      </c>
      <c r="D809" s="11" t="s">
        <v>34</v>
      </c>
      <c r="E809" s="11" t="s">
        <v>1603</v>
      </c>
      <c r="F809" s="12" t="s">
        <v>133</v>
      </c>
      <c r="G809" s="10">
        <v>29</v>
      </c>
      <c r="H809" s="10" t="s">
        <v>18</v>
      </c>
      <c r="I809" s="12" t="s">
        <v>104</v>
      </c>
      <c r="J809" s="11" t="s">
        <v>2402</v>
      </c>
      <c r="K809" s="11" t="s">
        <v>293</v>
      </c>
      <c r="L809" s="13" t="s">
        <v>21</v>
      </c>
    </row>
    <row r="810" spans="1:12" ht="15" customHeight="1" x14ac:dyDescent="0.35">
      <c r="A810" s="31" t="s">
        <v>2403</v>
      </c>
      <c r="B810" s="32" t="s">
        <v>13</v>
      </c>
      <c r="C810" s="33" t="s">
        <v>2404</v>
      </c>
      <c r="D810" s="33" t="s">
        <v>34</v>
      </c>
      <c r="E810" s="33" t="s">
        <v>244</v>
      </c>
      <c r="F810" s="34" t="s">
        <v>133</v>
      </c>
      <c r="G810" s="32">
        <v>10</v>
      </c>
      <c r="H810" s="32" t="s">
        <v>18</v>
      </c>
      <c r="I810" s="34" t="s">
        <v>133</v>
      </c>
      <c r="J810" s="33" t="s">
        <v>169</v>
      </c>
      <c r="K810" s="33" t="s">
        <v>25</v>
      </c>
      <c r="L810" s="35" t="s">
        <v>21</v>
      </c>
    </row>
    <row r="811" spans="1:12" x14ac:dyDescent="0.35">
      <c r="A811" s="36" t="s">
        <v>2405</v>
      </c>
      <c r="B811" s="36" t="s">
        <v>13</v>
      </c>
      <c r="C811" s="36" t="s">
        <v>2406</v>
      </c>
      <c r="D811" s="36" t="s">
        <v>34</v>
      </c>
      <c r="E811" s="36" t="s">
        <v>51</v>
      </c>
      <c r="F811" s="37" t="s">
        <v>118</v>
      </c>
      <c r="G811" s="36">
        <v>7</v>
      </c>
      <c r="H811" s="36" t="s">
        <v>109</v>
      </c>
      <c r="I811" s="37"/>
      <c r="J811" s="36" t="s">
        <v>2407</v>
      </c>
      <c r="K811" s="36" t="s">
        <v>25</v>
      </c>
      <c r="L811" s="36" t="s">
        <v>21</v>
      </c>
    </row>
    <row r="812" spans="1:12" ht="15" customHeight="1" x14ac:dyDescent="0.35">
      <c r="A812" s="48" t="s">
        <v>2405</v>
      </c>
      <c r="B812" s="49" t="s">
        <v>13</v>
      </c>
      <c r="C812" s="50" t="s">
        <v>2406</v>
      </c>
      <c r="D812" s="50" t="s">
        <v>34</v>
      </c>
      <c r="E812" s="50" t="s">
        <v>51</v>
      </c>
      <c r="F812" s="51" t="s">
        <v>113</v>
      </c>
      <c r="G812" s="49">
        <v>10</v>
      </c>
      <c r="H812" s="49" t="s">
        <v>18</v>
      </c>
      <c r="I812" s="51" t="s">
        <v>23</v>
      </c>
      <c r="J812" s="50" t="s">
        <v>2407</v>
      </c>
      <c r="K812" s="50" t="s">
        <v>25</v>
      </c>
      <c r="L812" s="52" t="s">
        <v>21</v>
      </c>
    </row>
    <row r="813" spans="1:12" x14ac:dyDescent="0.35">
      <c r="A813" s="36" t="s">
        <v>2408</v>
      </c>
      <c r="B813" s="36" t="s">
        <v>13</v>
      </c>
      <c r="C813" s="36" t="s">
        <v>2409</v>
      </c>
      <c r="D813" s="36" t="s">
        <v>90</v>
      </c>
      <c r="E813" s="36" t="s">
        <v>23</v>
      </c>
      <c r="F813" s="37" t="s">
        <v>70</v>
      </c>
      <c r="G813" s="36">
        <v>4</v>
      </c>
      <c r="H813" s="36" t="s">
        <v>42</v>
      </c>
      <c r="I813" s="37"/>
      <c r="J813" s="36" t="s">
        <v>2410</v>
      </c>
      <c r="K813" s="36" t="s">
        <v>115</v>
      </c>
      <c r="L813" s="36" t="s">
        <v>21</v>
      </c>
    </row>
    <row r="814" spans="1:12" x14ac:dyDescent="0.35">
      <c r="A814" s="24" t="s">
        <v>2411</v>
      </c>
      <c r="B814" s="24" t="s">
        <v>13</v>
      </c>
      <c r="C814" s="24" t="s">
        <v>2412</v>
      </c>
      <c r="D814" s="24" t="s">
        <v>34</v>
      </c>
      <c r="E814" s="24" t="s">
        <v>453</v>
      </c>
      <c r="F814" s="25" t="s">
        <v>118</v>
      </c>
      <c r="G814" s="24">
        <v>17</v>
      </c>
      <c r="H814" s="24" t="s">
        <v>42</v>
      </c>
      <c r="I814" s="25"/>
      <c r="J814" s="24" t="s">
        <v>2413</v>
      </c>
      <c r="K814" s="24" t="s">
        <v>130</v>
      </c>
      <c r="L814" s="24" t="s">
        <v>21</v>
      </c>
    </row>
    <row r="815" spans="1:12" x14ac:dyDescent="0.35">
      <c r="A815" s="36" t="s">
        <v>2414</v>
      </c>
      <c r="B815" s="36" t="s">
        <v>13</v>
      </c>
      <c r="C815" s="36" t="s">
        <v>2415</v>
      </c>
      <c r="D815" s="36" t="s">
        <v>34</v>
      </c>
      <c r="E815" s="36" t="s">
        <v>497</v>
      </c>
      <c r="F815" s="37" t="s">
        <v>133</v>
      </c>
      <c r="G815" s="36">
        <v>8</v>
      </c>
      <c r="H815" s="36" t="s">
        <v>109</v>
      </c>
      <c r="I815" s="37"/>
      <c r="J815" s="36" t="s">
        <v>2416</v>
      </c>
      <c r="K815" s="36" t="s">
        <v>25</v>
      </c>
      <c r="L815" s="36" t="s">
        <v>21</v>
      </c>
    </row>
    <row r="816" spans="1:12" x14ac:dyDescent="0.35">
      <c r="A816" s="38" t="s">
        <v>2414</v>
      </c>
      <c r="B816" s="39" t="s">
        <v>13</v>
      </c>
      <c r="C816" s="40" t="s">
        <v>2415</v>
      </c>
      <c r="D816" s="40" t="s">
        <v>34</v>
      </c>
      <c r="E816" s="40" t="s">
        <v>497</v>
      </c>
      <c r="F816" s="41" t="s">
        <v>37</v>
      </c>
      <c r="G816" s="39">
        <v>16</v>
      </c>
      <c r="H816" s="39" t="s">
        <v>18</v>
      </c>
      <c r="I816" s="41" t="s">
        <v>113</v>
      </c>
      <c r="J816" s="40" t="s">
        <v>2416</v>
      </c>
      <c r="K816" s="40" t="s">
        <v>25</v>
      </c>
      <c r="L816" s="42" t="s">
        <v>21</v>
      </c>
    </row>
    <row r="817" spans="1:12" ht="15" customHeight="1" x14ac:dyDescent="0.35">
      <c r="A817" s="19" t="s">
        <v>2417</v>
      </c>
      <c r="B817" s="20" t="s">
        <v>13</v>
      </c>
      <c r="C817" s="21" t="s">
        <v>2418</v>
      </c>
      <c r="D817" s="21" t="s">
        <v>34</v>
      </c>
      <c r="E817" s="21" t="s">
        <v>29</v>
      </c>
      <c r="F817" s="22" t="s">
        <v>17</v>
      </c>
      <c r="G817" s="20">
        <v>10</v>
      </c>
      <c r="H817" s="20" t="s">
        <v>18</v>
      </c>
      <c r="I817" s="22" t="s">
        <v>17</v>
      </c>
      <c r="J817" s="21" t="s">
        <v>2419</v>
      </c>
      <c r="K817" s="21" t="s">
        <v>115</v>
      </c>
      <c r="L817" s="23" t="s">
        <v>21</v>
      </c>
    </row>
    <row r="818" spans="1:12" x14ac:dyDescent="0.35">
      <c r="A818" s="24" t="s">
        <v>2420</v>
      </c>
      <c r="B818" s="24" t="s">
        <v>13</v>
      </c>
      <c r="C818" s="24" t="s">
        <v>2421</v>
      </c>
      <c r="D818" s="24" t="s">
        <v>90</v>
      </c>
      <c r="E818" s="24" t="s">
        <v>165</v>
      </c>
      <c r="F818" s="25" t="s">
        <v>70</v>
      </c>
      <c r="G818" s="24">
        <v>27</v>
      </c>
      <c r="H818" s="24" t="s">
        <v>42</v>
      </c>
      <c r="I818" s="25"/>
      <c r="J818" s="24" t="s">
        <v>2422</v>
      </c>
      <c r="K818" s="24" t="s">
        <v>25</v>
      </c>
      <c r="L818" s="24" t="s">
        <v>21</v>
      </c>
    </row>
    <row r="819" spans="1:12" ht="15" customHeight="1" x14ac:dyDescent="0.35">
      <c r="A819" s="43" t="s">
        <v>2423</v>
      </c>
      <c r="B819" s="44" t="s">
        <v>13</v>
      </c>
      <c r="C819" s="45" t="s">
        <v>2424</v>
      </c>
      <c r="D819" s="45" t="s">
        <v>34</v>
      </c>
      <c r="E819" s="45" t="s">
        <v>66</v>
      </c>
      <c r="F819" s="46" t="s">
        <v>118</v>
      </c>
      <c r="G819" s="44">
        <v>8</v>
      </c>
      <c r="H819" s="44" t="s">
        <v>18</v>
      </c>
      <c r="I819" s="46" t="s">
        <v>118</v>
      </c>
      <c r="J819" s="45" t="s">
        <v>2425</v>
      </c>
      <c r="K819" s="45" t="s">
        <v>25</v>
      </c>
      <c r="L819" s="47" t="s">
        <v>21</v>
      </c>
    </row>
    <row r="820" spans="1:12" x14ac:dyDescent="0.35">
      <c r="A820" s="24" t="s">
        <v>2426</v>
      </c>
      <c r="B820" s="24" t="s">
        <v>13</v>
      </c>
      <c r="C820" s="24" t="s">
        <v>2427</v>
      </c>
      <c r="D820" s="24" t="s">
        <v>15</v>
      </c>
      <c r="E820" s="24" t="s">
        <v>16</v>
      </c>
      <c r="F820" s="25" t="s">
        <v>29</v>
      </c>
      <c r="G820" s="24">
        <v>26</v>
      </c>
      <c r="H820" s="24" t="s">
        <v>42</v>
      </c>
      <c r="I820" s="25"/>
      <c r="J820" s="24" t="s">
        <v>2428</v>
      </c>
      <c r="K820" s="24" t="s">
        <v>25</v>
      </c>
      <c r="L820" s="24" t="s">
        <v>21</v>
      </c>
    </row>
    <row r="821" spans="1:12" x14ac:dyDescent="0.35">
      <c r="A821" s="36" t="s">
        <v>2429</v>
      </c>
      <c r="B821" s="36" t="s">
        <v>13</v>
      </c>
      <c r="C821" s="36" t="s">
        <v>2430</v>
      </c>
      <c r="D821" s="36" t="s">
        <v>34</v>
      </c>
      <c r="E821" s="36" t="s">
        <v>51</v>
      </c>
      <c r="F821" s="37" t="s">
        <v>118</v>
      </c>
      <c r="G821" s="36">
        <v>7</v>
      </c>
      <c r="H821" s="36" t="s">
        <v>109</v>
      </c>
      <c r="I821" s="37"/>
      <c r="J821" s="36" t="s">
        <v>2431</v>
      </c>
      <c r="K821" s="36" t="s">
        <v>115</v>
      </c>
      <c r="L821" s="36" t="s">
        <v>21</v>
      </c>
    </row>
    <row r="822" spans="1:12" x14ac:dyDescent="0.35">
      <c r="A822" s="24" t="s">
        <v>2432</v>
      </c>
      <c r="B822" s="24" t="s">
        <v>13</v>
      </c>
      <c r="C822" s="24" t="s">
        <v>2433</v>
      </c>
      <c r="D822" s="24" t="s">
        <v>34</v>
      </c>
      <c r="E822" s="24" t="s">
        <v>546</v>
      </c>
      <c r="F822" s="25" t="s">
        <v>62</v>
      </c>
      <c r="G822" s="24">
        <v>24</v>
      </c>
      <c r="H822" s="24" t="s">
        <v>42</v>
      </c>
      <c r="I822" s="25"/>
      <c r="J822" s="24" t="s">
        <v>2434</v>
      </c>
      <c r="K822" s="24" t="s">
        <v>20</v>
      </c>
      <c r="L822" s="24" t="s">
        <v>21</v>
      </c>
    </row>
    <row r="823" spans="1:12" x14ac:dyDescent="0.35">
      <c r="A823" s="36" t="s">
        <v>2435</v>
      </c>
      <c r="B823" s="36" t="s">
        <v>13</v>
      </c>
      <c r="C823" s="36" t="s">
        <v>2436</v>
      </c>
      <c r="D823" s="36" t="s">
        <v>78</v>
      </c>
      <c r="E823" s="36" t="s">
        <v>35</v>
      </c>
      <c r="F823" s="37" t="s">
        <v>29</v>
      </c>
      <c r="G823" s="36">
        <v>8</v>
      </c>
      <c r="H823" s="36" t="s">
        <v>109</v>
      </c>
      <c r="I823" s="37"/>
      <c r="J823" s="36" t="s">
        <v>2437</v>
      </c>
      <c r="K823" s="36" t="s">
        <v>39</v>
      </c>
      <c r="L823" s="36" t="s">
        <v>21</v>
      </c>
    </row>
    <row r="824" spans="1:12" x14ac:dyDescent="0.35">
      <c r="A824" s="24" t="s">
        <v>2438</v>
      </c>
      <c r="B824" s="24" t="s">
        <v>13</v>
      </c>
      <c r="C824" s="24" t="s">
        <v>2439</v>
      </c>
      <c r="D824" s="24" t="s">
        <v>34</v>
      </c>
      <c r="E824" s="24" t="s">
        <v>29</v>
      </c>
      <c r="F824" s="25" t="s">
        <v>37</v>
      </c>
      <c r="G824" s="24">
        <v>4</v>
      </c>
      <c r="H824" s="24" t="s">
        <v>42</v>
      </c>
      <c r="I824" s="25"/>
      <c r="J824" s="24" t="s">
        <v>2440</v>
      </c>
      <c r="K824" s="24" t="s">
        <v>115</v>
      </c>
      <c r="L824" s="24" t="s">
        <v>21</v>
      </c>
    </row>
    <row r="825" spans="1:12" x14ac:dyDescent="0.35">
      <c r="A825" s="26" t="s">
        <v>2441</v>
      </c>
      <c r="B825" s="27" t="s">
        <v>13</v>
      </c>
      <c r="C825" s="28" t="s">
        <v>2442</v>
      </c>
      <c r="D825" s="28" t="s">
        <v>34</v>
      </c>
      <c r="E825" s="28" t="s">
        <v>82</v>
      </c>
      <c r="F825" s="29" t="s">
        <v>97</v>
      </c>
      <c r="G825" s="27">
        <v>8</v>
      </c>
      <c r="H825" s="27" t="s">
        <v>18</v>
      </c>
      <c r="I825" s="29" t="s">
        <v>97</v>
      </c>
      <c r="J825" s="28" t="s">
        <v>2443</v>
      </c>
      <c r="K825" s="28" t="s">
        <v>130</v>
      </c>
      <c r="L825" s="30" t="s">
        <v>21</v>
      </c>
    </row>
    <row r="826" spans="1:12" ht="15" customHeight="1" x14ac:dyDescent="0.35">
      <c r="A826" s="31" t="s">
        <v>2444</v>
      </c>
      <c r="B826" s="32" t="s">
        <v>13</v>
      </c>
      <c r="C826" s="33" t="s">
        <v>2445</v>
      </c>
      <c r="D826" s="33" t="s">
        <v>34</v>
      </c>
      <c r="E826" s="33" t="s">
        <v>104</v>
      </c>
      <c r="F826" s="34" t="s">
        <v>36</v>
      </c>
      <c r="G826" s="32">
        <v>5</v>
      </c>
      <c r="H826" s="32" t="s">
        <v>18</v>
      </c>
      <c r="I826" s="34" t="s">
        <v>70</v>
      </c>
      <c r="J826" s="33" t="s">
        <v>2446</v>
      </c>
      <c r="K826" s="33" t="s">
        <v>115</v>
      </c>
      <c r="L826" s="35" t="s">
        <v>21</v>
      </c>
    </row>
    <row r="827" spans="1:12" x14ac:dyDescent="0.35">
      <c r="A827" s="36" t="s">
        <v>2447</v>
      </c>
      <c r="B827" s="36" t="s">
        <v>13</v>
      </c>
      <c r="C827" s="36" t="s">
        <v>2448</v>
      </c>
      <c r="D827" s="36" t="s">
        <v>90</v>
      </c>
      <c r="E827" s="36" t="s">
        <v>51</v>
      </c>
      <c r="F827" s="37" t="s">
        <v>133</v>
      </c>
      <c r="G827" s="36">
        <v>2</v>
      </c>
      <c r="H827" s="36" t="s">
        <v>42</v>
      </c>
      <c r="I827" s="37"/>
      <c r="J827" s="36" t="s">
        <v>2449</v>
      </c>
      <c r="K827" s="36" t="s">
        <v>195</v>
      </c>
      <c r="L827" s="36" t="s">
        <v>21</v>
      </c>
    </row>
    <row r="828" spans="1:12" x14ac:dyDescent="0.35">
      <c r="A828" s="38" t="s">
        <v>2450</v>
      </c>
      <c r="B828" s="39" t="s">
        <v>13</v>
      </c>
      <c r="C828" s="40" t="s">
        <v>2451</v>
      </c>
      <c r="D828" s="40" t="s">
        <v>34</v>
      </c>
      <c r="E828" s="40" t="s">
        <v>2064</v>
      </c>
      <c r="F828" s="41" t="s">
        <v>62</v>
      </c>
      <c r="G828" s="39">
        <v>32</v>
      </c>
      <c r="H828" s="39" t="s">
        <v>18</v>
      </c>
      <c r="I828" s="41" t="s">
        <v>97</v>
      </c>
      <c r="J828" s="40" t="s">
        <v>2452</v>
      </c>
      <c r="K828" s="40" t="s">
        <v>293</v>
      </c>
      <c r="L828" s="42" t="s">
        <v>21</v>
      </c>
    </row>
    <row r="829" spans="1:12" x14ac:dyDescent="0.35">
      <c r="A829" s="9" t="s">
        <v>2453</v>
      </c>
      <c r="B829" s="10" t="s">
        <v>13</v>
      </c>
      <c r="C829" s="11" t="s">
        <v>2454</v>
      </c>
      <c r="D829" s="11" t="s">
        <v>34</v>
      </c>
      <c r="E829" s="11" t="s">
        <v>36</v>
      </c>
      <c r="F829" s="12" t="s">
        <v>17</v>
      </c>
      <c r="G829" s="10">
        <v>6</v>
      </c>
      <c r="H829" s="10" t="s">
        <v>18</v>
      </c>
      <c r="I829" s="12" t="s">
        <v>70</v>
      </c>
      <c r="J829" s="11" t="s">
        <v>2455</v>
      </c>
      <c r="K829" s="11" t="s">
        <v>44</v>
      </c>
      <c r="L829" s="13" t="s">
        <v>21</v>
      </c>
    </row>
    <row r="830" spans="1:12" x14ac:dyDescent="0.35">
      <c r="A830" s="14" t="s">
        <v>2456</v>
      </c>
      <c r="B830" s="15" t="s">
        <v>13</v>
      </c>
      <c r="C830" s="16" t="s">
        <v>2457</v>
      </c>
      <c r="D830" s="16" t="s">
        <v>34</v>
      </c>
      <c r="E830" s="16" t="s">
        <v>62</v>
      </c>
      <c r="F830" s="17" t="s">
        <v>23</v>
      </c>
      <c r="G830" s="15">
        <v>6</v>
      </c>
      <c r="H830" s="15" t="s">
        <v>18</v>
      </c>
      <c r="I830" s="17" t="s">
        <v>23</v>
      </c>
      <c r="J830" s="16" t="s">
        <v>2458</v>
      </c>
      <c r="K830" s="16" t="s">
        <v>44</v>
      </c>
      <c r="L830" s="18" t="s">
        <v>21</v>
      </c>
    </row>
    <row r="831" spans="1:12" ht="15" customHeight="1" x14ac:dyDescent="0.35">
      <c r="A831" s="19" t="s">
        <v>2459</v>
      </c>
      <c r="B831" s="20" t="s">
        <v>13</v>
      </c>
      <c r="C831" s="21" t="s">
        <v>2460</v>
      </c>
      <c r="D831" s="21" t="s">
        <v>34</v>
      </c>
      <c r="E831" s="21" t="s">
        <v>97</v>
      </c>
      <c r="F831" s="22" t="s">
        <v>17</v>
      </c>
      <c r="G831" s="20">
        <v>8</v>
      </c>
      <c r="H831" s="20" t="s">
        <v>18</v>
      </c>
      <c r="I831" s="22" t="s">
        <v>17</v>
      </c>
      <c r="J831" s="21" t="s">
        <v>2461</v>
      </c>
      <c r="K831" s="21" t="s">
        <v>115</v>
      </c>
      <c r="L831" s="23" t="s">
        <v>21</v>
      </c>
    </row>
    <row r="832" spans="1:12" x14ac:dyDescent="0.35">
      <c r="A832" s="24" t="s">
        <v>2462</v>
      </c>
      <c r="B832" s="24" t="s">
        <v>13</v>
      </c>
      <c r="C832" s="24" t="s">
        <v>2463</v>
      </c>
      <c r="D832" s="24" t="s">
        <v>34</v>
      </c>
      <c r="E832" s="24" t="s">
        <v>47</v>
      </c>
      <c r="F832" s="25" t="s">
        <v>29</v>
      </c>
      <c r="G832" s="24">
        <v>3</v>
      </c>
      <c r="H832" s="24" t="s">
        <v>42</v>
      </c>
      <c r="I832" s="25"/>
      <c r="J832" s="24" t="s">
        <v>2464</v>
      </c>
      <c r="K832" s="24" t="s">
        <v>44</v>
      </c>
      <c r="L832" s="24" t="s">
        <v>21</v>
      </c>
    </row>
    <row r="833" spans="1:12" x14ac:dyDescent="0.35">
      <c r="A833" s="36" t="s">
        <v>2465</v>
      </c>
      <c r="B833" s="36" t="s">
        <v>13</v>
      </c>
      <c r="C833" s="36" t="s">
        <v>2466</v>
      </c>
      <c r="D833" s="36" t="s">
        <v>78</v>
      </c>
      <c r="E833" s="36" t="s">
        <v>62</v>
      </c>
      <c r="F833" s="37" t="s">
        <v>70</v>
      </c>
      <c r="G833" s="36">
        <v>10</v>
      </c>
      <c r="H833" s="36" t="s">
        <v>42</v>
      </c>
      <c r="I833" s="37"/>
      <c r="J833" s="36" t="s">
        <v>2467</v>
      </c>
      <c r="K833" s="36" t="s">
        <v>25</v>
      </c>
      <c r="L833" s="36" t="s">
        <v>21</v>
      </c>
    </row>
    <row r="834" spans="1:12" x14ac:dyDescent="0.35">
      <c r="A834" s="38" t="s">
        <v>2468</v>
      </c>
      <c r="B834" s="39" t="s">
        <v>13</v>
      </c>
      <c r="C834" s="40" t="s">
        <v>2469</v>
      </c>
      <c r="D834" s="40" t="s">
        <v>34</v>
      </c>
      <c r="E834" s="40" t="s">
        <v>97</v>
      </c>
      <c r="F834" s="41" t="s">
        <v>52</v>
      </c>
      <c r="G834" s="39">
        <v>6</v>
      </c>
      <c r="H834" s="39" t="s">
        <v>18</v>
      </c>
      <c r="I834" s="41" t="s">
        <v>17</v>
      </c>
      <c r="J834" s="40" t="s">
        <v>2470</v>
      </c>
      <c r="K834" s="40" t="s">
        <v>44</v>
      </c>
      <c r="L834" s="42" t="s">
        <v>21</v>
      </c>
    </row>
    <row r="835" spans="1:12" ht="15" customHeight="1" x14ac:dyDescent="0.35">
      <c r="A835" s="19" t="s">
        <v>2471</v>
      </c>
      <c r="B835" s="20" t="s">
        <v>13</v>
      </c>
      <c r="C835" s="21" t="s">
        <v>2472</v>
      </c>
      <c r="D835" s="21" t="s">
        <v>15</v>
      </c>
      <c r="E835" s="21" t="s">
        <v>97</v>
      </c>
      <c r="F835" s="22" t="s">
        <v>113</v>
      </c>
      <c r="G835" s="20">
        <v>4</v>
      </c>
      <c r="H835" s="20" t="s">
        <v>18</v>
      </c>
      <c r="I835" s="22" t="s">
        <v>52</v>
      </c>
      <c r="J835" s="21" t="s">
        <v>2473</v>
      </c>
      <c r="K835" s="21" t="s">
        <v>25</v>
      </c>
      <c r="L835" s="23" t="s">
        <v>21</v>
      </c>
    </row>
    <row r="836" spans="1:12" x14ac:dyDescent="0.35">
      <c r="A836" s="24" t="s">
        <v>2474</v>
      </c>
      <c r="B836" s="24" t="s">
        <v>13</v>
      </c>
      <c r="C836" s="24" t="s">
        <v>2475</v>
      </c>
      <c r="D836" s="24" t="s">
        <v>90</v>
      </c>
      <c r="E836" s="24" t="s">
        <v>113</v>
      </c>
      <c r="F836" s="25" t="s">
        <v>17</v>
      </c>
      <c r="G836" s="24">
        <v>3</v>
      </c>
      <c r="H836" s="24" t="s">
        <v>42</v>
      </c>
      <c r="I836" s="25"/>
      <c r="J836" s="24" t="s">
        <v>2476</v>
      </c>
      <c r="K836" s="24" t="s">
        <v>25</v>
      </c>
      <c r="L836" s="24" t="s">
        <v>21</v>
      </c>
    </row>
    <row r="837" spans="1:12" ht="15" customHeight="1" x14ac:dyDescent="0.35">
      <c r="A837" s="43" t="s">
        <v>2477</v>
      </c>
      <c r="B837" s="44" t="s">
        <v>13</v>
      </c>
      <c r="C837" s="45" t="s">
        <v>2478</v>
      </c>
      <c r="D837" s="45" t="s">
        <v>15</v>
      </c>
      <c r="E837" s="45" t="s">
        <v>302</v>
      </c>
      <c r="F837" s="46" t="s">
        <v>97</v>
      </c>
      <c r="G837" s="44">
        <v>22</v>
      </c>
      <c r="H837" s="44" t="s">
        <v>18</v>
      </c>
      <c r="I837" s="46" t="s">
        <v>97</v>
      </c>
      <c r="J837" s="45" t="s">
        <v>2479</v>
      </c>
      <c r="K837" s="45" t="s">
        <v>25</v>
      </c>
      <c r="L837" s="47" t="s">
        <v>21</v>
      </c>
    </row>
    <row r="838" spans="1:12" x14ac:dyDescent="0.35">
      <c r="A838" s="24" t="s">
        <v>2480</v>
      </c>
      <c r="B838" s="24" t="s">
        <v>13</v>
      </c>
      <c r="C838" s="24" t="s">
        <v>2481</v>
      </c>
      <c r="D838" s="24" t="s">
        <v>34</v>
      </c>
      <c r="E838" s="24" t="s">
        <v>252</v>
      </c>
      <c r="F838" s="25" t="s">
        <v>47</v>
      </c>
      <c r="G838" s="24">
        <v>7</v>
      </c>
      <c r="H838" s="24" t="s">
        <v>109</v>
      </c>
      <c r="I838" s="25"/>
      <c r="J838" s="24" t="s">
        <v>2482</v>
      </c>
      <c r="K838" s="24" t="s">
        <v>39</v>
      </c>
      <c r="L838" s="24" t="s">
        <v>21</v>
      </c>
    </row>
    <row r="839" spans="1:12" ht="15" customHeight="1" x14ac:dyDescent="0.35">
      <c r="A839" s="43" t="s">
        <v>2483</v>
      </c>
      <c r="B839" s="44" t="s">
        <v>13</v>
      </c>
      <c r="C839" s="45" t="s">
        <v>2484</v>
      </c>
      <c r="D839" s="45" t="s">
        <v>34</v>
      </c>
      <c r="E839" s="45" t="s">
        <v>82</v>
      </c>
      <c r="F839" s="46" t="s">
        <v>62</v>
      </c>
      <c r="G839" s="44">
        <v>7</v>
      </c>
      <c r="H839" s="44" t="s">
        <v>18</v>
      </c>
      <c r="I839" s="46" t="s">
        <v>62</v>
      </c>
      <c r="J839" s="45" t="s">
        <v>2485</v>
      </c>
      <c r="K839" s="45" t="s">
        <v>130</v>
      </c>
      <c r="L839" s="47" t="s">
        <v>21</v>
      </c>
    </row>
    <row r="840" spans="1:12" x14ac:dyDescent="0.35">
      <c r="A840" s="24" t="s">
        <v>2486</v>
      </c>
      <c r="B840" s="24" t="s">
        <v>13</v>
      </c>
      <c r="C840" s="24" t="s">
        <v>2487</v>
      </c>
      <c r="D840" s="24" t="s">
        <v>15</v>
      </c>
      <c r="E840" s="24" t="s">
        <v>497</v>
      </c>
      <c r="F840" s="25" t="s">
        <v>37</v>
      </c>
      <c r="G840" s="24">
        <v>15</v>
      </c>
      <c r="H840" s="24" t="s">
        <v>42</v>
      </c>
      <c r="I840" s="25"/>
      <c r="J840" s="24" t="s">
        <v>2488</v>
      </c>
      <c r="K840" s="24" t="s">
        <v>25</v>
      </c>
      <c r="L840" s="24" t="s">
        <v>21</v>
      </c>
    </row>
    <row r="841" spans="1:12" x14ac:dyDescent="0.35">
      <c r="A841" s="26" t="s">
        <v>2489</v>
      </c>
      <c r="B841" s="27" t="s">
        <v>13</v>
      </c>
      <c r="C841" s="28" t="s">
        <v>2490</v>
      </c>
      <c r="D841" s="28" t="s">
        <v>15</v>
      </c>
      <c r="E841" s="28" t="s">
        <v>122</v>
      </c>
      <c r="F841" s="29" t="s">
        <v>37</v>
      </c>
      <c r="G841" s="27">
        <v>27</v>
      </c>
      <c r="H841" s="27" t="s">
        <v>18</v>
      </c>
      <c r="I841" s="29" t="s">
        <v>113</v>
      </c>
      <c r="J841" s="28" t="s">
        <v>2491</v>
      </c>
      <c r="K841" s="28" t="s">
        <v>25</v>
      </c>
      <c r="L841" s="30" t="s">
        <v>21</v>
      </c>
    </row>
    <row r="842" spans="1:12" x14ac:dyDescent="0.35">
      <c r="A842" s="14" t="s">
        <v>2492</v>
      </c>
      <c r="B842" s="15" t="s">
        <v>13</v>
      </c>
      <c r="C842" s="16" t="s">
        <v>2493</v>
      </c>
      <c r="D842" s="16" t="s">
        <v>90</v>
      </c>
      <c r="E842" s="16" t="s">
        <v>37</v>
      </c>
      <c r="F842" s="17" t="s">
        <v>17</v>
      </c>
      <c r="G842" s="15">
        <v>4</v>
      </c>
      <c r="H842" s="15" t="s">
        <v>18</v>
      </c>
      <c r="I842" s="17" t="s">
        <v>17</v>
      </c>
      <c r="J842" s="16" t="s">
        <v>2494</v>
      </c>
      <c r="K842" s="16" t="s">
        <v>115</v>
      </c>
      <c r="L842" s="18" t="s">
        <v>26</v>
      </c>
    </row>
    <row r="843" spans="1:12" x14ac:dyDescent="0.35">
      <c r="A843" s="9" t="s">
        <v>2495</v>
      </c>
      <c r="B843" s="10" t="s">
        <v>13</v>
      </c>
      <c r="C843" s="11" t="s">
        <v>2496</v>
      </c>
      <c r="D843" s="11" t="s">
        <v>34</v>
      </c>
      <c r="E843" s="11" t="s">
        <v>133</v>
      </c>
      <c r="F843" s="12" t="s">
        <v>62</v>
      </c>
      <c r="G843" s="10">
        <v>3</v>
      </c>
      <c r="H843" s="10" t="s">
        <v>18</v>
      </c>
      <c r="I843" s="12" t="s">
        <v>62</v>
      </c>
      <c r="J843" s="11" t="s">
        <v>2080</v>
      </c>
      <c r="K843" s="11" t="s">
        <v>115</v>
      </c>
      <c r="L843" s="13" t="s">
        <v>21</v>
      </c>
    </row>
    <row r="844" spans="1:12" x14ac:dyDescent="0.35">
      <c r="A844" s="14" t="s">
        <v>2497</v>
      </c>
      <c r="B844" s="15" t="s">
        <v>13</v>
      </c>
      <c r="C844" s="16" t="s">
        <v>2498</v>
      </c>
      <c r="D844" s="16" t="s">
        <v>34</v>
      </c>
      <c r="E844" s="16" t="s">
        <v>82</v>
      </c>
      <c r="F844" s="17" t="s">
        <v>29</v>
      </c>
      <c r="G844" s="15">
        <v>6</v>
      </c>
      <c r="H844" s="15" t="s">
        <v>18</v>
      </c>
      <c r="I844" s="17" t="s">
        <v>29</v>
      </c>
      <c r="J844" s="16" t="s">
        <v>2499</v>
      </c>
      <c r="K844" s="16" t="s">
        <v>130</v>
      </c>
      <c r="L844" s="18" t="s">
        <v>21</v>
      </c>
    </row>
    <row r="845" spans="1:12" x14ac:dyDescent="0.35">
      <c r="A845" s="9" t="s">
        <v>2500</v>
      </c>
      <c r="B845" s="10" t="s">
        <v>13</v>
      </c>
      <c r="C845" s="11" t="s">
        <v>2501</v>
      </c>
      <c r="D845" s="11" t="s">
        <v>34</v>
      </c>
      <c r="E845" s="11" t="s">
        <v>47</v>
      </c>
      <c r="F845" s="12" t="s">
        <v>118</v>
      </c>
      <c r="G845" s="10">
        <v>6</v>
      </c>
      <c r="H845" s="10" t="s">
        <v>18</v>
      </c>
      <c r="I845" s="12" t="s">
        <v>118</v>
      </c>
      <c r="J845" s="11" t="s">
        <v>2502</v>
      </c>
      <c r="K845" s="11" t="s">
        <v>130</v>
      </c>
      <c r="L845" s="13" t="s">
        <v>26</v>
      </c>
    </row>
    <row r="846" spans="1:12" x14ac:dyDescent="0.35">
      <c r="A846" s="14" t="s">
        <v>2503</v>
      </c>
      <c r="B846" s="15" t="s">
        <v>13</v>
      </c>
      <c r="C846" s="16" t="s">
        <v>2504</v>
      </c>
      <c r="D846" s="16" t="s">
        <v>34</v>
      </c>
      <c r="E846" s="16" t="s">
        <v>29</v>
      </c>
      <c r="F846" s="17" t="s">
        <v>113</v>
      </c>
      <c r="G846" s="15">
        <v>6</v>
      </c>
      <c r="H846" s="15" t="s">
        <v>18</v>
      </c>
      <c r="I846" s="17" t="s">
        <v>113</v>
      </c>
      <c r="J846" s="16" t="s">
        <v>2505</v>
      </c>
      <c r="K846" s="16" t="s">
        <v>115</v>
      </c>
      <c r="L846" s="18" t="s">
        <v>21</v>
      </c>
    </row>
    <row r="847" spans="1:12" x14ac:dyDescent="0.35">
      <c r="A847" s="9" t="s">
        <v>2506</v>
      </c>
      <c r="B847" s="10" t="s">
        <v>13</v>
      </c>
      <c r="C847" s="11" t="s">
        <v>2507</v>
      </c>
      <c r="D847" s="11" t="s">
        <v>34</v>
      </c>
      <c r="E847" s="11" t="s">
        <v>113</v>
      </c>
      <c r="F847" s="12" t="s">
        <v>52</v>
      </c>
      <c r="G847" s="10">
        <v>2</v>
      </c>
      <c r="H847" s="10" t="s">
        <v>18</v>
      </c>
      <c r="I847" s="12" t="s">
        <v>17</v>
      </c>
      <c r="J847" s="11" t="s">
        <v>2508</v>
      </c>
      <c r="K847" s="11" t="s">
        <v>44</v>
      </c>
      <c r="L847" s="13" t="s">
        <v>21</v>
      </c>
    </row>
    <row r="848" spans="1:12" x14ac:dyDescent="0.35">
      <c r="A848" s="14" t="s">
        <v>2509</v>
      </c>
      <c r="B848" s="15" t="s">
        <v>13</v>
      </c>
      <c r="C848" s="16" t="s">
        <v>2510</v>
      </c>
      <c r="D848" s="16" t="s">
        <v>34</v>
      </c>
      <c r="E848" s="16" t="s">
        <v>35</v>
      </c>
      <c r="F848" s="17" t="s">
        <v>30</v>
      </c>
      <c r="G848" s="15">
        <v>17</v>
      </c>
      <c r="H848" s="15" t="s">
        <v>18</v>
      </c>
      <c r="I848" s="17" t="s">
        <v>17</v>
      </c>
      <c r="J848" s="16" t="s">
        <v>2511</v>
      </c>
      <c r="K848" s="16" t="s">
        <v>115</v>
      </c>
      <c r="L848" s="18" t="s">
        <v>21</v>
      </c>
    </row>
    <row r="849" spans="1:12" ht="15" customHeight="1" x14ac:dyDescent="0.35">
      <c r="A849" s="19" t="s">
        <v>2512</v>
      </c>
      <c r="B849" s="20" t="s">
        <v>13</v>
      </c>
      <c r="C849" s="21" t="s">
        <v>2513</v>
      </c>
      <c r="D849" s="21" t="s">
        <v>34</v>
      </c>
      <c r="E849" s="21" t="s">
        <v>66</v>
      </c>
      <c r="F849" s="22" t="s">
        <v>133</v>
      </c>
      <c r="G849" s="20">
        <v>4</v>
      </c>
      <c r="H849" s="20" t="s">
        <v>18</v>
      </c>
      <c r="I849" s="22" t="s">
        <v>104</v>
      </c>
      <c r="J849" s="21" t="s">
        <v>2514</v>
      </c>
      <c r="K849" s="21" t="s">
        <v>130</v>
      </c>
      <c r="L849" s="23" t="s">
        <v>26</v>
      </c>
    </row>
    <row r="850" spans="1:12" x14ac:dyDescent="0.35">
      <c r="A850" s="24" t="s">
        <v>2515</v>
      </c>
      <c r="B850" s="24" t="s">
        <v>13</v>
      </c>
      <c r="C850" s="24" t="s">
        <v>2516</v>
      </c>
      <c r="D850" s="24" t="s">
        <v>34</v>
      </c>
      <c r="E850" s="24" t="s">
        <v>104</v>
      </c>
      <c r="F850" s="25" t="s">
        <v>37</v>
      </c>
      <c r="G850" s="24">
        <v>5</v>
      </c>
      <c r="H850" s="24" t="s">
        <v>42</v>
      </c>
      <c r="I850" s="25"/>
      <c r="J850" s="24" t="s">
        <v>2517</v>
      </c>
      <c r="K850" s="24" t="s">
        <v>44</v>
      </c>
      <c r="L850" s="24" t="s">
        <v>21</v>
      </c>
    </row>
    <row r="851" spans="1:12" x14ac:dyDescent="0.35">
      <c r="A851" s="36" t="s">
        <v>2518</v>
      </c>
      <c r="B851" s="36" t="s">
        <v>13</v>
      </c>
      <c r="C851" s="36" t="s">
        <v>2519</v>
      </c>
      <c r="D851" s="36" t="s">
        <v>34</v>
      </c>
      <c r="E851" s="36" t="s">
        <v>29</v>
      </c>
      <c r="F851" s="37" t="s">
        <v>23</v>
      </c>
      <c r="G851" s="36">
        <v>7</v>
      </c>
      <c r="H851" s="36" t="s">
        <v>109</v>
      </c>
      <c r="I851" s="37"/>
      <c r="J851" s="36" t="s">
        <v>2520</v>
      </c>
      <c r="K851" s="36" t="s">
        <v>115</v>
      </c>
      <c r="L851" s="36" t="s">
        <v>21</v>
      </c>
    </row>
    <row r="852" spans="1:12" x14ac:dyDescent="0.35">
      <c r="A852" s="24" t="s">
        <v>2521</v>
      </c>
      <c r="B852" s="24" t="s">
        <v>13</v>
      </c>
      <c r="C852" s="24" t="s">
        <v>2522</v>
      </c>
      <c r="D852" s="24" t="s">
        <v>34</v>
      </c>
      <c r="E852" s="24" t="s">
        <v>51</v>
      </c>
      <c r="F852" s="25" t="s">
        <v>36</v>
      </c>
      <c r="G852" s="24">
        <v>8</v>
      </c>
      <c r="H852" s="24" t="s">
        <v>42</v>
      </c>
      <c r="I852" s="25"/>
      <c r="J852" s="24" t="s">
        <v>2523</v>
      </c>
      <c r="K852" s="24" t="s">
        <v>25</v>
      </c>
      <c r="L852" s="24" t="s">
        <v>21</v>
      </c>
    </row>
    <row r="853" spans="1:12" x14ac:dyDescent="0.35">
      <c r="A853" s="26" t="s">
        <v>2524</v>
      </c>
      <c r="B853" s="27" t="s">
        <v>13</v>
      </c>
      <c r="C853" s="28" t="s">
        <v>2525</v>
      </c>
      <c r="D853" s="28" t="s">
        <v>34</v>
      </c>
      <c r="E853" s="28" t="s">
        <v>178</v>
      </c>
      <c r="F853" s="29" t="s">
        <v>23</v>
      </c>
      <c r="G853" s="27">
        <v>14</v>
      </c>
      <c r="H853" s="27" t="s">
        <v>18</v>
      </c>
      <c r="I853" s="29" t="s">
        <v>23</v>
      </c>
      <c r="J853" s="28" t="s">
        <v>2526</v>
      </c>
      <c r="K853" s="28" t="s">
        <v>25</v>
      </c>
      <c r="L853" s="30" t="s">
        <v>21</v>
      </c>
    </row>
    <row r="854" spans="1:12" x14ac:dyDescent="0.35">
      <c r="A854" s="14" t="s">
        <v>2527</v>
      </c>
      <c r="B854" s="15" t="s">
        <v>13</v>
      </c>
      <c r="C854" s="16" t="s">
        <v>2528</v>
      </c>
      <c r="D854" s="16" t="s">
        <v>34</v>
      </c>
      <c r="E854" s="16" t="s">
        <v>97</v>
      </c>
      <c r="F854" s="17" t="s">
        <v>113</v>
      </c>
      <c r="G854" s="15">
        <v>4</v>
      </c>
      <c r="H854" s="15" t="s">
        <v>18</v>
      </c>
      <c r="I854" s="17" t="s">
        <v>23</v>
      </c>
      <c r="J854" s="16" t="s">
        <v>2529</v>
      </c>
      <c r="K854" s="16" t="s">
        <v>44</v>
      </c>
      <c r="L854" s="18" t="s">
        <v>21</v>
      </c>
    </row>
    <row r="855" spans="1:12" x14ac:dyDescent="0.35">
      <c r="A855" s="9" t="s">
        <v>2530</v>
      </c>
      <c r="B855" s="10" t="s">
        <v>13</v>
      </c>
      <c r="C855" s="11" t="s">
        <v>2531</v>
      </c>
      <c r="D855" s="11" t="s">
        <v>78</v>
      </c>
      <c r="E855" s="11" t="s">
        <v>457</v>
      </c>
      <c r="F855" s="12" t="s">
        <v>62</v>
      </c>
      <c r="G855" s="10">
        <v>13</v>
      </c>
      <c r="H855" s="10" t="s">
        <v>18</v>
      </c>
      <c r="I855" s="12" t="s">
        <v>97</v>
      </c>
      <c r="J855" s="11" t="s">
        <v>2532</v>
      </c>
      <c r="K855" s="11" t="s">
        <v>25</v>
      </c>
      <c r="L855" s="13" t="s">
        <v>21</v>
      </c>
    </row>
    <row r="856" spans="1:12" ht="15" customHeight="1" x14ac:dyDescent="0.35">
      <c r="A856" s="31" t="s">
        <v>2533</v>
      </c>
      <c r="B856" s="32" t="s">
        <v>13</v>
      </c>
      <c r="C856" s="33" t="s">
        <v>2534</v>
      </c>
      <c r="D856" s="33" t="s">
        <v>90</v>
      </c>
      <c r="E856" s="33" t="s">
        <v>118</v>
      </c>
      <c r="F856" s="34" t="s">
        <v>30</v>
      </c>
      <c r="G856" s="32">
        <v>6</v>
      </c>
      <c r="H856" s="32" t="s">
        <v>18</v>
      </c>
      <c r="I856" s="34" t="s">
        <v>30</v>
      </c>
      <c r="J856" s="33" t="s">
        <v>2535</v>
      </c>
      <c r="K856" s="33" t="s">
        <v>25</v>
      </c>
      <c r="L856" s="35" t="s">
        <v>26</v>
      </c>
    </row>
    <row r="857" spans="1:12" x14ac:dyDescent="0.35">
      <c r="A857" s="36" t="s">
        <v>2536</v>
      </c>
      <c r="B857" s="36" t="s">
        <v>13</v>
      </c>
      <c r="C857" s="36" t="s">
        <v>2537</v>
      </c>
      <c r="D857" s="36" t="s">
        <v>90</v>
      </c>
      <c r="E857" s="36" t="s">
        <v>36</v>
      </c>
      <c r="F857" s="37" t="s">
        <v>17</v>
      </c>
      <c r="G857" s="36">
        <v>6</v>
      </c>
      <c r="H857" s="36" t="s">
        <v>42</v>
      </c>
      <c r="I857" s="37"/>
      <c r="J857" s="36" t="s">
        <v>2538</v>
      </c>
      <c r="K857" s="36" t="s">
        <v>25</v>
      </c>
      <c r="L857" s="36" t="s">
        <v>21</v>
      </c>
    </row>
    <row r="858" spans="1:12" x14ac:dyDescent="0.35">
      <c r="A858" s="38" t="s">
        <v>2539</v>
      </c>
      <c r="B858" s="39" t="s">
        <v>13</v>
      </c>
      <c r="C858" s="40" t="s">
        <v>2540</v>
      </c>
      <c r="D858" s="40" t="s">
        <v>34</v>
      </c>
      <c r="E858" s="40" t="s">
        <v>36</v>
      </c>
      <c r="F858" s="41" t="s">
        <v>30</v>
      </c>
      <c r="G858" s="39">
        <v>6</v>
      </c>
      <c r="H858" s="39" t="s">
        <v>18</v>
      </c>
      <c r="I858" s="41" t="s">
        <v>70</v>
      </c>
      <c r="J858" s="40" t="s">
        <v>306</v>
      </c>
      <c r="K858" s="40" t="s">
        <v>44</v>
      </c>
      <c r="L858" s="42" t="s">
        <v>21</v>
      </c>
    </row>
    <row r="859" spans="1:12" x14ac:dyDescent="0.35">
      <c r="A859" s="9" t="s">
        <v>2541</v>
      </c>
      <c r="B859" s="10" t="s">
        <v>13</v>
      </c>
      <c r="C859" s="11" t="s">
        <v>2542</v>
      </c>
      <c r="D859" s="11" t="s">
        <v>15</v>
      </c>
      <c r="E859" s="11" t="s">
        <v>553</v>
      </c>
      <c r="F859" s="12" t="s">
        <v>62</v>
      </c>
      <c r="G859" s="10">
        <v>31</v>
      </c>
      <c r="H859" s="10" t="s">
        <v>18</v>
      </c>
      <c r="I859" s="12" t="s">
        <v>97</v>
      </c>
      <c r="J859" s="11" t="s">
        <v>2543</v>
      </c>
      <c r="K859" s="11" t="s">
        <v>195</v>
      </c>
      <c r="L859" s="13" t="s">
        <v>21</v>
      </c>
    </row>
    <row r="860" spans="1:12" x14ac:dyDescent="0.35">
      <c r="A860" s="14" t="s">
        <v>2544</v>
      </c>
      <c r="B860" s="15" t="s">
        <v>13</v>
      </c>
      <c r="C860" s="16" t="s">
        <v>2545</v>
      </c>
      <c r="D860" s="16" t="s">
        <v>34</v>
      </c>
      <c r="E860" s="16" t="s">
        <v>457</v>
      </c>
      <c r="F860" s="17" t="s">
        <v>30</v>
      </c>
      <c r="G860" s="15">
        <v>21</v>
      </c>
      <c r="H860" s="15" t="s">
        <v>18</v>
      </c>
      <c r="I860" s="17" t="s">
        <v>70</v>
      </c>
      <c r="J860" s="16" t="s">
        <v>2546</v>
      </c>
      <c r="K860" s="16" t="s">
        <v>130</v>
      </c>
      <c r="L860" s="18" t="s">
        <v>21</v>
      </c>
    </row>
    <row r="861" spans="1:12" x14ac:dyDescent="0.35">
      <c r="A861" s="9" t="s">
        <v>2547</v>
      </c>
      <c r="B861" s="10" t="s">
        <v>13</v>
      </c>
      <c r="C861" s="11" t="s">
        <v>2548</v>
      </c>
      <c r="D861" s="11" t="s">
        <v>34</v>
      </c>
      <c r="E861" s="11" t="s">
        <v>62</v>
      </c>
      <c r="F861" s="12" t="s">
        <v>36</v>
      </c>
      <c r="G861" s="10">
        <v>3</v>
      </c>
      <c r="H861" s="10" t="s">
        <v>18</v>
      </c>
      <c r="I861" s="12" t="s">
        <v>36</v>
      </c>
      <c r="J861" s="11" t="s">
        <v>2549</v>
      </c>
      <c r="K861" s="11" t="s">
        <v>44</v>
      </c>
      <c r="L861" s="13" t="s">
        <v>21</v>
      </c>
    </row>
    <row r="862" spans="1:12" x14ac:dyDescent="0.35">
      <c r="A862" s="14" t="s">
        <v>2550</v>
      </c>
      <c r="B862" s="15" t="s">
        <v>13</v>
      </c>
      <c r="C862" s="16" t="s">
        <v>2551</v>
      </c>
      <c r="D862" s="16" t="s">
        <v>34</v>
      </c>
      <c r="E862" s="16" t="s">
        <v>497</v>
      </c>
      <c r="F862" s="17" t="s">
        <v>133</v>
      </c>
      <c r="G862" s="15">
        <v>8</v>
      </c>
      <c r="H862" s="15" t="s">
        <v>18</v>
      </c>
      <c r="I862" s="17" t="s">
        <v>133</v>
      </c>
      <c r="J862" s="16" t="s">
        <v>2552</v>
      </c>
      <c r="K862" s="16" t="s">
        <v>130</v>
      </c>
      <c r="L862" s="18" t="s">
        <v>26</v>
      </c>
    </row>
    <row r="863" spans="1:12" x14ac:dyDescent="0.35">
      <c r="A863" s="9" t="s">
        <v>2553</v>
      </c>
      <c r="B863" s="10" t="s">
        <v>13</v>
      </c>
      <c r="C863" s="11" t="s">
        <v>2554</v>
      </c>
      <c r="D863" s="11" t="s">
        <v>363</v>
      </c>
      <c r="E863" s="11" t="s">
        <v>793</v>
      </c>
      <c r="F863" s="12" t="s">
        <v>113</v>
      </c>
      <c r="G863" s="10">
        <v>33</v>
      </c>
      <c r="H863" s="10" t="s">
        <v>18</v>
      </c>
      <c r="I863" s="12" t="s">
        <v>52</v>
      </c>
      <c r="J863" s="11" t="s">
        <v>2555</v>
      </c>
      <c r="K863" s="11" t="s">
        <v>20</v>
      </c>
      <c r="L863" s="13" t="s">
        <v>21</v>
      </c>
    </row>
    <row r="864" spans="1:12" ht="15" customHeight="1" x14ac:dyDescent="0.35">
      <c r="A864" s="31" t="s">
        <v>2556</v>
      </c>
      <c r="B864" s="32" t="s">
        <v>13</v>
      </c>
      <c r="C864" s="33" t="s">
        <v>2557</v>
      </c>
      <c r="D864" s="33" t="s">
        <v>34</v>
      </c>
      <c r="E864" s="33" t="s">
        <v>97</v>
      </c>
      <c r="F864" s="34" t="s">
        <v>52</v>
      </c>
      <c r="G864" s="32">
        <v>6</v>
      </c>
      <c r="H864" s="32" t="s">
        <v>18</v>
      </c>
      <c r="I864" s="34" t="s">
        <v>30</v>
      </c>
      <c r="J864" s="33" t="s">
        <v>2558</v>
      </c>
      <c r="K864" s="33" t="s">
        <v>115</v>
      </c>
      <c r="L864" s="35" t="s">
        <v>21</v>
      </c>
    </row>
    <row r="865" spans="1:12" x14ac:dyDescent="0.35">
      <c r="A865" s="36" t="s">
        <v>2559</v>
      </c>
      <c r="B865" s="36" t="s">
        <v>13</v>
      </c>
      <c r="C865" s="36" t="s">
        <v>2560</v>
      </c>
      <c r="D865" s="36" t="s">
        <v>34</v>
      </c>
      <c r="E865" s="36" t="s">
        <v>97</v>
      </c>
      <c r="F865" s="37" t="s">
        <v>37</v>
      </c>
      <c r="G865" s="36">
        <v>3</v>
      </c>
      <c r="H865" s="36" t="s">
        <v>42</v>
      </c>
      <c r="I865" s="37"/>
      <c r="J865" s="36" t="s">
        <v>2561</v>
      </c>
      <c r="K865" s="36" t="s">
        <v>44</v>
      </c>
      <c r="L865" s="36" t="s">
        <v>21</v>
      </c>
    </row>
    <row r="866" spans="1:12" x14ac:dyDescent="0.35">
      <c r="A866" s="38" t="s">
        <v>2562</v>
      </c>
      <c r="B866" s="39" t="s">
        <v>13</v>
      </c>
      <c r="C866" s="40" t="s">
        <v>2563</v>
      </c>
      <c r="D866" s="40" t="s">
        <v>90</v>
      </c>
      <c r="E866" s="40" t="s">
        <v>133</v>
      </c>
      <c r="F866" s="41" t="s">
        <v>113</v>
      </c>
      <c r="G866" s="39">
        <v>7</v>
      </c>
      <c r="H866" s="39" t="s">
        <v>18</v>
      </c>
      <c r="I866" s="41" t="s">
        <v>23</v>
      </c>
      <c r="J866" s="40" t="s">
        <v>2564</v>
      </c>
      <c r="K866" s="40" t="s">
        <v>25</v>
      </c>
      <c r="L866" s="42" t="s">
        <v>21</v>
      </c>
    </row>
    <row r="867" spans="1:12" x14ac:dyDescent="0.35">
      <c r="A867" s="9" t="s">
        <v>2565</v>
      </c>
      <c r="B867" s="10" t="s">
        <v>13</v>
      </c>
      <c r="C867" s="11" t="s">
        <v>2566</v>
      </c>
      <c r="D867" s="11" t="s">
        <v>34</v>
      </c>
      <c r="E867" s="11" t="s">
        <v>62</v>
      </c>
      <c r="F867" s="12" t="s">
        <v>30</v>
      </c>
      <c r="G867" s="10">
        <v>8</v>
      </c>
      <c r="H867" s="10" t="s">
        <v>18</v>
      </c>
      <c r="I867" s="12" t="s">
        <v>30</v>
      </c>
      <c r="J867" s="11" t="s">
        <v>2567</v>
      </c>
      <c r="K867" s="11" t="s">
        <v>115</v>
      </c>
      <c r="L867" s="13" t="s">
        <v>21</v>
      </c>
    </row>
    <row r="868" spans="1:12" x14ac:dyDescent="0.35">
      <c r="A868" s="14" t="s">
        <v>2568</v>
      </c>
      <c r="B868" s="15" t="s">
        <v>13</v>
      </c>
      <c r="C868" s="16" t="s">
        <v>2569</v>
      </c>
      <c r="D868" s="16" t="s">
        <v>34</v>
      </c>
      <c r="E868" s="16" t="s">
        <v>252</v>
      </c>
      <c r="F868" s="17" t="s">
        <v>23</v>
      </c>
      <c r="G868" s="15">
        <v>18</v>
      </c>
      <c r="H868" s="15" t="s">
        <v>18</v>
      </c>
      <c r="I868" s="17" t="s">
        <v>52</v>
      </c>
      <c r="J868" s="16" t="s">
        <v>2570</v>
      </c>
      <c r="K868" s="16" t="s">
        <v>25</v>
      </c>
      <c r="L868" s="18" t="s">
        <v>21</v>
      </c>
    </row>
    <row r="869" spans="1:12" ht="15" customHeight="1" x14ac:dyDescent="0.35">
      <c r="A869" s="19" t="s">
        <v>2571</v>
      </c>
      <c r="B869" s="20" t="s">
        <v>13</v>
      </c>
      <c r="C869" s="21" t="s">
        <v>2572</v>
      </c>
      <c r="D869" s="21" t="s">
        <v>34</v>
      </c>
      <c r="E869" s="21" t="s">
        <v>66</v>
      </c>
      <c r="F869" s="22" t="s">
        <v>29</v>
      </c>
      <c r="G869" s="20">
        <v>4</v>
      </c>
      <c r="H869" s="20" t="s">
        <v>18</v>
      </c>
      <c r="I869" s="22" t="s">
        <v>29</v>
      </c>
      <c r="J869" s="21" t="s">
        <v>2573</v>
      </c>
      <c r="K869" s="21" t="s">
        <v>130</v>
      </c>
      <c r="L869" s="23" t="s">
        <v>21</v>
      </c>
    </row>
    <row r="870" spans="1:12" x14ac:dyDescent="0.35">
      <c r="A870" s="24" t="s">
        <v>2574</v>
      </c>
      <c r="B870" s="24" t="s">
        <v>13</v>
      </c>
      <c r="C870" s="24" t="s">
        <v>2575</v>
      </c>
      <c r="D870" s="24" t="s">
        <v>15</v>
      </c>
      <c r="E870" s="24" t="s">
        <v>62</v>
      </c>
      <c r="F870" s="25" t="s">
        <v>36</v>
      </c>
      <c r="G870" s="24">
        <v>3</v>
      </c>
      <c r="H870" s="24" t="s">
        <v>109</v>
      </c>
      <c r="I870" s="25"/>
      <c r="J870" s="24" t="s">
        <v>2576</v>
      </c>
      <c r="K870" s="24" t="s">
        <v>25</v>
      </c>
      <c r="L870" s="24" t="s">
        <v>21</v>
      </c>
    </row>
    <row r="871" spans="1:12" x14ac:dyDescent="0.35">
      <c r="A871" s="36" t="s">
        <v>2577</v>
      </c>
      <c r="B871" s="36" t="s">
        <v>13</v>
      </c>
      <c r="C871" s="36" t="s">
        <v>2578</v>
      </c>
      <c r="D871" s="36" t="s">
        <v>34</v>
      </c>
      <c r="E871" s="36" t="s">
        <v>35</v>
      </c>
      <c r="F871" s="37" t="s">
        <v>104</v>
      </c>
      <c r="G871" s="36">
        <v>7</v>
      </c>
      <c r="H871" s="36" t="s">
        <v>109</v>
      </c>
      <c r="I871" s="37"/>
      <c r="J871" s="36" t="s">
        <v>2579</v>
      </c>
      <c r="K871" s="36" t="s">
        <v>130</v>
      </c>
      <c r="L871" s="36" t="s">
        <v>26</v>
      </c>
    </row>
    <row r="872" spans="1:12" ht="15" customHeight="1" x14ac:dyDescent="0.35">
      <c r="A872" s="48" t="s">
        <v>2580</v>
      </c>
      <c r="B872" s="49" t="s">
        <v>13</v>
      </c>
      <c r="C872" s="50" t="s">
        <v>2581</v>
      </c>
      <c r="D872" s="50" t="s">
        <v>34</v>
      </c>
      <c r="E872" s="50" t="s">
        <v>1222</v>
      </c>
      <c r="F872" s="51" t="s">
        <v>37</v>
      </c>
      <c r="G872" s="49">
        <v>30</v>
      </c>
      <c r="H872" s="49" t="s">
        <v>18</v>
      </c>
      <c r="I872" s="51" t="s">
        <v>113</v>
      </c>
      <c r="J872" s="50" t="s">
        <v>2582</v>
      </c>
      <c r="K872" s="50" t="s">
        <v>39</v>
      </c>
      <c r="L872" s="52" t="s">
        <v>21</v>
      </c>
    </row>
    <row r="873" spans="1:12" x14ac:dyDescent="0.35">
      <c r="A873" s="36" t="s">
        <v>2583</v>
      </c>
      <c r="B873" s="36" t="s">
        <v>13</v>
      </c>
      <c r="C873" s="36" t="s">
        <v>2584</v>
      </c>
      <c r="D873" s="36" t="s">
        <v>90</v>
      </c>
      <c r="E873" s="36" t="s">
        <v>133</v>
      </c>
      <c r="F873" s="37" t="s">
        <v>36</v>
      </c>
      <c r="G873" s="36">
        <v>6</v>
      </c>
      <c r="H873" s="36" t="s">
        <v>42</v>
      </c>
      <c r="I873" s="37"/>
      <c r="J873" s="36" t="s">
        <v>2585</v>
      </c>
      <c r="K873" s="36" t="s">
        <v>25</v>
      </c>
      <c r="L873" s="36" t="s">
        <v>21</v>
      </c>
    </row>
    <row r="874" spans="1:12" x14ac:dyDescent="0.35">
      <c r="A874" s="38" t="s">
        <v>2586</v>
      </c>
      <c r="B874" s="39" t="s">
        <v>13</v>
      </c>
      <c r="C874" s="40" t="s">
        <v>2587</v>
      </c>
      <c r="D874" s="40" t="s">
        <v>34</v>
      </c>
      <c r="E874" s="40" t="s">
        <v>66</v>
      </c>
      <c r="F874" s="41" t="s">
        <v>29</v>
      </c>
      <c r="G874" s="39">
        <v>5</v>
      </c>
      <c r="H874" s="39" t="s">
        <v>18</v>
      </c>
      <c r="I874" s="41" t="s">
        <v>62</v>
      </c>
      <c r="J874" s="40" t="s">
        <v>2588</v>
      </c>
      <c r="K874" s="40" t="s">
        <v>115</v>
      </c>
      <c r="L874" s="42" t="s">
        <v>26</v>
      </c>
    </row>
    <row r="875" spans="1:12" x14ac:dyDescent="0.35">
      <c r="A875" s="9" t="s">
        <v>2589</v>
      </c>
      <c r="B875" s="10" t="s">
        <v>13</v>
      </c>
      <c r="C875" s="11" t="s">
        <v>2590</v>
      </c>
      <c r="D875" s="11" t="s">
        <v>34</v>
      </c>
      <c r="E875" s="11" t="s">
        <v>104</v>
      </c>
      <c r="F875" s="12" t="s">
        <v>118</v>
      </c>
      <c r="G875" s="10">
        <v>4</v>
      </c>
      <c r="H875" s="10" t="s">
        <v>18</v>
      </c>
      <c r="I875" s="12" t="s">
        <v>36</v>
      </c>
      <c r="J875" s="11" t="s">
        <v>2591</v>
      </c>
      <c r="K875" s="11" t="s">
        <v>115</v>
      </c>
      <c r="L875" s="13" t="s">
        <v>26</v>
      </c>
    </row>
    <row r="876" spans="1:12" ht="15" customHeight="1" x14ac:dyDescent="0.35">
      <c r="A876" s="31" t="s">
        <v>2592</v>
      </c>
      <c r="B876" s="32" t="s">
        <v>13</v>
      </c>
      <c r="C876" s="33" t="s">
        <v>2593</v>
      </c>
      <c r="D876" s="33" t="s">
        <v>34</v>
      </c>
      <c r="E876" s="33" t="s">
        <v>37</v>
      </c>
      <c r="F876" s="34" t="s">
        <v>52</v>
      </c>
      <c r="G876" s="32">
        <v>2</v>
      </c>
      <c r="H876" s="32" t="s">
        <v>18</v>
      </c>
      <c r="I876" s="34" t="s">
        <v>17</v>
      </c>
      <c r="J876" s="33" t="s">
        <v>2594</v>
      </c>
      <c r="K876" s="33" t="s">
        <v>25</v>
      </c>
      <c r="L876" s="35" t="s">
        <v>21</v>
      </c>
    </row>
    <row r="877" spans="1:12" x14ac:dyDescent="0.35">
      <c r="A877" s="36" t="s">
        <v>2595</v>
      </c>
      <c r="B877" s="36" t="s">
        <v>13</v>
      </c>
      <c r="C877" s="36" t="s">
        <v>2596</v>
      </c>
      <c r="D877" s="36" t="s">
        <v>90</v>
      </c>
      <c r="E877" s="36" t="s">
        <v>165</v>
      </c>
      <c r="F877" s="37" t="s">
        <v>17</v>
      </c>
      <c r="G877" s="36">
        <v>26</v>
      </c>
      <c r="H877" s="36" t="s">
        <v>42</v>
      </c>
      <c r="I877" s="37"/>
      <c r="J877" s="36" t="s">
        <v>2597</v>
      </c>
      <c r="K877" s="36" t="s">
        <v>25</v>
      </c>
      <c r="L877" s="36" t="s">
        <v>21</v>
      </c>
    </row>
    <row r="878" spans="1:12" ht="15" customHeight="1" x14ac:dyDescent="0.35">
      <c r="A878" s="48" t="s">
        <v>2598</v>
      </c>
      <c r="B878" s="49" t="s">
        <v>13</v>
      </c>
      <c r="C878" s="50" t="s">
        <v>2599</v>
      </c>
      <c r="D878" s="50" t="s">
        <v>34</v>
      </c>
      <c r="E878" s="50" t="s">
        <v>29</v>
      </c>
      <c r="F878" s="51" t="s">
        <v>23</v>
      </c>
      <c r="G878" s="49">
        <v>7</v>
      </c>
      <c r="H878" s="49" t="s">
        <v>18</v>
      </c>
      <c r="I878" s="51" t="s">
        <v>52</v>
      </c>
      <c r="J878" s="50" t="s">
        <v>2600</v>
      </c>
      <c r="K878" s="50" t="s">
        <v>44</v>
      </c>
      <c r="L878" s="52" t="s">
        <v>21</v>
      </c>
    </row>
    <row r="879" spans="1:12" x14ac:dyDescent="0.35">
      <c r="A879" s="36" t="s">
        <v>2601</v>
      </c>
      <c r="B879" s="36" t="s">
        <v>13</v>
      </c>
      <c r="C879" s="36" t="s">
        <v>2602</v>
      </c>
      <c r="D879" s="36" t="s">
        <v>78</v>
      </c>
      <c r="E879" s="36" t="s">
        <v>118</v>
      </c>
      <c r="F879" s="37" t="s">
        <v>30</v>
      </c>
      <c r="G879" s="36">
        <v>6</v>
      </c>
      <c r="H879" s="36" t="s">
        <v>42</v>
      </c>
      <c r="I879" s="37"/>
      <c r="J879" s="36" t="s">
        <v>2603</v>
      </c>
      <c r="K879" s="36" t="s">
        <v>39</v>
      </c>
      <c r="L879" s="36" t="s">
        <v>21</v>
      </c>
    </row>
    <row r="880" spans="1:12" x14ac:dyDescent="0.35">
      <c r="A880" s="38" t="s">
        <v>2604</v>
      </c>
      <c r="B880" s="39" t="s">
        <v>13</v>
      </c>
      <c r="C880" s="40" t="s">
        <v>2605</v>
      </c>
      <c r="D880" s="40" t="s">
        <v>34</v>
      </c>
      <c r="E880" s="40" t="s">
        <v>82</v>
      </c>
      <c r="F880" s="41" t="s">
        <v>29</v>
      </c>
      <c r="G880" s="39">
        <v>6</v>
      </c>
      <c r="H880" s="39" t="s">
        <v>18</v>
      </c>
      <c r="I880" s="41" t="s">
        <v>104</v>
      </c>
      <c r="J880" s="40" t="s">
        <v>2606</v>
      </c>
      <c r="K880" s="40" t="s">
        <v>130</v>
      </c>
      <c r="L880" s="42" t="s">
        <v>26</v>
      </c>
    </row>
    <row r="881" spans="1:12" x14ac:dyDescent="0.35">
      <c r="A881" s="9" t="s">
        <v>2607</v>
      </c>
      <c r="B881" s="10" t="s">
        <v>13</v>
      </c>
      <c r="C881" s="11" t="s">
        <v>2608</v>
      </c>
      <c r="D881" s="11" t="s">
        <v>34</v>
      </c>
      <c r="E881" s="11" t="s">
        <v>82</v>
      </c>
      <c r="F881" s="12" t="s">
        <v>29</v>
      </c>
      <c r="G881" s="10">
        <v>5</v>
      </c>
      <c r="H881" s="10" t="s">
        <v>18</v>
      </c>
      <c r="I881" s="12" t="s">
        <v>29</v>
      </c>
      <c r="J881" s="11" t="s">
        <v>1148</v>
      </c>
      <c r="K881" s="11" t="s">
        <v>130</v>
      </c>
      <c r="L881" s="13" t="s">
        <v>21</v>
      </c>
    </row>
    <row r="882" spans="1:12" ht="15" customHeight="1" x14ac:dyDescent="0.35">
      <c r="A882" s="31" t="s">
        <v>2609</v>
      </c>
      <c r="B882" s="32" t="s">
        <v>13</v>
      </c>
      <c r="C882" s="33" t="s">
        <v>2610</v>
      </c>
      <c r="D882" s="33" t="s">
        <v>90</v>
      </c>
      <c r="E882" s="33" t="s">
        <v>178</v>
      </c>
      <c r="F882" s="34" t="s">
        <v>30</v>
      </c>
      <c r="G882" s="32">
        <v>16</v>
      </c>
      <c r="H882" s="32" t="s">
        <v>18</v>
      </c>
      <c r="I882" s="34" t="s">
        <v>30</v>
      </c>
      <c r="J882" s="33" t="s">
        <v>2611</v>
      </c>
      <c r="K882" s="33" t="s">
        <v>39</v>
      </c>
      <c r="L882" s="35" t="s">
        <v>21</v>
      </c>
    </row>
    <row r="883" spans="1:12" x14ac:dyDescent="0.35">
      <c r="A883" s="36" t="s">
        <v>2612</v>
      </c>
      <c r="B883" s="36" t="s">
        <v>13</v>
      </c>
      <c r="C883" s="36" t="s">
        <v>2613</v>
      </c>
      <c r="D883" s="36" t="s">
        <v>78</v>
      </c>
      <c r="E883" s="36" t="s">
        <v>62</v>
      </c>
      <c r="F883" s="37" t="s">
        <v>70</v>
      </c>
      <c r="G883" s="36">
        <v>9</v>
      </c>
      <c r="H883" s="36" t="s">
        <v>42</v>
      </c>
      <c r="I883" s="37"/>
      <c r="J883" s="36" t="s">
        <v>2614</v>
      </c>
      <c r="K883" s="36" t="s">
        <v>25</v>
      </c>
      <c r="L883" s="36" t="s">
        <v>21</v>
      </c>
    </row>
    <row r="884" spans="1:12" x14ac:dyDescent="0.35">
      <c r="A884" s="38" t="s">
        <v>2615</v>
      </c>
      <c r="B884" s="39" t="s">
        <v>13</v>
      </c>
      <c r="C884" s="40" t="s">
        <v>2616</v>
      </c>
      <c r="D884" s="40" t="s">
        <v>34</v>
      </c>
      <c r="E884" s="40" t="s">
        <v>118</v>
      </c>
      <c r="F884" s="41" t="s">
        <v>70</v>
      </c>
      <c r="G884" s="39">
        <v>7</v>
      </c>
      <c r="H884" s="39" t="s">
        <v>18</v>
      </c>
      <c r="I884" s="41" t="s">
        <v>70</v>
      </c>
      <c r="J884" s="40" t="s">
        <v>2617</v>
      </c>
      <c r="K884" s="40" t="s">
        <v>115</v>
      </c>
      <c r="L884" s="42" t="s">
        <v>21</v>
      </c>
    </row>
    <row r="885" spans="1:12" x14ac:dyDescent="0.35">
      <c r="A885" s="9" t="s">
        <v>2618</v>
      </c>
      <c r="B885" s="10" t="s">
        <v>13</v>
      </c>
      <c r="C885" s="11" t="s">
        <v>2619</v>
      </c>
      <c r="D885" s="11" t="s">
        <v>15</v>
      </c>
      <c r="E885" s="11" t="s">
        <v>36</v>
      </c>
      <c r="F885" s="12" t="s">
        <v>30</v>
      </c>
      <c r="G885" s="10">
        <v>5</v>
      </c>
      <c r="H885" s="10" t="s">
        <v>18</v>
      </c>
      <c r="I885" s="12" t="s">
        <v>30</v>
      </c>
      <c r="J885" s="11" t="s">
        <v>2620</v>
      </c>
      <c r="K885" s="11" t="s">
        <v>25</v>
      </c>
      <c r="L885" s="13" t="s">
        <v>26</v>
      </c>
    </row>
    <row r="886" spans="1:12" x14ac:dyDescent="0.35">
      <c r="A886" s="14" t="s">
        <v>2621</v>
      </c>
      <c r="B886" s="15" t="s">
        <v>13</v>
      </c>
      <c r="C886" s="16" t="s">
        <v>2622</v>
      </c>
      <c r="D886" s="16" t="s">
        <v>34</v>
      </c>
      <c r="E886" s="16" t="s">
        <v>165</v>
      </c>
      <c r="F886" s="17" t="s">
        <v>47</v>
      </c>
      <c r="G886" s="15">
        <v>13</v>
      </c>
      <c r="H886" s="15" t="s">
        <v>18</v>
      </c>
      <c r="I886" s="17" t="s">
        <v>47</v>
      </c>
      <c r="J886" s="16" t="s">
        <v>2623</v>
      </c>
      <c r="K886" s="16" t="s">
        <v>25</v>
      </c>
      <c r="L886" s="18" t="s">
        <v>21</v>
      </c>
    </row>
    <row r="887" spans="1:12" x14ac:dyDescent="0.35">
      <c r="A887" s="9" t="s">
        <v>2624</v>
      </c>
      <c r="B887" s="10" t="s">
        <v>13</v>
      </c>
      <c r="C887" s="11" t="s">
        <v>2625</v>
      </c>
      <c r="D887" s="11" t="s">
        <v>34</v>
      </c>
      <c r="E887" s="11" t="s">
        <v>23</v>
      </c>
      <c r="F887" s="12" t="s">
        <v>17</v>
      </c>
      <c r="G887" s="10">
        <v>4</v>
      </c>
      <c r="H887" s="10" t="s">
        <v>18</v>
      </c>
      <c r="I887" s="12" t="s">
        <v>17</v>
      </c>
      <c r="J887" s="11" t="s">
        <v>2626</v>
      </c>
      <c r="K887" s="11" t="s">
        <v>72</v>
      </c>
      <c r="L887" s="13" t="s">
        <v>21</v>
      </c>
    </row>
    <row r="888" spans="1:12" x14ac:dyDescent="0.35">
      <c r="A888" s="14" t="s">
        <v>2627</v>
      </c>
      <c r="B888" s="15" t="s">
        <v>13</v>
      </c>
      <c r="C888" s="16" t="s">
        <v>2628</v>
      </c>
      <c r="D888" s="16" t="s">
        <v>34</v>
      </c>
      <c r="E888" s="16" t="s">
        <v>82</v>
      </c>
      <c r="F888" s="17" t="s">
        <v>97</v>
      </c>
      <c r="G888" s="15">
        <v>8</v>
      </c>
      <c r="H888" s="15" t="s">
        <v>18</v>
      </c>
      <c r="I888" s="17" t="s">
        <v>118</v>
      </c>
      <c r="J888" s="16" t="s">
        <v>2629</v>
      </c>
      <c r="K888" s="16" t="s">
        <v>130</v>
      </c>
      <c r="L888" s="18" t="s">
        <v>26</v>
      </c>
    </row>
    <row r="889" spans="1:12" x14ac:dyDescent="0.35">
      <c r="A889" s="9" t="s">
        <v>2630</v>
      </c>
      <c r="B889" s="10" t="s">
        <v>85</v>
      </c>
      <c r="C889" s="11" t="s">
        <v>2631</v>
      </c>
      <c r="D889" s="11" t="s">
        <v>15</v>
      </c>
      <c r="E889" s="11" t="s">
        <v>133</v>
      </c>
      <c r="F889" s="12" t="s">
        <v>97</v>
      </c>
      <c r="G889" s="10">
        <v>5</v>
      </c>
      <c r="H889" s="10" t="s">
        <v>18</v>
      </c>
      <c r="I889" s="12" t="s">
        <v>36</v>
      </c>
      <c r="J889" s="11" t="s">
        <v>2632</v>
      </c>
      <c r="K889" s="11" t="s">
        <v>25</v>
      </c>
      <c r="L889" s="13" t="s">
        <v>21</v>
      </c>
    </row>
    <row r="890" spans="1:12" x14ac:dyDescent="0.35">
      <c r="A890" s="14" t="s">
        <v>2633</v>
      </c>
      <c r="B890" s="15" t="s">
        <v>13</v>
      </c>
      <c r="C890" s="16" t="s">
        <v>2634</v>
      </c>
      <c r="D890" s="16" t="s">
        <v>15</v>
      </c>
      <c r="E890" s="16" t="s">
        <v>36</v>
      </c>
      <c r="F890" s="17" t="s">
        <v>17</v>
      </c>
      <c r="G890" s="15">
        <v>5</v>
      </c>
      <c r="H890" s="15" t="s">
        <v>18</v>
      </c>
      <c r="I890" s="17" t="s">
        <v>17</v>
      </c>
      <c r="J890" s="16" t="s">
        <v>2635</v>
      </c>
      <c r="K890" s="16" t="s">
        <v>25</v>
      </c>
      <c r="L890" s="18" t="s">
        <v>21</v>
      </c>
    </row>
    <row r="891" spans="1:12" ht="15" customHeight="1" x14ac:dyDescent="0.35">
      <c r="A891" s="19" t="s">
        <v>2636</v>
      </c>
      <c r="B891" s="20" t="s">
        <v>13</v>
      </c>
      <c r="C891" s="21" t="s">
        <v>2637</v>
      </c>
      <c r="D891" s="21" t="s">
        <v>15</v>
      </c>
      <c r="E891" s="21" t="s">
        <v>66</v>
      </c>
      <c r="F891" s="22" t="s">
        <v>52</v>
      </c>
      <c r="G891" s="20">
        <v>13</v>
      </c>
      <c r="H891" s="20" t="s">
        <v>18</v>
      </c>
      <c r="I891" s="22" t="s">
        <v>52</v>
      </c>
      <c r="J891" s="21" t="s">
        <v>2638</v>
      </c>
      <c r="K891" s="21" t="s">
        <v>25</v>
      </c>
      <c r="L891" s="23" t="s">
        <v>21</v>
      </c>
    </row>
    <row r="892" spans="1:12" x14ac:dyDescent="0.35">
      <c r="A892" s="24" t="s">
        <v>2639</v>
      </c>
      <c r="B892" s="24" t="s">
        <v>13</v>
      </c>
      <c r="C892" s="24" t="s">
        <v>2640</v>
      </c>
      <c r="D892" s="24" t="s">
        <v>34</v>
      </c>
      <c r="E892" s="24" t="s">
        <v>37</v>
      </c>
      <c r="F892" s="25" t="s">
        <v>70</v>
      </c>
      <c r="G892" s="24">
        <v>5</v>
      </c>
      <c r="H892" s="24" t="s">
        <v>42</v>
      </c>
      <c r="I892" s="25"/>
      <c r="J892" s="24" t="s">
        <v>2641</v>
      </c>
      <c r="K892" s="24" t="s">
        <v>130</v>
      </c>
      <c r="L892" s="24" t="s">
        <v>21</v>
      </c>
    </row>
    <row r="893" spans="1:12" x14ac:dyDescent="0.35">
      <c r="A893" s="26" t="s">
        <v>2642</v>
      </c>
      <c r="B893" s="27" t="s">
        <v>13</v>
      </c>
      <c r="C893" s="28" t="s">
        <v>2643</v>
      </c>
      <c r="D893" s="28" t="s">
        <v>34</v>
      </c>
      <c r="E893" s="28" t="s">
        <v>133</v>
      </c>
      <c r="F893" s="29" t="s">
        <v>37</v>
      </c>
      <c r="G893" s="27">
        <v>7</v>
      </c>
      <c r="H893" s="27" t="s">
        <v>18</v>
      </c>
      <c r="I893" s="29" t="s">
        <v>113</v>
      </c>
      <c r="J893" s="28" t="s">
        <v>2644</v>
      </c>
      <c r="K893" s="28" t="s">
        <v>44</v>
      </c>
      <c r="L893" s="30" t="s">
        <v>21</v>
      </c>
    </row>
    <row r="894" spans="1:12" ht="15" customHeight="1" x14ac:dyDescent="0.35">
      <c r="A894" s="31" t="s">
        <v>2645</v>
      </c>
      <c r="B894" s="32" t="s">
        <v>13</v>
      </c>
      <c r="C894" s="33" t="s">
        <v>2646</v>
      </c>
      <c r="D894" s="33" t="s">
        <v>90</v>
      </c>
      <c r="E894" s="33" t="s">
        <v>104</v>
      </c>
      <c r="F894" s="34" t="s">
        <v>118</v>
      </c>
      <c r="G894" s="32">
        <v>3</v>
      </c>
      <c r="H894" s="32" t="s">
        <v>18</v>
      </c>
      <c r="I894" s="34" t="s">
        <v>36</v>
      </c>
      <c r="J894" s="33" t="s">
        <v>2647</v>
      </c>
      <c r="K894" s="33" t="s">
        <v>39</v>
      </c>
      <c r="L894" s="35" t="s">
        <v>26</v>
      </c>
    </row>
    <row r="895" spans="1:12" x14ac:dyDescent="0.35">
      <c r="A895" s="36" t="s">
        <v>2648</v>
      </c>
      <c r="B895" s="36" t="s">
        <v>13</v>
      </c>
      <c r="C895" s="36" t="s">
        <v>2649</v>
      </c>
      <c r="D895" s="36" t="s">
        <v>34</v>
      </c>
      <c r="E895" s="36" t="s">
        <v>37</v>
      </c>
      <c r="F895" s="37" t="s">
        <v>17</v>
      </c>
      <c r="G895" s="36">
        <v>4</v>
      </c>
      <c r="H895" s="36" t="s">
        <v>42</v>
      </c>
      <c r="I895" s="37"/>
      <c r="J895" s="36" t="s">
        <v>2650</v>
      </c>
      <c r="K895" s="36" t="s">
        <v>44</v>
      </c>
      <c r="L895" s="36" t="s">
        <v>21</v>
      </c>
    </row>
    <row r="896" spans="1:12" x14ac:dyDescent="0.35">
      <c r="A896" s="38" t="s">
        <v>2651</v>
      </c>
      <c r="B896" s="39" t="s">
        <v>13</v>
      </c>
      <c r="C896" s="40" t="s">
        <v>2652</v>
      </c>
      <c r="D896" s="40" t="s">
        <v>34</v>
      </c>
      <c r="E896" s="40" t="s">
        <v>29</v>
      </c>
      <c r="F896" s="41" t="s">
        <v>62</v>
      </c>
      <c r="G896" s="39">
        <v>1</v>
      </c>
      <c r="H896" s="39" t="s">
        <v>18</v>
      </c>
      <c r="I896" s="41" t="s">
        <v>62</v>
      </c>
      <c r="J896" s="40" t="s">
        <v>1663</v>
      </c>
      <c r="K896" s="40" t="s">
        <v>44</v>
      </c>
      <c r="L896" s="42" t="s">
        <v>21</v>
      </c>
    </row>
    <row r="897" spans="1:12" x14ac:dyDescent="0.35">
      <c r="A897" s="9" t="s">
        <v>2653</v>
      </c>
      <c r="B897" s="10" t="s">
        <v>13</v>
      </c>
      <c r="C897" s="11" t="s">
        <v>2654</v>
      </c>
      <c r="D897" s="11" t="s">
        <v>34</v>
      </c>
      <c r="E897" s="11" t="s">
        <v>497</v>
      </c>
      <c r="F897" s="12" t="s">
        <v>47</v>
      </c>
      <c r="G897" s="10">
        <v>6</v>
      </c>
      <c r="H897" s="10" t="s">
        <v>18</v>
      </c>
      <c r="I897" s="12" t="s">
        <v>47</v>
      </c>
      <c r="J897" s="11" t="s">
        <v>2655</v>
      </c>
      <c r="K897" s="11" t="s">
        <v>130</v>
      </c>
      <c r="L897" s="13" t="s">
        <v>26</v>
      </c>
    </row>
    <row r="898" spans="1:12" x14ac:dyDescent="0.35">
      <c r="A898" s="14" t="s">
        <v>2656</v>
      </c>
      <c r="B898" s="15" t="s">
        <v>13</v>
      </c>
      <c r="C898" s="16" t="s">
        <v>2657</v>
      </c>
      <c r="D898" s="16" t="s">
        <v>15</v>
      </c>
      <c r="E898" s="16" t="s">
        <v>29</v>
      </c>
      <c r="F898" s="17" t="s">
        <v>23</v>
      </c>
      <c r="G898" s="15">
        <v>7</v>
      </c>
      <c r="H898" s="15" t="s">
        <v>18</v>
      </c>
      <c r="I898" s="17" t="s">
        <v>23</v>
      </c>
      <c r="J898" s="16" t="s">
        <v>2658</v>
      </c>
      <c r="K898" s="16" t="s">
        <v>25</v>
      </c>
      <c r="L898" s="18" t="s">
        <v>26</v>
      </c>
    </row>
    <row r="899" spans="1:12" x14ac:dyDescent="0.35">
      <c r="A899" s="9" t="s">
        <v>2659</v>
      </c>
      <c r="B899" s="10" t="s">
        <v>13</v>
      </c>
      <c r="C899" s="11" t="s">
        <v>2660</v>
      </c>
      <c r="D899" s="11" t="s">
        <v>34</v>
      </c>
      <c r="E899" s="11" t="s">
        <v>29</v>
      </c>
      <c r="F899" s="12" t="s">
        <v>23</v>
      </c>
      <c r="G899" s="10">
        <v>7</v>
      </c>
      <c r="H899" s="10" t="s">
        <v>18</v>
      </c>
      <c r="I899" s="12" t="s">
        <v>30</v>
      </c>
      <c r="J899" s="11" t="s">
        <v>2661</v>
      </c>
      <c r="K899" s="11" t="s">
        <v>44</v>
      </c>
      <c r="L899" s="13" t="s">
        <v>21</v>
      </c>
    </row>
    <row r="900" spans="1:12" x14ac:dyDescent="0.35">
      <c r="A900" s="14" t="s">
        <v>2662</v>
      </c>
      <c r="B900" s="15" t="s">
        <v>13</v>
      </c>
      <c r="C900" s="16" t="s">
        <v>2663</v>
      </c>
      <c r="D900" s="16" t="s">
        <v>34</v>
      </c>
      <c r="E900" s="16" t="s">
        <v>453</v>
      </c>
      <c r="F900" s="17" t="s">
        <v>66</v>
      </c>
      <c r="G900" s="15">
        <v>9</v>
      </c>
      <c r="H900" s="15" t="s">
        <v>18</v>
      </c>
      <c r="I900" s="17" t="s">
        <v>66</v>
      </c>
      <c r="J900" s="16" t="s">
        <v>2664</v>
      </c>
      <c r="K900" s="16" t="s">
        <v>130</v>
      </c>
      <c r="L900" s="18" t="s">
        <v>21</v>
      </c>
    </row>
    <row r="901" spans="1:12" x14ac:dyDescent="0.35">
      <c r="A901" s="9" t="s">
        <v>2665</v>
      </c>
      <c r="B901" s="10" t="s">
        <v>13</v>
      </c>
      <c r="C901" s="11" t="s">
        <v>2666</v>
      </c>
      <c r="D901" s="11" t="s">
        <v>15</v>
      </c>
      <c r="E901" s="11" t="s">
        <v>66</v>
      </c>
      <c r="F901" s="12" t="s">
        <v>29</v>
      </c>
      <c r="G901" s="10">
        <v>4</v>
      </c>
      <c r="H901" s="10" t="s">
        <v>18</v>
      </c>
      <c r="I901" s="12" t="s">
        <v>29</v>
      </c>
      <c r="J901" s="11" t="s">
        <v>213</v>
      </c>
      <c r="K901" s="11" t="s">
        <v>25</v>
      </c>
      <c r="L901" s="13" t="s">
        <v>21</v>
      </c>
    </row>
    <row r="902" spans="1:12" x14ac:dyDescent="0.35">
      <c r="A902" s="14" t="s">
        <v>2667</v>
      </c>
      <c r="B902" s="15" t="s">
        <v>13</v>
      </c>
      <c r="C902" s="16" t="s">
        <v>2668</v>
      </c>
      <c r="D902" s="16" t="s">
        <v>34</v>
      </c>
      <c r="E902" s="16" t="s">
        <v>118</v>
      </c>
      <c r="F902" s="17" t="s">
        <v>17</v>
      </c>
      <c r="G902" s="15">
        <v>6</v>
      </c>
      <c r="H902" s="15" t="s">
        <v>18</v>
      </c>
      <c r="I902" s="17" t="s">
        <v>17</v>
      </c>
      <c r="J902" s="16" t="s">
        <v>2669</v>
      </c>
      <c r="K902" s="16" t="s">
        <v>115</v>
      </c>
      <c r="L902" s="18" t="s">
        <v>26</v>
      </c>
    </row>
    <row r="903" spans="1:12" x14ac:dyDescent="0.35">
      <c r="A903" s="9" t="s">
        <v>2670</v>
      </c>
      <c r="B903" s="10" t="s">
        <v>13</v>
      </c>
      <c r="C903" s="11" t="s">
        <v>2671</v>
      </c>
      <c r="D903" s="11" t="s">
        <v>34</v>
      </c>
      <c r="E903" s="11" t="s">
        <v>82</v>
      </c>
      <c r="F903" s="12" t="s">
        <v>97</v>
      </c>
      <c r="G903" s="10">
        <v>7</v>
      </c>
      <c r="H903" s="10" t="s">
        <v>18</v>
      </c>
      <c r="I903" s="12" t="s">
        <v>118</v>
      </c>
      <c r="J903" s="11" t="s">
        <v>2672</v>
      </c>
      <c r="K903" s="11" t="s">
        <v>130</v>
      </c>
      <c r="L903" s="13" t="s">
        <v>21</v>
      </c>
    </row>
    <row r="904" spans="1:12" x14ac:dyDescent="0.35">
      <c r="A904" s="14" t="s">
        <v>2673</v>
      </c>
      <c r="B904" s="15" t="s">
        <v>13</v>
      </c>
      <c r="C904" s="16" t="s">
        <v>2674</v>
      </c>
      <c r="D904" s="16" t="s">
        <v>34</v>
      </c>
      <c r="E904" s="16" t="s">
        <v>104</v>
      </c>
      <c r="F904" s="17" t="s">
        <v>118</v>
      </c>
      <c r="G904" s="15">
        <v>4</v>
      </c>
      <c r="H904" s="15" t="s">
        <v>18</v>
      </c>
      <c r="I904" s="17" t="s">
        <v>118</v>
      </c>
      <c r="J904" s="16" t="s">
        <v>467</v>
      </c>
      <c r="K904" s="16" t="s">
        <v>130</v>
      </c>
      <c r="L904" s="18" t="s">
        <v>21</v>
      </c>
    </row>
    <row r="905" spans="1:12" x14ac:dyDescent="0.35">
      <c r="A905" s="9" t="s">
        <v>2675</v>
      </c>
      <c r="B905" s="10" t="s">
        <v>13</v>
      </c>
      <c r="C905" s="11" t="s">
        <v>2676</v>
      </c>
      <c r="D905" s="11" t="s">
        <v>34</v>
      </c>
      <c r="E905" s="11" t="s">
        <v>780</v>
      </c>
      <c r="F905" s="12" t="s">
        <v>47</v>
      </c>
      <c r="G905" s="10">
        <v>15</v>
      </c>
      <c r="H905" s="10" t="s">
        <v>18</v>
      </c>
      <c r="I905" s="12" t="s">
        <v>47</v>
      </c>
      <c r="J905" s="11" t="s">
        <v>2677</v>
      </c>
      <c r="K905" s="11" t="s">
        <v>25</v>
      </c>
      <c r="L905" s="13" t="s">
        <v>21</v>
      </c>
    </row>
    <row r="906" spans="1:12" x14ac:dyDescent="0.35">
      <c r="A906" s="14" t="s">
        <v>2678</v>
      </c>
      <c r="B906" s="15" t="s">
        <v>13</v>
      </c>
      <c r="C906" s="16" t="s">
        <v>2679</v>
      </c>
      <c r="D906" s="16" t="s">
        <v>15</v>
      </c>
      <c r="E906" s="16" t="s">
        <v>108</v>
      </c>
      <c r="F906" s="17" t="s">
        <v>52</v>
      </c>
      <c r="G906" s="15">
        <v>25</v>
      </c>
      <c r="H906" s="15" t="s">
        <v>18</v>
      </c>
      <c r="I906" s="17" t="s">
        <v>30</v>
      </c>
      <c r="J906" s="16" t="s">
        <v>2680</v>
      </c>
      <c r="K906" s="16" t="s">
        <v>25</v>
      </c>
      <c r="L906" s="18" t="s">
        <v>21</v>
      </c>
    </row>
    <row r="907" spans="1:12" x14ac:dyDescent="0.35">
      <c r="A907" s="9" t="s">
        <v>2681</v>
      </c>
      <c r="B907" s="10" t="s">
        <v>13</v>
      </c>
      <c r="C907" s="11" t="s">
        <v>2682</v>
      </c>
      <c r="D907" s="11" t="s">
        <v>34</v>
      </c>
      <c r="E907" s="11" t="s">
        <v>62</v>
      </c>
      <c r="F907" s="12" t="s">
        <v>70</v>
      </c>
      <c r="G907" s="10">
        <v>10</v>
      </c>
      <c r="H907" s="10" t="s">
        <v>18</v>
      </c>
      <c r="I907" s="12" t="s">
        <v>70</v>
      </c>
      <c r="J907" s="11" t="s">
        <v>2683</v>
      </c>
      <c r="K907" s="11" t="s">
        <v>115</v>
      </c>
      <c r="L907" s="13" t="s">
        <v>21</v>
      </c>
    </row>
    <row r="908" spans="1:12" x14ac:dyDescent="0.35">
      <c r="A908" s="14" t="s">
        <v>2684</v>
      </c>
      <c r="B908" s="15" t="s">
        <v>13</v>
      </c>
      <c r="C908" s="16" t="s">
        <v>2685</v>
      </c>
      <c r="D908" s="16" t="s">
        <v>34</v>
      </c>
      <c r="E908" s="16" t="s">
        <v>122</v>
      </c>
      <c r="F908" s="17" t="s">
        <v>133</v>
      </c>
      <c r="G908" s="15">
        <v>18</v>
      </c>
      <c r="H908" s="15" t="s">
        <v>18</v>
      </c>
      <c r="I908" s="17" t="s">
        <v>133</v>
      </c>
      <c r="J908" s="16" t="s">
        <v>2686</v>
      </c>
      <c r="K908" s="16" t="s">
        <v>25</v>
      </c>
      <c r="L908" s="18" t="s">
        <v>21</v>
      </c>
    </row>
    <row r="909" spans="1:12" ht="15" customHeight="1" x14ac:dyDescent="0.35">
      <c r="A909" s="19" t="s">
        <v>2687</v>
      </c>
      <c r="B909" s="20" t="s">
        <v>13</v>
      </c>
      <c r="C909" s="21" t="s">
        <v>2688</v>
      </c>
      <c r="D909" s="21" t="s">
        <v>90</v>
      </c>
      <c r="E909" s="21" t="s">
        <v>36</v>
      </c>
      <c r="F909" s="22" t="s">
        <v>113</v>
      </c>
      <c r="G909" s="20">
        <v>2</v>
      </c>
      <c r="H909" s="20" t="s">
        <v>18</v>
      </c>
      <c r="I909" s="22" t="s">
        <v>30</v>
      </c>
      <c r="J909" s="21" t="s">
        <v>2689</v>
      </c>
      <c r="K909" s="21" t="s">
        <v>39</v>
      </c>
      <c r="L909" s="23" t="s">
        <v>21</v>
      </c>
    </row>
    <row r="910" spans="1:12" x14ac:dyDescent="0.35">
      <c r="A910" s="24" t="s">
        <v>2690</v>
      </c>
      <c r="B910" s="24" t="s">
        <v>13</v>
      </c>
      <c r="C910" s="24" t="s">
        <v>2691</v>
      </c>
      <c r="D910" s="24" t="s">
        <v>90</v>
      </c>
      <c r="E910" s="24" t="s">
        <v>36</v>
      </c>
      <c r="F910" s="25" t="s">
        <v>30</v>
      </c>
      <c r="G910" s="24">
        <v>5</v>
      </c>
      <c r="H910" s="24" t="s">
        <v>109</v>
      </c>
      <c r="I910" s="25"/>
      <c r="J910" s="24" t="s">
        <v>2692</v>
      </c>
      <c r="K910" s="24" t="s">
        <v>25</v>
      </c>
      <c r="L910" s="24" t="s">
        <v>26</v>
      </c>
    </row>
    <row r="911" spans="1:12" x14ac:dyDescent="0.35">
      <c r="A911" s="26" t="s">
        <v>2693</v>
      </c>
      <c r="B911" s="27" t="s">
        <v>13</v>
      </c>
      <c r="C911" s="28" t="s">
        <v>2694</v>
      </c>
      <c r="D911" s="28" t="s">
        <v>34</v>
      </c>
      <c r="E911" s="28" t="s">
        <v>37</v>
      </c>
      <c r="F911" s="29" t="s">
        <v>52</v>
      </c>
      <c r="G911" s="27">
        <v>3</v>
      </c>
      <c r="H911" s="27" t="s">
        <v>18</v>
      </c>
      <c r="I911" s="29" t="s">
        <v>17</v>
      </c>
      <c r="J911" s="28" t="s">
        <v>2695</v>
      </c>
      <c r="K911" s="28" t="s">
        <v>72</v>
      </c>
      <c r="L911" s="30" t="s">
        <v>21</v>
      </c>
    </row>
    <row r="912" spans="1:12" x14ac:dyDescent="0.35">
      <c r="A912" s="14" t="s">
        <v>2696</v>
      </c>
      <c r="B912" s="15" t="s">
        <v>13</v>
      </c>
      <c r="C912" s="16" t="s">
        <v>2697</v>
      </c>
      <c r="D912" s="16" t="s">
        <v>34</v>
      </c>
      <c r="E912" s="16" t="s">
        <v>47</v>
      </c>
      <c r="F912" s="17" t="s">
        <v>30</v>
      </c>
      <c r="G912" s="15">
        <v>12</v>
      </c>
      <c r="H912" s="15" t="s">
        <v>18</v>
      </c>
      <c r="I912" s="17" t="s">
        <v>30</v>
      </c>
      <c r="J912" s="16" t="s">
        <v>2698</v>
      </c>
      <c r="K912" s="16" t="s">
        <v>44</v>
      </c>
      <c r="L912" s="18" t="s">
        <v>21</v>
      </c>
    </row>
    <row r="913" spans="1:12" x14ac:dyDescent="0.35">
      <c r="A913" s="9" t="s">
        <v>2699</v>
      </c>
      <c r="B913" s="10" t="s">
        <v>13</v>
      </c>
      <c r="C913" s="11" t="s">
        <v>2700</v>
      </c>
      <c r="D913" s="11" t="s">
        <v>34</v>
      </c>
      <c r="E913" s="11" t="s">
        <v>35</v>
      </c>
      <c r="F913" s="12" t="s">
        <v>29</v>
      </c>
      <c r="G913" s="10">
        <v>7</v>
      </c>
      <c r="H913" s="10" t="s">
        <v>18</v>
      </c>
      <c r="I913" s="12" t="s">
        <v>29</v>
      </c>
      <c r="J913" s="11" t="s">
        <v>2701</v>
      </c>
      <c r="K913" s="11" t="s">
        <v>25</v>
      </c>
      <c r="L913" s="13" t="s">
        <v>21</v>
      </c>
    </row>
    <row r="914" spans="1:12" x14ac:dyDescent="0.35">
      <c r="A914" s="14" t="s">
        <v>2702</v>
      </c>
      <c r="B914" s="15" t="s">
        <v>13</v>
      </c>
      <c r="C914" s="16" t="s">
        <v>2703</v>
      </c>
      <c r="D914" s="16" t="s">
        <v>34</v>
      </c>
      <c r="E914" s="16" t="s">
        <v>1222</v>
      </c>
      <c r="F914" s="17" t="s">
        <v>29</v>
      </c>
      <c r="G914" s="15">
        <v>24</v>
      </c>
      <c r="H914" s="15" t="s">
        <v>18</v>
      </c>
      <c r="I914" s="17" t="s">
        <v>29</v>
      </c>
      <c r="J914" s="16" t="s">
        <v>2704</v>
      </c>
      <c r="K914" s="16" t="s">
        <v>20</v>
      </c>
      <c r="L914" s="18" t="s">
        <v>21</v>
      </c>
    </row>
    <row r="915" spans="1:12" ht="15" customHeight="1" x14ac:dyDescent="0.35">
      <c r="A915" s="19" t="s">
        <v>2705</v>
      </c>
      <c r="B915" s="20" t="s">
        <v>13</v>
      </c>
      <c r="C915" s="21" t="s">
        <v>2706</v>
      </c>
      <c r="D915" s="21" t="s">
        <v>78</v>
      </c>
      <c r="E915" s="21" t="s">
        <v>178</v>
      </c>
      <c r="F915" s="22" t="s">
        <v>62</v>
      </c>
      <c r="G915" s="20">
        <v>8</v>
      </c>
      <c r="H915" s="20" t="s">
        <v>18</v>
      </c>
      <c r="I915" s="22" t="s">
        <v>97</v>
      </c>
      <c r="J915" s="21" t="s">
        <v>2707</v>
      </c>
      <c r="K915" s="21" t="s">
        <v>39</v>
      </c>
      <c r="L915" s="23" t="s">
        <v>21</v>
      </c>
    </row>
    <row r="916" spans="1:12" x14ac:dyDescent="0.35">
      <c r="A916" s="24" t="s">
        <v>2708</v>
      </c>
      <c r="B916" s="24" t="s">
        <v>13</v>
      </c>
      <c r="C916" s="24" t="s">
        <v>2709</v>
      </c>
      <c r="D916" s="24" t="s">
        <v>34</v>
      </c>
      <c r="E916" s="24" t="s">
        <v>62</v>
      </c>
      <c r="F916" s="25" t="s">
        <v>52</v>
      </c>
      <c r="G916" s="24">
        <v>6</v>
      </c>
      <c r="H916" s="24" t="s">
        <v>42</v>
      </c>
      <c r="I916" s="25"/>
      <c r="J916" s="24" t="s">
        <v>2710</v>
      </c>
      <c r="K916" s="24" t="s">
        <v>115</v>
      </c>
      <c r="L916" s="24" t="s">
        <v>26</v>
      </c>
    </row>
    <row r="917" spans="1:12" x14ac:dyDescent="0.35">
      <c r="A917" s="26" t="s">
        <v>2711</v>
      </c>
      <c r="B917" s="27" t="s">
        <v>13</v>
      </c>
      <c r="C917" s="28" t="s">
        <v>2712</v>
      </c>
      <c r="D917" s="28" t="s">
        <v>15</v>
      </c>
      <c r="E917" s="28" t="s">
        <v>62</v>
      </c>
      <c r="F917" s="29" t="s">
        <v>37</v>
      </c>
      <c r="G917" s="27">
        <v>3</v>
      </c>
      <c r="H917" s="27" t="s">
        <v>18</v>
      </c>
      <c r="I917" s="29" t="s">
        <v>36</v>
      </c>
      <c r="J917" s="28" t="s">
        <v>2713</v>
      </c>
      <c r="K917" s="28" t="s">
        <v>25</v>
      </c>
      <c r="L917" s="30" t="s">
        <v>21</v>
      </c>
    </row>
    <row r="918" spans="1:12" ht="15" customHeight="1" x14ac:dyDescent="0.35">
      <c r="A918" s="31" t="s">
        <v>2714</v>
      </c>
      <c r="B918" s="32" t="s">
        <v>13</v>
      </c>
      <c r="C918" s="33" t="s">
        <v>2715</v>
      </c>
      <c r="D918" s="33" t="s">
        <v>34</v>
      </c>
      <c r="E918" s="33" t="s">
        <v>133</v>
      </c>
      <c r="F918" s="34" t="s">
        <v>113</v>
      </c>
      <c r="G918" s="32">
        <v>8</v>
      </c>
      <c r="H918" s="32" t="s">
        <v>18</v>
      </c>
      <c r="I918" s="34" t="s">
        <v>23</v>
      </c>
      <c r="J918" s="33" t="s">
        <v>2716</v>
      </c>
      <c r="K918" s="33" t="s">
        <v>25</v>
      </c>
      <c r="L918" s="35" t="s">
        <v>21</v>
      </c>
    </row>
    <row r="919" spans="1:12" x14ac:dyDescent="0.35">
      <c r="A919" s="36" t="s">
        <v>2717</v>
      </c>
      <c r="B919" s="36" t="s">
        <v>13</v>
      </c>
      <c r="C919" s="36" t="s">
        <v>2718</v>
      </c>
      <c r="D919" s="36" t="s">
        <v>78</v>
      </c>
      <c r="E919" s="36" t="s">
        <v>118</v>
      </c>
      <c r="F919" s="37" t="s">
        <v>17</v>
      </c>
      <c r="G919" s="36">
        <v>7</v>
      </c>
      <c r="H919" s="36" t="s">
        <v>42</v>
      </c>
      <c r="I919" s="37"/>
      <c r="J919" s="36" t="s">
        <v>2719</v>
      </c>
      <c r="K919" s="36" t="s">
        <v>39</v>
      </c>
      <c r="L919" s="36" t="s">
        <v>21</v>
      </c>
    </row>
    <row r="920" spans="1:12" x14ac:dyDescent="0.35">
      <c r="A920" s="38" t="s">
        <v>2720</v>
      </c>
      <c r="B920" s="39" t="s">
        <v>13</v>
      </c>
      <c r="C920" s="40" t="s">
        <v>2721</v>
      </c>
      <c r="D920" s="40" t="s">
        <v>34</v>
      </c>
      <c r="E920" s="40" t="s">
        <v>62</v>
      </c>
      <c r="F920" s="41" t="s">
        <v>30</v>
      </c>
      <c r="G920" s="39">
        <v>8</v>
      </c>
      <c r="H920" s="39" t="s">
        <v>18</v>
      </c>
      <c r="I920" s="41" t="s">
        <v>30</v>
      </c>
      <c r="J920" s="40" t="s">
        <v>2722</v>
      </c>
      <c r="K920" s="40" t="s">
        <v>115</v>
      </c>
      <c r="L920" s="42" t="s">
        <v>21</v>
      </c>
    </row>
    <row r="921" spans="1:12" x14ac:dyDescent="0.35">
      <c r="A921" s="9" t="s">
        <v>2723</v>
      </c>
      <c r="B921" s="10" t="s">
        <v>13</v>
      </c>
      <c r="C921" s="11" t="s">
        <v>2724</v>
      </c>
      <c r="D921" s="11" t="s">
        <v>34</v>
      </c>
      <c r="E921" s="11" t="s">
        <v>497</v>
      </c>
      <c r="F921" s="12" t="s">
        <v>52</v>
      </c>
      <c r="G921" s="10">
        <v>18</v>
      </c>
      <c r="H921" s="10" t="s">
        <v>18</v>
      </c>
      <c r="I921" s="12" t="s">
        <v>52</v>
      </c>
      <c r="J921" s="11" t="s">
        <v>2725</v>
      </c>
      <c r="K921" s="11" t="s">
        <v>130</v>
      </c>
      <c r="L921" s="13" t="s">
        <v>21</v>
      </c>
    </row>
    <row r="922" spans="1:12" x14ac:dyDescent="0.35">
      <c r="A922" s="14" t="s">
        <v>2726</v>
      </c>
      <c r="B922" s="15" t="s">
        <v>13</v>
      </c>
      <c r="C922" s="16" t="s">
        <v>2727</v>
      </c>
      <c r="D922" s="16" t="s">
        <v>34</v>
      </c>
      <c r="E922" s="16" t="s">
        <v>35</v>
      </c>
      <c r="F922" s="17" t="s">
        <v>47</v>
      </c>
      <c r="G922" s="15">
        <v>4</v>
      </c>
      <c r="H922" s="15" t="s">
        <v>18</v>
      </c>
      <c r="I922" s="17" t="s">
        <v>47</v>
      </c>
      <c r="J922" s="16" t="s">
        <v>2728</v>
      </c>
      <c r="K922" s="16" t="s">
        <v>130</v>
      </c>
      <c r="L922" s="18" t="s">
        <v>21</v>
      </c>
    </row>
    <row r="923" spans="1:12" ht="15" customHeight="1" x14ac:dyDescent="0.35">
      <c r="A923" s="19" t="s">
        <v>2729</v>
      </c>
      <c r="B923" s="20" t="s">
        <v>13</v>
      </c>
      <c r="C923" s="21" t="s">
        <v>2730</v>
      </c>
      <c r="D923" s="21" t="s">
        <v>34</v>
      </c>
      <c r="E923" s="21" t="s">
        <v>497</v>
      </c>
      <c r="F923" s="22" t="s">
        <v>29</v>
      </c>
      <c r="G923" s="20">
        <v>9</v>
      </c>
      <c r="H923" s="20" t="s">
        <v>18</v>
      </c>
      <c r="I923" s="22" t="s">
        <v>29</v>
      </c>
      <c r="J923" s="21" t="s">
        <v>2731</v>
      </c>
      <c r="K923" s="21" t="s">
        <v>130</v>
      </c>
      <c r="L923" s="23" t="s">
        <v>26</v>
      </c>
    </row>
    <row r="924" spans="1:12" x14ac:dyDescent="0.35">
      <c r="A924" s="24" t="s">
        <v>2732</v>
      </c>
      <c r="B924" s="24" t="s">
        <v>13</v>
      </c>
      <c r="C924" s="24" t="s">
        <v>2733</v>
      </c>
      <c r="D924" s="24" t="s">
        <v>34</v>
      </c>
      <c r="E924" s="24" t="s">
        <v>252</v>
      </c>
      <c r="F924" s="25" t="s">
        <v>62</v>
      </c>
      <c r="G924" s="24">
        <v>12</v>
      </c>
      <c r="H924" s="24" t="s">
        <v>109</v>
      </c>
      <c r="I924" s="25"/>
      <c r="J924" s="24" t="s">
        <v>2734</v>
      </c>
      <c r="K924" s="24" t="s">
        <v>130</v>
      </c>
      <c r="L924" s="24" t="s">
        <v>21</v>
      </c>
    </row>
    <row r="925" spans="1:12" x14ac:dyDescent="0.35">
      <c r="A925" s="26" t="s">
        <v>2732</v>
      </c>
      <c r="B925" s="27" t="s">
        <v>13</v>
      </c>
      <c r="C925" s="28" t="s">
        <v>2733</v>
      </c>
      <c r="D925" s="28" t="s">
        <v>34</v>
      </c>
      <c r="E925" s="28" t="s">
        <v>252</v>
      </c>
      <c r="F925" s="29" t="s">
        <v>113</v>
      </c>
      <c r="G925" s="27">
        <v>17</v>
      </c>
      <c r="H925" s="27" t="s">
        <v>18</v>
      </c>
      <c r="I925" s="29" t="s">
        <v>23</v>
      </c>
      <c r="J925" s="28" t="s">
        <v>2734</v>
      </c>
      <c r="K925" s="28" t="s">
        <v>130</v>
      </c>
      <c r="L925" s="30" t="s">
        <v>21</v>
      </c>
    </row>
    <row r="926" spans="1:12" x14ac:dyDescent="0.35">
      <c r="A926" s="14" t="s">
        <v>2735</v>
      </c>
      <c r="B926" s="15" t="s">
        <v>13</v>
      </c>
      <c r="C926" s="16" t="s">
        <v>2736</v>
      </c>
      <c r="D926" s="16" t="s">
        <v>34</v>
      </c>
      <c r="E926" s="16" t="s">
        <v>66</v>
      </c>
      <c r="F926" s="17" t="s">
        <v>133</v>
      </c>
      <c r="G926" s="15">
        <v>3</v>
      </c>
      <c r="H926" s="15" t="s">
        <v>18</v>
      </c>
      <c r="I926" s="17" t="s">
        <v>104</v>
      </c>
      <c r="J926" s="16" t="s">
        <v>237</v>
      </c>
      <c r="K926" s="16" t="s">
        <v>44</v>
      </c>
      <c r="L926" s="18" t="s">
        <v>26</v>
      </c>
    </row>
    <row r="927" spans="1:12" x14ac:dyDescent="0.35">
      <c r="A927" s="9" t="s">
        <v>2737</v>
      </c>
      <c r="B927" s="10" t="s">
        <v>13</v>
      </c>
      <c r="C927" s="11" t="s">
        <v>2738</v>
      </c>
      <c r="D927" s="11" t="s">
        <v>34</v>
      </c>
      <c r="E927" s="11" t="s">
        <v>62</v>
      </c>
      <c r="F927" s="12" t="s">
        <v>30</v>
      </c>
      <c r="G927" s="10">
        <v>7</v>
      </c>
      <c r="H927" s="10" t="s">
        <v>18</v>
      </c>
      <c r="I927" s="12" t="s">
        <v>30</v>
      </c>
      <c r="J927" s="11" t="s">
        <v>2739</v>
      </c>
      <c r="K927" s="11" t="s">
        <v>44</v>
      </c>
      <c r="L927" s="13" t="s">
        <v>26</v>
      </c>
    </row>
    <row r="928" spans="1:12" x14ac:dyDescent="0.35">
      <c r="A928" s="14" t="s">
        <v>2740</v>
      </c>
      <c r="B928" s="15" t="s">
        <v>13</v>
      </c>
      <c r="C928" s="16" t="s">
        <v>2741</v>
      </c>
      <c r="D928" s="16" t="s">
        <v>34</v>
      </c>
      <c r="E928" s="16" t="s">
        <v>97</v>
      </c>
      <c r="F928" s="17" t="s">
        <v>30</v>
      </c>
      <c r="G928" s="15">
        <v>7</v>
      </c>
      <c r="H928" s="15" t="s">
        <v>18</v>
      </c>
      <c r="I928" s="17" t="s">
        <v>30</v>
      </c>
      <c r="J928" s="16" t="s">
        <v>2742</v>
      </c>
      <c r="K928" s="16" t="s">
        <v>115</v>
      </c>
      <c r="L928" s="18" t="s">
        <v>26</v>
      </c>
    </row>
    <row r="929" spans="1:12" x14ac:dyDescent="0.35">
      <c r="A929" s="9" t="s">
        <v>2743</v>
      </c>
      <c r="B929" s="10" t="s">
        <v>13</v>
      </c>
      <c r="C929" s="11" t="s">
        <v>2744</v>
      </c>
      <c r="D929" s="11" t="s">
        <v>34</v>
      </c>
      <c r="E929" s="11" t="s">
        <v>35</v>
      </c>
      <c r="F929" s="12" t="s">
        <v>133</v>
      </c>
      <c r="G929" s="10">
        <v>7</v>
      </c>
      <c r="H929" s="10" t="s">
        <v>18</v>
      </c>
      <c r="I929" s="12" t="s">
        <v>104</v>
      </c>
      <c r="J929" s="11" t="s">
        <v>2745</v>
      </c>
      <c r="K929" s="11" t="s">
        <v>130</v>
      </c>
      <c r="L929" s="13" t="s">
        <v>26</v>
      </c>
    </row>
    <row r="930" spans="1:12" x14ac:dyDescent="0.35">
      <c r="A930" s="14" t="s">
        <v>2746</v>
      </c>
      <c r="B930" s="15" t="s">
        <v>13</v>
      </c>
      <c r="C930" s="16" t="s">
        <v>2747</v>
      </c>
      <c r="D930" s="16" t="s">
        <v>34</v>
      </c>
      <c r="E930" s="16" t="s">
        <v>133</v>
      </c>
      <c r="F930" s="17" t="s">
        <v>30</v>
      </c>
      <c r="G930" s="15">
        <v>12</v>
      </c>
      <c r="H930" s="15" t="s">
        <v>18</v>
      </c>
      <c r="I930" s="17" t="s">
        <v>17</v>
      </c>
      <c r="J930" s="16" t="s">
        <v>2748</v>
      </c>
      <c r="K930" s="16" t="s">
        <v>115</v>
      </c>
      <c r="L930" s="18" t="s">
        <v>21</v>
      </c>
    </row>
    <row r="931" spans="1:12" ht="15" customHeight="1" x14ac:dyDescent="0.35">
      <c r="A931" s="19" t="s">
        <v>2749</v>
      </c>
      <c r="B931" s="20" t="s">
        <v>85</v>
      </c>
      <c r="C931" s="21" t="s">
        <v>2750</v>
      </c>
      <c r="D931" s="21" t="s">
        <v>34</v>
      </c>
      <c r="E931" s="21" t="s">
        <v>104</v>
      </c>
      <c r="F931" s="22" t="s">
        <v>36</v>
      </c>
      <c r="G931" s="20">
        <v>5</v>
      </c>
      <c r="H931" s="20" t="s">
        <v>18</v>
      </c>
      <c r="I931" s="22" t="s">
        <v>36</v>
      </c>
      <c r="J931" s="21" t="s">
        <v>923</v>
      </c>
      <c r="K931" s="21" t="s">
        <v>130</v>
      </c>
      <c r="L931" s="23" t="s">
        <v>21</v>
      </c>
    </row>
    <row r="932" spans="1:12" x14ac:dyDescent="0.35">
      <c r="A932" s="24" t="s">
        <v>2751</v>
      </c>
      <c r="B932" s="24" t="s">
        <v>13</v>
      </c>
      <c r="C932" s="24" t="s">
        <v>2752</v>
      </c>
      <c r="D932" s="24" t="s">
        <v>34</v>
      </c>
      <c r="E932" s="24" t="s">
        <v>453</v>
      </c>
      <c r="F932" s="25" t="s">
        <v>37</v>
      </c>
      <c r="G932" s="24">
        <v>19</v>
      </c>
      <c r="H932" s="24" t="s">
        <v>42</v>
      </c>
      <c r="I932" s="25"/>
      <c r="J932" s="24" t="s">
        <v>2753</v>
      </c>
      <c r="K932" s="24" t="s">
        <v>130</v>
      </c>
      <c r="L932" s="24" t="s">
        <v>21</v>
      </c>
    </row>
    <row r="933" spans="1:12" x14ac:dyDescent="0.35">
      <c r="A933" s="26" t="s">
        <v>2754</v>
      </c>
      <c r="B933" s="27" t="s">
        <v>13</v>
      </c>
      <c r="C933" s="28" t="s">
        <v>2755</v>
      </c>
      <c r="D933" s="28" t="s">
        <v>34</v>
      </c>
      <c r="E933" s="28" t="s">
        <v>302</v>
      </c>
      <c r="F933" s="29" t="s">
        <v>133</v>
      </c>
      <c r="G933" s="27">
        <v>18</v>
      </c>
      <c r="H933" s="27" t="s">
        <v>18</v>
      </c>
      <c r="I933" s="29" t="s">
        <v>133</v>
      </c>
      <c r="J933" s="28" t="s">
        <v>2756</v>
      </c>
      <c r="K933" s="28" t="s">
        <v>241</v>
      </c>
      <c r="L933" s="30" t="s">
        <v>21</v>
      </c>
    </row>
    <row r="934" spans="1:12" ht="15" customHeight="1" x14ac:dyDescent="0.35">
      <c r="A934" s="31" t="s">
        <v>2757</v>
      </c>
      <c r="B934" s="32" t="s">
        <v>13</v>
      </c>
      <c r="C934" s="33" t="s">
        <v>2758</v>
      </c>
      <c r="D934" s="33" t="s">
        <v>78</v>
      </c>
      <c r="E934" s="33" t="s">
        <v>36</v>
      </c>
      <c r="F934" s="34" t="s">
        <v>52</v>
      </c>
      <c r="G934" s="32">
        <v>4</v>
      </c>
      <c r="H934" s="32" t="s">
        <v>18</v>
      </c>
      <c r="I934" s="34" t="s">
        <v>30</v>
      </c>
      <c r="J934" s="33" t="s">
        <v>2759</v>
      </c>
      <c r="K934" s="33" t="s">
        <v>25</v>
      </c>
      <c r="L934" s="35" t="s">
        <v>26</v>
      </c>
    </row>
    <row r="935" spans="1:12" x14ac:dyDescent="0.35">
      <c r="A935" s="36" t="s">
        <v>2760</v>
      </c>
      <c r="B935" s="36" t="s">
        <v>13</v>
      </c>
      <c r="C935" s="36" t="s">
        <v>2761</v>
      </c>
      <c r="D935" s="36" t="s">
        <v>34</v>
      </c>
      <c r="E935" s="36" t="s">
        <v>36</v>
      </c>
      <c r="F935" s="37" t="s">
        <v>70</v>
      </c>
      <c r="G935" s="36">
        <v>7</v>
      </c>
      <c r="H935" s="36" t="s">
        <v>42</v>
      </c>
      <c r="I935" s="37"/>
      <c r="J935" s="36" t="s">
        <v>2762</v>
      </c>
      <c r="K935" s="36" t="s">
        <v>115</v>
      </c>
      <c r="L935" s="36" t="s">
        <v>21</v>
      </c>
    </row>
    <row r="936" spans="1:12" x14ac:dyDescent="0.35">
      <c r="A936" s="24" t="s">
        <v>2763</v>
      </c>
      <c r="B936" s="24" t="s">
        <v>13</v>
      </c>
      <c r="C936" s="24" t="s">
        <v>2764</v>
      </c>
      <c r="D936" s="24" t="s">
        <v>34</v>
      </c>
      <c r="E936" s="24" t="s">
        <v>35</v>
      </c>
      <c r="F936" s="25" t="s">
        <v>37</v>
      </c>
      <c r="G936" s="24">
        <v>12</v>
      </c>
      <c r="H936" s="24" t="s">
        <v>42</v>
      </c>
      <c r="I936" s="25"/>
      <c r="J936" s="24" t="s">
        <v>2765</v>
      </c>
      <c r="K936" s="24" t="s">
        <v>39</v>
      </c>
      <c r="L936" s="24" t="s">
        <v>21</v>
      </c>
    </row>
    <row r="937" spans="1:12" x14ac:dyDescent="0.35">
      <c r="A937" s="26" t="s">
        <v>2766</v>
      </c>
      <c r="B937" s="27" t="s">
        <v>13</v>
      </c>
      <c r="C937" s="28" t="s">
        <v>2767</v>
      </c>
      <c r="D937" s="28" t="s">
        <v>34</v>
      </c>
      <c r="E937" s="28" t="s">
        <v>97</v>
      </c>
      <c r="F937" s="29" t="s">
        <v>36</v>
      </c>
      <c r="G937" s="27">
        <v>3</v>
      </c>
      <c r="H937" s="27" t="s">
        <v>18</v>
      </c>
      <c r="I937" s="29" t="s">
        <v>36</v>
      </c>
      <c r="J937" s="28" t="s">
        <v>2768</v>
      </c>
      <c r="K937" s="28" t="s">
        <v>44</v>
      </c>
      <c r="L937" s="30" t="s">
        <v>21</v>
      </c>
    </row>
    <row r="938" spans="1:12" x14ac:dyDescent="0.35">
      <c r="A938" s="14" t="s">
        <v>2769</v>
      </c>
      <c r="B938" s="15" t="s">
        <v>13</v>
      </c>
      <c r="C938" s="16" t="s">
        <v>2770</v>
      </c>
      <c r="D938" s="16" t="s">
        <v>34</v>
      </c>
      <c r="E938" s="16" t="s">
        <v>104</v>
      </c>
      <c r="F938" s="17" t="s">
        <v>62</v>
      </c>
      <c r="G938" s="15">
        <v>2</v>
      </c>
      <c r="H938" s="15" t="s">
        <v>18</v>
      </c>
      <c r="I938" s="17" t="s">
        <v>97</v>
      </c>
      <c r="J938" s="16" t="s">
        <v>2771</v>
      </c>
      <c r="K938" s="16" t="s">
        <v>130</v>
      </c>
      <c r="L938" s="18" t="s">
        <v>21</v>
      </c>
    </row>
    <row r="939" spans="1:12" x14ac:dyDescent="0.35">
      <c r="A939" s="9" t="s">
        <v>2772</v>
      </c>
      <c r="B939" s="10" t="s">
        <v>13</v>
      </c>
      <c r="C939" s="11" t="s">
        <v>2773</v>
      </c>
      <c r="D939" s="11" t="s">
        <v>34</v>
      </c>
      <c r="E939" s="11" t="s">
        <v>37</v>
      </c>
      <c r="F939" s="12" t="s">
        <v>17</v>
      </c>
      <c r="G939" s="10">
        <v>4</v>
      </c>
      <c r="H939" s="10" t="s">
        <v>18</v>
      </c>
      <c r="I939" s="12" t="s">
        <v>70</v>
      </c>
      <c r="J939" s="11" t="s">
        <v>2774</v>
      </c>
      <c r="K939" s="11" t="s">
        <v>72</v>
      </c>
      <c r="L939" s="13" t="s">
        <v>21</v>
      </c>
    </row>
    <row r="940" spans="1:12" x14ac:dyDescent="0.35">
      <c r="A940" s="14" t="s">
        <v>2775</v>
      </c>
      <c r="B940" s="15" t="s">
        <v>13</v>
      </c>
      <c r="C940" s="16" t="s">
        <v>2776</v>
      </c>
      <c r="D940" s="16" t="s">
        <v>34</v>
      </c>
      <c r="E940" s="16" t="s">
        <v>66</v>
      </c>
      <c r="F940" s="17" t="s">
        <v>104</v>
      </c>
      <c r="G940" s="15">
        <v>4</v>
      </c>
      <c r="H940" s="15" t="s">
        <v>18</v>
      </c>
      <c r="I940" s="17" t="s">
        <v>29</v>
      </c>
      <c r="J940" s="16" t="s">
        <v>2777</v>
      </c>
      <c r="K940" s="16" t="s">
        <v>130</v>
      </c>
      <c r="L940" s="18" t="s">
        <v>21</v>
      </c>
    </row>
    <row r="941" spans="1:12" x14ac:dyDescent="0.35">
      <c r="A941" s="9" t="s">
        <v>2778</v>
      </c>
      <c r="B941" s="10" t="s">
        <v>13</v>
      </c>
      <c r="C941" s="11" t="s">
        <v>2779</v>
      </c>
      <c r="D941" s="11" t="s">
        <v>34</v>
      </c>
      <c r="E941" s="11" t="s">
        <v>275</v>
      </c>
      <c r="F941" s="12" t="s">
        <v>66</v>
      </c>
      <c r="G941" s="10">
        <v>10</v>
      </c>
      <c r="H941" s="10" t="s">
        <v>18</v>
      </c>
      <c r="I941" s="12" t="s">
        <v>66</v>
      </c>
      <c r="J941" s="11" t="s">
        <v>2203</v>
      </c>
      <c r="K941" s="11" t="s">
        <v>25</v>
      </c>
      <c r="L941" s="13" t="s">
        <v>21</v>
      </c>
    </row>
    <row r="942" spans="1:12" x14ac:dyDescent="0.35">
      <c r="A942" s="14" t="s">
        <v>2780</v>
      </c>
      <c r="B942" s="15" t="s">
        <v>13</v>
      </c>
      <c r="C942" s="16" t="s">
        <v>2781</v>
      </c>
      <c r="D942" s="16" t="s">
        <v>34</v>
      </c>
      <c r="E942" s="16" t="s">
        <v>546</v>
      </c>
      <c r="F942" s="17" t="s">
        <v>52</v>
      </c>
      <c r="G942" s="15">
        <v>31</v>
      </c>
      <c r="H942" s="15" t="s">
        <v>18</v>
      </c>
      <c r="I942" s="17" t="s">
        <v>52</v>
      </c>
      <c r="J942" s="16" t="s">
        <v>2782</v>
      </c>
      <c r="K942" s="16" t="s">
        <v>20</v>
      </c>
      <c r="L942" s="18" t="s">
        <v>21</v>
      </c>
    </row>
    <row r="943" spans="1:12" x14ac:dyDescent="0.35">
      <c r="A943" s="9" t="s">
        <v>2783</v>
      </c>
      <c r="B943" s="10" t="s">
        <v>13</v>
      </c>
      <c r="C943" s="11" t="s">
        <v>2784</v>
      </c>
      <c r="D943" s="11" t="s">
        <v>90</v>
      </c>
      <c r="E943" s="11" t="s">
        <v>29</v>
      </c>
      <c r="F943" s="12" t="s">
        <v>52</v>
      </c>
      <c r="G943" s="10">
        <v>8</v>
      </c>
      <c r="H943" s="10" t="s">
        <v>18</v>
      </c>
      <c r="I943" s="12" t="s">
        <v>30</v>
      </c>
      <c r="J943" s="11" t="s">
        <v>2785</v>
      </c>
      <c r="K943" s="11" t="s">
        <v>25</v>
      </c>
      <c r="L943" s="13" t="s">
        <v>21</v>
      </c>
    </row>
    <row r="944" spans="1:12" ht="15" customHeight="1" x14ac:dyDescent="0.35">
      <c r="A944" s="31" t="s">
        <v>2786</v>
      </c>
      <c r="B944" s="32" t="s">
        <v>13</v>
      </c>
      <c r="C944" s="33" t="s">
        <v>2787</v>
      </c>
      <c r="D944" s="33" t="s">
        <v>34</v>
      </c>
      <c r="E944" s="33" t="s">
        <v>118</v>
      </c>
      <c r="F944" s="34" t="s">
        <v>113</v>
      </c>
      <c r="G944" s="32">
        <v>3</v>
      </c>
      <c r="H944" s="32" t="s">
        <v>18</v>
      </c>
      <c r="I944" s="34" t="s">
        <v>23</v>
      </c>
      <c r="J944" s="33" t="s">
        <v>2664</v>
      </c>
      <c r="K944" s="33" t="s">
        <v>130</v>
      </c>
      <c r="L944" s="35" t="s">
        <v>21</v>
      </c>
    </row>
    <row r="945" spans="1:12" x14ac:dyDescent="0.35">
      <c r="A945" s="36" t="s">
        <v>2788</v>
      </c>
      <c r="B945" s="36" t="s">
        <v>13</v>
      </c>
      <c r="C945" s="36" t="s">
        <v>2789</v>
      </c>
      <c r="D945" s="36" t="s">
        <v>34</v>
      </c>
      <c r="E945" s="36" t="s">
        <v>133</v>
      </c>
      <c r="F945" s="37" t="s">
        <v>36</v>
      </c>
      <c r="G945" s="36">
        <v>5</v>
      </c>
      <c r="H945" s="36" t="s">
        <v>42</v>
      </c>
      <c r="I945" s="37"/>
      <c r="J945" s="36" t="s">
        <v>2790</v>
      </c>
      <c r="K945" s="36" t="s">
        <v>44</v>
      </c>
      <c r="L945" s="36" t="s">
        <v>21</v>
      </c>
    </row>
    <row r="946" spans="1:12" x14ac:dyDescent="0.35">
      <c r="A946" s="24" t="s">
        <v>2791</v>
      </c>
      <c r="B946" s="24" t="s">
        <v>13</v>
      </c>
      <c r="C946" s="24" t="s">
        <v>2792</v>
      </c>
      <c r="D946" s="24" t="s">
        <v>90</v>
      </c>
      <c r="E946" s="24" t="s">
        <v>104</v>
      </c>
      <c r="F946" s="25" t="s">
        <v>17</v>
      </c>
      <c r="G946" s="24">
        <v>11</v>
      </c>
      <c r="H946" s="24" t="s">
        <v>42</v>
      </c>
      <c r="I946" s="25"/>
      <c r="J946" s="24" t="s">
        <v>2793</v>
      </c>
      <c r="K946" s="24" t="s">
        <v>39</v>
      </c>
      <c r="L946" s="24" t="s">
        <v>26</v>
      </c>
    </row>
    <row r="947" spans="1:12" x14ac:dyDescent="0.35">
      <c r="A947" s="26" t="s">
        <v>2794</v>
      </c>
      <c r="B947" s="27" t="s">
        <v>13</v>
      </c>
      <c r="C947" s="28" t="s">
        <v>2795</v>
      </c>
      <c r="D947" s="28" t="s">
        <v>34</v>
      </c>
      <c r="E947" s="28" t="s">
        <v>29</v>
      </c>
      <c r="F947" s="29" t="s">
        <v>70</v>
      </c>
      <c r="G947" s="27">
        <v>11</v>
      </c>
      <c r="H947" s="27" t="s">
        <v>18</v>
      </c>
      <c r="I947" s="29" t="s">
        <v>70</v>
      </c>
      <c r="J947" s="28" t="s">
        <v>2796</v>
      </c>
      <c r="K947" s="28" t="s">
        <v>115</v>
      </c>
      <c r="L947" s="30" t="s">
        <v>26</v>
      </c>
    </row>
    <row r="948" spans="1:12" x14ac:dyDescent="0.35">
      <c r="A948" s="14" t="s">
        <v>2797</v>
      </c>
      <c r="B948" s="15" t="s">
        <v>13</v>
      </c>
      <c r="C948" s="16" t="s">
        <v>2798</v>
      </c>
      <c r="D948" s="16" t="s">
        <v>34</v>
      </c>
      <c r="E948" s="16" t="s">
        <v>62</v>
      </c>
      <c r="F948" s="17" t="s">
        <v>70</v>
      </c>
      <c r="G948" s="15">
        <v>10</v>
      </c>
      <c r="H948" s="15" t="s">
        <v>18</v>
      </c>
      <c r="I948" s="17" t="s">
        <v>70</v>
      </c>
      <c r="J948" s="16" t="s">
        <v>2799</v>
      </c>
      <c r="K948" s="16" t="s">
        <v>115</v>
      </c>
      <c r="L948" s="18" t="s">
        <v>21</v>
      </c>
    </row>
    <row r="949" spans="1:12" x14ac:dyDescent="0.35">
      <c r="A949" s="9" t="s">
        <v>2800</v>
      </c>
      <c r="B949" s="10" t="s">
        <v>13</v>
      </c>
      <c r="C949" s="11" t="s">
        <v>2801</v>
      </c>
      <c r="D949" s="11" t="s">
        <v>34</v>
      </c>
      <c r="E949" s="11" t="s">
        <v>82</v>
      </c>
      <c r="F949" s="12" t="s">
        <v>30</v>
      </c>
      <c r="G949" s="10">
        <v>15</v>
      </c>
      <c r="H949" s="10" t="s">
        <v>18</v>
      </c>
      <c r="I949" s="12" t="s">
        <v>30</v>
      </c>
      <c r="J949" s="11" t="s">
        <v>2802</v>
      </c>
      <c r="K949" s="11" t="s">
        <v>130</v>
      </c>
      <c r="L949" s="13" t="s">
        <v>21</v>
      </c>
    </row>
    <row r="950" spans="1:12" x14ac:dyDescent="0.35">
      <c r="A950" s="14" t="s">
        <v>2803</v>
      </c>
      <c r="B950" s="15" t="s">
        <v>13</v>
      </c>
      <c r="C950" s="16" t="s">
        <v>2804</v>
      </c>
      <c r="D950" s="16" t="s">
        <v>34</v>
      </c>
      <c r="E950" s="16" t="s">
        <v>178</v>
      </c>
      <c r="F950" s="17" t="s">
        <v>17</v>
      </c>
      <c r="G950" s="15">
        <v>17</v>
      </c>
      <c r="H950" s="15" t="s">
        <v>18</v>
      </c>
      <c r="I950" s="17" t="s">
        <v>17</v>
      </c>
      <c r="J950" s="16" t="s">
        <v>2805</v>
      </c>
      <c r="K950" s="16" t="s">
        <v>39</v>
      </c>
      <c r="L950" s="18" t="s">
        <v>21</v>
      </c>
    </row>
    <row r="951" spans="1:12" x14ac:dyDescent="0.35">
      <c r="A951" s="9" t="s">
        <v>2806</v>
      </c>
      <c r="B951" s="10" t="s">
        <v>13</v>
      </c>
      <c r="C951" s="11" t="s">
        <v>2807</v>
      </c>
      <c r="D951" s="11" t="s">
        <v>34</v>
      </c>
      <c r="E951" s="11" t="s">
        <v>1296</v>
      </c>
      <c r="F951" s="12" t="s">
        <v>29</v>
      </c>
      <c r="G951" s="10">
        <v>25</v>
      </c>
      <c r="H951" s="10" t="s">
        <v>18</v>
      </c>
      <c r="I951" s="12" t="s">
        <v>29</v>
      </c>
      <c r="J951" s="11" t="s">
        <v>2808</v>
      </c>
      <c r="K951" s="11" t="s">
        <v>130</v>
      </c>
      <c r="L951" s="13" t="s">
        <v>21</v>
      </c>
    </row>
    <row r="952" spans="1:12" x14ac:dyDescent="0.35">
      <c r="A952" s="14" t="s">
        <v>2809</v>
      </c>
      <c r="B952" s="15" t="s">
        <v>85</v>
      </c>
      <c r="C952" s="16" t="s">
        <v>2810</v>
      </c>
      <c r="D952" s="16" t="s">
        <v>34</v>
      </c>
      <c r="E952" s="16" t="s">
        <v>149</v>
      </c>
      <c r="F952" s="17" t="s">
        <v>104</v>
      </c>
      <c r="G952" s="15">
        <v>9</v>
      </c>
      <c r="H952" s="15" t="s">
        <v>18</v>
      </c>
      <c r="I952" s="17" t="s">
        <v>104</v>
      </c>
      <c r="J952" s="16" t="s">
        <v>2811</v>
      </c>
      <c r="K952" s="16" t="s">
        <v>241</v>
      </c>
      <c r="L952" s="18" t="s">
        <v>21</v>
      </c>
    </row>
    <row r="953" spans="1:12" x14ac:dyDescent="0.35">
      <c r="A953" s="9" t="s">
        <v>2812</v>
      </c>
      <c r="B953" s="10" t="s">
        <v>13</v>
      </c>
      <c r="C953" s="11" t="s">
        <v>2813</v>
      </c>
      <c r="D953" s="11" t="s">
        <v>15</v>
      </c>
      <c r="E953" s="11" t="s">
        <v>165</v>
      </c>
      <c r="F953" s="12" t="s">
        <v>118</v>
      </c>
      <c r="G953" s="10">
        <v>19</v>
      </c>
      <c r="H953" s="10" t="s">
        <v>18</v>
      </c>
      <c r="I953" s="12" t="s">
        <v>36</v>
      </c>
      <c r="J953" s="11" t="s">
        <v>2814</v>
      </c>
      <c r="K953" s="11" t="s">
        <v>25</v>
      </c>
      <c r="L953" s="13" t="s">
        <v>21</v>
      </c>
    </row>
    <row r="954" spans="1:12" ht="15" customHeight="1" x14ac:dyDescent="0.35">
      <c r="A954" s="31" t="s">
        <v>2815</v>
      </c>
      <c r="B954" s="32" t="s">
        <v>13</v>
      </c>
      <c r="C954" s="33" t="s">
        <v>2816</v>
      </c>
      <c r="D954" s="33" t="s">
        <v>34</v>
      </c>
      <c r="E954" s="33" t="s">
        <v>51</v>
      </c>
      <c r="F954" s="34" t="s">
        <v>29</v>
      </c>
      <c r="G954" s="32">
        <v>3</v>
      </c>
      <c r="H954" s="32" t="s">
        <v>18</v>
      </c>
      <c r="I954" s="34" t="s">
        <v>29</v>
      </c>
      <c r="J954" s="33" t="s">
        <v>2817</v>
      </c>
      <c r="K954" s="33" t="s">
        <v>44</v>
      </c>
      <c r="L954" s="35" t="s">
        <v>26</v>
      </c>
    </row>
    <row r="955" spans="1:12" x14ac:dyDescent="0.35">
      <c r="A955" s="36" t="s">
        <v>2818</v>
      </c>
      <c r="B955" s="36" t="s">
        <v>13</v>
      </c>
      <c r="C955" s="36" t="s">
        <v>2819</v>
      </c>
      <c r="D955" s="36" t="s">
        <v>34</v>
      </c>
      <c r="E955" s="36" t="s">
        <v>252</v>
      </c>
      <c r="F955" s="37" t="s">
        <v>37</v>
      </c>
      <c r="G955" s="36">
        <v>16</v>
      </c>
      <c r="H955" s="36" t="s">
        <v>42</v>
      </c>
      <c r="I955" s="37"/>
      <c r="J955" s="36" t="s">
        <v>2820</v>
      </c>
      <c r="K955" s="36" t="s">
        <v>130</v>
      </c>
      <c r="L955" s="36" t="s">
        <v>21</v>
      </c>
    </row>
    <row r="956" spans="1:12" x14ac:dyDescent="0.35">
      <c r="A956" s="24" t="s">
        <v>2821</v>
      </c>
      <c r="B956" s="24" t="s">
        <v>13</v>
      </c>
      <c r="C956" s="24" t="s">
        <v>2822</v>
      </c>
      <c r="D956" s="24" t="s">
        <v>78</v>
      </c>
      <c r="E956" s="24" t="s">
        <v>252</v>
      </c>
      <c r="F956" s="25" t="s">
        <v>133</v>
      </c>
      <c r="G956" s="24">
        <v>9</v>
      </c>
      <c r="H956" s="24" t="s">
        <v>109</v>
      </c>
      <c r="I956" s="25"/>
      <c r="J956" s="24" t="s">
        <v>2823</v>
      </c>
      <c r="K956" s="24" t="s">
        <v>25</v>
      </c>
      <c r="L956" s="24" t="s">
        <v>21</v>
      </c>
    </row>
    <row r="957" spans="1:12" x14ac:dyDescent="0.35">
      <c r="A957" s="26" t="s">
        <v>2824</v>
      </c>
      <c r="B957" s="27" t="s">
        <v>13</v>
      </c>
      <c r="C957" s="28" t="s">
        <v>2825</v>
      </c>
      <c r="D957" s="28" t="s">
        <v>34</v>
      </c>
      <c r="E957" s="28" t="s">
        <v>47</v>
      </c>
      <c r="F957" s="29" t="s">
        <v>30</v>
      </c>
      <c r="G957" s="27">
        <v>12</v>
      </c>
      <c r="H957" s="27" t="s">
        <v>18</v>
      </c>
      <c r="I957" s="29" t="s">
        <v>30</v>
      </c>
      <c r="J957" s="28" t="s">
        <v>2826</v>
      </c>
      <c r="K957" s="28" t="s">
        <v>25</v>
      </c>
      <c r="L957" s="30" t="s">
        <v>21</v>
      </c>
    </row>
    <row r="958" spans="1:12" x14ac:dyDescent="0.35">
      <c r="A958" s="14" t="s">
        <v>2827</v>
      </c>
      <c r="B958" s="15" t="s">
        <v>13</v>
      </c>
      <c r="C958" s="16" t="s">
        <v>2828</v>
      </c>
      <c r="D958" s="16" t="s">
        <v>34</v>
      </c>
      <c r="E958" s="16" t="s">
        <v>178</v>
      </c>
      <c r="F958" s="17" t="s">
        <v>113</v>
      </c>
      <c r="G958" s="15">
        <v>12</v>
      </c>
      <c r="H958" s="15" t="s">
        <v>18</v>
      </c>
      <c r="I958" s="17" t="s">
        <v>23</v>
      </c>
      <c r="J958" s="16" t="s">
        <v>2829</v>
      </c>
      <c r="K958" s="16" t="s">
        <v>130</v>
      </c>
      <c r="L958" s="18" t="s">
        <v>21</v>
      </c>
    </row>
    <row r="959" spans="1:12" x14ac:dyDescent="0.35">
      <c r="A959" s="9" t="s">
        <v>2830</v>
      </c>
      <c r="B959" s="10" t="s">
        <v>13</v>
      </c>
      <c r="C959" s="11" t="s">
        <v>2831</v>
      </c>
      <c r="D959" s="11" t="s">
        <v>34</v>
      </c>
      <c r="E959" s="11" t="s">
        <v>178</v>
      </c>
      <c r="F959" s="12" t="s">
        <v>47</v>
      </c>
      <c r="G959" s="10">
        <v>3</v>
      </c>
      <c r="H959" s="10" t="s">
        <v>18</v>
      </c>
      <c r="I959" s="12" t="s">
        <v>47</v>
      </c>
      <c r="J959" s="11" t="s">
        <v>2771</v>
      </c>
      <c r="K959" s="11" t="s">
        <v>130</v>
      </c>
      <c r="L959" s="13" t="s">
        <v>21</v>
      </c>
    </row>
    <row r="960" spans="1:12" x14ac:dyDescent="0.35">
      <c r="A960" s="14" t="s">
        <v>2832</v>
      </c>
      <c r="B960" s="15" t="s">
        <v>85</v>
      </c>
      <c r="C960" s="16" t="s">
        <v>2833</v>
      </c>
      <c r="D960" s="16" t="s">
        <v>34</v>
      </c>
      <c r="E960" s="16" t="s">
        <v>62</v>
      </c>
      <c r="F960" s="17" t="s">
        <v>36</v>
      </c>
      <c r="G960" s="15">
        <v>2</v>
      </c>
      <c r="H960" s="15" t="s">
        <v>18</v>
      </c>
      <c r="I960" s="17" t="s">
        <v>17</v>
      </c>
      <c r="J960" s="16" t="s">
        <v>2834</v>
      </c>
      <c r="K960" s="16" t="s">
        <v>115</v>
      </c>
      <c r="L960" s="18" t="s">
        <v>21</v>
      </c>
    </row>
    <row r="961" spans="1:12" ht="15" customHeight="1" x14ac:dyDescent="0.35">
      <c r="A961" s="19" t="s">
        <v>2835</v>
      </c>
      <c r="B961" s="20" t="s">
        <v>13</v>
      </c>
      <c r="C961" s="21" t="s">
        <v>2836</v>
      </c>
      <c r="D961" s="21" t="s">
        <v>34</v>
      </c>
      <c r="E961" s="21" t="s">
        <v>37</v>
      </c>
      <c r="F961" s="22" t="s">
        <v>70</v>
      </c>
      <c r="G961" s="20">
        <v>6</v>
      </c>
      <c r="H961" s="20" t="s">
        <v>18</v>
      </c>
      <c r="I961" s="22" t="s">
        <v>70</v>
      </c>
      <c r="J961" s="21" t="s">
        <v>2837</v>
      </c>
      <c r="K961" s="21" t="s">
        <v>25</v>
      </c>
      <c r="L961" s="23" t="s">
        <v>21</v>
      </c>
    </row>
    <row r="962" spans="1:12" x14ac:dyDescent="0.35">
      <c r="A962" s="24" t="s">
        <v>2838</v>
      </c>
      <c r="B962" s="24" t="s">
        <v>13</v>
      </c>
      <c r="C962" s="24" t="s">
        <v>2839</v>
      </c>
      <c r="D962" s="24" t="s">
        <v>34</v>
      </c>
      <c r="E962" s="24" t="s">
        <v>497</v>
      </c>
      <c r="F962" s="25" t="s">
        <v>97</v>
      </c>
      <c r="G962" s="24">
        <v>13</v>
      </c>
      <c r="H962" s="24" t="s">
        <v>42</v>
      </c>
      <c r="I962" s="25"/>
      <c r="J962" s="24" t="s">
        <v>2840</v>
      </c>
      <c r="K962" s="24" t="s">
        <v>39</v>
      </c>
      <c r="L962" s="24" t="s">
        <v>21</v>
      </c>
    </row>
    <row r="963" spans="1:12" x14ac:dyDescent="0.35">
      <c r="A963" s="36" t="s">
        <v>2841</v>
      </c>
      <c r="B963" s="36" t="s">
        <v>13</v>
      </c>
      <c r="C963" s="36" t="s">
        <v>2842</v>
      </c>
      <c r="D963" s="36" t="s">
        <v>34</v>
      </c>
      <c r="E963" s="36" t="s">
        <v>178</v>
      </c>
      <c r="F963" s="37" t="s">
        <v>133</v>
      </c>
      <c r="G963" s="36">
        <v>4</v>
      </c>
      <c r="H963" s="36" t="s">
        <v>42</v>
      </c>
      <c r="I963" s="37"/>
      <c r="J963" s="36" t="s">
        <v>2843</v>
      </c>
      <c r="K963" s="36" t="s">
        <v>130</v>
      </c>
      <c r="L963" s="36" t="s">
        <v>21</v>
      </c>
    </row>
    <row r="964" spans="1:12" x14ac:dyDescent="0.35">
      <c r="A964" s="24" t="s">
        <v>2844</v>
      </c>
      <c r="B964" s="24" t="s">
        <v>13</v>
      </c>
      <c r="C964" s="24" t="s">
        <v>2845</v>
      </c>
      <c r="D964" s="24" t="s">
        <v>34</v>
      </c>
      <c r="E964" s="24" t="s">
        <v>97</v>
      </c>
      <c r="F964" s="25" t="s">
        <v>30</v>
      </c>
      <c r="G964" s="24">
        <v>6</v>
      </c>
      <c r="H964" s="24" t="s">
        <v>42</v>
      </c>
      <c r="I964" s="25"/>
      <c r="J964" s="24" t="s">
        <v>2846</v>
      </c>
      <c r="K964" s="24" t="s">
        <v>115</v>
      </c>
      <c r="L964" s="24" t="s">
        <v>26</v>
      </c>
    </row>
    <row r="965" spans="1:12" x14ac:dyDescent="0.35">
      <c r="A965" s="36" t="s">
        <v>2847</v>
      </c>
      <c r="B965" s="36" t="s">
        <v>13</v>
      </c>
      <c r="C965" s="36" t="s">
        <v>2848</v>
      </c>
      <c r="D965" s="36" t="s">
        <v>34</v>
      </c>
      <c r="E965" s="36" t="s">
        <v>108</v>
      </c>
      <c r="F965" s="37" t="s">
        <v>118</v>
      </c>
      <c r="G965" s="36">
        <v>20</v>
      </c>
      <c r="H965" s="36" t="s">
        <v>109</v>
      </c>
      <c r="I965" s="37"/>
      <c r="J965" s="36" t="s">
        <v>2849</v>
      </c>
      <c r="K965" s="36" t="s">
        <v>130</v>
      </c>
      <c r="L965" s="36" t="s">
        <v>21</v>
      </c>
    </row>
    <row r="966" spans="1:12" ht="15" customHeight="1" x14ac:dyDescent="0.35">
      <c r="A966" s="48" t="s">
        <v>2850</v>
      </c>
      <c r="B966" s="49" t="s">
        <v>13</v>
      </c>
      <c r="C966" s="50" t="s">
        <v>2851</v>
      </c>
      <c r="D966" s="50" t="s">
        <v>34</v>
      </c>
      <c r="E966" s="50" t="s">
        <v>47</v>
      </c>
      <c r="F966" s="51" t="s">
        <v>62</v>
      </c>
      <c r="G966" s="49">
        <v>3</v>
      </c>
      <c r="H966" s="49" t="s">
        <v>18</v>
      </c>
      <c r="I966" s="51" t="s">
        <v>118</v>
      </c>
      <c r="J966" s="50" t="s">
        <v>2852</v>
      </c>
      <c r="K966" s="50" t="s">
        <v>44</v>
      </c>
      <c r="L966" s="52" t="s">
        <v>26</v>
      </c>
    </row>
    <row r="967" spans="1:12" x14ac:dyDescent="0.35">
      <c r="A967" s="36" t="s">
        <v>2853</v>
      </c>
      <c r="B967" s="36" t="s">
        <v>13</v>
      </c>
      <c r="C967" s="36" t="s">
        <v>2854</v>
      </c>
      <c r="D967" s="36" t="s">
        <v>34</v>
      </c>
      <c r="E967" s="36" t="s">
        <v>62</v>
      </c>
      <c r="F967" s="37" t="s">
        <v>36</v>
      </c>
      <c r="G967" s="36">
        <v>2</v>
      </c>
      <c r="H967" s="36" t="s">
        <v>109</v>
      </c>
      <c r="I967" s="37"/>
      <c r="J967" s="36" t="s">
        <v>1378</v>
      </c>
      <c r="K967" s="36" t="s">
        <v>130</v>
      </c>
      <c r="L967" s="36" t="s">
        <v>26</v>
      </c>
    </row>
    <row r="968" spans="1:12" x14ac:dyDescent="0.35">
      <c r="A968" s="38" t="s">
        <v>2853</v>
      </c>
      <c r="B968" s="39" t="s">
        <v>13</v>
      </c>
      <c r="C968" s="40" t="s">
        <v>2854</v>
      </c>
      <c r="D968" s="40" t="s">
        <v>34</v>
      </c>
      <c r="E968" s="40" t="s">
        <v>62</v>
      </c>
      <c r="F968" s="41" t="s">
        <v>17</v>
      </c>
      <c r="G968" s="39">
        <v>9</v>
      </c>
      <c r="H968" s="39" t="s">
        <v>18</v>
      </c>
      <c r="I968" s="41" t="s">
        <v>17</v>
      </c>
      <c r="J968" s="40" t="s">
        <v>1378</v>
      </c>
      <c r="K968" s="40" t="s">
        <v>130</v>
      </c>
      <c r="L968" s="42" t="s">
        <v>26</v>
      </c>
    </row>
    <row r="969" spans="1:12" x14ac:dyDescent="0.35">
      <c r="A969" s="9" t="s">
        <v>2855</v>
      </c>
      <c r="B969" s="10" t="s">
        <v>13</v>
      </c>
      <c r="C969" s="11" t="s">
        <v>2856</v>
      </c>
      <c r="D969" s="11" t="s">
        <v>78</v>
      </c>
      <c r="E969" s="11" t="s">
        <v>47</v>
      </c>
      <c r="F969" s="12" t="s">
        <v>52</v>
      </c>
      <c r="G969" s="10">
        <v>11</v>
      </c>
      <c r="H969" s="10" t="s">
        <v>18</v>
      </c>
      <c r="I969" s="12" t="s">
        <v>30</v>
      </c>
      <c r="J969" s="11" t="s">
        <v>2857</v>
      </c>
      <c r="K969" s="11" t="s">
        <v>39</v>
      </c>
      <c r="L969" s="13" t="s">
        <v>21</v>
      </c>
    </row>
    <row r="970" spans="1:12" x14ac:dyDescent="0.35">
      <c r="A970" s="14" t="s">
        <v>2858</v>
      </c>
      <c r="B970" s="15" t="s">
        <v>13</v>
      </c>
      <c r="C970" s="16" t="s">
        <v>2859</v>
      </c>
      <c r="D970" s="16" t="s">
        <v>78</v>
      </c>
      <c r="E970" s="16" t="s">
        <v>118</v>
      </c>
      <c r="F970" s="17" t="s">
        <v>30</v>
      </c>
      <c r="G970" s="15">
        <v>6</v>
      </c>
      <c r="H970" s="15" t="s">
        <v>18</v>
      </c>
      <c r="I970" s="17" t="s">
        <v>17</v>
      </c>
      <c r="J970" s="16" t="s">
        <v>2860</v>
      </c>
      <c r="K970" s="16" t="s">
        <v>25</v>
      </c>
      <c r="L970" s="18" t="s">
        <v>21</v>
      </c>
    </row>
    <row r="971" spans="1:12" ht="15" customHeight="1" x14ac:dyDescent="0.35">
      <c r="A971" s="19" t="s">
        <v>2861</v>
      </c>
      <c r="B971" s="20" t="s">
        <v>13</v>
      </c>
      <c r="C971" s="21" t="s">
        <v>2862</v>
      </c>
      <c r="D971" s="21" t="s">
        <v>34</v>
      </c>
      <c r="E971" s="21" t="s">
        <v>104</v>
      </c>
      <c r="F971" s="22" t="s">
        <v>29</v>
      </c>
      <c r="G971" s="20">
        <v>2</v>
      </c>
      <c r="H971" s="20" t="s">
        <v>18</v>
      </c>
      <c r="I971" s="22" t="s">
        <v>62</v>
      </c>
      <c r="J971" s="21" t="s">
        <v>2863</v>
      </c>
      <c r="K971" s="21" t="s">
        <v>115</v>
      </c>
      <c r="L971" s="23" t="s">
        <v>26</v>
      </c>
    </row>
    <row r="972" spans="1:12" x14ac:dyDescent="0.35">
      <c r="A972" s="24" t="s">
        <v>2864</v>
      </c>
      <c r="B972" s="24" t="s">
        <v>13</v>
      </c>
      <c r="C972" s="24" t="s">
        <v>2865</v>
      </c>
      <c r="D972" s="24" t="s">
        <v>363</v>
      </c>
      <c r="E972" s="24" t="s">
        <v>248</v>
      </c>
      <c r="F972" s="25" t="s">
        <v>66</v>
      </c>
      <c r="G972" s="24">
        <v>14</v>
      </c>
      <c r="H972" s="24" t="s">
        <v>109</v>
      </c>
      <c r="I972" s="25"/>
      <c r="J972" s="24" t="s">
        <v>2866</v>
      </c>
      <c r="K972" s="24" t="s">
        <v>25</v>
      </c>
      <c r="L972" s="24" t="s">
        <v>21</v>
      </c>
    </row>
    <row r="973" spans="1:12" x14ac:dyDescent="0.35">
      <c r="A973" s="36" t="s">
        <v>2867</v>
      </c>
      <c r="B973" s="36" t="s">
        <v>13</v>
      </c>
      <c r="C973" s="36" t="s">
        <v>2868</v>
      </c>
      <c r="D973" s="36" t="s">
        <v>34</v>
      </c>
      <c r="E973" s="36" t="s">
        <v>23</v>
      </c>
      <c r="F973" s="37" t="s">
        <v>70</v>
      </c>
      <c r="G973" s="36">
        <v>4</v>
      </c>
      <c r="H973" s="36" t="s">
        <v>42</v>
      </c>
      <c r="I973" s="37"/>
      <c r="J973" s="36" t="s">
        <v>2869</v>
      </c>
      <c r="K973" s="36" t="s">
        <v>115</v>
      </c>
      <c r="L973" s="36" t="s">
        <v>21</v>
      </c>
    </row>
    <row r="974" spans="1:12" ht="15" customHeight="1" x14ac:dyDescent="0.35">
      <c r="A974" s="48" t="s">
        <v>2870</v>
      </c>
      <c r="B974" s="49" t="s">
        <v>13</v>
      </c>
      <c r="C974" s="50" t="s">
        <v>2871</v>
      </c>
      <c r="D974" s="50" t="s">
        <v>34</v>
      </c>
      <c r="E974" s="50" t="s">
        <v>35</v>
      </c>
      <c r="F974" s="51" t="s">
        <v>113</v>
      </c>
      <c r="G974" s="49">
        <v>14</v>
      </c>
      <c r="H974" s="49" t="s">
        <v>18</v>
      </c>
      <c r="I974" s="51" t="s">
        <v>23</v>
      </c>
      <c r="J974" s="50" t="s">
        <v>2872</v>
      </c>
      <c r="K974" s="50" t="s">
        <v>115</v>
      </c>
      <c r="L974" s="52" t="s">
        <v>26</v>
      </c>
    </row>
    <row r="975" spans="1:12" x14ac:dyDescent="0.35">
      <c r="A975" s="36" t="s">
        <v>2873</v>
      </c>
      <c r="B975" s="36" t="s">
        <v>13</v>
      </c>
      <c r="C975" s="36" t="s">
        <v>2874</v>
      </c>
      <c r="D975" s="36" t="s">
        <v>34</v>
      </c>
      <c r="E975" s="36" t="s">
        <v>133</v>
      </c>
      <c r="F975" s="37" t="s">
        <v>17</v>
      </c>
      <c r="G975" s="36">
        <v>12</v>
      </c>
      <c r="H975" s="36" t="s">
        <v>42</v>
      </c>
      <c r="I975" s="37"/>
      <c r="J975" s="36" t="s">
        <v>2875</v>
      </c>
      <c r="K975" s="36" t="s">
        <v>115</v>
      </c>
      <c r="L975" s="36" t="s">
        <v>26</v>
      </c>
    </row>
    <row r="976" spans="1:12" x14ac:dyDescent="0.35">
      <c r="A976" s="38" t="s">
        <v>2876</v>
      </c>
      <c r="B976" s="39" t="s">
        <v>13</v>
      </c>
      <c r="C976" s="40" t="s">
        <v>2877</v>
      </c>
      <c r="D976" s="40" t="s">
        <v>90</v>
      </c>
      <c r="E976" s="40" t="s">
        <v>149</v>
      </c>
      <c r="F976" s="41" t="s">
        <v>30</v>
      </c>
      <c r="G976" s="39">
        <v>18</v>
      </c>
      <c r="H976" s="39" t="s">
        <v>18</v>
      </c>
      <c r="I976" s="41" t="s">
        <v>30</v>
      </c>
      <c r="J976" s="40" t="s">
        <v>2878</v>
      </c>
      <c r="K976" s="40" t="s">
        <v>39</v>
      </c>
      <c r="L976" s="42" t="s">
        <v>21</v>
      </c>
    </row>
    <row r="977" spans="1:12" ht="15" customHeight="1" x14ac:dyDescent="0.35">
      <c r="A977" s="19" t="s">
        <v>2879</v>
      </c>
      <c r="B977" s="20" t="s">
        <v>13</v>
      </c>
      <c r="C977" s="21" t="s">
        <v>2880</v>
      </c>
      <c r="D977" s="21" t="s">
        <v>15</v>
      </c>
      <c r="E977" s="21" t="s">
        <v>457</v>
      </c>
      <c r="F977" s="22" t="s">
        <v>47</v>
      </c>
      <c r="G977" s="20">
        <v>9</v>
      </c>
      <c r="H977" s="20" t="s">
        <v>18</v>
      </c>
      <c r="I977" s="22" t="s">
        <v>47</v>
      </c>
      <c r="J977" s="21" t="s">
        <v>2881</v>
      </c>
      <c r="K977" s="21" t="s">
        <v>25</v>
      </c>
      <c r="L977" s="23" t="s">
        <v>21</v>
      </c>
    </row>
    <row r="978" spans="1:12" x14ac:dyDescent="0.35">
      <c r="A978" s="24" t="s">
        <v>2882</v>
      </c>
      <c r="B978" s="24" t="s">
        <v>13</v>
      </c>
      <c r="C978" s="24" t="s">
        <v>2883</v>
      </c>
      <c r="D978" s="24" t="s">
        <v>34</v>
      </c>
      <c r="E978" s="24" t="s">
        <v>780</v>
      </c>
      <c r="F978" s="25" t="s">
        <v>104</v>
      </c>
      <c r="G978" s="24">
        <v>17</v>
      </c>
      <c r="H978" s="24" t="s">
        <v>109</v>
      </c>
      <c r="I978" s="25"/>
      <c r="J978" s="24" t="s">
        <v>2884</v>
      </c>
      <c r="K978" s="24" t="s">
        <v>25</v>
      </c>
      <c r="L978" s="24" t="s">
        <v>21</v>
      </c>
    </row>
    <row r="979" spans="1:12" x14ac:dyDescent="0.35">
      <c r="A979" s="26" t="s">
        <v>2885</v>
      </c>
      <c r="B979" s="27" t="s">
        <v>13</v>
      </c>
      <c r="C979" s="28" t="s">
        <v>2886</v>
      </c>
      <c r="D979" s="28" t="s">
        <v>34</v>
      </c>
      <c r="E979" s="28" t="s">
        <v>118</v>
      </c>
      <c r="F979" s="29" t="s">
        <v>30</v>
      </c>
      <c r="G979" s="27">
        <v>5</v>
      </c>
      <c r="H979" s="27" t="s">
        <v>18</v>
      </c>
      <c r="I979" s="29" t="s">
        <v>17</v>
      </c>
      <c r="J979" s="28" t="s">
        <v>2887</v>
      </c>
      <c r="K979" s="28" t="s">
        <v>115</v>
      </c>
      <c r="L979" s="30" t="s">
        <v>26</v>
      </c>
    </row>
    <row r="980" spans="1:12" x14ac:dyDescent="0.35">
      <c r="A980" s="14" t="s">
        <v>2888</v>
      </c>
      <c r="B980" s="15" t="s">
        <v>13</v>
      </c>
      <c r="C980" s="16" t="s">
        <v>2889</v>
      </c>
      <c r="D980" s="16" t="s">
        <v>34</v>
      </c>
      <c r="E980" s="16" t="s">
        <v>133</v>
      </c>
      <c r="F980" s="17" t="s">
        <v>62</v>
      </c>
      <c r="G980" s="15">
        <v>3</v>
      </c>
      <c r="H980" s="15" t="s">
        <v>18</v>
      </c>
      <c r="I980" s="17" t="s">
        <v>97</v>
      </c>
      <c r="J980" s="16" t="s">
        <v>2890</v>
      </c>
      <c r="K980" s="16" t="s">
        <v>44</v>
      </c>
      <c r="L980" s="18" t="s">
        <v>21</v>
      </c>
    </row>
    <row r="981" spans="1:12" x14ac:dyDescent="0.35">
      <c r="A981" s="9" t="s">
        <v>2891</v>
      </c>
      <c r="B981" s="10" t="s">
        <v>13</v>
      </c>
      <c r="C981" s="11" t="s">
        <v>2892</v>
      </c>
      <c r="D981" s="11" t="s">
        <v>34</v>
      </c>
      <c r="E981" s="11" t="s">
        <v>82</v>
      </c>
      <c r="F981" s="12" t="s">
        <v>51</v>
      </c>
      <c r="G981" s="10">
        <v>2</v>
      </c>
      <c r="H981" s="10" t="s">
        <v>18</v>
      </c>
      <c r="I981" s="12" t="s">
        <v>47</v>
      </c>
      <c r="J981" s="11" t="s">
        <v>2312</v>
      </c>
      <c r="K981" s="11" t="s">
        <v>130</v>
      </c>
      <c r="L981" s="13" t="s">
        <v>21</v>
      </c>
    </row>
    <row r="982" spans="1:12" x14ac:dyDescent="0.35">
      <c r="A982" s="14" t="s">
        <v>2893</v>
      </c>
      <c r="B982" s="15" t="s">
        <v>13</v>
      </c>
      <c r="C982" s="16" t="s">
        <v>2894</v>
      </c>
      <c r="D982" s="16" t="s">
        <v>34</v>
      </c>
      <c r="E982" s="16" t="s">
        <v>51</v>
      </c>
      <c r="F982" s="17" t="s">
        <v>133</v>
      </c>
      <c r="G982" s="15">
        <v>2</v>
      </c>
      <c r="H982" s="15" t="s">
        <v>18</v>
      </c>
      <c r="I982" s="17" t="s">
        <v>104</v>
      </c>
      <c r="J982" s="16" t="s">
        <v>2895</v>
      </c>
      <c r="K982" s="16" t="s">
        <v>130</v>
      </c>
      <c r="L982" s="18" t="s">
        <v>21</v>
      </c>
    </row>
    <row r="983" spans="1:12" ht="15" customHeight="1" x14ac:dyDescent="0.35">
      <c r="A983" s="19" t="s">
        <v>2896</v>
      </c>
      <c r="B983" s="20" t="s">
        <v>13</v>
      </c>
      <c r="C983" s="21" t="s">
        <v>2897</v>
      </c>
      <c r="D983" s="21" t="s">
        <v>90</v>
      </c>
      <c r="E983" s="21" t="s">
        <v>82</v>
      </c>
      <c r="F983" s="22" t="s">
        <v>52</v>
      </c>
      <c r="G983" s="20">
        <v>14</v>
      </c>
      <c r="H983" s="20" t="s">
        <v>18</v>
      </c>
      <c r="I983" s="22" t="s">
        <v>30</v>
      </c>
      <c r="J983" s="21" t="s">
        <v>2898</v>
      </c>
      <c r="K983" s="21" t="s">
        <v>25</v>
      </c>
      <c r="L983" s="23" t="s">
        <v>21</v>
      </c>
    </row>
    <row r="984" spans="1:12" x14ac:dyDescent="0.35">
      <c r="A984" s="24" t="s">
        <v>2899</v>
      </c>
      <c r="B984" s="24" t="s">
        <v>13</v>
      </c>
      <c r="C984" s="24" t="s">
        <v>2900</v>
      </c>
      <c r="D984" s="24" t="s">
        <v>34</v>
      </c>
      <c r="E984" s="24" t="s">
        <v>113</v>
      </c>
      <c r="F984" s="25" t="s">
        <v>17</v>
      </c>
      <c r="G984" s="24">
        <v>3</v>
      </c>
      <c r="H984" s="24" t="s">
        <v>42</v>
      </c>
      <c r="I984" s="25"/>
      <c r="J984" s="24" t="s">
        <v>2901</v>
      </c>
      <c r="K984" s="24" t="s">
        <v>72</v>
      </c>
      <c r="L984" s="24" t="s">
        <v>21</v>
      </c>
    </row>
    <row r="985" spans="1:12" x14ac:dyDescent="0.35">
      <c r="A985" s="26" t="s">
        <v>2902</v>
      </c>
      <c r="B985" s="27" t="s">
        <v>13</v>
      </c>
      <c r="C985" s="28" t="s">
        <v>2903</v>
      </c>
      <c r="D985" s="28" t="s">
        <v>34</v>
      </c>
      <c r="E985" s="28" t="s">
        <v>497</v>
      </c>
      <c r="F985" s="29" t="s">
        <v>62</v>
      </c>
      <c r="G985" s="27">
        <v>11</v>
      </c>
      <c r="H985" s="27" t="s">
        <v>18</v>
      </c>
      <c r="I985" s="29" t="s">
        <v>97</v>
      </c>
      <c r="J985" s="28" t="s">
        <v>2904</v>
      </c>
      <c r="K985" s="28" t="s">
        <v>130</v>
      </c>
      <c r="L985" s="30" t="s">
        <v>26</v>
      </c>
    </row>
    <row r="986" spans="1:12" x14ac:dyDescent="0.35">
      <c r="A986" s="14" t="s">
        <v>2905</v>
      </c>
      <c r="B986" s="15" t="s">
        <v>13</v>
      </c>
      <c r="C986" s="16" t="s">
        <v>2906</v>
      </c>
      <c r="D986" s="16" t="s">
        <v>34</v>
      </c>
      <c r="E986" s="16" t="s">
        <v>113</v>
      </c>
      <c r="F986" s="17" t="s">
        <v>70</v>
      </c>
      <c r="G986" s="15">
        <v>4</v>
      </c>
      <c r="H986" s="15" t="s">
        <v>18</v>
      </c>
      <c r="I986" s="17" t="s">
        <v>70</v>
      </c>
      <c r="J986" s="16" t="s">
        <v>2907</v>
      </c>
      <c r="K986" s="16" t="s">
        <v>72</v>
      </c>
      <c r="L986" s="18" t="s">
        <v>21</v>
      </c>
    </row>
    <row r="987" spans="1:12" x14ac:dyDescent="0.35">
      <c r="A987" s="9" t="s">
        <v>2908</v>
      </c>
      <c r="B987" s="10" t="s">
        <v>13</v>
      </c>
      <c r="C987" s="11" t="s">
        <v>2909</v>
      </c>
      <c r="D987" s="11" t="s">
        <v>34</v>
      </c>
      <c r="E987" s="11" t="s">
        <v>178</v>
      </c>
      <c r="F987" s="12" t="s">
        <v>29</v>
      </c>
      <c r="G987" s="10">
        <v>7</v>
      </c>
      <c r="H987" s="10" t="s">
        <v>18</v>
      </c>
      <c r="I987" s="12" t="s">
        <v>62</v>
      </c>
      <c r="J987" s="11" t="s">
        <v>2910</v>
      </c>
      <c r="K987" s="11" t="s">
        <v>25</v>
      </c>
      <c r="L987" s="13" t="s">
        <v>21</v>
      </c>
    </row>
    <row r="988" spans="1:12" ht="15" customHeight="1" x14ac:dyDescent="0.35">
      <c r="A988" s="31" t="s">
        <v>2911</v>
      </c>
      <c r="B988" s="32" t="s">
        <v>13</v>
      </c>
      <c r="C988" s="33" t="s">
        <v>2912</v>
      </c>
      <c r="D988" s="33" t="s">
        <v>34</v>
      </c>
      <c r="E988" s="33" t="s">
        <v>104</v>
      </c>
      <c r="F988" s="34" t="s">
        <v>97</v>
      </c>
      <c r="G988" s="32">
        <v>3</v>
      </c>
      <c r="H988" s="32" t="s">
        <v>18</v>
      </c>
      <c r="I988" s="34" t="s">
        <v>97</v>
      </c>
      <c r="J988" s="33" t="s">
        <v>2913</v>
      </c>
      <c r="K988" s="33" t="s">
        <v>44</v>
      </c>
      <c r="L988" s="35" t="s">
        <v>21</v>
      </c>
    </row>
    <row r="989" spans="1:12" x14ac:dyDescent="0.35">
      <c r="A989" s="36" t="s">
        <v>2914</v>
      </c>
      <c r="B989" s="36" t="s">
        <v>13</v>
      </c>
      <c r="C989" s="36" t="s">
        <v>2915</v>
      </c>
      <c r="D989" s="36" t="s">
        <v>78</v>
      </c>
      <c r="E989" s="36" t="s">
        <v>252</v>
      </c>
      <c r="F989" s="37" t="s">
        <v>29</v>
      </c>
      <c r="G989" s="36">
        <v>10</v>
      </c>
      <c r="H989" s="36" t="s">
        <v>109</v>
      </c>
      <c r="I989" s="37"/>
      <c r="J989" s="36" t="s">
        <v>2916</v>
      </c>
      <c r="K989" s="36" t="s">
        <v>25</v>
      </c>
      <c r="L989" s="36" t="s">
        <v>21</v>
      </c>
    </row>
    <row r="990" spans="1:12" x14ac:dyDescent="0.35">
      <c r="A990" s="38" t="s">
        <v>2917</v>
      </c>
      <c r="B990" s="39" t="s">
        <v>13</v>
      </c>
      <c r="C990" s="40" t="s">
        <v>2918</v>
      </c>
      <c r="D990" s="40" t="s">
        <v>34</v>
      </c>
      <c r="E990" s="40" t="s">
        <v>66</v>
      </c>
      <c r="F990" s="41" t="s">
        <v>29</v>
      </c>
      <c r="G990" s="39">
        <v>5</v>
      </c>
      <c r="H990" s="39" t="s">
        <v>18</v>
      </c>
      <c r="I990" s="41" t="s">
        <v>29</v>
      </c>
      <c r="J990" s="40" t="s">
        <v>2919</v>
      </c>
      <c r="K990" s="40" t="s">
        <v>44</v>
      </c>
      <c r="L990" s="42" t="s">
        <v>26</v>
      </c>
    </row>
    <row r="991" spans="1:12" x14ac:dyDescent="0.35">
      <c r="A991" s="9" t="s">
        <v>2920</v>
      </c>
      <c r="B991" s="10" t="s">
        <v>13</v>
      </c>
      <c r="C991" s="11" t="s">
        <v>2921</v>
      </c>
      <c r="D991" s="11" t="s">
        <v>34</v>
      </c>
      <c r="E991" s="11" t="s">
        <v>149</v>
      </c>
      <c r="F991" s="12" t="s">
        <v>29</v>
      </c>
      <c r="G991" s="10">
        <v>8</v>
      </c>
      <c r="H991" s="10" t="s">
        <v>18</v>
      </c>
      <c r="I991" s="12" t="s">
        <v>29</v>
      </c>
      <c r="J991" s="11" t="s">
        <v>2922</v>
      </c>
      <c r="K991" s="11" t="s">
        <v>130</v>
      </c>
      <c r="L991" s="13" t="s">
        <v>26</v>
      </c>
    </row>
    <row r="992" spans="1:12" ht="15" customHeight="1" x14ac:dyDescent="0.35">
      <c r="A992" s="31" t="s">
        <v>2923</v>
      </c>
      <c r="B992" s="32" t="s">
        <v>13</v>
      </c>
      <c r="C992" s="33" t="s">
        <v>2924</v>
      </c>
      <c r="D992" s="33" t="s">
        <v>34</v>
      </c>
      <c r="E992" s="33" t="s">
        <v>104</v>
      </c>
      <c r="F992" s="34" t="s">
        <v>113</v>
      </c>
      <c r="G992" s="32">
        <v>7</v>
      </c>
      <c r="H992" s="32" t="s">
        <v>18</v>
      </c>
      <c r="I992" s="34" t="s">
        <v>23</v>
      </c>
      <c r="J992" s="33" t="s">
        <v>2925</v>
      </c>
      <c r="K992" s="33" t="s">
        <v>115</v>
      </c>
      <c r="L992" s="35" t="s">
        <v>21</v>
      </c>
    </row>
    <row r="993" spans="1:12" x14ac:dyDescent="0.35">
      <c r="A993" s="36" t="s">
        <v>2926</v>
      </c>
      <c r="B993" s="36" t="s">
        <v>13</v>
      </c>
      <c r="C993" s="36" t="s">
        <v>2927</v>
      </c>
      <c r="D993" s="36" t="s">
        <v>34</v>
      </c>
      <c r="E993" s="36" t="s">
        <v>104</v>
      </c>
      <c r="F993" s="37" t="s">
        <v>30</v>
      </c>
      <c r="G993" s="36">
        <v>10</v>
      </c>
      <c r="H993" s="36" t="s">
        <v>109</v>
      </c>
      <c r="I993" s="37"/>
      <c r="J993" s="36" t="s">
        <v>2928</v>
      </c>
      <c r="K993" s="36" t="s">
        <v>115</v>
      </c>
      <c r="L993" s="36" t="s">
        <v>21</v>
      </c>
    </row>
    <row r="994" spans="1:12" x14ac:dyDescent="0.35">
      <c r="A994" s="38" t="s">
        <v>2929</v>
      </c>
      <c r="B994" s="39" t="s">
        <v>13</v>
      </c>
      <c r="C994" s="40" t="s">
        <v>2930</v>
      </c>
      <c r="D994" s="40" t="s">
        <v>15</v>
      </c>
      <c r="E994" s="40" t="s">
        <v>149</v>
      </c>
      <c r="F994" s="41" t="s">
        <v>104</v>
      </c>
      <c r="G994" s="39">
        <v>8</v>
      </c>
      <c r="H994" s="39" t="s">
        <v>18</v>
      </c>
      <c r="I994" s="41" t="s">
        <v>29</v>
      </c>
      <c r="J994" s="40" t="s">
        <v>2931</v>
      </c>
      <c r="K994" s="40" t="s">
        <v>25</v>
      </c>
      <c r="L994" s="42" t="s">
        <v>21</v>
      </c>
    </row>
    <row r="995" spans="1:12" x14ac:dyDescent="0.35">
      <c r="A995" s="9" t="s">
        <v>2932</v>
      </c>
      <c r="B995" s="10" t="s">
        <v>13</v>
      </c>
      <c r="C995" s="11" t="s">
        <v>2933</v>
      </c>
      <c r="D995" s="11" t="s">
        <v>15</v>
      </c>
      <c r="E995" s="11" t="s">
        <v>497</v>
      </c>
      <c r="F995" s="12" t="s">
        <v>47</v>
      </c>
      <c r="G995" s="10">
        <v>7</v>
      </c>
      <c r="H995" s="10" t="s">
        <v>18</v>
      </c>
      <c r="I995" s="12" t="s">
        <v>47</v>
      </c>
      <c r="J995" s="11" t="s">
        <v>2934</v>
      </c>
      <c r="K995" s="11" t="s">
        <v>25</v>
      </c>
      <c r="L995" s="13" t="s">
        <v>21</v>
      </c>
    </row>
    <row r="996" spans="1:12" ht="15" customHeight="1" x14ac:dyDescent="0.35">
      <c r="A996" s="31" t="s">
        <v>2935</v>
      </c>
      <c r="B996" s="32" t="s">
        <v>13</v>
      </c>
      <c r="C996" s="33" t="s">
        <v>2936</v>
      </c>
      <c r="D996" s="33" t="s">
        <v>90</v>
      </c>
      <c r="E996" s="33" t="s">
        <v>35</v>
      </c>
      <c r="F996" s="34" t="s">
        <v>113</v>
      </c>
      <c r="G996" s="32">
        <v>15</v>
      </c>
      <c r="H996" s="32" t="s">
        <v>18</v>
      </c>
      <c r="I996" s="34" t="s">
        <v>23</v>
      </c>
      <c r="J996" s="33" t="s">
        <v>2937</v>
      </c>
      <c r="K996" s="33" t="s">
        <v>25</v>
      </c>
      <c r="L996" s="35" t="s">
        <v>21</v>
      </c>
    </row>
    <row r="997" spans="1:12" x14ac:dyDescent="0.35">
      <c r="A997" s="36" t="s">
        <v>2938</v>
      </c>
      <c r="B997" s="36" t="s">
        <v>13</v>
      </c>
      <c r="C997" s="36" t="s">
        <v>2939</v>
      </c>
      <c r="D997" s="36" t="s">
        <v>34</v>
      </c>
      <c r="E997" s="36" t="s">
        <v>133</v>
      </c>
      <c r="F997" s="37" t="s">
        <v>118</v>
      </c>
      <c r="G997" s="36">
        <v>5</v>
      </c>
      <c r="H997" s="36" t="s">
        <v>109</v>
      </c>
      <c r="I997" s="37"/>
      <c r="J997" s="36" t="s">
        <v>2940</v>
      </c>
      <c r="K997" s="36" t="s">
        <v>44</v>
      </c>
      <c r="L997" s="36" t="s">
        <v>21</v>
      </c>
    </row>
    <row r="998" spans="1:12" x14ac:dyDescent="0.35">
      <c r="A998" s="38" t="s">
        <v>2941</v>
      </c>
      <c r="B998" s="39" t="s">
        <v>13</v>
      </c>
      <c r="C998" s="40" t="s">
        <v>2942</v>
      </c>
      <c r="D998" s="40" t="s">
        <v>78</v>
      </c>
      <c r="E998" s="40" t="s">
        <v>457</v>
      </c>
      <c r="F998" s="41" t="s">
        <v>133</v>
      </c>
      <c r="G998" s="39">
        <v>10</v>
      </c>
      <c r="H998" s="39" t="s">
        <v>18</v>
      </c>
      <c r="I998" s="41" t="s">
        <v>133</v>
      </c>
      <c r="J998" s="40" t="s">
        <v>2943</v>
      </c>
      <c r="K998" s="40" t="s">
        <v>25</v>
      </c>
      <c r="L998" s="42" t="s">
        <v>21</v>
      </c>
    </row>
    <row r="999" spans="1:12" x14ac:dyDescent="0.35">
      <c r="A999" s="9" t="s">
        <v>2944</v>
      </c>
      <c r="B999" s="10" t="s">
        <v>13</v>
      </c>
      <c r="C999" s="11" t="s">
        <v>2945</v>
      </c>
      <c r="D999" s="11" t="s">
        <v>90</v>
      </c>
      <c r="E999" s="11" t="s">
        <v>118</v>
      </c>
      <c r="F999" s="12" t="s">
        <v>30</v>
      </c>
      <c r="G999" s="10">
        <v>6</v>
      </c>
      <c r="H999" s="10" t="s">
        <v>18</v>
      </c>
      <c r="I999" s="12" t="s">
        <v>30</v>
      </c>
      <c r="J999" s="11" t="s">
        <v>2946</v>
      </c>
      <c r="K999" s="11" t="s">
        <v>25</v>
      </c>
      <c r="L999" s="13" t="s">
        <v>21</v>
      </c>
    </row>
    <row r="1000" spans="1:12" x14ac:dyDescent="0.35">
      <c r="A1000" s="14" t="s">
        <v>2947</v>
      </c>
      <c r="B1000" s="15" t="s">
        <v>13</v>
      </c>
      <c r="C1000" s="16" t="s">
        <v>2948</v>
      </c>
      <c r="D1000" s="16" t="s">
        <v>78</v>
      </c>
      <c r="E1000" s="16" t="s">
        <v>1603</v>
      </c>
      <c r="F1000" s="17" t="s">
        <v>66</v>
      </c>
      <c r="G1000" s="15">
        <v>26</v>
      </c>
      <c r="H1000" s="15" t="s">
        <v>18</v>
      </c>
      <c r="I1000" s="17" t="s">
        <v>66</v>
      </c>
      <c r="J1000" s="16" t="s">
        <v>2949</v>
      </c>
      <c r="K1000" s="16" t="s">
        <v>20</v>
      </c>
      <c r="L1000" s="18" t="s">
        <v>21</v>
      </c>
    </row>
    <row r="1001" spans="1:12" x14ac:dyDescent="0.35">
      <c r="A1001" s="9" t="s">
        <v>2950</v>
      </c>
      <c r="B1001" s="10" t="s">
        <v>13</v>
      </c>
      <c r="C1001" s="11" t="s">
        <v>2951</v>
      </c>
      <c r="D1001" s="11" t="s">
        <v>34</v>
      </c>
      <c r="E1001" s="11" t="s">
        <v>82</v>
      </c>
      <c r="F1001" s="12" t="s">
        <v>29</v>
      </c>
      <c r="G1001" s="10">
        <v>6</v>
      </c>
      <c r="H1001" s="10" t="s">
        <v>18</v>
      </c>
      <c r="I1001" s="12" t="s">
        <v>62</v>
      </c>
      <c r="J1001" s="11" t="s">
        <v>2952</v>
      </c>
      <c r="K1001" s="11" t="s">
        <v>130</v>
      </c>
      <c r="L1001" s="13" t="s">
        <v>21</v>
      </c>
    </row>
    <row r="1002" spans="1:12" x14ac:dyDescent="0.35">
      <c r="A1002" s="14" t="s">
        <v>2953</v>
      </c>
      <c r="B1002" s="15" t="s">
        <v>13</v>
      </c>
      <c r="C1002" s="16" t="s">
        <v>2954</v>
      </c>
      <c r="D1002" s="16" t="s">
        <v>34</v>
      </c>
      <c r="E1002" s="16" t="s">
        <v>252</v>
      </c>
      <c r="F1002" s="17" t="s">
        <v>133</v>
      </c>
      <c r="G1002" s="15">
        <v>9</v>
      </c>
      <c r="H1002" s="15" t="s">
        <v>18</v>
      </c>
      <c r="I1002" s="17" t="s">
        <v>133</v>
      </c>
      <c r="J1002" s="16" t="s">
        <v>2955</v>
      </c>
      <c r="K1002" s="16" t="s">
        <v>130</v>
      </c>
      <c r="L1002" s="18" t="s">
        <v>21</v>
      </c>
    </row>
    <row r="1003" spans="1:12" ht="15" customHeight="1" x14ac:dyDescent="0.35">
      <c r="A1003" s="19" t="s">
        <v>2956</v>
      </c>
      <c r="B1003" s="20" t="s">
        <v>13</v>
      </c>
      <c r="C1003" s="21" t="s">
        <v>2957</v>
      </c>
      <c r="D1003" s="21" t="s">
        <v>15</v>
      </c>
      <c r="E1003" s="21" t="s">
        <v>122</v>
      </c>
      <c r="F1003" s="22" t="s">
        <v>47</v>
      </c>
      <c r="G1003" s="20">
        <v>18</v>
      </c>
      <c r="H1003" s="20" t="s">
        <v>18</v>
      </c>
      <c r="I1003" s="22" t="s">
        <v>47</v>
      </c>
      <c r="J1003" s="21" t="s">
        <v>2958</v>
      </c>
      <c r="K1003" s="21" t="s">
        <v>25</v>
      </c>
      <c r="L1003" s="23" t="s">
        <v>21</v>
      </c>
    </row>
    <row r="1004" spans="1:12" x14ac:dyDescent="0.35">
      <c r="A1004" s="24" t="s">
        <v>2959</v>
      </c>
      <c r="B1004" s="24" t="s">
        <v>13</v>
      </c>
      <c r="C1004" s="24" t="s">
        <v>2960</v>
      </c>
      <c r="D1004" s="24" t="s">
        <v>34</v>
      </c>
      <c r="E1004" s="24" t="s">
        <v>37</v>
      </c>
      <c r="F1004" s="25" t="s">
        <v>52</v>
      </c>
      <c r="G1004" s="24">
        <v>2</v>
      </c>
      <c r="H1004" s="24" t="s">
        <v>109</v>
      </c>
      <c r="I1004" s="25"/>
      <c r="J1004" s="24" t="s">
        <v>2961</v>
      </c>
      <c r="K1004" s="24" t="s">
        <v>72</v>
      </c>
      <c r="L1004" s="24" t="s">
        <v>21</v>
      </c>
    </row>
    <row r="1005" spans="1:12" x14ac:dyDescent="0.35">
      <c r="A1005" s="26" t="s">
        <v>2962</v>
      </c>
      <c r="B1005" s="27" t="s">
        <v>13</v>
      </c>
      <c r="C1005" s="28" t="s">
        <v>2963</v>
      </c>
      <c r="D1005" s="28" t="s">
        <v>90</v>
      </c>
      <c r="E1005" s="28" t="s">
        <v>62</v>
      </c>
      <c r="F1005" s="29" t="s">
        <v>118</v>
      </c>
      <c r="G1005" s="27">
        <v>2</v>
      </c>
      <c r="H1005" s="27" t="s">
        <v>18</v>
      </c>
      <c r="I1005" s="29" t="s">
        <v>36</v>
      </c>
      <c r="J1005" s="28" t="s">
        <v>2964</v>
      </c>
      <c r="K1005" s="28" t="s">
        <v>39</v>
      </c>
      <c r="L1005" s="30" t="s">
        <v>26</v>
      </c>
    </row>
    <row r="1006" spans="1:12" x14ac:dyDescent="0.35">
      <c r="A1006" s="14" t="s">
        <v>2965</v>
      </c>
      <c r="B1006" s="15" t="s">
        <v>13</v>
      </c>
      <c r="C1006" s="16" t="s">
        <v>2966</v>
      </c>
      <c r="D1006" s="16" t="s">
        <v>34</v>
      </c>
      <c r="E1006" s="16" t="s">
        <v>82</v>
      </c>
      <c r="F1006" s="17" t="s">
        <v>133</v>
      </c>
      <c r="G1006" s="15">
        <v>5</v>
      </c>
      <c r="H1006" s="15" t="s">
        <v>18</v>
      </c>
      <c r="I1006" s="17" t="s">
        <v>104</v>
      </c>
      <c r="J1006" s="16" t="s">
        <v>2967</v>
      </c>
      <c r="K1006" s="16" t="s">
        <v>130</v>
      </c>
      <c r="L1006" s="18" t="s">
        <v>21</v>
      </c>
    </row>
    <row r="1007" spans="1:12" x14ac:dyDescent="0.35">
      <c r="A1007" s="9" t="s">
        <v>2968</v>
      </c>
      <c r="B1007" s="10" t="s">
        <v>13</v>
      </c>
      <c r="C1007" s="11" t="s">
        <v>2969</v>
      </c>
      <c r="D1007" s="11" t="s">
        <v>34</v>
      </c>
      <c r="E1007" s="11" t="s">
        <v>104</v>
      </c>
      <c r="F1007" s="12" t="s">
        <v>70</v>
      </c>
      <c r="G1007" s="10">
        <v>12</v>
      </c>
      <c r="H1007" s="10" t="s">
        <v>18</v>
      </c>
      <c r="I1007" s="12" t="s">
        <v>70</v>
      </c>
      <c r="J1007" s="11" t="s">
        <v>2970</v>
      </c>
      <c r="K1007" s="11" t="s">
        <v>115</v>
      </c>
      <c r="L1007" s="13" t="s">
        <v>26</v>
      </c>
    </row>
    <row r="1008" spans="1:12" ht="15" customHeight="1" x14ac:dyDescent="0.35">
      <c r="A1008" s="31" t="s">
        <v>2971</v>
      </c>
      <c r="B1008" s="32" t="s">
        <v>13</v>
      </c>
      <c r="C1008" s="33" t="s">
        <v>2972</v>
      </c>
      <c r="D1008" s="33" t="s">
        <v>34</v>
      </c>
      <c r="E1008" s="33" t="s">
        <v>252</v>
      </c>
      <c r="F1008" s="34" t="s">
        <v>51</v>
      </c>
      <c r="G1008" s="32">
        <v>7</v>
      </c>
      <c r="H1008" s="32" t="s">
        <v>18</v>
      </c>
      <c r="I1008" s="34" t="s">
        <v>47</v>
      </c>
      <c r="J1008" s="33" t="s">
        <v>2973</v>
      </c>
      <c r="K1008" s="33" t="s">
        <v>130</v>
      </c>
      <c r="L1008" s="35" t="s">
        <v>21</v>
      </c>
    </row>
    <row r="1009" spans="1:12" x14ac:dyDescent="0.35">
      <c r="A1009" s="36" t="s">
        <v>2974</v>
      </c>
      <c r="B1009" s="36" t="s">
        <v>85</v>
      </c>
      <c r="C1009" s="36" t="s">
        <v>2975</v>
      </c>
      <c r="D1009" s="36" t="s">
        <v>78</v>
      </c>
      <c r="E1009" s="36" t="s">
        <v>244</v>
      </c>
      <c r="F1009" s="37" t="s">
        <v>62</v>
      </c>
      <c r="G1009" s="36">
        <v>14</v>
      </c>
      <c r="H1009" s="36" t="s">
        <v>42</v>
      </c>
      <c r="I1009" s="37"/>
      <c r="J1009" s="36" t="s">
        <v>2976</v>
      </c>
      <c r="K1009" s="36" t="s">
        <v>25</v>
      </c>
      <c r="L1009" s="36" t="s">
        <v>21</v>
      </c>
    </row>
    <row r="1010" spans="1:12" x14ac:dyDescent="0.35">
      <c r="A1010" s="24" t="s">
        <v>2977</v>
      </c>
      <c r="B1010" s="24" t="s">
        <v>13</v>
      </c>
      <c r="C1010" s="24" t="s">
        <v>2978</v>
      </c>
      <c r="D1010" s="24" t="s">
        <v>90</v>
      </c>
      <c r="E1010" s="24" t="s">
        <v>97</v>
      </c>
      <c r="F1010" s="25" t="s">
        <v>113</v>
      </c>
      <c r="G1010" s="24">
        <v>4</v>
      </c>
      <c r="H1010" s="24" t="s">
        <v>109</v>
      </c>
      <c r="I1010" s="25"/>
      <c r="J1010" s="24" t="s">
        <v>2979</v>
      </c>
      <c r="K1010" s="24" t="s">
        <v>25</v>
      </c>
      <c r="L1010" s="24" t="s">
        <v>26</v>
      </c>
    </row>
    <row r="1011" spans="1:12" ht="15" customHeight="1" x14ac:dyDescent="0.35">
      <c r="A1011" s="43" t="s">
        <v>2977</v>
      </c>
      <c r="B1011" s="44" t="s">
        <v>13</v>
      </c>
      <c r="C1011" s="45" t="s">
        <v>2978</v>
      </c>
      <c r="D1011" s="45" t="s">
        <v>90</v>
      </c>
      <c r="E1011" s="45" t="s">
        <v>97</v>
      </c>
      <c r="F1011" s="46" t="s">
        <v>52</v>
      </c>
      <c r="G1011" s="44">
        <v>5</v>
      </c>
      <c r="H1011" s="44" t="s">
        <v>18</v>
      </c>
      <c r="I1011" s="46" t="s">
        <v>52</v>
      </c>
      <c r="J1011" s="45" t="s">
        <v>2979</v>
      </c>
      <c r="K1011" s="45" t="s">
        <v>25</v>
      </c>
      <c r="L1011" s="47" t="s">
        <v>26</v>
      </c>
    </row>
    <row r="1012" spans="1:12" x14ac:dyDescent="0.35">
      <c r="A1012" s="24" t="s">
        <v>2980</v>
      </c>
      <c r="B1012" s="24" t="s">
        <v>13</v>
      </c>
      <c r="C1012" s="24" t="s">
        <v>2981</v>
      </c>
      <c r="D1012" s="24" t="s">
        <v>78</v>
      </c>
      <c r="E1012" s="24" t="s">
        <v>51</v>
      </c>
      <c r="F1012" s="25" t="s">
        <v>37</v>
      </c>
      <c r="G1012" s="24">
        <v>8</v>
      </c>
      <c r="H1012" s="24" t="s">
        <v>109</v>
      </c>
      <c r="I1012" s="25"/>
      <c r="J1012" s="24" t="s">
        <v>2982</v>
      </c>
      <c r="K1012" s="24" t="s">
        <v>25</v>
      </c>
      <c r="L1012" s="24" t="s">
        <v>21</v>
      </c>
    </row>
    <row r="1013" spans="1:12" x14ac:dyDescent="0.35">
      <c r="A1013" s="26" t="s">
        <v>2983</v>
      </c>
      <c r="B1013" s="27" t="s">
        <v>13</v>
      </c>
      <c r="C1013" s="28" t="s">
        <v>2984</v>
      </c>
      <c r="D1013" s="28" t="s">
        <v>34</v>
      </c>
      <c r="E1013" s="28" t="s">
        <v>133</v>
      </c>
      <c r="F1013" s="29" t="s">
        <v>23</v>
      </c>
      <c r="G1013" s="27">
        <v>10</v>
      </c>
      <c r="H1013" s="27" t="s">
        <v>18</v>
      </c>
      <c r="I1013" s="29" t="s">
        <v>23</v>
      </c>
      <c r="J1013" s="28" t="s">
        <v>2985</v>
      </c>
      <c r="K1013" s="28" t="s">
        <v>44</v>
      </c>
      <c r="L1013" s="30" t="s">
        <v>21</v>
      </c>
    </row>
    <row r="1014" spans="1:12" x14ac:dyDescent="0.35">
      <c r="A1014" s="14" t="s">
        <v>2986</v>
      </c>
      <c r="B1014" s="15" t="s">
        <v>13</v>
      </c>
      <c r="C1014" s="16" t="s">
        <v>2987</v>
      </c>
      <c r="D1014" s="16" t="s">
        <v>34</v>
      </c>
      <c r="E1014" s="16" t="s">
        <v>36</v>
      </c>
      <c r="F1014" s="17" t="s">
        <v>17</v>
      </c>
      <c r="G1014" s="15">
        <v>6</v>
      </c>
      <c r="H1014" s="15" t="s">
        <v>18</v>
      </c>
      <c r="I1014" s="17" t="s">
        <v>17</v>
      </c>
      <c r="J1014" s="16" t="s">
        <v>2988</v>
      </c>
      <c r="K1014" s="16" t="s">
        <v>39</v>
      </c>
      <c r="L1014" s="18" t="s">
        <v>21</v>
      </c>
    </row>
    <row r="1015" spans="1:12" x14ac:dyDescent="0.35">
      <c r="A1015" s="9" t="s">
        <v>2989</v>
      </c>
      <c r="B1015" s="10" t="s">
        <v>13</v>
      </c>
      <c r="C1015" s="11" t="s">
        <v>2990</v>
      </c>
      <c r="D1015" s="11" t="s">
        <v>34</v>
      </c>
      <c r="E1015" s="11" t="s">
        <v>457</v>
      </c>
      <c r="F1015" s="12" t="s">
        <v>62</v>
      </c>
      <c r="G1015" s="10">
        <v>13</v>
      </c>
      <c r="H1015" s="10" t="s">
        <v>18</v>
      </c>
      <c r="I1015" s="12" t="s">
        <v>97</v>
      </c>
      <c r="J1015" s="11" t="s">
        <v>2991</v>
      </c>
      <c r="K1015" s="11" t="s">
        <v>130</v>
      </c>
      <c r="L1015" s="13" t="s">
        <v>21</v>
      </c>
    </row>
    <row r="1016" spans="1:12" x14ac:dyDescent="0.35">
      <c r="A1016" s="14" t="s">
        <v>2992</v>
      </c>
      <c r="B1016" s="15" t="s">
        <v>13</v>
      </c>
      <c r="C1016" s="16" t="s">
        <v>2993</v>
      </c>
      <c r="D1016" s="16" t="s">
        <v>78</v>
      </c>
      <c r="E1016" s="16" t="s">
        <v>47</v>
      </c>
      <c r="F1016" s="17" t="s">
        <v>113</v>
      </c>
      <c r="G1016" s="15">
        <v>9</v>
      </c>
      <c r="H1016" s="15" t="s">
        <v>18</v>
      </c>
      <c r="I1016" s="17" t="s">
        <v>23</v>
      </c>
      <c r="J1016" s="16" t="s">
        <v>2994</v>
      </c>
      <c r="K1016" s="16" t="s">
        <v>25</v>
      </c>
      <c r="L1016" s="18" t="s">
        <v>21</v>
      </c>
    </row>
    <row r="1017" spans="1:12" x14ac:dyDescent="0.35">
      <c r="A1017" s="9" t="s">
        <v>2995</v>
      </c>
      <c r="B1017" s="10" t="s">
        <v>13</v>
      </c>
      <c r="C1017" s="11" t="s">
        <v>2996</v>
      </c>
      <c r="D1017" s="11" t="s">
        <v>34</v>
      </c>
      <c r="E1017" s="11" t="s">
        <v>104</v>
      </c>
      <c r="F1017" s="12" t="s">
        <v>17</v>
      </c>
      <c r="G1017" s="10">
        <v>11</v>
      </c>
      <c r="H1017" s="10" t="s">
        <v>18</v>
      </c>
      <c r="I1017" s="12" t="s">
        <v>17</v>
      </c>
      <c r="J1017" s="11" t="s">
        <v>2997</v>
      </c>
      <c r="K1017" s="11" t="s">
        <v>115</v>
      </c>
      <c r="L1017" s="13" t="s">
        <v>21</v>
      </c>
    </row>
    <row r="1018" spans="1:12" x14ac:dyDescent="0.35">
      <c r="A1018" s="14" t="s">
        <v>2998</v>
      </c>
      <c r="B1018" s="15" t="s">
        <v>13</v>
      </c>
      <c r="C1018" s="16" t="s">
        <v>2999</v>
      </c>
      <c r="D1018" s="16" t="s">
        <v>34</v>
      </c>
      <c r="E1018" s="16" t="s">
        <v>82</v>
      </c>
      <c r="F1018" s="17" t="s">
        <v>97</v>
      </c>
      <c r="G1018" s="15">
        <v>9</v>
      </c>
      <c r="H1018" s="15" t="s">
        <v>18</v>
      </c>
      <c r="I1018" s="17" t="s">
        <v>97</v>
      </c>
      <c r="J1018" s="16" t="s">
        <v>3000</v>
      </c>
      <c r="K1018" s="16" t="s">
        <v>130</v>
      </c>
      <c r="L1018" s="18" t="s">
        <v>21</v>
      </c>
    </row>
    <row r="1019" spans="1:12" x14ac:dyDescent="0.35">
      <c r="A1019" s="9" t="s">
        <v>2998</v>
      </c>
      <c r="B1019" s="10" t="s">
        <v>13</v>
      </c>
      <c r="C1019" s="11" t="s">
        <v>2999</v>
      </c>
      <c r="D1019" s="11" t="s">
        <v>34</v>
      </c>
      <c r="E1019" s="11" t="s">
        <v>82</v>
      </c>
      <c r="F1019" s="12" t="s">
        <v>30</v>
      </c>
      <c r="G1019" s="10">
        <v>16</v>
      </c>
      <c r="H1019" s="10" t="s">
        <v>18</v>
      </c>
      <c r="I1019" s="12" t="s">
        <v>30</v>
      </c>
      <c r="J1019" s="11" t="s">
        <v>3000</v>
      </c>
      <c r="K1019" s="11" t="s">
        <v>130</v>
      </c>
      <c r="L1019" s="13" t="s">
        <v>21</v>
      </c>
    </row>
    <row r="1020" spans="1:12" x14ac:dyDescent="0.35">
      <c r="A1020" s="14" t="s">
        <v>3001</v>
      </c>
      <c r="B1020" s="15" t="s">
        <v>13</v>
      </c>
      <c r="C1020" s="16" t="s">
        <v>3002</v>
      </c>
      <c r="D1020" s="16" t="s">
        <v>34</v>
      </c>
      <c r="E1020" s="16" t="s">
        <v>497</v>
      </c>
      <c r="F1020" s="17" t="s">
        <v>133</v>
      </c>
      <c r="G1020" s="15">
        <v>9</v>
      </c>
      <c r="H1020" s="15" t="s">
        <v>18</v>
      </c>
      <c r="I1020" s="17" t="s">
        <v>104</v>
      </c>
      <c r="J1020" s="16" t="s">
        <v>3003</v>
      </c>
      <c r="K1020" s="16" t="s">
        <v>25</v>
      </c>
      <c r="L1020" s="18" t="s">
        <v>21</v>
      </c>
    </row>
    <row r="1021" spans="1:12" ht="15" customHeight="1" x14ac:dyDescent="0.35">
      <c r="A1021" s="19" t="s">
        <v>3004</v>
      </c>
      <c r="B1021" s="20" t="s">
        <v>13</v>
      </c>
      <c r="C1021" s="21" t="s">
        <v>3005</v>
      </c>
      <c r="D1021" s="21" t="s">
        <v>34</v>
      </c>
      <c r="E1021" s="21" t="s">
        <v>37</v>
      </c>
      <c r="F1021" s="22" t="s">
        <v>17</v>
      </c>
      <c r="G1021" s="20">
        <v>4</v>
      </c>
      <c r="H1021" s="20" t="s">
        <v>18</v>
      </c>
      <c r="I1021" s="22" t="s">
        <v>17</v>
      </c>
      <c r="J1021" s="21" t="s">
        <v>3006</v>
      </c>
      <c r="K1021" s="21" t="s">
        <v>25</v>
      </c>
      <c r="L1021" s="23" t="s">
        <v>26</v>
      </c>
    </row>
    <row r="1022" spans="1:12" x14ac:dyDescent="0.35">
      <c r="A1022" s="24" t="s">
        <v>3007</v>
      </c>
      <c r="B1022" s="24" t="s">
        <v>13</v>
      </c>
      <c r="C1022" s="24" t="s">
        <v>3008</v>
      </c>
      <c r="D1022" s="24" t="s">
        <v>34</v>
      </c>
      <c r="E1022" s="24" t="s">
        <v>29</v>
      </c>
      <c r="F1022" s="25" t="s">
        <v>36</v>
      </c>
      <c r="G1022" s="24">
        <v>4</v>
      </c>
      <c r="H1022" s="24" t="s">
        <v>42</v>
      </c>
      <c r="I1022" s="25"/>
      <c r="J1022" s="24" t="s">
        <v>3009</v>
      </c>
      <c r="K1022" s="24" t="s">
        <v>115</v>
      </c>
      <c r="L1022" s="24" t="s">
        <v>21</v>
      </c>
    </row>
    <row r="1023" spans="1:12" x14ac:dyDescent="0.35">
      <c r="A1023" s="26" t="s">
        <v>3010</v>
      </c>
      <c r="B1023" s="27" t="s">
        <v>13</v>
      </c>
      <c r="C1023" s="28" t="s">
        <v>3011</v>
      </c>
      <c r="D1023" s="28" t="s">
        <v>34</v>
      </c>
      <c r="E1023" s="28" t="s">
        <v>51</v>
      </c>
      <c r="F1023" s="29" t="s">
        <v>133</v>
      </c>
      <c r="G1023" s="27">
        <v>2</v>
      </c>
      <c r="H1023" s="27" t="s">
        <v>18</v>
      </c>
      <c r="I1023" s="29" t="s">
        <v>133</v>
      </c>
      <c r="J1023" s="28" t="s">
        <v>3012</v>
      </c>
      <c r="K1023" s="28" t="s">
        <v>44</v>
      </c>
      <c r="L1023" s="30" t="s">
        <v>26</v>
      </c>
    </row>
    <row r="1024" spans="1:12" ht="15" customHeight="1" x14ac:dyDescent="0.35">
      <c r="A1024" s="31" t="s">
        <v>3013</v>
      </c>
      <c r="B1024" s="32" t="s">
        <v>13</v>
      </c>
      <c r="C1024" s="33" t="s">
        <v>3014</v>
      </c>
      <c r="D1024" s="33" t="s">
        <v>34</v>
      </c>
      <c r="E1024" s="33" t="s">
        <v>82</v>
      </c>
      <c r="F1024" s="34" t="s">
        <v>47</v>
      </c>
      <c r="G1024" s="32">
        <v>3</v>
      </c>
      <c r="H1024" s="32" t="s">
        <v>18</v>
      </c>
      <c r="I1024" s="34" t="s">
        <v>133</v>
      </c>
      <c r="J1024" s="33" t="s">
        <v>1678</v>
      </c>
      <c r="K1024" s="33" t="s">
        <v>130</v>
      </c>
      <c r="L1024" s="35" t="s">
        <v>21</v>
      </c>
    </row>
    <row r="1025" spans="1:12" x14ac:dyDescent="0.35">
      <c r="A1025" s="36" t="s">
        <v>3015</v>
      </c>
      <c r="B1025" s="36" t="s">
        <v>13</v>
      </c>
      <c r="C1025" s="36" t="s">
        <v>3016</v>
      </c>
      <c r="D1025" s="36" t="s">
        <v>34</v>
      </c>
      <c r="E1025" s="36" t="s">
        <v>66</v>
      </c>
      <c r="F1025" s="37" t="s">
        <v>37</v>
      </c>
      <c r="G1025" s="36">
        <v>10</v>
      </c>
      <c r="H1025" s="36" t="s">
        <v>109</v>
      </c>
      <c r="I1025" s="37"/>
      <c r="J1025" s="36" t="s">
        <v>3017</v>
      </c>
      <c r="K1025" s="36" t="s">
        <v>130</v>
      </c>
      <c r="L1025" s="36" t="s">
        <v>26</v>
      </c>
    </row>
    <row r="1026" spans="1:12" x14ac:dyDescent="0.35">
      <c r="A1026" s="24" t="s">
        <v>3018</v>
      </c>
      <c r="B1026" s="24" t="s">
        <v>13</v>
      </c>
      <c r="C1026" s="24" t="s">
        <v>3019</v>
      </c>
      <c r="D1026" s="24" t="s">
        <v>34</v>
      </c>
      <c r="E1026" s="24" t="s">
        <v>66</v>
      </c>
      <c r="F1026" s="25" t="s">
        <v>118</v>
      </c>
      <c r="G1026" s="24">
        <v>8</v>
      </c>
      <c r="H1026" s="24" t="s">
        <v>42</v>
      </c>
      <c r="I1026" s="25"/>
      <c r="J1026" s="24" t="s">
        <v>3020</v>
      </c>
      <c r="K1026" s="24" t="s">
        <v>44</v>
      </c>
      <c r="L1026" s="24" t="s">
        <v>21</v>
      </c>
    </row>
    <row r="1027" spans="1:12" x14ac:dyDescent="0.35">
      <c r="A1027" s="26" t="s">
        <v>3021</v>
      </c>
      <c r="B1027" s="27" t="s">
        <v>13</v>
      </c>
      <c r="C1027" s="28" t="s">
        <v>3022</v>
      </c>
      <c r="D1027" s="28" t="s">
        <v>78</v>
      </c>
      <c r="E1027" s="28" t="s">
        <v>29</v>
      </c>
      <c r="F1027" s="29" t="s">
        <v>52</v>
      </c>
      <c r="G1027" s="27">
        <v>8</v>
      </c>
      <c r="H1027" s="27" t="s">
        <v>18</v>
      </c>
      <c r="I1027" s="29" t="s">
        <v>30</v>
      </c>
      <c r="J1027" s="28" t="s">
        <v>3023</v>
      </c>
      <c r="K1027" s="28" t="s">
        <v>25</v>
      </c>
      <c r="L1027" s="30" t="s">
        <v>21</v>
      </c>
    </row>
    <row r="1028" spans="1:12" x14ac:dyDescent="0.35">
      <c r="A1028" s="14" t="s">
        <v>3024</v>
      </c>
      <c r="B1028" s="15" t="s">
        <v>13</v>
      </c>
      <c r="C1028" s="16" t="s">
        <v>3025</v>
      </c>
      <c r="D1028" s="16" t="s">
        <v>34</v>
      </c>
      <c r="E1028" s="16" t="s">
        <v>546</v>
      </c>
      <c r="F1028" s="17" t="s">
        <v>97</v>
      </c>
      <c r="G1028" s="15">
        <v>25</v>
      </c>
      <c r="H1028" s="15" t="s">
        <v>18</v>
      </c>
      <c r="I1028" s="17" t="s">
        <v>118</v>
      </c>
      <c r="J1028" s="16" t="s">
        <v>3026</v>
      </c>
      <c r="K1028" s="16" t="s">
        <v>20</v>
      </c>
      <c r="L1028" s="18" t="s">
        <v>21</v>
      </c>
    </row>
    <row r="1029" spans="1:12" x14ac:dyDescent="0.35">
      <c r="A1029" s="9" t="s">
        <v>3027</v>
      </c>
      <c r="B1029" s="10" t="s">
        <v>13</v>
      </c>
      <c r="C1029" s="11" t="s">
        <v>3028</v>
      </c>
      <c r="D1029" s="11" t="s">
        <v>34</v>
      </c>
      <c r="E1029" s="11" t="s">
        <v>113</v>
      </c>
      <c r="F1029" s="12" t="s">
        <v>52</v>
      </c>
      <c r="G1029" s="10">
        <v>2</v>
      </c>
      <c r="H1029" s="10" t="s">
        <v>18</v>
      </c>
      <c r="I1029" s="12" t="s">
        <v>17</v>
      </c>
      <c r="J1029" s="11" t="s">
        <v>3029</v>
      </c>
      <c r="K1029" s="11" t="s">
        <v>72</v>
      </c>
      <c r="L1029" s="13" t="s">
        <v>21</v>
      </c>
    </row>
    <row r="1030" spans="1:12" x14ac:dyDescent="0.35">
      <c r="A1030" s="14" t="s">
        <v>3030</v>
      </c>
      <c r="B1030" s="15" t="s">
        <v>13</v>
      </c>
      <c r="C1030" s="16" t="s">
        <v>3031</v>
      </c>
      <c r="D1030" s="16" t="s">
        <v>34</v>
      </c>
      <c r="E1030" s="16" t="s">
        <v>82</v>
      </c>
      <c r="F1030" s="17" t="s">
        <v>29</v>
      </c>
      <c r="G1030" s="15">
        <v>7</v>
      </c>
      <c r="H1030" s="15" t="s">
        <v>18</v>
      </c>
      <c r="I1030" s="17" t="s">
        <v>62</v>
      </c>
      <c r="J1030" s="16" t="s">
        <v>3032</v>
      </c>
      <c r="K1030" s="16" t="s">
        <v>130</v>
      </c>
      <c r="L1030" s="18" t="s">
        <v>26</v>
      </c>
    </row>
    <row r="1031" spans="1:12" x14ac:dyDescent="0.35">
      <c r="A1031" s="9" t="s">
        <v>3033</v>
      </c>
      <c r="B1031" s="10" t="s">
        <v>13</v>
      </c>
      <c r="C1031" s="11" t="s">
        <v>3034</v>
      </c>
      <c r="D1031" s="11" t="s">
        <v>15</v>
      </c>
      <c r="E1031" s="11" t="s">
        <v>37</v>
      </c>
      <c r="F1031" s="12" t="s">
        <v>17</v>
      </c>
      <c r="G1031" s="10">
        <v>5</v>
      </c>
      <c r="H1031" s="10" t="s">
        <v>18</v>
      </c>
      <c r="I1031" s="12" t="s">
        <v>17</v>
      </c>
      <c r="J1031" s="11" t="s">
        <v>3035</v>
      </c>
      <c r="K1031" s="11" t="s">
        <v>25</v>
      </c>
      <c r="L1031" s="13" t="s">
        <v>21</v>
      </c>
    </row>
    <row r="1032" spans="1:12" x14ac:dyDescent="0.35">
      <c r="A1032" s="14" t="s">
        <v>3036</v>
      </c>
      <c r="B1032" s="15" t="s">
        <v>13</v>
      </c>
      <c r="C1032" s="16" t="s">
        <v>3037</v>
      </c>
      <c r="D1032" s="16" t="s">
        <v>34</v>
      </c>
      <c r="E1032" s="16" t="s">
        <v>35</v>
      </c>
      <c r="F1032" s="17" t="s">
        <v>133</v>
      </c>
      <c r="G1032" s="15">
        <v>6</v>
      </c>
      <c r="H1032" s="15" t="s">
        <v>18</v>
      </c>
      <c r="I1032" s="17" t="s">
        <v>133</v>
      </c>
      <c r="J1032" s="16" t="s">
        <v>3038</v>
      </c>
      <c r="K1032" s="16" t="s">
        <v>130</v>
      </c>
      <c r="L1032" s="18" t="s">
        <v>26</v>
      </c>
    </row>
    <row r="1033" spans="1:12" x14ac:dyDescent="0.35">
      <c r="A1033" s="9" t="s">
        <v>3039</v>
      </c>
      <c r="B1033" s="10" t="s">
        <v>13</v>
      </c>
      <c r="C1033" s="11" t="s">
        <v>3040</v>
      </c>
      <c r="D1033" s="11" t="s">
        <v>34</v>
      </c>
      <c r="E1033" s="11" t="s">
        <v>62</v>
      </c>
      <c r="F1033" s="12" t="s">
        <v>52</v>
      </c>
      <c r="G1033" s="10">
        <v>7</v>
      </c>
      <c r="H1033" s="10" t="s">
        <v>18</v>
      </c>
      <c r="I1033" s="12" t="s">
        <v>52</v>
      </c>
      <c r="J1033" s="11" t="s">
        <v>3041</v>
      </c>
      <c r="K1033" s="11" t="s">
        <v>115</v>
      </c>
      <c r="L1033" s="13" t="s">
        <v>21</v>
      </c>
    </row>
    <row r="1034" spans="1:12" ht="15" customHeight="1" x14ac:dyDescent="0.35">
      <c r="A1034" s="31" t="s">
        <v>3042</v>
      </c>
      <c r="B1034" s="32" t="s">
        <v>13</v>
      </c>
      <c r="C1034" s="33" t="s">
        <v>3043</v>
      </c>
      <c r="D1034" s="33" t="s">
        <v>34</v>
      </c>
      <c r="E1034" s="33" t="s">
        <v>37</v>
      </c>
      <c r="F1034" s="34" t="s">
        <v>23</v>
      </c>
      <c r="G1034" s="32">
        <v>2</v>
      </c>
      <c r="H1034" s="32" t="s">
        <v>18</v>
      </c>
      <c r="I1034" s="34" t="s">
        <v>52</v>
      </c>
      <c r="J1034" s="33" t="s">
        <v>3044</v>
      </c>
      <c r="K1034" s="33" t="s">
        <v>25</v>
      </c>
      <c r="L1034" s="35" t="s">
        <v>21</v>
      </c>
    </row>
    <row r="1035" spans="1:12" x14ac:dyDescent="0.35">
      <c r="A1035" s="36" t="s">
        <v>3045</v>
      </c>
      <c r="B1035" s="36" t="s">
        <v>13</v>
      </c>
      <c r="C1035" s="36" t="s">
        <v>3046</v>
      </c>
      <c r="D1035" s="36" t="s">
        <v>34</v>
      </c>
      <c r="E1035" s="36" t="s">
        <v>51</v>
      </c>
      <c r="F1035" s="37" t="s">
        <v>37</v>
      </c>
      <c r="G1035" s="36">
        <v>9</v>
      </c>
      <c r="H1035" s="36" t="s">
        <v>42</v>
      </c>
      <c r="I1035" s="37"/>
      <c r="J1035" s="36" t="s">
        <v>3047</v>
      </c>
      <c r="K1035" s="36" t="s">
        <v>25</v>
      </c>
      <c r="L1035" s="36" t="s">
        <v>21</v>
      </c>
    </row>
    <row r="1036" spans="1:12" ht="15" customHeight="1" x14ac:dyDescent="0.35">
      <c r="A1036" s="48" t="s">
        <v>3048</v>
      </c>
      <c r="B1036" s="49" t="s">
        <v>13</v>
      </c>
      <c r="C1036" s="50" t="s">
        <v>3049</v>
      </c>
      <c r="D1036" s="50" t="s">
        <v>34</v>
      </c>
      <c r="E1036" s="50" t="s">
        <v>29</v>
      </c>
      <c r="F1036" s="51" t="s">
        <v>23</v>
      </c>
      <c r="G1036" s="49">
        <v>7</v>
      </c>
      <c r="H1036" s="49" t="s">
        <v>18</v>
      </c>
      <c r="I1036" s="51" t="s">
        <v>30</v>
      </c>
      <c r="J1036" s="50" t="s">
        <v>3050</v>
      </c>
      <c r="K1036" s="50" t="s">
        <v>25</v>
      </c>
      <c r="L1036" s="52" t="s">
        <v>21</v>
      </c>
    </row>
    <row r="1037" spans="1:12" x14ac:dyDescent="0.35">
      <c r="A1037" s="36" t="s">
        <v>3051</v>
      </c>
      <c r="B1037" s="36" t="s">
        <v>13</v>
      </c>
      <c r="C1037" s="36" t="s">
        <v>3052</v>
      </c>
      <c r="D1037" s="36" t="s">
        <v>34</v>
      </c>
      <c r="E1037" s="36" t="s">
        <v>62</v>
      </c>
      <c r="F1037" s="37" t="s">
        <v>70</v>
      </c>
      <c r="G1037" s="36">
        <v>10</v>
      </c>
      <c r="H1037" s="36" t="s">
        <v>42</v>
      </c>
      <c r="I1037" s="37"/>
      <c r="J1037" s="36" t="s">
        <v>3053</v>
      </c>
      <c r="K1037" s="36" t="s">
        <v>115</v>
      </c>
      <c r="L1037" s="36" t="s">
        <v>26</v>
      </c>
    </row>
    <row r="1038" spans="1:12" x14ac:dyDescent="0.35">
      <c r="A1038" s="38" t="s">
        <v>3054</v>
      </c>
      <c r="B1038" s="39" t="s">
        <v>13</v>
      </c>
      <c r="C1038" s="40" t="s">
        <v>3055</v>
      </c>
      <c r="D1038" s="40" t="s">
        <v>90</v>
      </c>
      <c r="E1038" s="40" t="s">
        <v>62</v>
      </c>
      <c r="F1038" s="41" t="s">
        <v>30</v>
      </c>
      <c r="G1038" s="39">
        <v>8</v>
      </c>
      <c r="H1038" s="39" t="s">
        <v>18</v>
      </c>
      <c r="I1038" s="41" t="s">
        <v>17</v>
      </c>
      <c r="J1038" s="40" t="s">
        <v>3056</v>
      </c>
      <c r="K1038" s="40" t="s">
        <v>39</v>
      </c>
      <c r="L1038" s="42" t="s">
        <v>26</v>
      </c>
    </row>
    <row r="1039" spans="1:12" x14ac:dyDescent="0.35">
      <c r="A1039" s="9" t="s">
        <v>3057</v>
      </c>
      <c r="B1039" s="10" t="s">
        <v>13</v>
      </c>
      <c r="C1039" s="11" t="s">
        <v>3058</v>
      </c>
      <c r="D1039" s="11" t="s">
        <v>15</v>
      </c>
      <c r="E1039" s="11" t="s">
        <v>118</v>
      </c>
      <c r="F1039" s="12" t="s">
        <v>17</v>
      </c>
      <c r="G1039" s="10">
        <v>7</v>
      </c>
      <c r="H1039" s="10" t="s">
        <v>18</v>
      </c>
      <c r="I1039" s="12" t="s">
        <v>17</v>
      </c>
      <c r="J1039" s="11" t="s">
        <v>3059</v>
      </c>
      <c r="K1039" s="11" t="s">
        <v>25</v>
      </c>
      <c r="L1039" s="13" t="s">
        <v>21</v>
      </c>
    </row>
    <row r="1040" spans="1:12" x14ac:dyDescent="0.35">
      <c r="A1040" s="14" t="s">
        <v>3060</v>
      </c>
      <c r="B1040" s="15" t="s">
        <v>13</v>
      </c>
      <c r="C1040" s="16" t="s">
        <v>3061</v>
      </c>
      <c r="D1040" s="16" t="s">
        <v>34</v>
      </c>
      <c r="E1040" s="16" t="s">
        <v>497</v>
      </c>
      <c r="F1040" s="17" t="s">
        <v>29</v>
      </c>
      <c r="G1040" s="15">
        <v>9</v>
      </c>
      <c r="H1040" s="15" t="s">
        <v>18</v>
      </c>
      <c r="I1040" s="17" t="s">
        <v>29</v>
      </c>
      <c r="J1040" s="16" t="s">
        <v>3062</v>
      </c>
      <c r="K1040" s="16" t="s">
        <v>130</v>
      </c>
      <c r="L1040" s="18" t="s">
        <v>26</v>
      </c>
    </row>
    <row r="1041" spans="1:12" x14ac:dyDescent="0.35">
      <c r="A1041" s="9" t="s">
        <v>3063</v>
      </c>
      <c r="B1041" s="10" t="s">
        <v>13</v>
      </c>
      <c r="C1041" s="11" t="s">
        <v>3064</v>
      </c>
      <c r="D1041" s="11" t="s">
        <v>78</v>
      </c>
      <c r="E1041" s="11" t="s">
        <v>51</v>
      </c>
      <c r="F1041" s="12" t="s">
        <v>118</v>
      </c>
      <c r="G1041" s="10">
        <v>7</v>
      </c>
      <c r="H1041" s="10" t="s">
        <v>18</v>
      </c>
      <c r="I1041" s="12" t="s">
        <v>118</v>
      </c>
      <c r="J1041" s="11" t="s">
        <v>3065</v>
      </c>
      <c r="K1041" s="11" t="s">
        <v>25</v>
      </c>
      <c r="L1041" s="13" t="s">
        <v>21</v>
      </c>
    </row>
    <row r="1042" spans="1:12" x14ac:dyDescent="0.35">
      <c r="A1042" s="14" t="s">
        <v>3066</v>
      </c>
      <c r="B1042" s="15" t="s">
        <v>13</v>
      </c>
      <c r="C1042" s="16" t="s">
        <v>3067</v>
      </c>
      <c r="D1042" s="16" t="s">
        <v>34</v>
      </c>
      <c r="E1042" s="16" t="s">
        <v>62</v>
      </c>
      <c r="F1042" s="17" t="s">
        <v>52</v>
      </c>
      <c r="G1042" s="15">
        <v>7</v>
      </c>
      <c r="H1042" s="15" t="s">
        <v>18</v>
      </c>
      <c r="I1042" s="17" t="s">
        <v>17</v>
      </c>
      <c r="J1042" s="16" t="s">
        <v>3068</v>
      </c>
      <c r="K1042" s="16" t="s">
        <v>115</v>
      </c>
      <c r="L1042" s="18" t="s">
        <v>21</v>
      </c>
    </row>
    <row r="1043" spans="1:12" x14ac:dyDescent="0.35">
      <c r="A1043" s="9" t="s">
        <v>3069</v>
      </c>
      <c r="B1043" s="10" t="s">
        <v>13</v>
      </c>
      <c r="C1043" s="11" t="s">
        <v>3070</v>
      </c>
      <c r="D1043" s="11" t="s">
        <v>34</v>
      </c>
      <c r="E1043" s="11" t="s">
        <v>62</v>
      </c>
      <c r="F1043" s="12" t="s">
        <v>36</v>
      </c>
      <c r="G1043" s="10">
        <v>3</v>
      </c>
      <c r="H1043" s="10" t="s">
        <v>18</v>
      </c>
      <c r="I1043" s="12" t="s">
        <v>30</v>
      </c>
      <c r="J1043" s="11" t="s">
        <v>3071</v>
      </c>
      <c r="K1043" s="11" t="s">
        <v>115</v>
      </c>
      <c r="L1043" s="13" t="s">
        <v>21</v>
      </c>
    </row>
    <row r="1044" spans="1:12" x14ac:dyDescent="0.35">
      <c r="A1044" s="14" t="s">
        <v>3072</v>
      </c>
      <c r="B1044" s="15" t="s">
        <v>13</v>
      </c>
      <c r="C1044" s="16" t="s">
        <v>3073</v>
      </c>
      <c r="D1044" s="16" t="s">
        <v>34</v>
      </c>
      <c r="E1044" s="16" t="s">
        <v>178</v>
      </c>
      <c r="F1044" s="17" t="s">
        <v>133</v>
      </c>
      <c r="G1044" s="15">
        <v>5</v>
      </c>
      <c r="H1044" s="15" t="s">
        <v>18</v>
      </c>
      <c r="I1044" s="17" t="s">
        <v>104</v>
      </c>
      <c r="J1044" s="16" t="s">
        <v>1871</v>
      </c>
      <c r="K1044" s="16" t="s">
        <v>130</v>
      </c>
      <c r="L1044" s="18" t="s">
        <v>21</v>
      </c>
    </row>
    <row r="1045" spans="1:12" x14ac:dyDescent="0.35">
      <c r="A1045" s="9" t="s">
        <v>3074</v>
      </c>
      <c r="B1045" s="10" t="s">
        <v>13</v>
      </c>
      <c r="C1045" s="11" t="s">
        <v>3075</v>
      </c>
      <c r="D1045" s="11" t="s">
        <v>15</v>
      </c>
      <c r="E1045" s="11" t="s">
        <v>252</v>
      </c>
      <c r="F1045" s="12" t="s">
        <v>52</v>
      </c>
      <c r="G1045" s="10">
        <v>18</v>
      </c>
      <c r="H1045" s="10" t="s">
        <v>18</v>
      </c>
      <c r="I1045" s="12" t="s">
        <v>52</v>
      </c>
      <c r="J1045" s="11" t="s">
        <v>3076</v>
      </c>
      <c r="K1045" s="11" t="s">
        <v>25</v>
      </c>
      <c r="L1045" s="13" t="s">
        <v>21</v>
      </c>
    </row>
    <row r="1046" spans="1:12" x14ac:dyDescent="0.35">
      <c r="A1046" s="14" t="s">
        <v>3077</v>
      </c>
      <c r="B1046" s="15" t="s">
        <v>13</v>
      </c>
      <c r="C1046" s="16" t="s">
        <v>3078</v>
      </c>
      <c r="D1046" s="16" t="s">
        <v>34</v>
      </c>
      <c r="E1046" s="16" t="s">
        <v>97</v>
      </c>
      <c r="F1046" s="17" t="s">
        <v>52</v>
      </c>
      <c r="G1046" s="15">
        <v>5</v>
      </c>
      <c r="H1046" s="15" t="s">
        <v>18</v>
      </c>
      <c r="I1046" s="17" t="s">
        <v>17</v>
      </c>
      <c r="J1046" s="16" t="s">
        <v>3079</v>
      </c>
      <c r="K1046" s="16" t="s">
        <v>44</v>
      </c>
      <c r="L1046" s="18" t="s">
        <v>21</v>
      </c>
    </row>
    <row r="1047" spans="1:12" ht="15" customHeight="1" x14ac:dyDescent="0.35">
      <c r="A1047" s="19" t="s">
        <v>3080</v>
      </c>
      <c r="B1047" s="20" t="s">
        <v>13</v>
      </c>
      <c r="C1047" s="21" t="s">
        <v>3081</v>
      </c>
      <c r="D1047" s="21" t="s">
        <v>34</v>
      </c>
      <c r="E1047" s="21" t="s">
        <v>62</v>
      </c>
      <c r="F1047" s="22" t="s">
        <v>17</v>
      </c>
      <c r="G1047" s="20">
        <v>9</v>
      </c>
      <c r="H1047" s="20" t="s">
        <v>18</v>
      </c>
      <c r="I1047" s="22" t="s">
        <v>17</v>
      </c>
      <c r="J1047" s="21" t="s">
        <v>3082</v>
      </c>
      <c r="K1047" s="21" t="s">
        <v>44</v>
      </c>
      <c r="L1047" s="23" t="s">
        <v>21</v>
      </c>
    </row>
    <row r="1048" spans="1:12" x14ac:dyDescent="0.35">
      <c r="A1048" s="24" t="s">
        <v>3083</v>
      </c>
      <c r="B1048" s="24" t="s">
        <v>13</v>
      </c>
      <c r="C1048" s="24" t="s">
        <v>3084</v>
      </c>
      <c r="D1048" s="24" t="s">
        <v>34</v>
      </c>
      <c r="E1048" s="24" t="s">
        <v>104</v>
      </c>
      <c r="F1048" s="25" t="s">
        <v>70</v>
      </c>
      <c r="G1048" s="24">
        <v>12</v>
      </c>
      <c r="H1048" s="24" t="s">
        <v>42</v>
      </c>
      <c r="I1048" s="25"/>
      <c r="J1048" s="24" t="s">
        <v>3085</v>
      </c>
      <c r="K1048" s="24" t="s">
        <v>25</v>
      </c>
      <c r="L1048" s="24" t="s">
        <v>26</v>
      </c>
    </row>
    <row r="1049" spans="1:12" x14ac:dyDescent="0.35">
      <c r="A1049" s="26" t="s">
        <v>3086</v>
      </c>
      <c r="B1049" s="27" t="s">
        <v>13</v>
      </c>
      <c r="C1049" s="28" t="s">
        <v>3087</v>
      </c>
      <c r="D1049" s="28" t="s">
        <v>34</v>
      </c>
      <c r="E1049" s="28" t="s">
        <v>62</v>
      </c>
      <c r="F1049" s="29" t="s">
        <v>113</v>
      </c>
      <c r="G1049" s="27">
        <v>5</v>
      </c>
      <c r="H1049" s="27" t="s">
        <v>18</v>
      </c>
      <c r="I1049" s="29" t="s">
        <v>23</v>
      </c>
      <c r="J1049" s="28" t="s">
        <v>3088</v>
      </c>
      <c r="K1049" s="28" t="s">
        <v>115</v>
      </c>
      <c r="L1049" s="30" t="s">
        <v>21</v>
      </c>
    </row>
    <row r="1050" spans="1:12" x14ac:dyDescent="0.35">
      <c r="A1050" s="14" t="s">
        <v>3089</v>
      </c>
      <c r="B1050" s="15" t="s">
        <v>13</v>
      </c>
      <c r="C1050" s="16" t="s">
        <v>3090</v>
      </c>
      <c r="D1050" s="16" t="s">
        <v>34</v>
      </c>
      <c r="E1050" s="16" t="s">
        <v>2064</v>
      </c>
      <c r="F1050" s="17" t="s">
        <v>133</v>
      </c>
      <c r="G1050" s="15">
        <v>29</v>
      </c>
      <c r="H1050" s="15" t="s">
        <v>18</v>
      </c>
      <c r="I1050" s="17" t="s">
        <v>104</v>
      </c>
      <c r="J1050" s="16" t="s">
        <v>3091</v>
      </c>
      <c r="K1050" s="16" t="s">
        <v>293</v>
      </c>
      <c r="L1050" s="18" t="s">
        <v>21</v>
      </c>
    </row>
    <row r="1051" spans="1:12" ht="15" customHeight="1" x14ac:dyDescent="0.35">
      <c r="A1051" s="19" t="s">
        <v>3092</v>
      </c>
      <c r="B1051" s="20" t="s">
        <v>13</v>
      </c>
      <c r="C1051" s="21" t="s">
        <v>3093</v>
      </c>
      <c r="D1051" s="21" t="s">
        <v>34</v>
      </c>
      <c r="E1051" s="21" t="s">
        <v>36</v>
      </c>
      <c r="F1051" s="22" t="s">
        <v>30</v>
      </c>
      <c r="G1051" s="20">
        <v>5</v>
      </c>
      <c r="H1051" s="20" t="s">
        <v>18</v>
      </c>
      <c r="I1051" s="22" t="s">
        <v>30</v>
      </c>
      <c r="J1051" s="21" t="s">
        <v>3094</v>
      </c>
      <c r="K1051" s="21" t="s">
        <v>44</v>
      </c>
      <c r="L1051" s="23" t="s">
        <v>21</v>
      </c>
    </row>
    <row r="1052" spans="1:12" x14ac:dyDescent="0.35">
      <c r="A1052" s="24" t="s">
        <v>3095</v>
      </c>
      <c r="B1052" s="24" t="s">
        <v>85</v>
      </c>
      <c r="C1052" s="24" t="s">
        <v>3096</v>
      </c>
      <c r="D1052" s="24" t="s">
        <v>90</v>
      </c>
      <c r="E1052" s="24" t="s">
        <v>47</v>
      </c>
      <c r="F1052" s="25" t="s">
        <v>70</v>
      </c>
      <c r="G1052" s="24">
        <v>14</v>
      </c>
      <c r="H1052" s="24" t="s">
        <v>42</v>
      </c>
      <c r="I1052" s="25"/>
      <c r="J1052" s="24" t="s">
        <v>3097</v>
      </c>
      <c r="K1052" s="24" t="s">
        <v>25</v>
      </c>
      <c r="L1052" s="24" t="s">
        <v>26</v>
      </c>
    </row>
    <row r="1053" spans="1:12" x14ac:dyDescent="0.35">
      <c r="A1053" s="26" t="s">
        <v>3098</v>
      </c>
      <c r="B1053" s="27" t="s">
        <v>13</v>
      </c>
      <c r="C1053" s="28" t="s">
        <v>3099</v>
      </c>
      <c r="D1053" s="28" t="s">
        <v>34</v>
      </c>
      <c r="E1053" s="28" t="s">
        <v>47</v>
      </c>
      <c r="F1053" s="29" t="s">
        <v>62</v>
      </c>
      <c r="G1053" s="27">
        <v>3</v>
      </c>
      <c r="H1053" s="27" t="s">
        <v>18</v>
      </c>
      <c r="I1053" s="29" t="s">
        <v>62</v>
      </c>
      <c r="J1053" s="28" t="s">
        <v>3100</v>
      </c>
      <c r="K1053" s="28" t="s">
        <v>44</v>
      </c>
      <c r="L1053" s="30" t="s">
        <v>21</v>
      </c>
    </row>
    <row r="1054" spans="1:12" x14ac:dyDescent="0.35">
      <c r="A1054" s="14" t="s">
        <v>3101</v>
      </c>
      <c r="B1054" s="15" t="s">
        <v>13</v>
      </c>
      <c r="C1054" s="16" t="s">
        <v>3102</v>
      </c>
      <c r="D1054" s="16" t="s">
        <v>34</v>
      </c>
      <c r="E1054" s="16" t="s">
        <v>82</v>
      </c>
      <c r="F1054" s="17" t="s">
        <v>62</v>
      </c>
      <c r="G1054" s="15">
        <v>7</v>
      </c>
      <c r="H1054" s="15" t="s">
        <v>18</v>
      </c>
      <c r="I1054" s="17" t="s">
        <v>62</v>
      </c>
      <c r="J1054" s="16" t="s">
        <v>3103</v>
      </c>
      <c r="K1054" s="16" t="s">
        <v>130</v>
      </c>
      <c r="L1054" s="18" t="s">
        <v>21</v>
      </c>
    </row>
    <row r="1055" spans="1:12" x14ac:dyDescent="0.35">
      <c r="A1055" s="9" t="s">
        <v>3104</v>
      </c>
      <c r="B1055" s="10" t="s">
        <v>13</v>
      </c>
      <c r="C1055" s="11" t="s">
        <v>3105</v>
      </c>
      <c r="D1055" s="11" t="s">
        <v>15</v>
      </c>
      <c r="E1055" s="11" t="s">
        <v>275</v>
      </c>
      <c r="F1055" s="12" t="s">
        <v>29</v>
      </c>
      <c r="G1055" s="10">
        <v>14</v>
      </c>
      <c r="H1055" s="10" t="s">
        <v>18</v>
      </c>
      <c r="I1055" s="12" t="s">
        <v>29</v>
      </c>
      <c r="J1055" s="11" t="s">
        <v>3106</v>
      </c>
      <c r="K1055" s="11" t="s">
        <v>25</v>
      </c>
      <c r="L1055" s="13" t="s">
        <v>21</v>
      </c>
    </row>
    <row r="1056" spans="1:12" x14ac:dyDescent="0.35">
      <c r="A1056" s="14" t="s">
        <v>3107</v>
      </c>
      <c r="B1056" s="15" t="s">
        <v>13</v>
      </c>
      <c r="C1056" s="16" t="s">
        <v>3108</v>
      </c>
      <c r="D1056" s="16" t="s">
        <v>34</v>
      </c>
      <c r="E1056" s="16" t="s">
        <v>51</v>
      </c>
      <c r="F1056" s="17" t="s">
        <v>29</v>
      </c>
      <c r="G1056" s="15">
        <v>3</v>
      </c>
      <c r="H1056" s="15" t="s">
        <v>18</v>
      </c>
      <c r="I1056" s="17" t="s">
        <v>29</v>
      </c>
      <c r="J1056" s="16" t="s">
        <v>3109</v>
      </c>
      <c r="K1056" s="16" t="s">
        <v>44</v>
      </c>
      <c r="L1056" s="18" t="s">
        <v>21</v>
      </c>
    </row>
    <row r="1057" spans="1:12" x14ac:dyDescent="0.35">
      <c r="A1057" s="9" t="s">
        <v>3110</v>
      </c>
      <c r="B1057" s="10" t="s">
        <v>13</v>
      </c>
      <c r="C1057" s="11" t="s">
        <v>3111</v>
      </c>
      <c r="D1057" s="11" t="s">
        <v>34</v>
      </c>
      <c r="E1057" s="11" t="s">
        <v>133</v>
      </c>
      <c r="F1057" s="12" t="s">
        <v>37</v>
      </c>
      <c r="G1057" s="10">
        <v>7</v>
      </c>
      <c r="H1057" s="10" t="s">
        <v>18</v>
      </c>
      <c r="I1057" s="12" t="s">
        <v>37</v>
      </c>
      <c r="J1057" s="11" t="s">
        <v>3112</v>
      </c>
      <c r="K1057" s="11" t="s">
        <v>44</v>
      </c>
      <c r="L1057" s="13" t="s">
        <v>26</v>
      </c>
    </row>
    <row r="1058" spans="1:12" x14ac:dyDescent="0.35">
      <c r="A1058" s="14" t="s">
        <v>3113</v>
      </c>
      <c r="B1058" s="15" t="s">
        <v>13</v>
      </c>
      <c r="C1058" s="16" t="s">
        <v>3114</v>
      </c>
      <c r="D1058" s="16" t="s">
        <v>90</v>
      </c>
      <c r="E1058" s="16" t="s">
        <v>82</v>
      </c>
      <c r="F1058" s="17" t="s">
        <v>118</v>
      </c>
      <c r="G1058" s="15">
        <v>9</v>
      </c>
      <c r="H1058" s="15" t="s">
        <v>18</v>
      </c>
      <c r="I1058" s="17" t="s">
        <v>36</v>
      </c>
      <c r="J1058" s="16" t="s">
        <v>3115</v>
      </c>
      <c r="K1058" s="16" t="s">
        <v>25</v>
      </c>
      <c r="L1058" s="18" t="s">
        <v>21</v>
      </c>
    </row>
    <row r="1059" spans="1:12" x14ac:dyDescent="0.35">
      <c r="A1059" s="9" t="s">
        <v>3116</v>
      </c>
      <c r="B1059" s="10" t="s">
        <v>13</v>
      </c>
      <c r="C1059" s="11" t="s">
        <v>3117</v>
      </c>
      <c r="D1059" s="11" t="s">
        <v>34</v>
      </c>
      <c r="E1059" s="11" t="s">
        <v>37</v>
      </c>
      <c r="F1059" s="12" t="s">
        <v>17</v>
      </c>
      <c r="G1059" s="10">
        <v>5</v>
      </c>
      <c r="H1059" s="10" t="s">
        <v>18</v>
      </c>
      <c r="I1059" s="12" t="s">
        <v>17</v>
      </c>
      <c r="J1059" s="11" t="s">
        <v>3118</v>
      </c>
      <c r="K1059" s="11" t="s">
        <v>115</v>
      </c>
      <c r="L1059" s="13" t="s">
        <v>21</v>
      </c>
    </row>
    <row r="1060" spans="1:12" ht="15" customHeight="1" x14ac:dyDescent="0.35">
      <c r="A1060" s="31" t="s">
        <v>3119</v>
      </c>
      <c r="B1060" s="32" t="s">
        <v>13</v>
      </c>
      <c r="C1060" s="33" t="s">
        <v>3120</v>
      </c>
      <c r="D1060" s="33" t="s">
        <v>34</v>
      </c>
      <c r="E1060" s="33" t="s">
        <v>82</v>
      </c>
      <c r="F1060" s="34" t="s">
        <v>17</v>
      </c>
      <c r="G1060" s="32">
        <v>16</v>
      </c>
      <c r="H1060" s="32" t="s">
        <v>18</v>
      </c>
      <c r="I1060" s="34" t="s">
        <v>17</v>
      </c>
      <c r="J1060" s="33" t="s">
        <v>3121</v>
      </c>
      <c r="K1060" s="33" t="s">
        <v>130</v>
      </c>
      <c r="L1060" s="35" t="s">
        <v>21</v>
      </c>
    </row>
    <row r="1061" spans="1:12" x14ac:dyDescent="0.35">
      <c r="A1061" s="36" t="s">
        <v>3122</v>
      </c>
      <c r="B1061" s="36" t="s">
        <v>13</v>
      </c>
      <c r="C1061" s="36" t="s">
        <v>3123</v>
      </c>
      <c r="D1061" s="36" t="s">
        <v>34</v>
      </c>
      <c r="E1061" s="36" t="s">
        <v>497</v>
      </c>
      <c r="F1061" s="37" t="s">
        <v>70</v>
      </c>
      <c r="G1061" s="36">
        <v>20</v>
      </c>
      <c r="H1061" s="36" t="s">
        <v>109</v>
      </c>
      <c r="I1061" s="37"/>
      <c r="J1061" s="36" t="s">
        <v>3124</v>
      </c>
      <c r="K1061" s="36" t="s">
        <v>130</v>
      </c>
      <c r="L1061" s="36" t="s">
        <v>26</v>
      </c>
    </row>
    <row r="1062" spans="1:12" x14ac:dyDescent="0.35">
      <c r="A1062" s="24" t="s">
        <v>3125</v>
      </c>
      <c r="B1062" s="24" t="s">
        <v>13</v>
      </c>
      <c r="C1062" s="24" t="s">
        <v>3126</v>
      </c>
      <c r="D1062" s="24" t="s">
        <v>34</v>
      </c>
      <c r="E1062" s="24" t="s">
        <v>108</v>
      </c>
      <c r="F1062" s="25" t="s">
        <v>17</v>
      </c>
      <c r="G1062" s="24">
        <v>27</v>
      </c>
      <c r="H1062" s="24" t="s">
        <v>42</v>
      </c>
      <c r="I1062" s="25"/>
      <c r="J1062" s="24" t="s">
        <v>3127</v>
      </c>
      <c r="K1062" s="24" t="s">
        <v>130</v>
      </c>
      <c r="L1062" s="24" t="s">
        <v>21</v>
      </c>
    </row>
    <row r="1063" spans="1:12" x14ac:dyDescent="0.35">
      <c r="A1063" s="36" t="s">
        <v>3128</v>
      </c>
      <c r="B1063" s="36" t="s">
        <v>13</v>
      </c>
      <c r="C1063" s="36" t="s">
        <v>3129</v>
      </c>
      <c r="D1063" s="36" t="s">
        <v>78</v>
      </c>
      <c r="E1063" s="36" t="s">
        <v>244</v>
      </c>
      <c r="F1063" s="37" t="s">
        <v>97</v>
      </c>
      <c r="G1063" s="36">
        <v>15</v>
      </c>
      <c r="H1063" s="36" t="s">
        <v>109</v>
      </c>
      <c r="I1063" s="37"/>
      <c r="J1063" s="36" t="s">
        <v>3130</v>
      </c>
      <c r="K1063" s="36" t="s">
        <v>25</v>
      </c>
      <c r="L1063" s="36" t="s">
        <v>21</v>
      </c>
    </row>
    <row r="1064" spans="1:12" x14ac:dyDescent="0.35">
      <c r="A1064" s="38" t="s">
        <v>3131</v>
      </c>
      <c r="B1064" s="39" t="s">
        <v>13</v>
      </c>
      <c r="C1064" s="40" t="s">
        <v>3132</v>
      </c>
      <c r="D1064" s="40" t="s">
        <v>15</v>
      </c>
      <c r="E1064" s="40" t="s">
        <v>1222</v>
      </c>
      <c r="F1064" s="41" t="s">
        <v>23</v>
      </c>
      <c r="G1064" s="39">
        <v>32</v>
      </c>
      <c r="H1064" s="39" t="s">
        <v>18</v>
      </c>
      <c r="I1064" s="41" t="s">
        <v>52</v>
      </c>
      <c r="J1064" s="40" t="s">
        <v>3133</v>
      </c>
      <c r="K1064" s="40" t="s">
        <v>20</v>
      </c>
      <c r="L1064" s="42" t="s">
        <v>21</v>
      </c>
    </row>
    <row r="1065" spans="1:12" x14ac:dyDescent="0.35">
      <c r="A1065" s="9" t="s">
        <v>3134</v>
      </c>
      <c r="B1065" s="10" t="s">
        <v>13</v>
      </c>
      <c r="C1065" s="11" t="s">
        <v>3135</v>
      </c>
      <c r="D1065" s="11" t="s">
        <v>34</v>
      </c>
      <c r="E1065" s="11" t="s">
        <v>36</v>
      </c>
      <c r="F1065" s="12" t="s">
        <v>23</v>
      </c>
      <c r="G1065" s="10">
        <v>3</v>
      </c>
      <c r="H1065" s="10" t="s">
        <v>18</v>
      </c>
      <c r="I1065" s="12" t="s">
        <v>23</v>
      </c>
      <c r="J1065" s="11" t="s">
        <v>3136</v>
      </c>
      <c r="K1065" s="11" t="s">
        <v>115</v>
      </c>
      <c r="L1065" s="13" t="s">
        <v>21</v>
      </c>
    </row>
    <row r="1066" spans="1:12" x14ac:dyDescent="0.35">
      <c r="A1066" s="14" t="s">
        <v>3137</v>
      </c>
      <c r="B1066" s="15" t="s">
        <v>13</v>
      </c>
      <c r="C1066" s="16" t="s">
        <v>3138</v>
      </c>
      <c r="D1066" s="16" t="s">
        <v>34</v>
      </c>
      <c r="E1066" s="16" t="s">
        <v>244</v>
      </c>
      <c r="F1066" s="17" t="s">
        <v>52</v>
      </c>
      <c r="G1066" s="15">
        <v>21</v>
      </c>
      <c r="H1066" s="15" t="s">
        <v>18</v>
      </c>
      <c r="I1066" s="17" t="s">
        <v>17</v>
      </c>
      <c r="J1066" s="16" t="s">
        <v>3139</v>
      </c>
      <c r="K1066" s="16" t="s">
        <v>130</v>
      </c>
      <c r="L1066" s="18" t="s">
        <v>21</v>
      </c>
    </row>
    <row r="1067" spans="1:12" ht="15" customHeight="1" x14ac:dyDescent="0.35">
      <c r="A1067" s="19" t="s">
        <v>3140</v>
      </c>
      <c r="B1067" s="20" t="s">
        <v>13</v>
      </c>
      <c r="C1067" s="21" t="s">
        <v>3141</v>
      </c>
      <c r="D1067" s="21" t="s">
        <v>34</v>
      </c>
      <c r="E1067" s="21" t="s">
        <v>133</v>
      </c>
      <c r="F1067" s="22" t="s">
        <v>113</v>
      </c>
      <c r="G1067" s="20">
        <v>7</v>
      </c>
      <c r="H1067" s="20" t="s">
        <v>18</v>
      </c>
      <c r="I1067" s="22" t="s">
        <v>23</v>
      </c>
      <c r="J1067" s="21" t="s">
        <v>3142</v>
      </c>
      <c r="K1067" s="21" t="s">
        <v>25</v>
      </c>
      <c r="L1067" s="23" t="s">
        <v>21</v>
      </c>
    </row>
    <row r="1068" spans="1:12" x14ac:dyDescent="0.35">
      <c r="A1068" s="24" t="s">
        <v>3143</v>
      </c>
      <c r="B1068" s="24" t="s">
        <v>13</v>
      </c>
      <c r="C1068" s="24" t="s">
        <v>3144</v>
      </c>
      <c r="D1068" s="24" t="s">
        <v>34</v>
      </c>
      <c r="E1068" s="24" t="s">
        <v>66</v>
      </c>
      <c r="F1068" s="25" t="s">
        <v>51</v>
      </c>
      <c r="G1068" s="24">
        <v>1</v>
      </c>
      <c r="H1068" s="24" t="s">
        <v>109</v>
      </c>
      <c r="I1068" s="25"/>
      <c r="J1068" s="24" t="s">
        <v>3145</v>
      </c>
      <c r="K1068" s="24" t="s">
        <v>44</v>
      </c>
      <c r="L1068" s="24" t="s">
        <v>21</v>
      </c>
    </row>
    <row r="1069" spans="1:12" ht="15" customHeight="1" x14ac:dyDescent="0.35">
      <c r="A1069" s="43" t="s">
        <v>3146</v>
      </c>
      <c r="B1069" s="44" t="s">
        <v>13</v>
      </c>
      <c r="C1069" s="45" t="s">
        <v>3147</v>
      </c>
      <c r="D1069" s="45" t="s">
        <v>34</v>
      </c>
      <c r="E1069" s="45" t="s">
        <v>252</v>
      </c>
      <c r="F1069" s="46" t="s">
        <v>52</v>
      </c>
      <c r="G1069" s="44">
        <v>19</v>
      </c>
      <c r="H1069" s="44" t="s">
        <v>18</v>
      </c>
      <c r="I1069" s="46" t="s">
        <v>17</v>
      </c>
      <c r="J1069" s="45" t="s">
        <v>3148</v>
      </c>
      <c r="K1069" s="45" t="s">
        <v>130</v>
      </c>
      <c r="L1069" s="47" t="s">
        <v>21</v>
      </c>
    </row>
    <row r="1070" spans="1:12" x14ac:dyDescent="0.35">
      <c r="A1070" s="24" t="s">
        <v>3149</v>
      </c>
      <c r="B1070" s="24" t="s">
        <v>13</v>
      </c>
      <c r="C1070" s="24" t="s">
        <v>3150</v>
      </c>
      <c r="D1070" s="24" t="s">
        <v>90</v>
      </c>
      <c r="E1070" s="24" t="s">
        <v>97</v>
      </c>
      <c r="F1070" s="25" t="s">
        <v>70</v>
      </c>
      <c r="G1070" s="24">
        <v>9</v>
      </c>
      <c r="H1070" s="24" t="s">
        <v>42</v>
      </c>
      <c r="I1070" s="25"/>
      <c r="J1070" s="24" t="s">
        <v>3151</v>
      </c>
      <c r="K1070" s="24" t="s">
        <v>25</v>
      </c>
      <c r="L1070" s="24" t="s">
        <v>26</v>
      </c>
    </row>
    <row r="1071" spans="1:12" x14ac:dyDescent="0.35">
      <c r="A1071" s="26" t="s">
        <v>3152</v>
      </c>
      <c r="B1071" s="27" t="s">
        <v>13</v>
      </c>
      <c r="C1071" s="28" t="s">
        <v>3153</v>
      </c>
      <c r="D1071" s="28" t="s">
        <v>34</v>
      </c>
      <c r="E1071" s="28" t="s">
        <v>36</v>
      </c>
      <c r="F1071" s="29" t="s">
        <v>113</v>
      </c>
      <c r="G1071" s="27">
        <v>3</v>
      </c>
      <c r="H1071" s="27" t="s">
        <v>18</v>
      </c>
      <c r="I1071" s="29" t="s">
        <v>23</v>
      </c>
      <c r="J1071" s="28" t="s">
        <v>3154</v>
      </c>
      <c r="K1071" s="28" t="s">
        <v>115</v>
      </c>
      <c r="L1071" s="30" t="s">
        <v>21</v>
      </c>
    </row>
    <row r="1072" spans="1:12" x14ac:dyDescent="0.35">
      <c r="A1072" s="14" t="s">
        <v>3155</v>
      </c>
      <c r="B1072" s="15" t="s">
        <v>13</v>
      </c>
      <c r="C1072" s="16" t="s">
        <v>3156</v>
      </c>
      <c r="D1072" s="16" t="s">
        <v>15</v>
      </c>
      <c r="E1072" s="16" t="s">
        <v>47</v>
      </c>
      <c r="F1072" s="17" t="s">
        <v>113</v>
      </c>
      <c r="G1072" s="15">
        <v>8</v>
      </c>
      <c r="H1072" s="15" t="s">
        <v>18</v>
      </c>
      <c r="I1072" s="17" t="s">
        <v>113</v>
      </c>
      <c r="J1072" s="16" t="s">
        <v>3157</v>
      </c>
      <c r="K1072" s="16" t="s">
        <v>25</v>
      </c>
      <c r="L1072" s="18" t="s">
        <v>21</v>
      </c>
    </row>
    <row r="1073" spans="1:12" x14ac:dyDescent="0.35">
      <c r="A1073" s="9" t="s">
        <v>3158</v>
      </c>
      <c r="B1073" s="10" t="s">
        <v>13</v>
      </c>
      <c r="C1073" s="11" t="s">
        <v>3159</v>
      </c>
      <c r="D1073" s="11" t="s">
        <v>34</v>
      </c>
      <c r="E1073" s="11" t="s">
        <v>497</v>
      </c>
      <c r="F1073" s="12" t="s">
        <v>66</v>
      </c>
      <c r="G1073" s="10">
        <v>6</v>
      </c>
      <c r="H1073" s="10" t="s">
        <v>18</v>
      </c>
      <c r="I1073" s="12" t="s">
        <v>66</v>
      </c>
      <c r="J1073" s="11" t="s">
        <v>3160</v>
      </c>
      <c r="K1073" s="11" t="s">
        <v>130</v>
      </c>
      <c r="L1073" s="13" t="s">
        <v>21</v>
      </c>
    </row>
    <row r="1074" spans="1:12" ht="15" customHeight="1" x14ac:dyDescent="0.35">
      <c r="A1074" s="31" t="s">
        <v>3161</v>
      </c>
      <c r="B1074" s="32" t="s">
        <v>13</v>
      </c>
      <c r="C1074" s="33" t="s">
        <v>3162</v>
      </c>
      <c r="D1074" s="33" t="s">
        <v>90</v>
      </c>
      <c r="E1074" s="33" t="s">
        <v>104</v>
      </c>
      <c r="F1074" s="34" t="s">
        <v>37</v>
      </c>
      <c r="G1074" s="32">
        <v>6</v>
      </c>
      <c r="H1074" s="32" t="s">
        <v>18</v>
      </c>
      <c r="I1074" s="34" t="s">
        <v>37</v>
      </c>
      <c r="J1074" s="33" t="s">
        <v>3163</v>
      </c>
      <c r="K1074" s="33" t="s">
        <v>39</v>
      </c>
      <c r="L1074" s="35" t="s">
        <v>26</v>
      </c>
    </row>
    <row r="1075" spans="1:12" x14ac:dyDescent="0.35">
      <c r="A1075" s="36" t="s">
        <v>3164</v>
      </c>
      <c r="B1075" s="36" t="s">
        <v>13</v>
      </c>
      <c r="C1075" s="36" t="s">
        <v>3165</v>
      </c>
      <c r="D1075" s="36" t="s">
        <v>34</v>
      </c>
      <c r="E1075" s="36" t="s">
        <v>780</v>
      </c>
      <c r="F1075" s="37" t="s">
        <v>133</v>
      </c>
      <c r="G1075" s="36">
        <v>17</v>
      </c>
      <c r="H1075" s="36" t="s">
        <v>109</v>
      </c>
      <c r="I1075" s="37"/>
      <c r="J1075" s="36" t="s">
        <v>3166</v>
      </c>
      <c r="K1075" s="36" t="s">
        <v>25</v>
      </c>
      <c r="L1075" s="36" t="s">
        <v>21</v>
      </c>
    </row>
    <row r="1076" spans="1:12" x14ac:dyDescent="0.35">
      <c r="A1076" s="38" t="s">
        <v>3167</v>
      </c>
      <c r="B1076" s="39" t="s">
        <v>13</v>
      </c>
      <c r="C1076" s="40" t="s">
        <v>3168</v>
      </c>
      <c r="D1076" s="40" t="s">
        <v>34</v>
      </c>
      <c r="E1076" s="40" t="s">
        <v>62</v>
      </c>
      <c r="F1076" s="41" t="s">
        <v>118</v>
      </c>
      <c r="G1076" s="39">
        <v>2</v>
      </c>
      <c r="H1076" s="39" t="s">
        <v>18</v>
      </c>
      <c r="I1076" s="41" t="s">
        <v>118</v>
      </c>
      <c r="J1076" s="40" t="s">
        <v>3169</v>
      </c>
      <c r="K1076" s="40" t="s">
        <v>115</v>
      </c>
      <c r="L1076" s="42" t="s">
        <v>21</v>
      </c>
    </row>
    <row r="1077" spans="1:12" x14ac:dyDescent="0.35">
      <c r="A1077" s="9" t="s">
        <v>3170</v>
      </c>
      <c r="B1077" s="10" t="s">
        <v>85</v>
      </c>
      <c r="C1077" s="11" t="s">
        <v>3171</v>
      </c>
      <c r="D1077" s="11" t="s">
        <v>34</v>
      </c>
      <c r="E1077" s="11" t="s">
        <v>104</v>
      </c>
      <c r="F1077" s="12" t="s">
        <v>52</v>
      </c>
      <c r="G1077" s="10">
        <v>9</v>
      </c>
      <c r="H1077" s="10" t="s">
        <v>18</v>
      </c>
      <c r="I1077" s="12" t="s">
        <v>52</v>
      </c>
      <c r="J1077" s="11" t="s">
        <v>3172</v>
      </c>
      <c r="K1077" s="11" t="s">
        <v>44</v>
      </c>
      <c r="L1077" s="13" t="s">
        <v>21</v>
      </c>
    </row>
    <row r="1078" spans="1:12" x14ac:dyDescent="0.35">
      <c r="A1078" s="14" t="s">
        <v>3173</v>
      </c>
      <c r="B1078" s="15" t="s">
        <v>13</v>
      </c>
      <c r="C1078" s="16" t="s">
        <v>3174</v>
      </c>
      <c r="D1078" s="16" t="s">
        <v>34</v>
      </c>
      <c r="E1078" s="16" t="s">
        <v>29</v>
      </c>
      <c r="F1078" s="17" t="s">
        <v>118</v>
      </c>
      <c r="G1078" s="15">
        <v>3</v>
      </c>
      <c r="H1078" s="15" t="s">
        <v>18</v>
      </c>
      <c r="I1078" s="17" t="s">
        <v>118</v>
      </c>
      <c r="J1078" s="16" t="s">
        <v>3175</v>
      </c>
      <c r="K1078" s="16" t="s">
        <v>25</v>
      </c>
      <c r="L1078" s="18" t="s">
        <v>21</v>
      </c>
    </row>
    <row r="1079" spans="1:12" x14ac:dyDescent="0.35">
      <c r="A1079" s="9" t="s">
        <v>3176</v>
      </c>
      <c r="B1079" s="10" t="s">
        <v>13</v>
      </c>
      <c r="C1079" s="11" t="s">
        <v>3177</v>
      </c>
      <c r="D1079" s="11" t="s">
        <v>34</v>
      </c>
      <c r="E1079" s="11" t="s">
        <v>51</v>
      </c>
      <c r="F1079" s="12" t="s">
        <v>113</v>
      </c>
      <c r="G1079" s="10">
        <v>10</v>
      </c>
      <c r="H1079" s="10" t="s">
        <v>18</v>
      </c>
      <c r="I1079" s="12" t="s">
        <v>113</v>
      </c>
      <c r="J1079" s="11" t="s">
        <v>3178</v>
      </c>
      <c r="K1079" s="11" t="s">
        <v>44</v>
      </c>
      <c r="L1079" s="13" t="s">
        <v>21</v>
      </c>
    </row>
    <row r="1080" spans="1:12" ht="15" customHeight="1" x14ac:dyDescent="0.35">
      <c r="A1080" s="31" t="s">
        <v>3179</v>
      </c>
      <c r="B1080" s="32" t="s">
        <v>13</v>
      </c>
      <c r="C1080" s="33" t="s">
        <v>3180</v>
      </c>
      <c r="D1080" s="33" t="s">
        <v>34</v>
      </c>
      <c r="E1080" s="33" t="s">
        <v>29</v>
      </c>
      <c r="F1080" s="34" t="s">
        <v>37</v>
      </c>
      <c r="G1080" s="32">
        <v>5</v>
      </c>
      <c r="H1080" s="32" t="s">
        <v>18</v>
      </c>
      <c r="I1080" s="34" t="s">
        <v>37</v>
      </c>
      <c r="J1080" s="33" t="s">
        <v>3181</v>
      </c>
      <c r="K1080" s="33" t="s">
        <v>115</v>
      </c>
      <c r="L1080" s="35" t="s">
        <v>21</v>
      </c>
    </row>
    <row r="1081" spans="1:12" x14ac:dyDescent="0.35">
      <c r="A1081" s="36" t="s">
        <v>3182</v>
      </c>
      <c r="B1081" s="36" t="s">
        <v>13</v>
      </c>
      <c r="C1081" s="36" t="s">
        <v>3183</v>
      </c>
      <c r="D1081" s="36" t="s">
        <v>90</v>
      </c>
      <c r="E1081" s="36" t="s">
        <v>178</v>
      </c>
      <c r="F1081" s="37" t="s">
        <v>52</v>
      </c>
      <c r="G1081" s="36">
        <v>15</v>
      </c>
      <c r="H1081" s="36" t="s">
        <v>42</v>
      </c>
      <c r="I1081" s="37"/>
      <c r="J1081" s="36" t="s">
        <v>3184</v>
      </c>
      <c r="K1081" s="36" t="s">
        <v>241</v>
      </c>
      <c r="L1081" s="36" t="s">
        <v>21</v>
      </c>
    </row>
    <row r="1082" spans="1:12" x14ac:dyDescent="0.35">
      <c r="A1082" s="38" t="s">
        <v>3185</v>
      </c>
      <c r="B1082" s="39" t="s">
        <v>13</v>
      </c>
      <c r="C1082" s="40" t="s">
        <v>3186</v>
      </c>
      <c r="D1082" s="40" t="s">
        <v>34</v>
      </c>
      <c r="E1082" s="40" t="s">
        <v>51</v>
      </c>
      <c r="F1082" s="41" t="s">
        <v>113</v>
      </c>
      <c r="G1082" s="39">
        <v>10</v>
      </c>
      <c r="H1082" s="39" t="s">
        <v>18</v>
      </c>
      <c r="I1082" s="41" t="s">
        <v>23</v>
      </c>
      <c r="J1082" s="40" t="s">
        <v>3187</v>
      </c>
      <c r="K1082" s="40" t="s">
        <v>44</v>
      </c>
      <c r="L1082" s="42" t="s">
        <v>26</v>
      </c>
    </row>
    <row r="1083" spans="1:12" x14ac:dyDescent="0.35">
      <c r="A1083" s="9" t="s">
        <v>3188</v>
      </c>
      <c r="B1083" s="10" t="s">
        <v>13</v>
      </c>
      <c r="C1083" s="11" t="s">
        <v>3189</v>
      </c>
      <c r="D1083" s="11" t="s">
        <v>34</v>
      </c>
      <c r="E1083" s="11" t="s">
        <v>793</v>
      </c>
      <c r="F1083" s="12" t="s">
        <v>17</v>
      </c>
      <c r="G1083" s="10">
        <v>38</v>
      </c>
      <c r="H1083" s="10" t="s">
        <v>18</v>
      </c>
      <c r="I1083" s="12" t="s">
        <v>17</v>
      </c>
      <c r="J1083" s="11" t="s">
        <v>3190</v>
      </c>
      <c r="K1083" s="11" t="s">
        <v>25</v>
      </c>
      <c r="L1083" s="13" t="s">
        <v>21</v>
      </c>
    </row>
    <row r="1084" spans="1:12" x14ac:dyDescent="0.35">
      <c r="A1084" s="14" t="s">
        <v>3191</v>
      </c>
      <c r="B1084" s="15" t="s">
        <v>13</v>
      </c>
      <c r="C1084" s="16" t="s">
        <v>3192</v>
      </c>
      <c r="D1084" s="16" t="s">
        <v>78</v>
      </c>
      <c r="E1084" s="16" t="s">
        <v>97</v>
      </c>
      <c r="F1084" s="17" t="s">
        <v>37</v>
      </c>
      <c r="G1084" s="15">
        <v>2</v>
      </c>
      <c r="H1084" s="15" t="s">
        <v>18</v>
      </c>
      <c r="I1084" s="17" t="s">
        <v>37</v>
      </c>
      <c r="J1084" s="16" t="s">
        <v>3193</v>
      </c>
      <c r="K1084" s="16" t="s">
        <v>39</v>
      </c>
      <c r="L1084" s="18" t="s">
        <v>21</v>
      </c>
    </row>
    <row r="1085" spans="1:12" x14ac:dyDescent="0.35">
      <c r="A1085" s="9" t="s">
        <v>3194</v>
      </c>
      <c r="B1085" s="10" t="s">
        <v>13</v>
      </c>
      <c r="C1085" s="11" t="s">
        <v>3195</v>
      </c>
      <c r="D1085" s="11" t="s">
        <v>34</v>
      </c>
      <c r="E1085" s="11" t="s">
        <v>47</v>
      </c>
      <c r="F1085" s="12" t="s">
        <v>113</v>
      </c>
      <c r="G1085" s="10">
        <v>9</v>
      </c>
      <c r="H1085" s="10" t="s">
        <v>18</v>
      </c>
      <c r="I1085" s="12" t="s">
        <v>23</v>
      </c>
      <c r="J1085" s="11" t="s">
        <v>3196</v>
      </c>
      <c r="K1085" s="11" t="s">
        <v>44</v>
      </c>
      <c r="L1085" s="13" t="s">
        <v>21</v>
      </c>
    </row>
    <row r="1086" spans="1:12" x14ac:dyDescent="0.35">
      <c r="A1086" s="14" t="s">
        <v>3197</v>
      </c>
      <c r="B1086" s="15" t="s">
        <v>13</v>
      </c>
      <c r="C1086" s="16" t="s">
        <v>3198</v>
      </c>
      <c r="D1086" s="16" t="s">
        <v>34</v>
      </c>
      <c r="E1086" s="16" t="s">
        <v>29</v>
      </c>
      <c r="F1086" s="17" t="s">
        <v>23</v>
      </c>
      <c r="G1086" s="15">
        <v>7</v>
      </c>
      <c r="H1086" s="15" t="s">
        <v>18</v>
      </c>
      <c r="I1086" s="17" t="s">
        <v>23</v>
      </c>
      <c r="J1086" s="16" t="s">
        <v>3199</v>
      </c>
      <c r="K1086" s="16" t="s">
        <v>25</v>
      </c>
      <c r="L1086" s="18" t="s">
        <v>26</v>
      </c>
    </row>
    <row r="1087" spans="1:12" x14ac:dyDescent="0.35">
      <c r="A1087" s="9" t="s">
        <v>3200</v>
      </c>
      <c r="B1087" s="10" t="s">
        <v>13</v>
      </c>
      <c r="C1087" s="11" t="s">
        <v>3201</v>
      </c>
      <c r="D1087" s="11" t="s">
        <v>34</v>
      </c>
      <c r="E1087" s="11" t="s">
        <v>149</v>
      </c>
      <c r="F1087" s="12" t="s">
        <v>17</v>
      </c>
      <c r="G1087" s="10">
        <v>19</v>
      </c>
      <c r="H1087" s="10" t="s">
        <v>18</v>
      </c>
      <c r="I1087" s="12" t="s">
        <v>70</v>
      </c>
      <c r="J1087" s="11" t="s">
        <v>3202</v>
      </c>
      <c r="K1087" s="11" t="s">
        <v>39</v>
      </c>
      <c r="L1087" s="13" t="s">
        <v>21</v>
      </c>
    </row>
    <row r="1088" spans="1:12" x14ac:dyDescent="0.35">
      <c r="A1088" s="14" t="s">
        <v>3203</v>
      </c>
      <c r="B1088" s="15" t="s">
        <v>13</v>
      </c>
      <c r="C1088" s="16" t="s">
        <v>3204</v>
      </c>
      <c r="D1088" s="16" t="s">
        <v>34</v>
      </c>
      <c r="E1088" s="16" t="s">
        <v>497</v>
      </c>
      <c r="F1088" s="17" t="s">
        <v>62</v>
      </c>
      <c r="G1088" s="15">
        <v>12</v>
      </c>
      <c r="H1088" s="15" t="s">
        <v>18</v>
      </c>
      <c r="I1088" s="17" t="s">
        <v>62</v>
      </c>
      <c r="J1088" s="16" t="s">
        <v>2306</v>
      </c>
      <c r="K1088" s="16" t="s">
        <v>130</v>
      </c>
      <c r="L1088" s="18" t="s">
        <v>21</v>
      </c>
    </row>
    <row r="1089" spans="1:12" ht="15" customHeight="1" x14ac:dyDescent="0.35">
      <c r="A1089" s="19" t="s">
        <v>3205</v>
      </c>
      <c r="B1089" s="20" t="s">
        <v>13</v>
      </c>
      <c r="C1089" s="21" t="s">
        <v>3206</v>
      </c>
      <c r="D1089" s="21" t="s">
        <v>34</v>
      </c>
      <c r="E1089" s="21" t="s">
        <v>51</v>
      </c>
      <c r="F1089" s="22" t="s">
        <v>52</v>
      </c>
      <c r="G1089" s="20">
        <v>12</v>
      </c>
      <c r="H1089" s="20" t="s">
        <v>18</v>
      </c>
      <c r="I1089" s="22" t="s">
        <v>70</v>
      </c>
      <c r="J1089" s="21" t="s">
        <v>3207</v>
      </c>
      <c r="K1089" s="21" t="s">
        <v>44</v>
      </c>
      <c r="L1089" s="23" t="s">
        <v>21</v>
      </c>
    </row>
    <row r="1090" spans="1:12" x14ac:dyDescent="0.35">
      <c r="A1090" s="24" t="s">
        <v>3208</v>
      </c>
      <c r="B1090" s="24" t="s">
        <v>13</v>
      </c>
      <c r="C1090" s="24" t="s">
        <v>3209</v>
      </c>
      <c r="D1090" s="24" t="s">
        <v>15</v>
      </c>
      <c r="E1090" s="24" t="s">
        <v>62</v>
      </c>
      <c r="F1090" s="25" t="s">
        <v>70</v>
      </c>
      <c r="G1090" s="24">
        <v>10</v>
      </c>
      <c r="H1090" s="24" t="s">
        <v>42</v>
      </c>
      <c r="I1090" s="25"/>
      <c r="J1090" s="24" t="s">
        <v>3210</v>
      </c>
      <c r="K1090" s="24" t="s">
        <v>25</v>
      </c>
      <c r="L1090" s="24" t="s">
        <v>21</v>
      </c>
    </row>
    <row r="1091" spans="1:12" x14ac:dyDescent="0.35">
      <c r="A1091" s="26" t="s">
        <v>3211</v>
      </c>
      <c r="B1091" s="27" t="s">
        <v>13</v>
      </c>
      <c r="C1091" s="28" t="s">
        <v>3212</v>
      </c>
      <c r="D1091" s="28" t="s">
        <v>34</v>
      </c>
      <c r="E1091" s="28" t="s">
        <v>97</v>
      </c>
      <c r="F1091" s="29" t="s">
        <v>17</v>
      </c>
      <c r="G1091" s="27">
        <v>7</v>
      </c>
      <c r="H1091" s="27" t="s">
        <v>18</v>
      </c>
      <c r="I1091" s="29" t="s">
        <v>17</v>
      </c>
      <c r="J1091" s="28" t="s">
        <v>3213</v>
      </c>
      <c r="K1091" s="28" t="s">
        <v>44</v>
      </c>
      <c r="L1091" s="30" t="s">
        <v>21</v>
      </c>
    </row>
    <row r="1092" spans="1:12" x14ac:dyDescent="0.35">
      <c r="A1092" s="14" t="s">
        <v>3214</v>
      </c>
      <c r="B1092" s="15" t="s">
        <v>13</v>
      </c>
      <c r="C1092" s="16" t="s">
        <v>3215</v>
      </c>
      <c r="D1092" s="16" t="s">
        <v>34</v>
      </c>
      <c r="E1092" s="16" t="s">
        <v>118</v>
      </c>
      <c r="F1092" s="17" t="s">
        <v>30</v>
      </c>
      <c r="G1092" s="15">
        <v>6</v>
      </c>
      <c r="H1092" s="15" t="s">
        <v>18</v>
      </c>
      <c r="I1092" s="17" t="s">
        <v>70</v>
      </c>
      <c r="J1092" s="16" t="s">
        <v>3216</v>
      </c>
      <c r="K1092" s="16" t="s">
        <v>44</v>
      </c>
      <c r="L1092" s="18" t="s">
        <v>21</v>
      </c>
    </row>
    <row r="1093" spans="1:12" x14ac:dyDescent="0.35">
      <c r="A1093" s="9" t="s">
        <v>3217</v>
      </c>
      <c r="B1093" s="10" t="s">
        <v>13</v>
      </c>
      <c r="C1093" s="11" t="s">
        <v>3218</v>
      </c>
      <c r="D1093" s="11" t="s">
        <v>34</v>
      </c>
      <c r="E1093" s="11" t="s">
        <v>104</v>
      </c>
      <c r="F1093" s="12" t="s">
        <v>62</v>
      </c>
      <c r="G1093" s="10">
        <v>2</v>
      </c>
      <c r="H1093" s="10" t="s">
        <v>18</v>
      </c>
      <c r="I1093" s="12" t="s">
        <v>97</v>
      </c>
      <c r="J1093" s="11" t="s">
        <v>3219</v>
      </c>
      <c r="K1093" s="11" t="s">
        <v>115</v>
      </c>
      <c r="L1093" s="13" t="s">
        <v>26</v>
      </c>
    </row>
    <row r="1094" spans="1:12" x14ac:dyDescent="0.35">
      <c r="A1094" s="14" t="s">
        <v>3220</v>
      </c>
      <c r="B1094" s="15" t="s">
        <v>13</v>
      </c>
      <c r="C1094" s="16" t="s">
        <v>3221</v>
      </c>
      <c r="D1094" s="16" t="s">
        <v>34</v>
      </c>
      <c r="E1094" s="16" t="s">
        <v>29</v>
      </c>
      <c r="F1094" s="17" t="s">
        <v>30</v>
      </c>
      <c r="G1094" s="15">
        <v>9</v>
      </c>
      <c r="H1094" s="15" t="s">
        <v>18</v>
      </c>
      <c r="I1094" s="17" t="s">
        <v>17</v>
      </c>
      <c r="J1094" s="16" t="s">
        <v>3222</v>
      </c>
      <c r="K1094" s="16" t="s">
        <v>115</v>
      </c>
      <c r="L1094" s="18" t="s">
        <v>21</v>
      </c>
    </row>
    <row r="1095" spans="1:12" x14ac:dyDescent="0.35">
      <c r="A1095" s="9" t="s">
        <v>3223</v>
      </c>
      <c r="B1095" s="10" t="s">
        <v>13</v>
      </c>
      <c r="C1095" s="11" t="s">
        <v>3224</v>
      </c>
      <c r="D1095" s="11" t="s">
        <v>34</v>
      </c>
      <c r="E1095" s="11" t="s">
        <v>51</v>
      </c>
      <c r="F1095" s="12" t="s">
        <v>17</v>
      </c>
      <c r="G1095" s="10">
        <v>14</v>
      </c>
      <c r="H1095" s="10" t="s">
        <v>18</v>
      </c>
      <c r="I1095" s="12" t="s">
        <v>17</v>
      </c>
      <c r="J1095" s="11" t="s">
        <v>3225</v>
      </c>
      <c r="K1095" s="11" t="s">
        <v>130</v>
      </c>
      <c r="L1095" s="13" t="s">
        <v>21</v>
      </c>
    </row>
    <row r="1096" spans="1:12" x14ac:dyDescent="0.35">
      <c r="A1096" s="14" t="s">
        <v>3226</v>
      </c>
      <c r="B1096" s="15" t="s">
        <v>13</v>
      </c>
      <c r="C1096" s="16" t="s">
        <v>3227</v>
      </c>
      <c r="D1096" s="16" t="s">
        <v>34</v>
      </c>
      <c r="E1096" s="16" t="s">
        <v>36</v>
      </c>
      <c r="F1096" s="17" t="s">
        <v>30</v>
      </c>
      <c r="G1096" s="15">
        <v>5</v>
      </c>
      <c r="H1096" s="15" t="s">
        <v>18</v>
      </c>
      <c r="I1096" s="17" t="s">
        <v>17</v>
      </c>
      <c r="J1096" s="16" t="s">
        <v>438</v>
      </c>
      <c r="K1096" s="16" t="s">
        <v>25</v>
      </c>
      <c r="L1096" s="18" t="s">
        <v>26</v>
      </c>
    </row>
    <row r="1097" spans="1:12" x14ac:dyDescent="0.35">
      <c r="A1097" s="9" t="s">
        <v>3228</v>
      </c>
      <c r="B1097" s="10" t="s">
        <v>13</v>
      </c>
      <c r="C1097" s="11" t="s">
        <v>3229</v>
      </c>
      <c r="D1097" s="11" t="s">
        <v>34</v>
      </c>
      <c r="E1097" s="11" t="s">
        <v>29</v>
      </c>
      <c r="F1097" s="12" t="s">
        <v>113</v>
      </c>
      <c r="G1097" s="10">
        <v>6</v>
      </c>
      <c r="H1097" s="10" t="s">
        <v>18</v>
      </c>
      <c r="I1097" s="12" t="s">
        <v>23</v>
      </c>
      <c r="J1097" s="11" t="s">
        <v>3230</v>
      </c>
      <c r="K1097" s="11" t="s">
        <v>115</v>
      </c>
      <c r="L1097" s="13" t="s">
        <v>21</v>
      </c>
    </row>
    <row r="1098" spans="1:12" ht="15" customHeight="1" x14ac:dyDescent="0.35">
      <c r="A1098" s="31" t="s">
        <v>3231</v>
      </c>
      <c r="B1098" s="32" t="s">
        <v>13</v>
      </c>
      <c r="C1098" s="33" t="s">
        <v>3232</v>
      </c>
      <c r="D1098" s="33" t="s">
        <v>15</v>
      </c>
      <c r="E1098" s="33" t="s">
        <v>29</v>
      </c>
      <c r="F1098" s="34" t="s">
        <v>52</v>
      </c>
      <c r="G1098" s="32">
        <v>8</v>
      </c>
      <c r="H1098" s="32" t="s">
        <v>18</v>
      </c>
      <c r="I1098" s="34" t="s">
        <v>52</v>
      </c>
      <c r="J1098" s="33" t="s">
        <v>3233</v>
      </c>
      <c r="K1098" s="33" t="s">
        <v>25</v>
      </c>
      <c r="L1098" s="35" t="s">
        <v>21</v>
      </c>
    </row>
    <row r="1099" spans="1:12" x14ac:dyDescent="0.35">
      <c r="A1099" s="36" t="s">
        <v>3234</v>
      </c>
      <c r="B1099" s="36" t="s">
        <v>85</v>
      </c>
      <c r="C1099" s="36" t="s">
        <v>3235</v>
      </c>
      <c r="D1099" s="36" t="s">
        <v>34</v>
      </c>
      <c r="E1099" s="36" t="s">
        <v>244</v>
      </c>
      <c r="F1099" s="37" t="s">
        <v>118</v>
      </c>
      <c r="G1099" s="36">
        <v>17</v>
      </c>
      <c r="H1099" s="36" t="s">
        <v>42</v>
      </c>
      <c r="I1099" s="37"/>
      <c r="J1099" s="36" t="s">
        <v>3236</v>
      </c>
      <c r="K1099" s="36" t="s">
        <v>241</v>
      </c>
      <c r="L1099" s="36" t="s">
        <v>21</v>
      </c>
    </row>
    <row r="1100" spans="1:12" x14ac:dyDescent="0.35">
      <c r="A1100" s="38" t="s">
        <v>3237</v>
      </c>
      <c r="B1100" s="39" t="s">
        <v>13</v>
      </c>
      <c r="C1100" s="40" t="s">
        <v>3238</v>
      </c>
      <c r="D1100" s="40" t="s">
        <v>34</v>
      </c>
      <c r="E1100" s="40" t="s">
        <v>133</v>
      </c>
      <c r="F1100" s="41" t="s">
        <v>62</v>
      </c>
      <c r="G1100" s="39">
        <v>3</v>
      </c>
      <c r="H1100" s="39" t="s">
        <v>18</v>
      </c>
      <c r="I1100" s="41" t="s">
        <v>62</v>
      </c>
      <c r="J1100" s="40" t="s">
        <v>2664</v>
      </c>
      <c r="K1100" s="40" t="s">
        <v>130</v>
      </c>
      <c r="L1100" s="42" t="s">
        <v>21</v>
      </c>
    </row>
    <row r="1101" spans="1:12" x14ac:dyDescent="0.35">
      <c r="A1101" s="9" t="s">
        <v>3239</v>
      </c>
      <c r="B1101" s="10" t="s">
        <v>13</v>
      </c>
      <c r="C1101" s="11" t="s">
        <v>3240</v>
      </c>
      <c r="D1101" s="11" t="s">
        <v>34</v>
      </c>
      <c r="E1101" s="11" t="s">
        <v>23</v>
      </c>
      <c r="F1101" s="12" t="s">
        <v>30</v>
      </c>
      <c r="G1101" s="10">
        <v>1</v>
      </c>
      <c r="H1101" s="10" t="s">
        <v>18</v>
      </c>
      <c r="I1101" s="12" t="s">
        <v>30</v>
      </c>
      <c r="J1101" s="11" t="s">
        <v>881</v>
      </c>
      <c r="K1101" s="11" t="s">
        <v>130</v>
      </c>
      <c r="L1101" s="13" t="s">
        <v>21</v>
      </c>
    </row>
    <row r="1102" spans="1:12" x14ac:dyDescent="0.35">
      <c r="A1102" s="14" t="s">
        <v>3241</v>
      </c>
      <c r="B1102" s="15" t="s">
        <v>13</v>
      </c>
      <c r="C1102" s="16" t="s">
        <v>3242</v>
      </c>
      <c r="D1102" s="16" t="s">
        <v>34</v>
      </c>
      <c r="E1102" s="16" t="s">
        <v>97</v>
      </c>
      <c r="F1102" s="17" t="s">
        <v>23</v>
      </c>
      <c r="G1102" s="15">
        <v>5</v>
      </c>
      <c r="H1102" s="15" t="s">
        <v>18</v>
      </c>
      <c r="I1102" s="17" t="s">
        <v>52</v>
      </c>
      <c r="J1102" s="16" t="s">
        <v>3243</v>
      </c>
      <c r="K1102" s="16" t="s">
        <v>44</v>
      </c>
      <c r="L1102" s="18" t="s">
        <v>21</v>
      </c>
    </row>
    <row r="1103" spans="1:12" x14ac:dyDescent="0.35">
      <c r="A1103" s="9" t="s">
        <v>3244</v>
      </c>
      <c r="B1103" s="10" t="s">
        <v>13</v>
      </c>
      <c r="C1103" s="11" t="s">
        <v>3245</v>
      </c>
      <c r="D1103" s="11" t="s">
        <v>34</v>
      </c>
      <c r="E1103" s="11" t="s">
        <v>457</v>
      </c>
      <c r="F1103" s="12" t="s">
        <v>37</v>
      </c>
      <c r="G1103" s="10">
        <v>17</v>
      </c>
      <c r="H1103" s="10" t="s">
        <v>18</v>
      </c>
      <c r="I1103" s="12" t="s">
        <v>52</v>
      </c>
      <c r="J1103" s="11" t="s">
        <v>3246</v>
      </c>
      <c r="K1103" s="11" t="s">
        <v>25</v>
      </c>
      <c r="L1103" s="13" t="s">
        <v>21</v>
      </c>
    </row>
    <row r="1104" spans="1:12" x14ac:dyDescent="0.35">
      <c r="A1104" s="14" t="s">
        <v>3247</v>
      </c>
      <c r="B1104" s="15" t="s">
        <v>13</v>
      </c>
      <c r="C1104" s="16" t="s">
        <v>3248</v>
      </c>
      <c r="D1104" s="16" t="s">
        <v>90</v>
      </c>
      <c r="E1104" s="16" t="s">
        <v>497</v>
      </c>
      <c r="F1104" s="17" t="s">
        <v>23</v>
      </c>
      <c r="G1104" s="15">
        <v>18</v>
      </c>
      <c r="H1104" s="15" t="s">
        <v>18</v>
      </c>
      <c r="I1104" s="17" t="s">
        <v>52</v>
      </c>
      <c r="J1104" s="16" t="s">
        <v>3249</v>
      </c>
      <c r="K1104" s="16" t="s">
        <v>25</v>
      </c>
      <c r="L1104" s="18" t="s">
        <v>21</v>
      </c>
    </row>
    <row r="1105" spans="1:12" x14ac:dyDescent="0.35">
      <c r="A1105" s="9" t="s">
        <v>3250</v>
      </c>
      <c r="B1105" s="10" t="s">
        <v>13</v>
      </c>
      <c r="C1105" s="11" t="s">
        <v>3251</v>
      </c>
      <c r="D1105" s="11" t="s">
        <v>34</v>
      </c>
      <c r="E1105" s="11" t="s">
        <v>62</v>
      </c>
      <c r="F1105" s="12" t="s">
        <v>23</v>
      </c>
      <c r="G1105" s="10">
        <v>6</v>
      </c>
      <c r="H1105" s="10" t="s">
        <v>18</v>
      </c>
      <c r="I1105" s="12" t="s">
        <v>23</v>
      </c>
      <c r="J1105" s="11" t="s">
        <v>3252</v>
      </c>
      <c r="K1105" s="11" t="s">
        <v>44</v>
      </c>
      <c r="L1105" s="13" t="s">
        <v>21</v>
      </c>
    </row>
    <row r="1106" spans="1:12" x14ac:dyDescent="0.35">
      <c r="A1106" s="14" t="s">
        <v>3253</v>
      </c>
      <c r="B1106" s="15" t="s">
        <v>13</v>
      </c>
      <c r="C1106" s="16" t="s">
        <v>3254</v>
      </c>
      <c r="D1106" s="16" t="s">
        <v>34</v>
      </c>
      <c r="E1106" s="16" t="s">
        <v>82</v>
      </c>
      <c r="F1106" s="17" t="s">
        <v>47</v>
      </c>
      <c r="G1106" s="15">
        <v>3</v>
      </c>
      <c r="H1106" s="15" t="s">
        <v>18</v>
      </c>
      <c r="I1106" s="17" t="s">
        <v>47</v>
      </c>
      <c r="J1106" s="16" t="s">
        <v>2126</v>
      </c>
      <c r="K1106" s="16" t="s">
        <v>130</v>
      </c>
      <c r="L1106" s="18" t="s">
        <v>21</v>
      </c>
    </row>
    <row r="1107" spans="1:12" x14ac:dyDescent="0.35">
      <c r="A1107" s="9" t="s">
        <v>3255</v>
      </c>
      <c r="B1107" s="10" t="s">
        <v>13</v>
      </c>
      <c r="C1107" s="11" t="s">
        <v>3256</v>
      </c>
      <c r="D1107" s="11" t="s">
        <v>90</v>
      </c>
      <c r="E1107" s="11" t="s">
        <v>178</v>
      </c>
      <c r="F1107" s="12" t="s">
        <v>104</v>
      </c>
      <c r="G1107" s="10">
        <v>6</v>
      </c>
      <c r="H1107" s="10" t="s">
        <v>18</v>
      </c>
      <c r="I1107" s="12" t="s">
        <v>104</v>
      </c>
      <c r="J1107" s="11" t="s">
        <v>3257</v>
      </c>
      <c r="K1107" s="11" t="s">
        <v>195</v>
      </c>
      <c r="L1107" s="13" t="s">
        <v>21</v>
      </c>
    </row>
    <row r="1108" spans="1:12" x14ac:dyDescent="0.35">
      <c r="A1108" s="14" t="s">
        <v>3258</v>
      </c>
      <c r="B1108" s="15" t="s">
        <v>13</v>
      </c>
      <c r="C1108" s="16" t="s">
        <v>3259</v>
      </c>
      <c r="D1108" s="16" t="s">
        <v>34</v>
      </c>
      <c r="E1108" s="16" t="s">
        <v>97</v>
      </c>
      <c r="F1108" s="17" t="s">
        <v>17</v>
      </c>
      <c r="G1108" s="15">
        <v>9</v>
      </c>
      <c r="H1108" s="15" t="s">
        <v>18</v>
      </c>
      <c r="I1108" s="17" t="s">
        <v>17</v>
      </c>
      <c r="J1108" s="16" t="s">
        <v>3260</v>
      </c>
      <c r="K1108" s="16" t="s">
        <v>115</v>
      </c>
      <c r="L1108" s="18" t="s">
        <v>21</v>
      </c>
    </row>
    <row r="1109" spans="1:12" x14ac:dyDescent="0.35">
      <c r="A1109" s="9" t="s">
        <v>3261</v>
      </c>
      <c r="B1109" s="10" t="s">
        <v>13</v>
      </c>
      <c r="C1109" s="11" t="s">
        <v>3262</v>
      </c>
      <c r="D1109" s="11" t="s">
        <v>15</v>
      </c>
      <c r="E1109" s="11" t="s">
        <v>36</v>
      </c>
      <c r="F1109" s="12" t="s">
        <v>17</v>
      </c>
      <c r="G1109" s="10">
        <v>6</v>
      </c>
      <c r="H1109" s="10" t="s">
        <v>18</v>
      </c>
      <c r="I1109" s="12" t="s">
        <v>17</v>
      </c>
      <c r="J1109" s="11" t="s">
        <v>3263</v>
      </c>
      <c r="K1109" s="11" t="s">
        <v>25</v>
      </c>
      <c r="L1109" s="13" t="s">
        <v>21</v>
      </c>
    </row>
    <row r="1110" spans="1:12" ht="15" customHeight="1" x14ac:dyDescent="0.35">
      <c r="A1110" s="31" t="s">
        <v>3264</v>
      </c>
      <c r="B1110" s="32" t="s">
        <v>13</v>
      </c>
      <c r="C1110" s="33" t="s">
        <v>3265</v>
      </c>
      <c r="D1110" s="33" t="s">
        <v>34</v>
      </c>
      <c r="E1110" s="33" t="s">
        <v>133</v>
      </c>
      <c r="F1110" s="34" t="s">
        <v>36</v>
      </c>
      <c r="G1110" s="32">
        <v>6</v>
      </c>
      <c r="H1110" s="32" t="s">
        <v>18</v>
      </c>
      <c r="I1110" s="34" t="s">
        <v>36</v>
      </c>
      <c r="J1110" s="33" t="s">
        <v>1441</v>
      </c>
      <c r="K1110" s="33" t="s">
        <v>130</v>
      </c>
      <c r="L1110" s="35" t="s">
        <v>26</v>
      </c>
    </row>
    <row r="1111" spans="1:12" x14ac:dyDescent="0.35">
      <c r="A1111" s="36" t="s">
        <v>3266</v>
      </c>
      <c r="B1111" s="36" t="s">
        <v>13</v>
      </c>
      <c r="C1111" s="36" t="s">
        <v>3267</v>
      </c>
      <c r="D1111" s="36" t="s">
        <v>34</v>
      </c>
      <c r="E1111" s="36" t="s">
        <v>16</v>
      </c>
      <c r="F1111" s="37" t="s">
        <v>29</v>
      </c>
      <c r="G1111" s="36">
        <v>26</v>
      </c>
      <c r="H1111" s="36" t="s">
        <v>109</v>
      </c>
      <c r="I1111" s="37"/>
      <c r="J1111" s="36" t="s">
        <v>3268</v>
      </c>
      <c r="K1111" s="36" t="s">
        <v>20</v>
      </c>
      <c r="L1111" s="36" t="s">
        <v>21</v>
      </c>
    </row>
    <row r="1112" spans="1:12" x14ac:dyDescent="0.35">
      <c r="A1112" s="24" t="s">
        <v>3269</v>
      </c>
      <c r="B1112" s="24" t="s">
        <v>13</v>
      </c>
      <c r="C1112" s="24" t="s">
        <v>3270</v>
      </c>
      <c r="D1112" s="24" t="s">
        <v>34</v>
      </c>
      <c r="E1112" s="24" t="s">
        <v>37</v>
      </c>
      <c r="F1112" s="25" t="s">
        <v>70</v>
      </c>
      <c r="G1112" s="24">
        <v>6</v>
      </c>
      <c r="H1112" s="24" t="s">
        <v>42</v>
      </c>
      <c r="I1112" s="25"/>
      <c r="J1112" s="24" t="s">
        <v>3271</v>
      </c>
      <c r="K1112" s="24" t="s">
        <v>44</v>
      </c>
      <c r="L1112" s="24" t="s">
        <v>21</v>
      </c>
    </row>
    <row r="1113" spans="1:12" x14ac:dyDescent="0.35">
      <c r="A1113" s="26" t="s">
        <v>3272</v>
      </c>
      <c r="B1113" s="27" t="s">
        <v>13</v>
      </c>
      <c r="C1113" s="28" t="s">
        <v>3273</v>
      </c>
      <c r="D1113" s="28" t="s">
        <v>34</v>
      </c>
      <c r="E1113" s="28" t="s">
        <v>82</v>
      </c>
      <c r="F1113" s="29" t="s">
        <v>118</v>
      </c>
      <c r="G1113" s="27">
        <v>9</v>
      </c>
      <c r="H1113" s="27" t="s">
        <v>18</v>
      </c>
      <c r="I1113" s="29" t="s">
        <v>36</v>
      </c>
      <c r="J1113" s="28" t="s">
        <v>3274</v>
      </c>
      <c r="K1113" s="28" t="s">
        <v>130</v>
      </c>
      <c r="L1113" s="30" t="s">
        <v>21</v>
      </c>
    </row>
    <row r="1114" spans="1:12" ht="15" customHeight="1" x14ac:dyDescent="0.35">
      <c r="A1114" s="31" t="s">
        <v>3275</v>
      </c>
      <c r="B1114" s="32" t="s">
        <v>13</v>
      </c>
      <c r="C1114" s="33" t="s">
        <v>3276</v>
      </c>
      <c r="D1114" s="33" t="s">
        <v>34</v>
      </c>
      <c r="E1114" s="33" t="s">
        <v>97</v>
      </c>
      <c r="F1114" s="34" t="s">
        <v>23</v>
      </c>
      <c r="G1114" s="32">
        <v>4</v>
      </c>
      <c r="H1114" s="32" t="s">
        <v>18</v>
      </c>
      <c r="I1114" s="34" t="s">
        <v>23</v>
      </c>
      <c r="J1114" s="33" t="s">
        <v>3277</v>
      </c>
      <c r="K1114" s="33" t="s">
        <v>115</v>
      </c>
      <c r="L1114" s="35" t="s">
        <v>21</v>
      </c>
    </row>
    <row r="1115" spans="1:12" x14ac:dyDescent="0.35">
      <c r="A1115" s="36" t="s">
        <v>3278</v>
      </c>
      <c r="B1115" s="36" t="s">
        <v>85</v>
      </c>
      <c r="C1115" s="36" t="s">
        <v>3279</v>
      </c>
      <c r="D1115" s="36" t="s">
        <v>15</v>
      </c>
      <c r="E1115" s="36" t="s">
        <v>82</v>
      </c>
      <c r="F1115" s="37" t="s">
        <v>36</v>
      </c>
      <c r="G1115" s="36">
        <v>10</v>
      </c>
      <c r="H1115" s="36" t="s">
        <v>42</v>
      </c>
      <c r="I1115" s="37"/>
      <c r="J1115" s="36" t="s">
        <v>3280</v>
      </c>
      <c r="K1115" s="36" t="s">
        <v>25</v>
      </c>
      <c r="L1115" s="36" t="s">
        <v>21</v>
      </c>
    </row>
    <row r="1116" spans="1:12" x14ac:dyDescent="0.35">
      <c r="A1116" s="38" t="s">
        <v>3281</v>
      </c>
      <c r="B1116" s="39" t="s">
        <v>13</v>
      </c>
      <c r="C1116" s="40" t="s">
        <v>3282</v>
      </c>
      <c r="D1116" s="40" t="s">
        <v>34</v>
      </c>
      <c r="E1116" s="40" t="s">
        <v>66</v>
      </c>
      <c r="F1116" s="41" t="s">
        <v>37</v>
      </c>
      <c r="G1116" s="39">
        <v>10</v>
      </c>
      <c r="H1116" s="39" t="s">
        <v>18</v>
      </c>
      <c r="I1116" s="41" t="s">
        <v>52</v>
      </c>
      <c r="J1116" s="40" t="s">
        <v>3283</v>
      </c>
      <c r="K1116" s="40" t="s">
        <v>130</v>
      </c>
      <c r="L1116" s="42" t="s">
        <v>21</v>
      </c>
    </row>
    <row r="1117" spans="1:12" ht="15" customHeight="1" x14ac:dyDescent="0.35">
      <c r="A1117" s="19" t="s">
        <v>3284</v>
      </c>
      <c r="B1117" s="20" t="s">
        <v>13</v>
      </c>
      <c r="C1117" s="21" t="s">
        <v>3285</v>
      </c>
      <c r="D1117" s="21" t="s">
        <v>90</v>
      </c>
      <c r="E1117" s="21" t="s">
        <v>275</v>
      </c>
      <c r="F1117" s="22" t="s">
        <v>37</v>
      </c>
      <c r="G1117" s="20">
        <v>20</v>
      </c>
      <c r="H1117" s="20" t="s">
        <v>18</v>
      </c>
      <c r="I1117" s="22" t="s">
        <v>23</v>
      </c>
      <c r="J1117" s="21" t="s">
        <v>3286</v>
      </c>
      <c r="K1117" s="21" t="s">
        <v>25</v>
      </c>
      <c r="L1117" s="23" t="s">
        <v>21</v>
      </c>
    </row>
    <row r="1118" spans="1:12" x14ac:dyDescent="0.35">
      <c r="A1118" s="24" t="s">
        <v>3287</v>
      </c>
      <c r="B1118" s="24" t="s">
        <v>13</v>
      </c>
      <c r="C1118" s="24" t="s">
        <v>3288</v>
      </c>
      <c r="D1118" s="24" t="s">
        <v>34</v>
      </c>
      <c r="E1118" s="24" t="s">
        <v>29</v>
      </c>
      <c r="F1118" s="25" t="s">
        <v>118</v>
      </c>
      <c r="G1118" s="24">
        <v>3</v>
      </c>
      <c r="H1118" s="24" t="s">
        <v>109</v>
      </c>
      <c r="I1118" s="25"/>
      <c r="J1118" s="24" t="s">
        <v>3289</v>
      </c>
      <c r="K1118" s="24" t="s">
        <v>115</v>
      </c>
      <c r="L1118" s="24" t="s">
        <v>21</v>
      </c>
    </row>
    <row r="1119" spans="1:12" x14ac:dyDescent="0.35">
      <c r="A1119" s="36" t="s">
        <v>3290</v>
      </c>
      <c r="B1119" s="36" t="s">
        <v>13</v>
      </c>
      <c r="C1119" s="36" t="s">
        <v>3291</v>
      </c>
      <c r="D1119" s="36" t="s">
        <v>34</v>
      </c>
      <c r="E1119" s="36" t="s">
        <v>113</v>
      </c>
      <c r="F1119" s="37" t="s">
        <v>70</v>
      </c>
      <c r="G1119" s="36">
        <v>5</v>
      </c>
      <c r="H1119" s="36" t="s">
        <v>42</v>
      </c>
      <c r="I1119" s="37"/>
      <c r="J1119" s="36" t="s">
        <v>3292</v>
      </c>
      <c r="K1119" s="36" t="s">
        <v>44</v>
      </c>
      <c r="L1119" s="36" t="s">
        <v>26</v>
      </c>
    </row>
    <row r="1120" spans="1:12" x14ac:dyDescent="0.35">
      <c r="A1120" s="38" t="s">
        <v>3293</v>
      </c>
      <c r="B1120" s="39" t="s">
        <v>13</v>
      </c>
      <c r="C1120" s="40" t="s">
        <v>3294</v>
      </c>
      <c r="D1120" s="40" t="s">
        <v>34</v>
      </c>
      <c r="E1120" s="40" t="s">
        <v>66</v>
      </c>
      <c r="F1120" s="41" t="s">
        <v>62</v>
      </c>
      <c r="G1120" s="39">
        <v>6</v>
      </c>
      <c r="H1120" s="39" t="s">
        <v>18</v>
      </c>
      <c r="I1120" s="41" t="s">
        <v>62</v>
      </c>
      <c r="J1120" s="40" t="s">
        <v>3295</v>
      </c>
      <c r="K1120" s="40" t="s">
        <v>241</v>
      </c>
      <c r="L1120" s="42" t="s">
        <v>21</v>
      </c>
    </row>
    <row r="1121" spans="1:12" x14ac:dyDescent="0.35">
      <c r="A1121" s="9" t="s">
        <v>3296</v>
      </c>
      <c r="B1121" s="10" t="s">
        <v>13</v>
      </c>
      <c r="C1121" s="11" t="s">
        <v>3297</v>
      </c>
      <c r="D1121" s="11" t="s">
        <v>34</v>
      </c>
      <c r="E1121" s="11" t="s">
        <v>149</v>
      </c>
      <c r="F1121" s="12" t="s">
        <v>51</v>
      </c>
      <c r="G1121" s="10">
        <v>4</v>
      </c>
      <c r="H1121" s="10" t="s">
        <v>18</v>
      </c>
      <c r="I1121" s="12" t="s">
        <v>51</v>
      </c>
      <c r="J1121" s="11" t="s">
        <v>3298</v>
      </c>
      <c r="K1121" s="11" t="s">
        <v>130</v>
      </c>
      <c r="L1121" s="13" t="s">
        <v>21</v>
      </c>
    </row>
    <row r="1122" spans="1:12" x14ac:dyDescent="0.35">
      <c r="A1122" s="14" t="s">
        <v>3299</v>
      </c>
      <c r="B1122" s="15" t="s">
        <v>85</v>
      </c>
      <c r="C1122" s="16" t="s">
        <v>3300</v>
      </c>
      <c r="D1122" s="16" t="s">
        <v>90</v>
      </c>
      <c r="E1122" s="16" t="s">
        <v>133</v>
      </c>
      <c r="F1122" s="17" t="s">
        <v>113</v>
      </c>
      <c r="G1122" s="15">
        <v>8</v>
      </c>
      <c r="H1122" s="15" t="s">
        <v>18</v>
      </c>
      <c r="I1122" s="17" t="s">
        <v>23</v>
      </c>
      <c r="J1122" s="16" t="s">
        <v>3301</v>
      </c>
      <c r="K1122" s="16" t="s">
        <v>25</v>
      </c>
      <c r="L1122" s="18" t="s">
        <v>26</v>
      </c>
    </row>
    <row r="1123" spans="1:12" x14ac:dyDescent="0.35">
      <c r="A1123" s="9" t="s">
        <v>3302</v>
      </c>
      <c r="B1123" s="10" t="s">
        <v>13</v>
      </c>
      <c r="C1123" s="11" t="s">
        <v>3303</v>
      </c>
      <c r="D1123" s="11" t="s">
        <v>34</v>
      </c>
      <c r="E1123" s="11" t="s">
        <v>47</v>
      </c>
      <c r="F1123" s="12" t="s">
        <v>62</v>
      </c>
      <c r="G1123" s="10">
        <v>4</v>
      </c>
      <c r="H1123" s="10" t="s">
        <v>18</v>
      </c>
      <c r="I1123" s="12" t="s">
        <v>62</v>
      </c>
      <c r="J1123" s="11" t="s">
        <v>3304</v>
      </c>
      <c r="K1123" s="11" t="s">
        <v>44</v>
      </c>
      <c r="L1123" s="13" t="s">
        <v>21</v>
      </c>
    </row>
    <row r="1124" spans="1:12" x14ac:dyDescent="0.35">
      <c r="A1124" s="14" t="s">
        <v>3305</v>
      </c>
      <c r="B1124" s="15" t="s">
        <v>13</v>
      </c>
      <c r="C1124" s="16" t="s">
        <v>3306</v>
      </c>
      <c r="D1124" s="16" t="s">
        <v>34</v>
      </c>
      <c r="E1124" s="16" t="s">
        <v>97</v>
      </c>
      <c r="F1124" s="17" t="s">
        <v>30</v>
      </c>
      <c r="G1124" s="15">
        <v>6</v>
      </c>
      <c r="H1124" s="15" t="s">
        <v>18</v>
      </c>
      <c r="I1124" s="17" t="s">
        <v>30</v>
      </c>
      <c r="J1124" s="16" t="s">
        <v>3307</v>
      </c>
      <c r="K1124" s="16" t="s">
        <v>44</v>
      </c>
      <c r="L1124" s="18" t="s">
        <v>21</v>
      </c>
    </row>
    <row r="1125" spans="1:12" x14ac:dyDescent="0.35">
      <c r="A1125" s="9" t="s">
        <v>3308</v>
      </c>
      <c r="B1125" s="10" t="s">
        <v>13</v>
      </c>
      <c r="C1125" s="11" t="s">
        <v>3309</v>
      </c>
      <c r="D1125" s="11" t="s">
        <v>90</v>
      </c>
      <c r="E1125" s="11" t="s">
        <v>118</v>
      </c>
      <c r="F1125" s="12" t="s">
        <v>52</v>
      </c>
      <c r="G1125" s="10">
        <v>5</v>
      </c>
      <c r="H1125" s="10" t="s">
        <v>18</v>
      </c>
      <c r="I1125" s="12" t="s">
        <v>30</v>
      </c>
      <c r="J1125" s="11" t="s">
        <v>3310</v>
      </c>
      <c r="K1125" s="11" t="s">
        <v>25</v>
      </c>
      <c r="L1125" s="13" t="s">
        <v>26</v>
      </c>
    </row>
    <row r="1126" spans="1:12" x14ac:dyDescent="0.35">
      <c r="A1126" s="14" t="s">
        <v>3311</v>
      </c>
      <c r="B1126" s="15" t="s">
        <v>13</v>
      </c>
      <c r="C1126" s="16" t="s">
        <v>3312</v>
      </c>
      <c r="D1126" s="16" t="s">
        <v>90</v>
      </c>
      <c r="E1126" s="16" t="s">
        <v>244</v>
      </c>
      <c r="F1126" s="17" t="s">
        <v>29</v>
      </c>
      <c r="G1126" s="15">
        <v>13</v>
      </c>
      <c r="H1126" s="15" t="s">
        <v>18</v>
      </c>
      <c r="I1126" s="17" t="s">
        <v>29</v>
      </c>
      <c r="J1126" s="16" t="s">
        <v>3313</v>
      </c>
      <c r="K1126" s="16" t="s">
        <v>25</v>
      </c>
      <c r="L1126" s="18" t="s">
        <v>21</v>
      </c>
    </row>
    <row r="1127" spans="1:12" x14ac:dyDescent="0.35">
      <c r="A1127" s="9" t="s">
        <v>3314</v>
      </c>
      <c r="B1127" s="10" t="s">
        <v>13</v>
      </c>
      <c r="C1127" s="11" t="s">
        <v>3315</v>
      </c>
      <c r="D1127" s="11" t="s">
        <v>34</v>
      </c>
      <c r="E1127" s="11" t="s">
        <v>29</v>
      </c>
      <c r="F1127" s="12" t="s">
        <v>17</v>
      </c>
      <c r="G1127" s="10">
        <v>10</v>
      </c>
      <c r="H1127" s="10" t="s">
        <v>18</v>
      </c>
      <c r="I1127" s="12" t="s">
        <v>70</v>
      </c>
      <c r="J1127" s="11" t="s">
        <v>3316</v>
      </c>
      <c r="K1127" s="11" t="s">
        <v>115</v>
      </c>
      <c r="L1127" s="13" t="s">
        <v>21</v>
      </c>
    </row>
    <row r="1128" spans="1:12" x14ac:dyDescent="0.35">
      <c r="A1128" s="14" t="s">
        <v>3317</v>
      </c>
      <c r="B1128" s="15" t="s">
        <v>13</v>
      </c>
      <c r="C1128" s="16" t="s">
        <v>3318</v>
      </c>
      <c r="D1128" s="16" t="s">
        <v>34</v>
      </c>
      <c r="E1128" s="16" t="s">
        <v>62</v>
      </c>
      <c r="F1128" s="17" t="s">
        <v>30</v>
      </c>
      <c r="G1128" s="15">
        <v>9</v>
      </c>
      <c r="H1128" s="15" t="s">
        <v>18</v>
      </c>
      <c r="I1128" s="17" t="s">
        <v>30</v>
      </c>
      <c r="J1128" s="16" t="s">
        <v>3319</v>
      </c>
      <c r="K1128" s="16" t="s">
        <v>115</v>
      </c>
      <c r="L1128" s="18" t="s">
        <v>26</v>
      </c>
    </row>
    <row r="1129" spans="1:12" x14ac:dyDescent="0.35">
      <c r="A1129" s="9" t="s">
        <v>3320</v>
      </c>
      <c r="B1129" s="10" t="s">
        <v>13</v>
      </c>
      <c r="C1129" s="11" t="s">
        <v>3321</v>
      </c>
      <c r="D1129" s="11" t="s">
        <v>34</v>
      </c>
      <c r="E1129" s="11" t="s">
        <v>1086</v>
      </c>
      <c r="F1129" s="12" t="s">
        <v>29</v>
      </c>
      <c r="G1129" s="10">
        <v>22</v>
      </c>
      <c r="H1129" s="10" t="s">
        <v>18</v>
      </c>
      <c r="I1129" s="12" t="s">
        <v>62</v>
      </c>
      <c r="J1129" s="11" t="s">
        <v>3322</v>
      </c>
      <c r="K1129" s="11" t="s">
        <v>3323</v>
      </c>
      <c r="L1129" s="13" t="s">
        <v>21</v>
      </c>
    </row>
    <row r="1130" spans="1:12" x14ac:dyDescent="0.35">
      <c r="A1130" s="14" t="s">
        <v>3324</v>
      </c>
      <c r="B1130" s="15" t="s">
        <v>13</v>
      </c>
      <c r="C1130" s="16" t="s">
        <v>3325</v>
      </c>
      <c r="D1130" s="16" t="s">
        <v>34</v>
      </c>
      <c r="E1130" s="16" t="s">
        <v>82</v>
      </c>
      <c r="F1130" s="17" t="s">
        <v>30</v>
      </c>
      <c r="G1130" s="15">
        <v>15</v>
      </c>
      <c r="H1130" s="15" t="s">
        <v>18</v>
      </c>
      <c r="I1130" s="17" t="s">
        <v>17</v>
      </c>
      <c r="J1130" s="16" t="s">
        <v>3326</v>
      </c>
      <c r="K1130" s="16" t="s">
        <v>130</v>
      </c>
      <c r="L1130" s="18" t="s">
        <v>21</v>
      </c>
    </row>
    <row r="1131" spans="1:12" x14ac:dyDescent="0.35">
      <c r="A1131" s="9" t="s">
        <v>3327</v>
      </c>
      <c r="B1131" s="10" t="s">
        <v>13</v>
      </c>
      <c r="C1131" s="11" t="s">
        <v>3328</v>
      </c>
      <c r="D1131" s="11" t="s">
        <v>34</v>
      </c>
      <c r="E1131" s="11" t="s">
        <v>104</v>
      </c>
      <c r="F1131" s="12" t="s">
        <v>52</v>
      </c>
      <c r="G1131" s="10">
        <v>9</v>
      </c>
      <c r="H1131" s="10" t="s">
        <v>18</v>
      </c>
      <c r="I1131" s="12" t="s">
        <v>52</v>
      </c>
      <c r="J1131" s="11" t="s">
        <v>3329</v>
      </c>
      <c r="K1131" s="11" t="s">
        <v>25</v>
      </c>
      <c r="L1131" s="13" t="s">
        <v>21</v>
      </c>
    </row>
    <row r="1132" spans="1:12" ht="15" customHeight="1" x14ac:dyDescent="0.35">
      <c r="A1132" s="31" t="s">
        <v>3330</v>
      </c>
      <c r="B1132" s="32" t="s">
        <v>13</v>
      </c>
      <c r="C1132" s="33" t="s">
        <v>3331</v>
      </c>
      <c r="D1132" s="33" t="s">
        <v>34</v>
      </c>
      <c r="E1132" s="33" t="s">
        <v>62</v>
      </c>
      <c r="F1132" s="34" t="s">
        <v>52</v>
      </c>
      <c r="G1132" s="32">
        <v>7</v>
      </c>
      <c r="H1132" s="32" t="s">
        <v>18</v>
      </c>
      <c r="I1132" s="34" t="s">
        <v>52</v>
      </c>
      <c r="J1132" s="33" t="s">
        <v>3003</v>
      </c>
      <c r="K1132" s="33" t="s">
        <v>25</v>
      </c>
      <c r="L1132" s="35" t="s">
        <v>21</v>
      </c>
    </row>
    <row r="1133" spans="1:12" x14ac:dyDescent="0.35">
      <c r="A1133" s="36" t="s">
        <v>3332</v>
      </c>
      <c r="B1133" s="36" t="s">
        <v>13</v>
      </c>
      <c r="C1133" s="36" t="s">
        <v>3333</v>
      </c>
      <c r="D1133" s="36" t="s">
        <v>34</v>
      </c>
      <c r="E1133" s="36" t="s">
        <v>82</v>
      </c>
      <c r="F1133" s="37" t="s">
        <v>62</v>
      </c>
      <c r="G1133" s="36">
        <v>7</v>
      </c>
      <c r="H1133" s="36" t="s">
        <v>109</v>
      </c>
      <c r="I1133" s="37"/>
      <c r="J1133" s="36" t="s">
        <v>3334</v>
      </c>
      <c r="K1133" s="36" t="s">
        <v>130</v>
      </c>
      <c r="L1133" s="36" t="s">
        <v>21</v>
      </c>
    </row>
    <row r="1134" spans="1:12" ht="15" customHeight="1" x14ac:dyDescent="0.35">
      <c r="A1134" s="48" t="s">
        <v>3335</v>
      </c>
      <c r="B1134" s="49" t="s">
        <v>13</v>
      </c>
      <c r="C1134" s="50" t="s">
        <v>3336</v>
      </c>
      <c r="D1134" s="50" t="s">
        <v>34</v>
      </c>
      <c r="E1134" s="50" t="s">
        <v>149</v>
      </c>
      <c r="F1134" s="51" t="s">
        <v>70</v>
      </c>
      <c r="G1134" s="49">
        <v>20</v>
      </c>
      <c r="H1134" s="49" t="s">
        <v>18</v>
      </c>
      <c r="I1134" s="51" t="s">
        <v>70</v>
      </c>
      <c r="J1134" s="50" t="s">
        <v>3337</v>
      </c>
      <c r="K1134" s="50" t="s">
        <v>130</v>
      </c>
      <c r="L1134" s="52" t="s">
        <v>21</v>
      </c>
    </row>
    <row r="1135" spans="1:12" x14ac:dyDescent="0.35">
      <c r="A1135" s="36" t="s">
        <v>3338</v>
      </c>
      <c r="B1135" s="36" t="s">
        <v>13</v>
      </c>
      <c r="C1135" s="36" t="s">
        <v>3339</v>
      </c>
      <c r="D1135" s="36" t="s">
        <v>34</v>
      </c>
      <c r="E1135" s="36" t="s">
        <v>497</v>
      </c>
      <c r="F1135" s="37" t="s">
        <v>47</v>
      </c>
      <c r="G1135" s="36">
        <v>7</v>
      </c>
      <c r="H1135" s="36" t="s">
        <v>109</v>
      </c>
      <c r="I1135" s="37"/>
      <c r="J1135" s="36" t="s">
        <v>3340</v>
      </c>
      <c r="K1135" s="36" t="s">
        <v>130</v>
      </c>
      <c r="L1135" s="36" t="s">
        <v>21</v>
      </c>
    </row>
    <row r="1136" spans="1:12" x14ac:dyDescent="0.35">
      <c r="A1136" s="38" t="s">
        <v>3341</v>
      </c>
      <c r="B1136" s="39" t="s">
        <v>13</v>
      </c>
      <c r="C1136" s="40" t="s">
        <v>3342</v>
      </c>
      <c r="D1136" s="40" t="s">
        <v>34</v>
      </c>
      <c r="E1136" s="40" t="s">
        <v>36</v>
      </c>
      <c r="F1136" s="41" t="s">
        <v>70</v>
      </c>
      <c r="G1136" s="39">
        <v>6</v>
      </c>
      <c r="H1136" s="39" t="s">
        <v>18</v>
      </c>
      <c r="I1136" s="41" t="s">
        <v>70</v>
      </c>
      <c r="J1136" s="40" t="s">
        <v>1187</v>
      </c>
      <c r="K1136" s="40" t="s">
        <v>115</v>
      </c>
      <c r="L1136" s="42" t="s">
        <v>21</v>
      </c>
    </row>
    <row r="1137" spans="1:12" x14ac:dyDescent="0.35">
      <c r="A1137" s="9" t="s">
        <v>3343</v>
      </c>
      <c r="B1137" s="10" t="s">
        <v>13</v>
      </c>
      <c r="C1137" s="11" t="s">
        <v>3344</v>
      </c>
      <c r="D1137" s="11" t="s">
        <v>34</v>
      </c>
      <c r="E1137" s="11" t="s">
        <v>497</v>
      </c>
      <c r="F1137" s="12" t="s">
        <v>29</v>
      </c>
      <c r="G1137" s="10">
        <v>9</v>
      </c>
      <c r="H1137" s="10" t="s">
        <v>18</v>
      </c>
      <c r="I1137" s="12" t="s">
        <v>29</v>
      </c>
      <c r="J1137" s="11" t="s">
        <v>3345</v>
      </c>
      <c r="K1137" s="11" t="s">
        <v>130</v>
      </c>
      <c r="L1137" s="13" t="s">
        <v>26</v>
      </c>
    </row>
    <row r="1138" spans="1:12" x14ac:dyDescent="0.35">
      <c r="A1138" s="14" t="s">
        <v>3346</v>
      </c>
      <c r="B1138" s="15" t="s">
        <v>13</v>
      </c>
      <c r="C1138" s="16" t="s">
        <v>3347</v>
      </c>
      <c r="D1138" s="16" t="s">
        <v>34</v>
      </c>
      <c r="E1138" s="16" t="s">
        <v>47</v>
      </c>
      <c r="F1138" s="17" t="s">
        <v>97</v>
      </c>
      <c r="G1138" s="15">
        <v>5</v>
      </c>
      <c r="H1138" s="15" t="s">
        <v>18</v>
      </c>
      <c r="I1138" s="17" t="s">
        <v>118</v>
      </c>
      <c r="J1138" s="16" t="s">
        <v>3348</v>
      </c>
      <c r="K1138" s="16" t="s">
        <v>44</v>
      </c>
      <c r="L1138" s="18" t="s">
        <v>21</v>
      </c>
    </row>
    <row r="1139" spans="1:12" x14ac:dyDescent="0.35">
      <c r="A1139" s="9" t="s">
        <v>3349</v>
      </c>
      <c r="B1139" s="10" t="s">
        <v>13</v>
      </c>
      <c r="C1139" s="11" t="s">
        <v>3350</v>
      </c>
      <c r="D1139" s="11" t="s">
        <v>34</v>
      </c>
      <c r="E1139" s="11" t="s">
        <v>35</v>
      </c>
      <c r="F1139" s="12" t="s">
        <v>113</v>
      </c>
      <c r="G1139" s="10">
        <v>14</v>
      </c>
      <c r="H1139" s="10" t="s">
        <v>18</v>
      </c>
      <c r="I1139" s="12" t="s">
        <v>52</v>
      </c>
      <c r="J1139" s="11" t="s">
        <v>3351</v>
      </c>
      <c r="K1139" s="11" t="s">
        <v>115</v>
      </c>
      <c r="L1139" s="13" t="s">
        <v>21</v>
      </c>
    </row>
    <row r="1140" spans="1:12" x14ac:dyDescent="0.35">
      <c r="A1140" s="14" t="s">
        <v>3352</v>
      </c>
      <c r="B1140" s="15" t="s">
        <v>13</v>
      </c>
      <c r="C1140" s="16" t="s">
        <v>3353</v>
      </c>
      <c r="D1140" s="16" t="s">
        <v>34</v>
      </c>
      <c r="E1140" s="16" t="s">
        <v>104</v>
      </c>
      <c r="F1140" s="17" t="s">
        <v>113</v>
      </c>
      <c r="G1140" s="15">
        <v>7</v>
      </c>
      <c r="H1140" s="15" t="s">
        <v>18</v>
      </c>
      <c r="I1140" s="17" t="s">
        <v>52</v>
      </c>
      <c r="J1140" s="16" t="s">
        <v>3354</v>
      </c>
      <c r="K1140" s="16" t="s">
        <v>25</v>
      </c>
      <c r="L1140" s="18" t="s">
        <v>21</v>
      </c>
    </row>
    <row r="1141" spans="1:12" x14ac:dyDescent="0.35">
      <c r="A1141" s="9" t="s">
        <v>3355</v>
      </c>
      <c r="B1141" s="10" t="s">
        <v>13</v>
      </c>
      <c r="C1141" s="11" t="s">
        <v>3356</v>
      </c>
      <c r="D1141" s="11" t="s">
        <v>34</v>
      </c>
      <c r="E1141" s="11" t="s">
        <v>35</v>
      </c>
      <c r="F1141" s="12" t="s">
        <v>29</v>
      </c>
      <c r="G1141" s="10">
        <v>9</v>
      </c>
      <c r="H1141" s="10" t="s">
        <v>18</v>
      </c>
      <c r="I1141" s="12" t="s">
        <v>62</v>
      </c>
      <c r="J1141" s="11" t="s">
        <v>3357</v>
      </c>
      <c r="K1141" s="11" t="s">
        <v>39</v>
      </c>
      <c r="L1141" s="13" t="s">
        <v>21</v>
      </c>
    </row>
    <row r="1142" spans="1:12" x14ac:dyDescent="0.35">
      <c r="A1142" s="14" t="s">
        <v>3358</v>
      </c>
      <c r="B1142" s="15" t="s">
        <v>13</v>
      </c>
      <c r="C1142" s="16" t="s">
        <v>3359</v>
      </c>
      <c r="D1142" s="16" t="s">
        <v>363</v>
      </c>
      <c r="E1142" s="16" t="s">
        <v>457</v>
      </c>
      <c r="F1142" s="17" t="s">
        <v>17</v>
      </c>
      <c r="G1142" s="15">
        <v>22</v>
      </c>
      <c r="H1142" s="15" t="s">
        <v>18</v>
      </c>
      <c r="I1142" s="17" t="s">
        <v>17</v>
      </c>
      <c r="J1142" s="16" t="s">
        <v>3360</v>
      </c>
      <c r="K1142" s="16" t="s">
        <v>25</v>
      </c>
      <c r="L1142" s="18" t="s">
        <v>21</v>
      </c>
    </row>
    <row r="1143" spans="1:12" ht="15" customHeight="1" x14ac:dyDescent="0.35">
      <c r="A1143" s="19" t="s">
        <v>3361</v>
      </c>
      <c r="B1143" s="20" t="s">
        <v>13</v>
      </c>
      <c r="C1143" s="21" t="s">
        <v>3362</v>
      </c>
      <c r="D1143" s="21" t="s">
        <v>34</v>
      </c>
      <c r="E1143" s="21" t="s">
        <v>104</v>
      </c>
      <c r="F1143" s="22" t="s">
        <v>17</v>
      </c>
      <c r="G1143" s="20">
        <v>11</v>
      </c>
      <c r="H1143" s="20" t="s">
        <v>18</v>
      </c>
      <c r="I1143" s="22" t="s">
        <v>17</v>
      </c>
      <c r="J1143" s="21" t="s">
        <v>2005</v>
      </c>
      <c r="K1143" s="21" t="s">
        <v>130</v>
      </c>
      <c r="L1143" s="23" t="s">
        <v>21</v>
      </c>
    </row>
    <row r="1144" spans="1:12" x14ac:dyDescent="0.35">
      <c r="A1144" s="24" t="s">
        <v>3363</v>
      </c>
      <c r="B1144" s="24" t="s">
        <v>85</v>
      </c>
      <c r="C1144" s="24" t="s">
        <v>3364</v>
      </c>
      <c r="D1144" s="24" t="s">
        <v>15</v>
      </c>
      <c r="E1144" s="24" t="s">
        <v>122</v>
      </c>
      <c r="F1144" s="25" t="s">
        <v>30</v>
      </c>
      <c r="G1144" s="24">
        <v>30</v>
      </c>
      <c r="H1144" s="24" t="s">
        <v>42</v>
      </c>
      <c r="I1144" s="25"/>
      <c r="J1144" s="24" t="s">
        <v>3365</v>
      </c>
      <c r="K1144" s="24" t="s">
        <v>25</v>
      </c>
      <c r="L1144" s="24" t="s">
        <v>21</v>
      </c>
    </row>
    <row r="1145" spans="1:12" x14ac:dyDescent="0.35">
      <c r="A1145" s="26" t="s">
        <v>3366</v>
      </c>
      <c r="B1145" s="27" t="s">
        <v>13</v>
      </c>
      <c r="C1145" s="28" t="s">
        <v>3367</v>
      </c>
      <c r="D1145" s="28" t="s">
        <v>90</v>
      </c>
      <c r="E1145" s="28" t="s">
        <v>62</v>
      </c>
      <c r="F1145" s="29" t="s">
        <v>52</v>
      </c>
      <c r="G1145" s="27">
        <v>7</v>
      </c>
      <c r="H1145" s="27" t="s">
        <v>18</v>
      </c>
      <c r="I1145" s="29" t="s">
        <v>52</v>
      </c>
      <c r="J1145" s="28" t="s">
        <v>3368</v>
      </c>
      <c r="K1145" s="28" t="s">
        <v>39</v>
      </c>
      <c r="L1145" s="30" t="s">
        <v>21</v>
      </c>
    </row>
    <row r="1146" spans="1:12" x14ac:dyDescent="0.35">
      <c r="A1146" s="14" t="s">
        <v>3369</v>
      </c>
      <c r="B1146" s="15" t="s">
        <v>13</v>
      </c>
      <c r="C1146" s="16" t="s">
        <v>3370</v>
      </c>
      <c r="D1146" s="16" t="s">
        <v>34</v>
      </c>
      <c r="E1146" s="16" t="s">
        <v>244</v>
      </c>
      <c r="F1146" s="17" t="s">
        <v>52</v>
      </c>
      <c r="G1146" s="15">
        <v>21</v>
      </c>
      <c r="H1146" s="15" t="s">
        <v>18</v>
      </c>
      <c r="I1146" s="17" t="s">
        <v>52</v>
      </c>
      <c r="J1146" s="16" t="s">
        <v>3371</v>
      </c>
      <c r="K1146" s="16" t="s">
        <v>130</v>
      </c>
      <c r="L1146" s="18" t="s">
        <v>21</v>
      </c>
    </row>
    <row r="1147" spans="1:12" x14ac:dyDescent="0.35">
      <c r="A1147" s="9" t="s">
        <v>3372</v>
      </c>
      <c r="B1147" s="10" t="s">
        <v>13</v>
      </c>
      <c r="C1147" s="11" t="s">
        <v>3373</v>
      </c>
      <c r="D1147" s="11" t="s">
        <v>34</v>
      </c>
      <c r="E1147" s="11" t="s">
        <v>62</v>
      </c>
      <c r="F1147" s="12" t="s">
        <v>17</v>
      </c>
      <c r="G1147" s="10">
        <v>8</v>
      </c>
      <c r="H1147" s="10" t="s">
        <v>18</v>
      </c>
      <c r="I1147" s="12" t="s">
        <v>17</v>
      </c>
      <c r="J1147" s="11" t="s">
        <v>2623</v>
      </c>
      <c r="K1147" s="11" t="s">
        <v>25</v>
      </c>
      <c r="L1147" s="13" t="s">
        <v>21</v>
      </c>
    </row>
    <row r="1148" spans="1:12" x14ac:dyDescent="0.35">
      <c r="A1148" s="14" t="s">
        <v>3374</v>
      </c>
      <c r="B1148" s="15" t="s">
        <v>13</v>
      </c>
      <c r="C1148" s="16" t="s">
        <v>3375</v>
      </c>
      <c r="D1148" s="16" t="s">
        <v>34</v>
      </c>
      <c r="E1148" s="16" t="s">
        <v>244</v>
      </c>
      <c r="F1148" s="17" t="s">
        <v>17</v>
      </c>
      <c r="G1148" s="15">
        <v>23</v>
      </c>
      <c r="H1148" s="15" t="s">
        <v>18</v>
      </c>
      <c r="I1148" s="17" t="s">
        <v>17</v>
      </c>
      <c r="J1148" s="16" t="s">
        <v>3376</v>
      </c>
      <c r="K1148" s="16" t="s">
        <v>25</v>
      </c>
      <c r="L1148" s="18" t="s">
        <v>21</v>
      </c>
    </row>
    <row r="1149" spans="1:12" x14ac:dyDescent="0.35">
      <c r="A1149" s="9" t="s">
        <v>3374</v>
      </c>
      <c r="B1149" s="10" t="s">
        <v>13</v>
      </c>
      <c r="C1149" s="11" t="s">
        <v>3377</v>
      </c>
      <c r="D1149" s="11" t="s">
        <v>15</v>
      </c>
      <c r="E1149" s="11" t="s">
        <v>133</v>
      </c>
      <c r="F1149" s="12" t="s">
        <v>118</v>
      </c>
      <c r="G1149" s="10">
        <v>5</v>
      </c>
      <c r="H1149" s="10" t="s">
        <v>18</v>
      </c>
      <c r="I1149" s="12" t="s">
        <v>36</v>
      </c>
      <c r="J1149" s="11" t="s">
        <v>3378</v>
      </c>
      <c r="K1149" s="11" t="s">
        <v>25</v>
      </c>
      <c r="L1149" s="13" t="s">
        <v>21</v>
      </c>
    </row>
    <row r="1150" spans="1:12" x14ac:dyDescent="0.35">
      <c r="A1150" s="14" t="s">
        <v>3379</v>
      </c>
      <c r="B1150" s="15" t="s">
        <v>13</v>
      </c>
      <c r="C1150" s="16" t="s">
        <v>3380</v>
      </c>
      <c r="D1150" s="16" t="s">
        <v>34</v>
      </c>
      <c r="E1150" s="16" t="s">
        <v>97</v>
      </c>
      <c r="F1150" s="17" t="s">
        <v>70</v>
      </c>
      <c r="G1150" s="15">
        <v>8</v>
      </c>
      <c r="H1150" s="15" t="s">
        <v>18</v>
      </c>
      <c r="I1150" s="17" t="s">
        <v>70</v>
      </c>
      <c r="J1150" s="16" t="s">
        <v>3381</v>
      </c>
      <c r="K1150" s="16" t="s">
        <v>115</v>
      </c>
      <c r="L1150" s="18" t="s">
        <v>26</v>
      </c>
    </row>
    <row r="1151" spans="1:12" x14ac:dyDescent="0.35">
      <c r="A1151" s="9" t="s">
        <v>3382</v>
      </c>
      <c r="B1151" s="10" t="s">
        <v>13</v>
      </c>
      <c r="C1151" s="11" t="s">
        <v>3383</v>
      </c>
      <c r="D1151" s="11" t="s">
        <v>34</v>
      </c>
      <c r="E1151" s="11" t="s">
        <v>62</v>
      </c>
      <c r="F1151" s="12" t="s">
        <v>23</v>
      </c>
      <c r="G1151" s="10">
        <v>6</v>
      </c>
      <c r="H1151" s="10" t="s">
        <v>18</v>
      </c>
      <c r="I1151" s="12" t="s">
        <v>52</v>
      </c>
      <c r="J1151" s="11" t="s">
        <v>3384</v>
      </c>
      <c r="K1151" s="11" t="s">
        <v>44</v>
      </c>
      <c r="L1151" s="13" t="s">
        <v>21</v>
      </c>
    </row>
    <row r="1152" spans="1:12" x14ac:dyDescent="0.35">
      <c r="A1152" s="14" t="s">
        <v>3385</v>
      </c>
      <c r="B1152" s="15" t="s">
        <v>13</v>
      </c>
      <c r="C1152" s="16" t="s">
        <v>3386</v>
      </c>
      <c r="D1152" s="16" t="s">
        <v>34</v>
      </c>
      <c r="E1152" s="16" t="s">
        <v>82</v>
      </c>
      <c r="F1152" s="17" t="s">
        <v>47</v>
      </c>
      <c r="G1152" s="15">
        <v>3</v>
      </c>
      <c r="H1152" s="15" t="s">
        <v>18</v>
      </c>
      <c r="I1152" s="17" t="s">
        <v>47</v>
      </c>
      <c r="J1152" s="16" t="s">
        <v>1669</v>
      </c>
      <c r="K1152" s="16" t="s">
        <v>130</v>
      </c>
      <c r="L1152" s="18" t="s">
        <v>21</v>
      </c>
    </row>
    <row r="1153" spans="1:12" x14ac:dyDescent="0.35">
      <c r="A1153" s="9" t="s">
        <v>3387</v>
      </c>
      <c r="B1153" s="10" t="s">
        <v>13</v>
      </c>
      <c r="C1153" s="11" t="s">
        <v>3388</v>
      </c>
      <c r="D1153" s="11" t="s">
        <v>34</v>
      </c>
      <c r="E1153" s="11" t="s">
        <v>47</v>
      </c>
      <c r="F1153" s="12" t="s">
        <v>62</v>
      </c>
      <c r="G1153" s="10">
        <v>4</v>
      </c>
      <c r="H1153" s="10" t="s">
        <v>18</v>
      </c>
      <c r="I1153" s="12" t="s">
        <v>97</v>
      </c>
      <c r="J1153" s="11" t="s">
        <v>3389</v>
      </c>
      <c r="K1153" s="11" t="s">
        <v>44</v>
      </c>
      <c r="L1153" s="13" t="s">
        <v>26</v>
      </c>
    </row>
    <row r="1154" spans="1:12" x14ac:dyDescent="0.35">
      <c r="A1154" s="14" t="s">
        <v>3390</v>
      </c>
      <c r="B1154" s="15" t="s">
        <v>85</v>
      </c>
      <c r="C1154" s="16" t="s">
        <v>3391</v>
      </c>
      <c r="D1154" s="16" t="s">
        <v>34</v>
      </c>
      <c r="E1154" s="16" t="s">
        <v>82</v>
      </c>
      <c r="F1154" s="17" t="s">
        <v>29</v>
      </c>
      <c r="G1154" s="15">
        <v>7</v>
      </c>
      <c r="H1154" s="15" t="s">
        <v>18</v>
      </c>
      <c r="I1154" s="17" t="s">
        <v>29</v>
      </c>
      <c r="J1154" s="16" t="s">
        <v>3392</v>
      </c>
      <c r="K1154" s="16" t="s">
        <v>130</v>
      </c>
      <c r="L1154" s="18" t="s">
        <v>21</v>
      </c>
    </row>
    <row r="1155" spans="1:12" x14ac:dyDescent="0.35">
      <c r="A1155" s="9" t="s">
        <v>3393</v>
      </c>
      <c r="B1155" s="10" t="s">
        <v>13</v>
      </c>
      <c r="C1155" s="11" t="s">
        <v>3394</v>
      </c>
      <c r="D1155" s="11" t="s">
        <v>34</v>
      </c>
      <c r="E1155" s="11" t="s">
        <v>133</v>
      </c>
      <c r="F1155" s="12" t="s">
        <v>52</v>
      </c>
      <c r="G1155" s="10">
        <v>9</v>
      </c>
      <c r="H1155" s="10" t="s">
        <v>18</v>
      </c>
      <c r="I1155" s="12" t="s">
        <v>17</v>
      </c>
      <c r="J1155" s="11" t="s">
        <v>3395</v>
      </c>
      <c r="K1155" s="11" t="s">
        <v>115</v>
      </c>
      <c r="L1155" s="13" t="s">
        <v>26</v>
      </c>
    </row>
    <row r="1156" spans="1:12" x14ac:dyDescent="0.35">
      <c r="A1156" s="14" t="s">
        <v>3396</v>
      </c>
      <c r="B1156" s="15" t="s">
        <v>13</v>
      </c>
      <c r="C1156" s="16" t="s">
        <v>3397</v>
      </c>
      <c r="D1156" s="16" t="s">
        <v>34</v>
      </c>
      <c r="E1156" s="16" t="s">
        <v>252</v>
      </c>
      <c r="F1156" s="17" t="s">
        <v>133</v>
      </c>
      <c r="G1156" s="15">
        <v>10</v>
      </c>
      <c r="H1156" s="15" t="s">
        <v>18</v>
      </c>
      <c r="I1156" s="17" t="s">
        <v>104</v>
      </c>
      <c r="J1156" s="16" t="s">
        <v>3398</v>
      </c>
      <c r="K1156" s="16" t="s">
        <v>25</v>
      </c>
      <c r="L1156" s="18" t="s">
        <v>21</v>
      </c>
    </row>
    <row r="1157" spans="1:12" x14ac:dyDescent="0.35">
      <c r="A1157" s="9" t="s">
        <v>3399</v>
      </c>
      <c r="B1157" s="10" t="s">
        <v>13</v>
      </c>
      <c r="C1157" s="11" t="s">
        <v>3400</v>
      </c>
      <c r="D1157" s="11" t="s">
        <v>34</v>
      </c>
      <c r="E1157" s="11" t="s">
        <v>37</v>
      </c>
      <c r="F1157" s="12" t="s">
        <v>30</v>
      </c>
      <c r="G1157" s="10">
        <v>3</v>
      </c>
      <c r="H1157" s="10" t="s">
        <v>18</v>
      </c>
      <c r="I1157" s="12" t="s">
        <v>30</v>
      </c>
      <c r="J1157" s="11" t="s">
        <v>3401</v>
      </c>
      <c r="K1157" s="11" t="s">
        <v>25</v>
      </c>
      <c r="L1157" s="13" t="s">
        <v>26</v>
      </c>
    </row>
    <row r="1158" spans="1:12" x14ac:dyDescent="0.35">
      <c r="A1158" s="14" t="s">
        <v>3402</v>
      </c>
      <c r="B1158" s="15" t="s">
        <v>13</v>
      </c>
      <c r="C1158" s="16" t="s">
        <v>3403</v>
      </c>
      <c r="D1158" s="16" t="s">
        <v>34</v>
      </c>
      <c r="E1158" s="16" t="s">
        <v>36</v>
      </c>
      <c r="F1158" s="17" t="s">
        <v>17</v>
      </c>
      <c r="G1158" s="15">
        <v>5</v>
      </c>
      <c r="H1158" s="15" t="s">
        <v>18</v>
      </c>
      <c r="I1158" s="17" t="s">
        <v>17</v>
      </c>
      <c r="J1158" s="16" t="s">
        <v>3404</v>
      </c>
      <c r="K1158" s="16" t="s">
        <v>44</v>
      </c>
      <c r="L1158" s="18" t="s">
        <v>21</v>
      </c>
    </row>
    <row r="1159" spans="1:12" x14ac:dyDescent="0.35">
      <c r="A1159" s="9" t="s">
        <v>3405</v>
      </c>
      <c r="B1159" s="10" t="s">
        <v>13</v>
      </c>
      <c r="C1159" s="11" t="s">
        <v>3406</v>
      </c>
      <c r="D1159" s="11" t="s">
        <v>34</v>
      </c>
      <c r="E1159" s="11" t="s">
        <v>66</v>
      </c>
      <c r="F1159" s="12" t="s">
        <v>104</v>
      </c>
      <c r="G1159" s="10">
        <v>4</v>
      </c>
      <c r="H1159" s="10" t="s">
        <v>18</v>
      </c>
      <c r="I1159" s="12" t="s">
        <v>104</v>
      </c>
      <c r="J1159" s="11" t="s">
        <v>3407</v>
      </c>
      <c r="K1159" s="11" t="s">
        <v>130</v>
      </c>
      <c r="L1159" s="13" t="s">
        <v>26</v>
      </c>
    </row>
    <row r="1160" spans="1:12" x14ac:dyDescent="0.35">
      <c r="A1160" s="14" t="s">
        <v>3408</v>
      </c>
      <c r="B1160" s="15" t="s">
        <v>13</v>
      </c>
      <c r="C1160" s="16" t="s">
        <v>3409</v>
      </c>
      <c r="D1160" s="16" t="s">
        <v>34</v>
      </c>
      <c r="E1160" s="16" t="s">
        <v>29</v>
      </c>
      <c r="F1160" s="17" t="s">
        <v>62</v>
      </c>
      <c r="G1160" s="15">
        <v>1</v>
      </c>
      <c r="H1160" s="15" t="s">
        <v>18</v>
      </c>
      <c r="I1160" s="17" t="s">
        <v>97</v>
      </c>
      <c r="J1160" s="16" t="s">
        <v>3410</v>
      </c>
      <c r="K1160" s="16" t="s">
        <v>115</v>
      </c>
      <c r="L1160" s="18" t="s">
        <v>26</v>
      </c>
    </row>
    <row r="1161" spans="1:12" x14ac:dyDescent="0.35">
      <c r="A1161" s="9" t="s">
        <v>3411</v>
      </c>
      <c r="B1161" s="10" t="s">
        <v>13</v>
      </c>
      <c r="C1161" s="11" t="s">
        <v>3412</v>
      </c>
      <c r="D1161" s="11" t="s">
        <v>34</v>
      </c>
      <c r="E1161" s="11" t="s">
        <v>252</v>
      </c>
      <c r="F1161" s="12" t="s">
        <v>66</v>
      </c>
      <c r="G1161" s="10">
        <v>6</v>
      </c>
      <c r="H1161" s="10" t="s">
        <v>18</v>
      </c>
      <c r="I1161" s="12" t="s">
        <v>66</v>
      </c>
      <c r="J1161" s="11" t="s">
        <v>3413</v>
      </c>
      <c r="K1161" s="11" t="s">
        <v>130</v>
      </c>
      <c r="L1161" s="13" t="s">
        <v>21</v>
      </c>
    </row>
    <row r="1162" spans="1:12" x14ac:dyDescent="0.35">
      <c r="A1162" s="14" t="s">
        <v>3414</v>
      </c>
      <c r="B1162" s="15" t="s">
        <v>13</v>
      </c>
      <c r="C1162" s="16" t="s">
        <v>3415</v>
      </c>
      <c r="D1162" s="16" t="s">
        <v>34</v>
      </c>
      <c r="E1162" s="16" t="s">
        <v>82</v>
      </c>
      <c r="F1162" s="17" t="s">
        <v>97</v>
      </c>
      <c r="G1162" s="15">
        <v>9</v>
      </c>
      <c r="H1162" s="15" t="s">
        <v>18</v>
      </c>
      <c r="I1162" s="17" t="s">
        <v>118</v>
      </c>
      <c r="J1162" s="16" t="s">
        <v>3416</v>
      </c>
      <c r="K1162" s="16" t="s">
        <v>130</v>
      </c>
      <c r="L1162" s="18" t="s">
        <v>26</v>
      </c>
    </row>
    <row r="1163" spans="1:12" x14ac:dyDescent="0.35">
      <c r="A1163" s="9" t="s">
        <v>3417</v>
      </c>
      <c r="B1163" s="10" t="s">
        <v>13</v>
      </c>
      <c r="C1163" s="11" t="s">
        <v>3418</v>
      </c>
      <c r="D1163" s="11" t="s">
        <v>34</v>
      </c>
      <c r="E1163" s="11" t="s">
        <v>66</v>
      </c>
      <c r="F1163" s="12" t="s">
        <v>97</v>
      </c>
      <c r="G1163" s="10">
        <v>6</v>
      </c>
      <c r="H1163" s="10" t="s">
        <v>18</v>
      </c>
      <c r="I1163" s="12" t="s">
        <v>118</v>
      </c>
      <c r="J1163" s="11" t="s">
        <v>3419</v>
      </c>
      <c r="K1163" s="11" t="s">
        <v>130</v>
      </c>
      <c r="L1163" s="13" t="s">
        <v>21</v>
      </c>
    </row>
    <row r="1164" spans="1:12" x14ac:dyDescent="0.35">
      <c r="A1164" s="14" t="s">
        <v>3420</v>
      </c>
      <c r="B1164" s="15" t="s">
        <v>13</v>
      </c>
      <c r="C1164" s="16" t="s">
        <v>3421</v>
      </c>
      <c r="D1164" s="16" t="s">
        <v>34</v>
      </c>
      <c r="E1164" s="16" t="s">
        <v>113</v>
      </c>
      <c r="F1164" s="17" t="s">
        <v>30</v>
      </c>
      <c r="G1164" s="15">
        <v>2</v>
      </c>
      <c r="H1164" s="15" t="s">
        <v>18</v>
      </c>
      <c r="I1164" s="17" t="s">
        <v>17</v>
      </c>
      <c r="J1164" s="16" t="s">
        <v>3422</v>
      </c>
      <c r="K1164" s="16" t="s">
        <v>115</v>
      </c>
      <c r="L1164" s="18" t="s">
        <v>21</v>
      </c>
    </row>
    <row r="1165" spans="1:12" x14ac:dyDescent="0.35">
      <c r="A1165" s="9" t="s">
        <v>3423</v>
      </c>
      <c r="B1165" s="10" t="s">
        <v>13</v>
      </c>
      <c r="C1165" s="11" t="s">
        <v>3424</v>
      </c>
      <c r="D1165" s="11" t="s">
        <v>34</v>
      </c>
      <c r="E1165" s="11" t="s">
        <v>104</v>
      </c>
      <c r="F1165" s="12" t="s">
        <v>118</v>
      </c>
      <c r="G1165" s="10">
        <v>4</v>
      </c>
      <c r="H1165" s="10" t="s">
        <v>18</v>
      </c>
      <c r="I1165" s="12" t="s">
        <v>118</v>
      </c>
      <c r="J1165" s="11" t="s">
        <v>3425</v>
      </c>
      <c r="K1165" s="11" t="s">
        <v>115</v>
      </c>
      <c r="L1165" s="13" t="s">
        <v>21</v>
      </c>
    </row>
    <row r="1166" spans="1:12" x14ac:dyDescent="0.35">
      <c r="A1166" s="14" t="s">
        <v>3426</v>
      </c>
      <c r="B1166" s="15" t="s">
        <v>13</v>
      </c>
      <c r="C1166" s="16" t="s">
        <v>3427</v>
      </c>
      <c r="D1166" s="16" t="s">
        <v>34</v>
      </c>
      <c r="E1166" s="16" t="s">
        <v>82</v>
      </c>
      <c r="F1166" s="17" t="s">
        <v>47</v>
      </c>
      <c r="G1166" s="15">
        <v>3</v>
      </c>
      <c r="H1166" s="15" t="s">
        <v>18</v>
      </c>
      <c r="I1166" s="17" t="s">
        <v>47</v>
      </c>
      <c r="J1166" s="16" t="s">
        <v>3428</v>
      </c>
      <c r="K1166" s="16" t="s">
        <v>130</v>
      </c>
      <c r="L1166" s="18" t="s">
        <v>21</v>
      </c>
    </row>
    <row r="1167" spans="1:12" x14ac:dyDescent="0.35">
      <c r="A1167" s="9" t="s">
        <v>3429</v>
      </c>
      <c r="B1167" s="10" t="s">
        <v>13</v>
      </c>
      <c r="C1167" s="11" t="s">
        <v>3430</v>
      </c>
      <c r="D1167" s="11" t="s">
        <v>34</v>
      </c>
      <c r="E1167" s="11" t="s">
        <v>82</v>
      </c>
      <c r="F1167" s="12" t="s">
        <v>47</v>
      </c>
      <c r="G1167" s="10">
        <v>3</v>
      </c>
      <c r="H1167" s="10" t="s">
        <v>18</v>
      </c>
      <c r="I1167" s="12" t="s">
        <v>47</v>
      </c>
      <c r="J1167" s="11" t="s">
        <v>920</v>
      </c>
      <c r="K1167" s="11" t="s">
        <v>130</v>
      </c>
      <c r="L1167" s="13" t="s">
        <v>21</v>
      </c>
    </row>
    <row r="1168" spans="1:12" x14ac:dyDescent="0.35">
      <c r="A1168" s="14" t="s">
        <v>3431</v>
      </c>
      <c r="B1168" s="15" t="s">
        <v>13</v>
      </c>
      <c r="C1168" s="16" t="s">
        <v>3432</v>
      </c>
      <c r="D1168" s="16" t="s">
        <v>34</v>
      </c>
      <c r="E1168" s="16" t="s">
        <v>36</v>
      </c>
      <c r="F1168" s="17" t="s">
        <v>113</v>
      </c>
      <c r="G1168" s="15">
        <v>2</v>
      </c>
      <c r="H1168" s="15" t="s">
        <v>18</v>
      </c>
      <c r="I1168" s="17" t="s">
        <v>52</v>
      </c>
      <c r="J1168" s="16" t="s">
        <v>3433</v>
      </c>
      <c r="K1168" s="16" t="s">
        <v>130</v>
      </c>
      <c r="L1168" s="18" t="s">
        <v>26</v>
      </c>
    </row>
    <row r="1169" spans="1:12" x14ac:dyDescent="0.35">
      <c r="A1169" s="9" t="s">
        <v>3434</v>
      </c>
      <c r="B1169" s="10" t="s">
        <v>13</v>
      </c>
      <c r="C1169" s="11" t="s">
        <v>3435</v>
      </c>
      <c r="D1169" s="11" t="s">
        <v>34</v>
      </c>
      <c r="E1169" s="11" t="s">
        <v>82</v>
      </c>
      <c r="F1169" s="12" t="s">
        <v>133</v>
      </c>
      <c r="G1169" s="10">
        <v>4</v>
      </c>
      <c r="H1169" s="10" t="s">
        <v>18</v>
      </c>
      <c r="I1169" s="12" t="s">
        <v>104</v>
      </c>
      <c r="J1169" s="11" t="s">
        <v>3433</v>
      </c>
      <c r="K1169" s="11" t="s">
        <v>130</v>
      </c>
      <c r="L1169" s="13" t="s">
        <v>21</v>
      </c>
    </row>
    <row r="1170" spans="1:12" x14ac:dyDescent="0.35">
      <c r="A1170" s="14" t="s">
        <v>3436</v>
      </c>
      <c r="B1170" s="15" t="s">
        <v>13</v>
      </c>
      <c r="C1170" s="16" t="s">
        <v>3437</v>
      </c>
      <c r="D1170" s="16" t="s">
        <v>34</v>
      </c>
      <c r="E1170" s="16" t="s">
        <v>29</v>
      </c>
      <c r="F1170" s="17" t="s">
        <v>36</v>
      </c>
      <c r="G1170" s="15">
        <v>3</v>
      </c>
      <c r="H1170" s="15" t="s">
        <v>18</v>
      </c>
      <c r="I1170" s="17" t="s">
        <v>36</v>
      </c>
      <c r="J1170" s="16" t="s">
        <v>3438</v>
      </c>
      <c r="K1170" s="16" t="s">
        <v>115</v>
      </c>
      <c r="L1170" s="18" t="s">
        <v>21</v>
      </c>
    </row>
    <row r="1171" spans="1:12" ht="15" customHeight="1" x14ac:dyDescent="0.35">
      <c r="A1171" s="19" t="s">
        <v>3439</v>
      </c>
      <c r="B1171" s="20" t="s">
        <v>13</v>
      </c>
      <c r="C1171" s="21" t="s">
        <v>3440</v>
      </c>
      <c r="D1171" s="21" t="s">
        <v>34</v>
      </c>
      <c r="E1171" s="21" t="s">
        <v>457</v>
      </c>
      <c r="F1171" s="22" t="s">
        <v>47</v>
      </c>
      <c r="G1171" s="20">
        <v>9</v>
      </c>
      <c r="H1171" s="20" t="s">
        <v>18</v>
      </c>
      <c r="I1171" s="22" t="s">
        <v>47</v>
      </c>
      <c r="J1171" s="21" t="s">
        <v>3441</v>
      </c>
      <c r="K1171" s="21" t="s">
        <v>241</v>
      </c>
      <c r="L1171" s="23" t="s">
        <v>21</v>
      </c>
    </row>
    <row r="1172" spans="1:12" x14ac:dyDescent="0.35">
      <c r="A1172" s="24" t="s">
        <v>3442</v>
      </c>
      <c r="B1172" s="24" t="s">
        <v>13</v>
      </c>
      <c r="C1172" s="24" t="s">
        <v>3443</v>
      </c>
      <c r="D1172" s="24" t="s">
        <v>34</v>
      </c>
      <c r="E1172" s="24" t="s">
        <v>133</v>
      </c>
      <c r="F1172" s="25" t="s">
        <v>17</v>
      </c>
      <c r="G1172" s="24">
        <v>13</v>
      </c>
      <c r="H1172" s="24" t="s">
        <v>42</v>
      </c>
      <c r="I1172" s="25"/>
      <c r="J1172" s="24" t="s">
        <v>3444</v>
      </c>
      <c r="K1172" s="24" t="s">
        <v>44</v>
      </c>
      <c r="L1172" s="24" t="s">
        <v>21</v>
      </c>
    </row>
    <row r="1173" spans="1:12" x14ac:dyDescent="0.35">
      <c r="A1173" s="26" t="s">
        <v>3445</v>
      </c>
      <c r="B1173" s="27" t="s">
        <v>13</v>
      </c>
      <c r="C1173" s="28" t="s">
        <v>3446</v>
      </c>
      <c r="D1173" s="28" t="s">
        <v>90</v>
      </c>
      <c r="E1173" s="28" t="s">
        <v>29</v>
      </c>
      <c r="F1173" s="29" t="s">
        <v>23</v>
      </c>
      <c r="G1173" s="27">
        <v>6</v>
      </c>
      <c r="H1173" s="27" t="s">
        <v>18</v>
      </c>
      <c r="I1173" s="29" t="s">
        <v>23</v>
      </c>
      <c r="J1173" s="28" t="s">
        <v>3447</v>
      </c>
      <c r="K1173" s="28" t="s">
        <v>25</v>
      </c>
      <c r="L1173" s="30" t="s">
        <v>26</v>
      </c>
    </row>
    <row r="1174" spans="1:12" x14ac:dyDescent="0.35">
      <c r="A1174" s="14" t="s">
        <v>3448</v>
      </c>
      <c r="B1174" s="15" t="s">
        <v>13</v>
      </c>
      <c r="C1174" s="16" t="s">
        <v>3449</v>
      </c>
      <c r="D1174" s="16" t="s">
        <v>90</v>
      </c>
      <c r="E1174" s="16" t="s">
        <v>97</v>
      </c>
      <c r="F1174" s="17" t="s">
        <v>30</v>
      </c>
      <c r="G1174" s="15">
        <v>6</v>
      </c>
      <c r="H1174" s="15" t="s">
        <v>18</v>
      </c>
      <c r="I1174" s="17" t="s">
        <v>30</v>
      </c>
      <c r="J1174" s="16" t="s">
        <v>3450</v>
      </c>
      <c r="K1174" s="16" t="s">
        <v>39</v>
      </c>
      <c r="L1174" s="18" t="s">
        <v>21</v>
      </c>
    </row>
    <row r="1175" spans="1:12" x14ac:dyDescent="0.35">
      <c r="A1175" s="9" t="s">
        <v>3451</v>
      </c>
      <c r="B1175" s="10" t="s">
        <v>13</v>
      </c>
      <c r="C1175" s="11" t="s">
        <v>3452</v>
      </c>
      <c r="D1175" s="11" t="s">
        <v>34</v>
      </c>
      <c r="E1175" s="11" t="s">
        <v>104</v>
      </c>
      <c r="F1175" s="12" t="s">
        <v>30</v>
      </c>
      <c r="G1175" s="10">
        <v>10</v>
      </c>
      <c r="H1175" s="10" t="s">
        <v>18</v>
      </c>
      <c r="I1175" s="12" t="s">
        <v>30</v>
      </c>
      <c r="J1175" s="11" t="s">
        <v>3453</v>
      </c>
      <c r="K1175" s="11" t="s">
        <v>115</v>
      </c>
      <c r="L1175" s="13" t="s">
        <v>26</v>
      </c>
    </row>
    <row r="1176" spans="1:12" x14ac:dyDescent="0.35">
      <c r="A1176" s="14" t="s">
        <v>3454</v>
      </c>
      <c r="B1176" s="15" t="s">
        <v>85</v>
      </c>
      <c r="C1176" s="16" t="s">
        <v>3455</v>
      </c>
      <c r="D1176" s="16" t="s">
        <v>90</v>
      </c>
      <c r="E1176" s="16" t="s">
        <v>36</v>
      </c>
      <c r="F1176" s="17" t="s">
        <v>52</v>
      </c>
      <c r="G1176" s="15">
        <v>4</v>
      </c>
      <c r="H1176" s="15" t="s">
        <v>18</v>
      </c>
      <c r="I1176" s="17" t="s">
        <v>52</v>
      </c>
      <c r="J1176" s="16" t="s">
        <v>3456</v>
      </c>
      <c r="K1176" s="16" t="s">
        <v>25</v>
      </c>
      <c r="L1176" s="18" t="s">
        <v>21</v>
      </c>
    </row>
    <row r="1177" spans="1:12" x14ac:dyDescent="0.35">
      <c r="A1177" s="9" t="s">
        <v>3457</v>
      </c>
      <c r="B1177" s="10" t="s">
        <v>13</v>
      </c>
      <c r="C1177" s="11" t="s">
        <v>3458</v>
      </c>
      <c r="D1177" s="11" t="s">
        <v>34</v>
      </c>
      <c r="E1177" s="11" t="s">
        <v>37</v>
      </c>
      <c r="F1177" s="12" t="s">
        <v>70</v>
      </c>
      <c r="G1177" s="10">
        <v>6</v>
      </c>
      <c r="H1177" s="10" t="s">
        <v>18</v>
      </c>
      <c r="I1177" s="12" t="s">
        <v>70</v>
      </c>
      <c r="J1177" s="11" t="s">
        <v>3459</v>
      </c>
      <c r="K1177" s="11" t="s">
        <v>115</v>
      </c>
      <c r="L1177" s="13" t="s">
        <v>21</v>
      </c>
    </row>
    <row r="1178" spans="1:12" ht="15" customHeight="1" x14ac:dyDescent="0.35">
      <c r="A1178" s="31" t="s">
        <v>3460</v>
      </c>
      <c r="B1178" s="32" t="s">
        <v>13</v>
      </c>
      <c r="C1178" s="33" t="s">
        <v>3461</v>
      </c>
      <c r="D1178" s="33" t="s">
        <v>34</v>
      </c>
      <c r="E1178" s="33" t="s">
        <v>23</v>
      </c>
      <c r="F1178" s="34" t="s">
        <v>17</v>
      </c>
      <c r="G1178" s="32">
        <v>3</v>
      </c>
      <c r="H1178" s="32" t="s">
        <v>18</v>
      </c>
      <c r="I1178" s="34" t="s">
        <v>70</v>
      </c>
      <c r="J1178" s="33" t="s">
        <v>3462</v>
      </c>
      <c r="K1178" s="33" t="s">
        <v>25</v>
      </c>
      <c r="L1178" s="35" t="s">
        <v>21</v>
      </c>
    </row>
    <row r="1179" spans="1:12" x14ac:dyDescent="0.35">
      <c r="A1179" s="36" t="s">
        <v>3463</v>
      </c>
      <c r="B1179" s="36" t="s">
        <v>13</v>
      </c>
      <c r="C1179" s="36" t="s">
        <v>3464</v>
      </c>
      <c r="D1179" s="36" t="s">
        <v>34</v>
      </c>
      <c r="E1179" s="36" t="s">
        <v>104</v>
      </c>
      <c r="F1179" s="37" t="s">
        <v>29</v>
      </c>
      <c r="G1179" s="36">
        <v>1</v>
      </c>
      <c r="H1179" s="36" t="s">
        <v>42</v>
      </c>
      <c r="I1179" s="37"/>
      <c r="J1179" s="36" t="s">
        <v>3465</v>
      </c>
      <c r="K1179" s="36" t="s">
        <v>115</v>
      </c>
      <c r="L1179" s="36" t="s">
        <v>21</v>
      </c>
    </row>
    <row r="1180" spans="1:12" ht="15" customHeight="1" x14ac:dyDescent="0.35">
      <c r="A1180" s="48" t="s">
        <v>3466</v>
      </c>
      <c r="B1180" s="49" t="s">
        <v>13</v>
      </c>
      <c r="C1180" s="50" t="s">
        <v>3467</v>
      </c>
      <c r="D1180" s="50" t="s">
        <v>90</v>
      </c>
      <c r="E1180" s="50" t="s">
        <v>37</v>
      </c>
      <c r="F1180" s="51" t="s">
        <v>52</v>
      </c>
      <c r="G1180" s="49">
        <v>3</v>
      </c>
      <c r="H1180" s="49" t="s">
        <v>18</v>
      </c>
      <c r="I1180" s="51" t="s">
        <v>30</v>
      </c>
      <c r="J1180" s="50" t="s">
        <v>3468</v>
      </c>
      <c r="K1180" s="50" t="s">
        <v>115</v>
      </c>
      <c r="L1180" s="52" t="s">
        <v>21</v>
      </c>
    </row>
    <row r="1181" spans="1:12" x14ac:dyDescent="0.35">
      <c r="A1181" s="36" t="s">
        <v>3469</v>
      </c>
      <c r="B1181" s="36" t="s">
        <v>13</v>
      </c>
      <c r="C1181" s="36" t="s">
        <v>3470</v>
      </c>
      <c r="D1181" s="36" t="s">
        <v>78</v>
      </c>
      <c r="E1181" s="36" t="s">
        <v>62</v>
      </c>
      <c r="F1181" s="37" t="s">
        <v>70</v>
      </c>
      <c r="G1181" s="36">
        <v>10</v>
      </c>
      <c r="H1181" s="36" t="s">
        <v>42</v>
      </c>
      <c r="I1181" s="37"/>
      <c r="J1181" s="36" t="s">
        <v>3471</v>
      </c>
      <c r="K1181" s="36" t="s">
        <v>25</v>
      </c>
      <c r="L1181" s="36" t="s">
        <v>21</v>
      </c>
    </row>
    <row r="1182" spans="1:12" x14ac:dyDescent="0.35">
      <c r="A1182" s="38" t="s">
        <v>3472</v>
      </c>
      <c r="B1182" s="39" t="s">
        <v>13</v>
      </c>
      <c r="C1182" s="40" t="s">
        <v>3473</v>
      </c>
      <c r="D1182" s="40" t="s">
        <v>15</v>
      </c>
      <c r="E1182" s="40" t="s">
        <v>133</v>
      </c>
      <c r="F1182" s="41" t="s">
        <v>62</v>
      </c>
      <c r="G1182" s="39">
        <v>3</v>
      </c>
      <c r="H1182" s="39" t="s">
        <v>18</v>
      </c>
      <c r="I1182" s="41" t="s">
        <v>62</v>
      </c>
      <c r="J1182" s="40" t="s">
        <v>3474</v>
      </c>
      <c r="K1182" s="40" t="s">
        <v>25</v>
      </c>
      <c r="L1182" s="42" t="s">
        <v>21</v>
      </c>
    </row>
    <row r="1183" spans="1:12" x14ac:dyDescent="0.35">
      <c r="A1183" s="9" t="s">
        <v>3475</v>
      </c>
      <c r="B1183" s="10" t="s">
        <v>13</v>
      </c>
      <c r="C1183" s="11" t="s">
        <v>3476</v>
      </c>
      <c r="D1183" s="11" t="s">
        <v>34</v>
      </c>
      <c r="E1183" s="11" t="s">
        <v>29</v>
      </c>
      <c r="F1183" s="12" t="s">
        <v>113</v>
      </c>
      <c r="G1183" s="10">
        <v>6</v>
      </c>
      <c r="H1183" s="10" t="s">
        <v>18</v>
      </c>
      <c r="I1183" s="12" t="s">
        <v>113</v>
      </c>
      <c r="J1183" s="11" t="s">
        <v>2843</v>
      </c>
      <c r="K1183" s="11" t="s">
        <v>130</v>
      </c>
      <c r="L1183" s="13" t="s">
        <v>21</v>
      </c>
    </row>
    <row r="1184" spans="1:12" x14ac:dyDescent="0.35">
      <c r="A1184" s="14" t="s">
        <v>3477</v>
      </c>
      <c r="B1184" s="15" t="s">
        <v>85</v>
      </c>
      <c r="C1184" s="16" t="s">
        <v>3478</v>
      </c>
      <c r="D1184" s="16" t="s">
        <v>78</v>
      </c>
      <c r="E1184" s="16" t="s">
        <v>497</v>
      </c>
      <c r="F1184" s="17" t="s">
        <v>118</v>
      </c>
      <c r="G1184" s="15">
        <v>13</v>
      </c>
      <c r="H1184" s="15" t="s">
        <v>18</v>
      </c>
      <c r="I1184" s="17" t="s">
        <v>118</v>
      </c>
      <c r="J1184" s="16" t="s">
        <v>3479</v>
      </c>
      <c r="K1184" s="16" t="s">
        <v>25</v>
      </c>
      <c r="L1184" s="18" t="s">
        <v>21</v>
      </c>
    </row>
    <row r="1185" spans="1:12" x14ac:dyDescent="0.35">
      <c r="A1185" s="9" t="s">
        <v>3480</v>
      </c>
      <c r="B1185" s="10" t="s">
        <v>85</v>
      </c>
      <c r="C1185" s="11" t="s">
        <v>3481</v>
      </c>
      <c r="D1185" s="11" t="s">
        <v>15</v>
      </c>
      <c r="E1185" s="11" t="s">
        <v>108</v>
      </c>
      <c r="F1185" s="12" t="s">
        <v>47</v>
      </c>
      <c r="G1185" s="10">
        <v>14</v>
      </c>
      <c r="H1185" s="10" t="s">
        <v>18</v>
      </c>
      <c r="I1185" s="12" t="s">
        <v>47</v>
      </c>
      <c r="J1185" s="11" t="s">
        <v>3482</v>
      </c>
      <c r="K1185" s="11" t="s">
        <v>241</v>
      </c>
      <c r="L1185" s="13" t="s">
        <v>21</v>
      </c>
    </row>
    <row r="1186" spans="1:12" x14ac:dyDescent="0.35">
      <c r="A1186" s="14" t="s">
        <v>3483</v>
      </c>
      <c r="B1186" s="15" t="s">
        <v>13</v>
      </c>
      <c r="C1186" s="16" t="s">
        <v>3484</v>
      </c>
      <c r="D1186" s="16" t="s">
        <v>34</v>
      </c>
      <c r="E1186" s="16" t="s">
        <v>51</v>
      </c>
      <c r="F1186" s="17" t="s">
        <v>70</v>
      </c>
      <c r="G1186" s="15">
        <v>15</v>
      </c>
      <c r="H1186" s="15" t="s">
        <v>18</v>
      </c>
      <c r="I1186" s="17" t="s">
        <v>70</v>
      </c>
      <c r="J1186" s="16" t="s">
        <v>3485</v>
      </c>
      <c r="K1186" s="16" t="s">
        <v>44</v>
      </c>
      <c r="L1186" s="18" t="s">
        <v>26</v>
      </c>
    </row>
    <row r="1187" spans="1:12" ht="15" customHeight="1" x14ac:dyDescent="0.35">
      <c r="A1187" s="19" t="s">
        <v>3486</v>
      </c>
      <c r="B1187" s="20" t="s">
        <v>13</v>
      </c>
      <c r="C1187" s="21" t="s">
        <v>3487</v>
      </c>
      <c r="D1187" s="21" t="s">
        <v>34</v>
      </c>
      <c r="E1187" s="21" t="s">
        <v>497</v>
      </c>
      <c r="F1187" s="22" t="s">
        <v>133</v>
      </c>
      <c r="G1187" s="20">
        <v>9</v>
      </c>
      <c r="H1187" s="20" t="s">
        <v>18</v>
      </c>
      <c r="I1187" s="22" t="s">
        <v>104</v>
      </c>
      <c r="J1187" s="21" t="s">
        <v>1628</v>
      </c>
      <c r="K1187" s="21" t="s">
        <v>25</v>
      </c>
      <c r="L1187" s="23" t="s">
        <v>21</v>
      </c>
    </row>
    <row r="1188" spans="1:12" x14ac:dyDescent="0.35">
      <c r="A1188" s="24" t="s">
        <v>3488</v>
      </c>
      <c r="B1188" s="24" t="s">
        <v>13</v>
      </c>
      <c r="C1188" s="24" t="s">
        <v>3489</v>
      </c>
      <c r="D1188" s="24" t="s">
        <v>34</v>
      </c>
      <c r="E1188" s="24" t="s">
        <v>133</v>
      </c>
      <c r="F1188" s="25" t="s">
        <v>36</v>
      </c>
      <c r="G1188" s="24">
        <v>5</v>
      </c>
      <c r="H1188" s="24" t="s">
        <v>109</v>
      </c>
      <c r="I1188" s="25"/>
      <c r="J1188" s="24" t="s">
        <v>664</v>
      </c>
      <c r="K1188" s="24" t="s">
        <v>130</v>
      </c>
      <c r="L1188" s="24" t="s">
        <v>21</v>
      </c>
    </row>
    <row r="1189" spans="1:12" x14ac:dyDescent="0.35">
      <c r="A1189" s="26" t="s">
        <v>3488</v>
      </c>
      <c r="B1189" s="27" t="s">
        <v>13</v>
      </c>
      <c r="C1189" s="28" t="s">
        <v>3489</v>
      </c>
      <c r="D1189" s="28" t="s">
        <v>34</v>
      </c>
      <c r="E1189" s="28" t="s">
        <v>133</v>
      </c>
      <c r="F1189" s="29" t="s">
        <v>52</v>
      </c>
      <c r="G1189" s="27">
        <v>10</v>
      </c>
      <c r="H1189" s="27" t="s">
        <v>18</v>
      </c>
      <c r="I1189" s="29" t="s">
        <v>52</v>
      </c>
      <c r="J1189" s="28" t="s">
        <v>664</v>
      </c>
      <c r="K1189" s="28" t="s">
        <v>130</v>
      </c>
      <c r="L1189" s="30" t="s">
        <v>21</v>
      </c>
    </row>
    <row r="1190" spans="1:12" x14ac:dyDescent="0.35">
      <c r="A1190" s="14" t="s">
        <v>3490</v>
      </c>
      <c r="B1190" s="15" t="s">
        <v>13</v>
      </c>
      <c r="C1190" s="16" t="s">
        <v>3491</v>
      </c>
      <c r="D1190" s="16" t="s">
        <v>34</v>
      </c>
      <c r="E1190" s="16" t="s">
        <v>36</v>
      </c>
      <c r="F1190" s="17" t="s">
        <v>23</v>
      </c>
      <c r="G1190" s="15">
        <v>3</v>
      </c>
      <c r="H1190" s="15" t="s">
        <v>18</v>
      </c>
      <c r="I1190" s="17" t="s">
        <v>23</v>
      </c>
      <c r="J1190" s="16" t="s">
        <v>3492</v>
      </c>
      <c r="K1190" s="16" t="s">
        <v>115</v>
      </c>
      <c r="L1190" s="18" t="s">
        <v>26</v>
      </c>
    </row>
    <row r="1191" spans="1:12" ht="15" customHeight="1" x14ac:dyDescent="0.35">
      <c r="A1191" s="19" t="s">
        <v>3493</v>
      </c>
      <c r="B1191" s="20" t="s">
        <v>13</v>
      </c>
      <c r="C1191" s="21" t="s">
        <v>3494</v>
      </c>
      <c r="D1191" s="21" t="s">
        <v>34</v>
      </c>
      <c r="E1191" s="21" t="s">
        <v>497</v>
      </c>
      <c r="F1191" s="22" t="s">
        <v>47</v>
      </c>
      <c r="G1191" s="20">
        <v>7</v>
      </c>
      <c r="H1191" s="20" t="s">
        <v>18</v>
      </c>
      <c r="I1191" s="22" t="s">
        <v>47</v>
      </c>
      <c r="J1191" s="21" t="s">
        <v>3495</v>
      </c>
      <c r="K1191" s="21" t="s">
        <v>241</v>
      </c>
      <c r="L1191" s="23" t="s">
        <v>21</v>
      </c>
    </row>
    <row r="1192" spans="1:12" x14ac:dyDescent="0.35">
      <c r="A1192" s="24" t="s">
        <v>3496</v>
      </c>
      <c r="B1192" s="24" t="s">
        <v>13</v>
      </c>
      <c r="C1192" s="24" t="s">
        <v>3497</v>
      </c>
      <c r="D1192" s="24" t="s">
        <v>34</v>
      </c>
      <c r="E1192" s="24" t="s">
        <v>29</v>
      </c>
      <c r="F1192" s="25" t="s">
        <v>113</v>
      </c>
      <c r="G1192" s="24">
        <v>6</v>
      </c>
      <c r="H1192" s="24" t="s">
        <v>109</v>
      </c>
      <c r="I1192" s="25"/>
      <c r="J1192" s="24" t="s">
        <v>3498</v>
      </c>
      <c r="K1192" s="24" t="s">
        <v>115</v>
      </c>
      <c r="L1192" s="24" t="s">
        <v>26</v>
      </c>
    </row>
    <row r="1193" spans="1:12" x14ac:dyDescent="0.35">
      <c r="A1193" s="26" t="s">
        <v>3499</v>
      </c>
      <c r="B1193" s="27" t="s">
        <v>13</v>
      </c>
      <c r="C1193" s="28" t="s">
        <v>3500</v>
      </c>
      <c r="D1193" s="28" t="s">
        <v>15</v>
      </c>
      <c r="E1193" s="28" t="s">
        <v>36</v>
      </c>
      <c r="F1193" s="29" t="s">
        <v>52</v>
      </c>
      <c r="G1193" s="27">
        <v>3</v>
      </c>
      <c r="H1193" s="27" t="s">
        <v>18</v>
      </c>
      <c r="I1193" s="29" t="s">
        <v>52</v>
      </c>
      <c r="J1193" s="28" t="s">
        <v>3501</v>
      </c>
      <c r="K1193" s="28" t="s">
        <v>25</v>
      </c>
      <c r="L1193" s="30" t="s">
        <v>26</v>
      </c>
    </row>
    <row r="1194" spans="1:12" x14ac:dyDescent="0.35">
      <c r="A1194" s="14" t="s">
        <v>3502</v>
      </c>
      <c r="B1194" s="15" t="s">
        <v>13</v>
      </c>
      <c r="C1194" s="16" t="s">
        <v>3503</v>
      </c>
      <c r="D1194" s="16" t="s">
        <v>34</v>
      </c>
      <c r="E1194" s="16" t="s">
        <v>66</v>
      </c>
      <c r="F1194" s="17" t="s">
        <v>52</v>
      </c>
      <c r="G1194" s="15">
        <v>12</v>
      </c>
      <c r="H1194" s="15" t="s">
        <v>18</v>
      </c>
      <c r="I1194" s="17" t="s">
        <v>30</v>
      </c>
      <c r="J1194" s="16" t="s">
        <v>3504</v>
      </c>
      <c r="K1194" s="16" t="s">
        <v>25</v>
      </c>
      <c r="L1194" s="18" t="s">
        <v>21</v>
      </c>
    </row>
    <row r="1195" spans="1:12" x14ac:dyDescent="0.35">
      <c r="A1195" s="9" t="s">
        <v>3505</v>
      </c>
      <c r="B1195" s="10" t="s">
        <v>13</v>
      </c>
      <c r="C1195" s="11" t="s">
        <v>3506</v>
      </c>
      <c r="D1195" s="11" t="s">
        <v>15</v>
      </c>
      <c r="E1195" s="11" t="s">
        <v>118</v>
      </c>
      <c r="F1195" s="12" t="s">
        <v>30</v>
      </c>
      <c r="G1195" s="10">
        <v>6</v>
      </c>
      <c r="H1195" s="10" t="s">
        <v>18</v>
      </c>
      <c r="I1195" s="12" t="s">
        <v>30</v>
      </c>
      <c r="J1195" s="11" t="s">
        <v>3507</v>
      </c>
      <c r="K1195" s="11" t="s">
        <v>25</v>
      </c>
      <c r="L1195" s="13" t="s">
        <v>21</v>
      </c>
    </row>
    <row r="1196" spans="1:12" x14ac:dyDescent="0.35">
      <c r="A1196" s="14" t="s">
        <v>3508</v>
      </c>
      <c r="B1196" s="15" t="s">
        <v>13</v>
      </c>
      <c r="C1196" s="16" t="s">
        <v>3509</v>
      </c>
      <c r="D1196" s="16" t="s">
        <v>34</v>
      </c>
      <c r="E1196" s="16" t="s">
        <v>178</v>
      </c>
      <c r="F1196" s="17" t="s">
        <v>118</v>
      </c>
      <c r="G1196" s="15">
        <v>10</v>
      </c>
      <c r="H1196" s="15" t="s">
        <v>18</v>
      </c>
      <c r="I1196" s="17" t="s">
        <v>118</v>
      </c>
      <c r="J1196" s="16" t="s">
        <v>3510</v>
      </c>
      <c r="K1196" s="16" t="s">
        <v>130</v>
      </c>
      <c r="L1196" s="18" t="s">
        <v>26</v>
      </c>
    </row>
    <row r="1197" spans="1:12" ht="15" customHeight="1" x14ac:dyDescent="0.35">
      <c r="A1197" s="19" t="s">
        <v>3511</v>
      </c>
      <c r="B1197" s="20" t="s">
        <v>13</v>
      </c>
      <c r="C1197" s="21" t="s">
        <v>3512</v>
      </c>
      <c r="D1197" s="21" t="s">
        <v>90</v>
      </c>
      <c r="E1197" s="21" t="s">
        <v>104</v>
      </c>
      <c r="F1197" s="22" t="s">
        <v>118</v>
      </c>
      <c r="G1197" s="20">
        <v>4</v>
      </c>
      <c r="H1197" s="20" t="s">
        <v>18</v>
      </c>
      <c r="I1197" s="22" t="s">
        <v>36</v>
      </c>
      <c r="J1197" s="21" t="s">
        <v>3513</v>
      </c>
      <c r="K1197" s="21" t="s">
        <v>39</v>
      </c>
      <c r="L1197" s="23" t="s">
        <v>26</v>
      </c>
    </row>
    <row r="1198" spans="1:12" x14ac:dyDescent="0.35">
      <c r="A1198" s="24" t="s">
        <v>3514</v>
      </c>
      <c r="B1198" s="24" t="s">
        <v>13</v>
      </c>
      <c r="C1198" s="24" t="s">
        <v>3515</v>
      </c>
      <c r="D1198" s="24" t="s">
        <v>90</v>
      </c>
      <c r="E1198" s="24" t="s">
        <v>62</v>
      </c>
      <c r="F1198" s="25" t="s">
        <v>70</v>
      </c>
      <c r="G1198" s="24">
        <v>10</v>
      </c>
      <c r="H1198" s="24" t="s">
        <v>42</v>
      </c>
      <c r="I1198" s="25"/>
      <c r="J1198" s="24" t="s">
        <v>3516</v>
      </c>
      <c r="K1198" s="24" t="s">
        <v>39</v>
      </c>
      <c r="L1198" s="24" t="s">
        <v>26</v>
      </c>
    </row>
    <row r="1199" spans="1:12" ht="15" customHeight="1" x14ac:dyDescent="0.35">
      <c r="A1199" s="43" t="s">
        <v>3517</v>
      </c>
      <c r="B1199" s="44" t="s">
        <v>13</v>
      </c>
      <c r="C1199" s="45" t="s">
        <v>3518</v>
      </c>
      <c r="D1199" s="45" t="s">
        <v>15</v>
      </c>
      <c r="E1199" s="45" t="s">
        <v>97</v>
      </c>
      <c r="F1199" s="46" t="s">
        <v>113</v>
      </c>
      <c r="G1199" s="44">
        <v>4</v>
      </c>
      <c r="H1199" s="44" t="s">
        <v>18</v>
      </c>
      <c r="I1199" s="46" t="s">
        <v>23</v>
      </c>
      <c r="J1199" s="45" t="s">
        <v>3519</v>
      </c>
      <c r="K1199" s="45" t="s">
        <v>25</v>
      </c>
      <c r="L1199" s="47" t="s">
        <v>21</v>
      </c>
    </row>
    <row r="1200" spans="1:12" x14ac:dyDescent="0.35">
      <c r="A1200" s="24" t="s">
        <v>3520</v>
      </c>
      <c r="B1200" s="24" t="s">
        <v>13</v>
      </c>
      <c r="C1200" s="24" t="s">
        <v>3521</v>
      </c>
      <c r="D1200" s="24" t="s">
        <v>15</v>
      </c>
      <c r="E1200" s="24" t="s">
        <v>104</v>
      </c>
      <c r="F1200" s="25" t="s">
        <v>37</v>
      </c>
      <c r="G1200" s="24">
        <v>5</v>
      </c>
      <c r="H1200" s="24" t="s">
        <v>42</v>
      </c>
      <c r="I1200" s="25"/>
      <c r="J1200" s="24" t="s">
        <v>3522</v>
      </c>
      <c r="K1200" s="24" t="s">
        <v>25</v>
      </c>
      <c r="L1200" s="24" t="s">
        <v>21</v>
      </c>
    </row>
    <row r="1201" spans="1:12" x14ac:dyDescent="0.35">
      <c r="A1201" s="26" t="s">
        <v>3523</v>
      </c>
      <c r="B1201" s="27" t="s">
        <v>13</v>
      </c>
      <c r="C1201" s="28" t="s">
        <v>3524</v>
      </c>
      <c r="D1201" s="28" t="s">
        <v>78</v>
      </c>
      <c r="E1201" s="28" t="s">
        <v>29</v>
      </c>
      <c r="F1201" s="29" t="s">
        <v>52</v>
      </c>
      <c r="G1201" s="27">
        <v>8</v>
      </c>
      <c r="H1201" s="27" t="s">
        <v>18</v>
      </c>
      <c r="I1201" s="29" t="s">
        <v>52</v>
      </c>
      <c r="J1201" s="28" t="s">
        <v>3525</v>
      </c>
      <c r="K1201" s="28" t="s">
        <v>39</v>
      </c>
      <c r="L1201" s="30" t="s">
        <v>21</v>
      </c>
    </row>
    <row r="1202" spans="1:12" x14ac:dyDescent="0.35">
      <c r="A1202" s="14" t="s">
        <v>3526</v>
      </c>
      <c r="B1202" s="15" t="s">
        <v>13</v>
      </c>
      <c r="C1202" s="16" t="s">
        <v>3527</v>
      </c>
      <c r="D1202" s="16" t="s">
        <v>34</v>
      </c>
      <c r="E1202" s="16" t="s">
        <v>104</v>
      </c>
      <c r="F1202" s="17" t="s">
        <v>118</v>
      </c>
      <c r="G1202" s="15">
        <v>4</v>
      </c>
      <c r="H1202" s="15" t="s">
        <v>18</v>
      </c>
      <c r="I1202" s="17" t="s">
        <v>118</v>
      </c>
      <c r="J1202" s="16" t="s">
        <v>3528</v>
      </c>
      <c r="K1202" s="16" t="s">
        <v>25</v>
      </c>
      <c r="L1202" s="18" t="s">
        <v>21</v>
      </c>
    </row>
    <row r="1203" spans="1:12" x14ac:dyDescent="0.35">
      <c r="A1203" s="9" t="s">
        <v>3529</v>
      </c>
      <c r="B1203" s="10" t="s">
        <v>13</v>
      </c>
      <c r="C1203" s="11" t="s">
        <v>3530</v>
      </c>
      <c r="D1203" s="11" t="s">
        <v>90</v>
      </c>
      <c r="E1203" s="11" t="s">
        <v>52</v>
      </c>
      <c r="F1203" s="12" t="s">
        <v>17</v>
      </c>
      <c r="G1203" s="10">
        <v>2</v>
      </c>
      <c r="H1203" s="10" t="s">
        <v>18</v>
      </c>
      <c r="I1203" s="12" t="s">
        <v>17</v>
      </c>
      <c r="J1203" s="11" t="s">
        <v>3531</v>
      </c>
      <c r="K1203" s="11" t="s">
        <v>25</v>
      </c>
      <c r="L1203" s="13" t="s">
        <v>26</v>
      </c>
    </row>
    <row r="1204" spans="1:12" x14ac:dyDescent="0.35">
      <c r="A1204" s="14" t="s">
        <v>3532</v>
      </c>
      <c r="B1204" s="15" t="s">
        <v>13</v>
      </c>
      <c r="C1204" s="16" t="s">
        <v>3533</v>
      </c>
      <c r="D1204" s="16" t="s">
        <v>90</v>
      </c>
      <c r="E1204" s="16" t="s">
        <v>149</v>
      </c>
      <c r="F1204" s="17" t="s">
        <v>29</v>
      </c>
      <c r="G1204" s="15">
        <v>9</v>
      </c>
      <c r="H1204" s="15" t="s">
        <v>18</v>
      </c>
      <c r="I1204" s="17" t="s">
        <v>97</v>
      </c>
      <c r="J1204" s="16" t="s">
        <v>3534</v>
      </c>
      <c r="K1204" s="16" t="s">
        <v>195</v>
      </c>
      <c r="L1204" s="18" t="s">
        <v>21</v>
      </c>
    </row>
    <row r="1205" spans="1:12" x14ac:dyDescent="0.35">
      <c r="A1205" s="9" t="s">
        <v>3535</v>
      </c>
      <c r="B1205" s="10" t="s">
        <v>13</v>
      </c>
      <c r="C1205" s="11" t="s">
        <v>3536</v>
      </c>
      <c r="D1205" s="11" t="s">
        <v>34</v>
      </c>
      <c r="E1205" s="11" t="s">
        <v>97</v>
      </c>
      <c r="F1205" s="12" t="s">
        <v>70</v>
      </c>
      <c r="G1205" s="10">
        <v>9</v>
      </c>
      <c r="H1205" s="10" t="s">
        <v>18</v>
      </c>
      <c r="I1205" s="12" t="s">
        <v>70</v>
      </c>
      <c r="J1205" s="11" t="s">
        <v>3537</v>
      </c>
      <c r="K1205" s="11" t="s">
        <v>44</v>
      </c>
      <c r="L1205" s="13" t="s">
        <v>21</v>
      </c>
    </row>
    <row r="1206" spans="1:12" x14ac:dyDescent="0.35">
      <c r="A1206" s="14" t="s">
        <v>3538</v>
      </c>
      <c r="B1206" s="15" t="s">
        <v>13</v>
      </c>
      <c r="C1206" s="16" t="s">
        <v>3539</v>
      </c>
      <c r="D1206" s="16" t="s">
        <v>34</v>
      </c>
      <c r="E1206" s="16" t="s">
        <v>104</v>
      </c>
      <c r="F1206" s="17" t="s">
        <v>97</v>
      </c>
      <c r="G1206" s="15">
        <v>3</v>
      </c>
      <c r="H1206" s="15" t="s">
        <v>18</v>
      </c>
      <c r="I1206" s="17" t="s">
        <v>118</v>
      </c>
      <c r="J1206" s="16" t="s">
        <v>3540</v>
      </c>
      <c r="K1206" s="16" t="s">
        <v>115</v>
      </c>
      <c r="L1206" s="18" t="s">
        <v>21</v>
      </c>
    </row>
    <row r="1207" spans="1:12" x14ac:dyDescent="0.35">
      <c r="A1207" s="9" t="s">
        <v>3541</v>
      </c>
      <c r="B1207" s="10" t="s">
        <v>13</v>
      </c>
      <c r="C1207" s="11" t="s">
        <v>3542</v>
      </c>
      <c r="D1207" s="11" t="s">
        <v>34</v>
      </c>
      <c r="E1207" s="11" t="s">
        <v>149</v>
      </c>
      <c r="F1207" s="12" t="s">
        <v>66</v>
      </c>
      <c r="G1207" s="10">
        <v>4</v>
      </c>
      <c r="H1207" s="10" t="s">
        <v>18</v>
      </c>
      <c r="I1207" s="12" t="s">
        <v>51</v>
      </c>
      <c r="J1207" s="11" t="s">
        <v>3543</v>
      </c>
      <c r="K1207" s="11" t="s">
        <v>39</v>
      </c>
      <c r="L1207" s="13" t="s">
        <v>21</v>
      </c>
    </row>
    <row r="1208" spans="1:12" x14ac:dyDescent="0.35">
      <c r="A1208" s="14" t="s">
        <v>3544</v>
      </c>
      <c r="B1208" s="15" t="s">
        <v>13</v>
      </c>
      <c r="C1208" s="16" t="s">
        <v>3545</v>
      </c>
      <c r="D1208" s="16" t="s">
        <v>34</v>
      </c>
      <c r="E1208" s="16" t="s">
        <v>82</v>
      </c>
      <c r="F1208" s="17" t="s">
        <v>29</v>
      </c>
      <c r="G1208" s="15">
        <v>6</v>
      </c>
      <c r="H1208" s="15" t="s">
        <v>18</v>
      </c>
      <c r="I1208" s="17" t="s">
        <v>62</v>
      </c>
      <c r="J1208" s="16" t="s">
        <v>3546</v>
      </c>
      <c r="K1208" s="16" t="s">
        <v>130</v>
      </c>
      <c r="L1208" s="18" t="s">
        <v>21</v>
      </c>
    </row>
    <row r="1209" spans="1:12" ht="15" customHeight="1" x14ac:dyDescent="0.35">
      <c r="A1209" s="19" t="s">
        <v>3547</v>
      </c>
      <c r="B1209" s="20" t="s">
        <v>13</v>
      </c>
      <c r="C1209" s="21" t="s">
        <v>3548</v>
      </c>
      <c r="D1209" s="21" t="s">
        <v>34</v>
      </c>
      <c r="E1209" s="21" t="s">
        <v>133</v>
      </c>
      <c r="F1209" s="22" t="s">
        <v>113</v>
      </c>
      <c r="G1209" s="20">
        <v>8</v>
      </c>
      <c r="H1209" s="20" t="s">
        <v>18</v>
      </c>
      <c r="I1209" s="22" t="s">
        <v>23</v>
      </c>
      <c r="J1209" s="21" t="s">
        <v>3549</v>
      </c>
      <c r="K1209" s="21" t="s">
        <v>115</v>
      </c>
      <c r="L1209" s="23" t="s">
        <v>26</v>
      </c>
    </row>
    <row r="1210" spans="1:12" x14ac:dyDescent="0.35">
      <c r="A1210" s="24" t="s">
        <v>3550</v>
      </c>
      <c r="B1210" s="24" t="s">
        <v>13</v>
      </c>
      <c r="C1210" s="24" t="s">
        <v>3551</v>
      </c>
      <c r="D1210" s="24" t="s">
        <v>15</v>
      </c>
      <c r="E1210" s="24" t="s">
        <v>51</v>
      </c>
      <c r="F1210" s="25" t="s">
        <v>70</v>
      </c>
      <c r="G1210" s="24">
        <v>14</v>
      </c>
      <c r="H1210" s="24" t="s">
        <v>42</v>
      </c>
      <c r="I1210" s="25"/>
      <c r="J1210" s="24" t="s">
        <v>3552</v>
      </c>
      <c r="K1210" s="24" t="s">
        <v>25</v>
      </c>
      <c r="L1210" s="24" t="s">
        <v>26</v>
      </c>
    </row>
    <row r="1211" spans="1:12" x14ac:dyDescent="0.35">
      <c r="A1211" s="26" t="s">
        <v>3553</v>
      </c>
      <c r="B1211" s="27" t="s">
        <v>13</v>
      </c>
      <c r="C1211" s="28" t="s">
        <v>3554</v>
      </c>
      <c r="D1211" s="28" t="s">
        <v>34</v>
      </c>
      <c r="E1211" s="28" t="s">
        <v>36</v>
      </c>
      <c r="F1211" s="29" t="s">
        <v>23</v>
      </c>
      <c r="G1211" s="27">
        <v>3</v>
      </c>
      <c r="H1211" s="27" t="s">
        <v>18</v>
      </c>
      <c r="I1211" s="29" t="s">
        <v>23</v>
      </c>
      <c r="J1211" s="28" t="s">
        <v>3555</v>
      </c>
      <c r="K1211" s="28" t="s">
        <v>44</v>
      </c>
      <c r="L1211" s="30" t="s">
        <v>21</v>
      </c>
    </row>
    <row r="1212" spans="1:12" x14ac:dyDescent="0.35">
      <c r="A1212" s="14" t="s">
        <v>3556</v>
      </c>
      <c r="B1212" s="15" t="s">
        <v>13</v>
      </c>
      <c r="C1212" s="16" t="s">
        <v>3557</v>
      </c>
      <c r="D1212" s="16" t="s">
        <v>34</v>
      </c>
      <c r="E1212" s="16" t="s">
        <v>104</v>
      </c>
      <c r="F1212" s="17" t="s">
        <v>118</v>
      </c>
      <c r="G1212" s="15">
        <v>4</v>
      </c>
      <c r="H1212" s="15" t="s">
        <v>18</v>
      </c>
      <c r="I1212" s="17" t="s">
        <v>36</v>
      </c>
      <c r="J1212" s="16" t="s">
        <v>3558</v>
      </c>
      <c r="K1212" s="16" t="s">
        <v>115</v>
      </c>
      <c r="L1212" s="18" t="s">
        <v>21</v>
      </c>
    </row>
    <row r="1213" spans="1:12" x14ac:dyDescent="0.35">
      <c r="A1213" s="9" t="s">
        <v>3559</v>
      </c>
      <c r="B1213" s="10" t="s">
        <v>13</v>
      </c>
      <c r="C1213" s="11" t="s">
        <v>3560</v>
      </c>
      <c r="D1213" s="11" t="s">
        <v>90</v>
      </c>
      <c r="E1213" s="11" t="s">
        <v>104</v>
      </c>
      <c r="F1213" s="12" t="s">
        <v>118</v>
      </c>
      <c r="G1213" s="10">
        <v>4</v>
      </c>
      <c r="H1213" s="10" t="s">
        <v>18</v>
      </c>
      <c r="I1213" s="12" t="s">
        <v>36</v>
      </c>
      <c r="J1213" s="11" t="s">
        <v>3561</v>
      </c>
      <c r="K1213" s="11" t="s">
        <v>39</v>
      </c>
      <c r="L1213" s="13" t="s">
        <v>26</v>
      </c>
    </row>
    <row r="1214" spans="1:12" ht="15" customHeight="1" x14ac:dyDescent="0.35">
      <c r="A1214" s="31" t="s">
        <v>3562</v>
      </c>
      <c r="B1214" s="32" t="s">
        <v>13</v>
      </c>
      <c r="C1214" s="33" t="s">
        <v>3563</v>
      </c>
      <c r="D1214" s="33" t="s">
        <v>34</v>
      </c>
      <c r="E1214" s="33" t="s">
        <v>62</v>
      </c>
      <c r="F1214" s="34" t="s">
        <v>37</v>
      </c>
      <c r="G1214" s="32">
        <v>4</v>
      </c>
      <c r="H1214" s="32" t="s">
        <v>18</v>
      </c>
      <c r="I1214" s="34" t="s">
        <v>30</v>
      </c>
      <c r="J1214" s="33" t="s">
        <v>1984</v>
      </c>
      <c r="K1214" s="33" t="s">
        <v>130</v>
      </c>
      <c r="L1214" s="35" t="s">
        <v>21</v>
      </c>
    </row>
    <row r="1215" spans="1:12" x14ac:dyDescent="0.35">
      <c r="A1215" s="36" t="s">
        <v>3564</v>
      </c>
      <c r="B1215" s="36" t="s">
        <v>13</v>
      </c>
      <c r="C1215" s="36" t="s">
        <v>3565</v>
      </c>
      <c r="D1215" s="36" t="s">
        <v>34</v>
      </c>
      <c r="E1215" s="36" t="s">
        <v>453</v>
      </c>
      <c r="F1215" s="37" t="s">
        <v>66</v>
      </c>
      <c r="G1215" s="36">
        <v>9</v>
      </c>
      <c r="H1215" s="36" t="s">
        <v>109</v>
      </c>
      <c r="I1215" s="37"/>
      <c r="J1215" s="36" t="s">
        <v>3566</v>
      </c>
      <c r="K1215" s="36" t="s">
        <v>241</v>
      </c>
      <c r="L1215" s="36" t="s">
        <v>21</v>
      </c>
    </row>
    <row r="1216" spans="1:12" x14ac:dyDescent="0.35">
      <c r="A1216" s="24" t="s">
        <v>3567</v>
      </c>
      <c r="B1216" s="24" t="s">
        <v>13</v>
      </c>
      <c r="C1216" s="24" t="s">
        <v>3568</v>
      </c>
      <c r="D1216" s="24" t="s">
        <v>15</v>
      </c>
      <c r="E1216" s="24" t="s">
        <v>29</v>
      </c>
      <c r="F1216" s="25" t="s">
        <v>36</v>
      </c>
      <c r="G1216" s="24">
        <v>3</v>
      </c>
      <c r="H1216" s="24" t="s">
        <v>42</v>
      </c>
      <c r="I1216" s="25"/>
      <c r="J1216" s="24" t="s">
        <v>3569</v>
      </c>
      <c r="K1216" s="24" t="s">
        <v>25</v>
      </c>
      <c r="L1216" s="24" t="s">
        <v>21</v>
      </c>
    </row>
    <row r="1217" spans="1:12" x14ac:dyDescent="0.35">
      <c r="A1217" s="26" t="s">
        <v>3570</v>
      </c>
      <c r="B1217" s="27" t="s">
        <v>13</v>
      </c>
      <c r="C1217" s="28" t="s">
        <v>3571</v>
      </c>
      <c r="D1217" s="28" t="s">
        <v>34</v>
      </c>
      <c r="E1217" s="28" t="s">
        <v>133</v>
      </c>
      <c r="F1217" s="29" t="s">
        <v>70</v>
      </c>
      <c r="G1217" s="27">
        <v>12</v>
      </c>
      <c r="H1217" s="27" t="s">
        <v>18</v>
      </c>
      <c r="I1217" s="29" t="s">
        <v>70</v>
      </c>
      <c r="J1217" s="28" t="s">
        <v>3572</v>
      </c>
      <c r="K1217" s="28" t="s">
        <v>44</v>
      </c>
      <c r="L1217" s="30" t="s">
        <v>21</v>
      </c>
    </row>
    <row r="1218" spans="1:12" x14ac:dyDescent="0.35">
      <c r="A1218" s="14" t="s">
        <v>3573</v>
      </c>
      <c r="B1218" s="15" t="s">
        <v>13</v>
      </c>
      <c r="C1218" s="16" t="s">
        <v>3574</v>
      </c>
      <c r="D1218" s="16" t="s">
        <v>78</v>
      </c>
      <c r="E1218" s="16" t="s">
        <v>36</v>
      </c>
      <c r="F1218" s="17" t="s">
        <v>52</v>
      </c>
      <c r="G1218" s="15">
        <v>4</v>
      </c>
      <c r="H1218" s="15" t="s">
        <v>18</v>
      </c>
      <c r="I1218" s="17" t="s">
        <v>30</v>
      </c>
      <c r="J1218" s="16" t="s">
        <v>3575</v>
      </c>
      <c r="K1218" s="16" t="s">
        <v>39</v>
      </c>
      <c r="L1218" s="18" t="s">
        <v>26</v>
      </c>
    </row>
    <row r="1219" spans="1:12" x14ac:dyDescent="0.35">
      <c r="A1219" s="9" t="s">
        <v>3576</v>
      </c>
      <c r="B1219" s="10" t="s">
        <v>13</v>
      </c>
      <c r="C1219" s="11" t="s">
        <v>3577</v>
      </c>
      <c r="D1219" s="11" t="s">
        <v>34</v>
      </c>
      <c r="E1219" s="11" t="s">
        <v>47</v>
      </c>
      <c r="F1219" s="12" t="s">
        <v>118</v>
      </c>
      <c r="G1219" s="10">
        <v>6</v>
      </c>
      <c r="H1219" s="10" t="s">
        <v>18</v>
      </c>
      <c r="I1219" s="12" t="s">
        <v>97</v>
      </c>
      <c r="J1219" s="11" t="s">
        <v>3578</v>
      </c>
      <c r="K1219" s="11" t="s">
        <v>130</v>
      </c>
      <c r="L1219" s="13" t="s">
        <v>21</v>
      </c>
    </row>
    <row r="1220" spans="1:12" ht="15" customHeight="1" x14ac:dyDescent="0.35">
      <c r="A1220" s="31" t="s">
        <v>3579</v>
      </c>
      <c r="B1220" s="32" t="s">
        <v>13</v>
      </c>
      <c r="C1220" s="33" t="s">
        <v>3580</v>
      </c>
      <c r="D1220" s="33" t="s">
        <v>15</v>
      </c>
      <c r="E1220" s="33" t="s">
        <v>248</v>
      </c>
      <c r="F1220" s="34" t="s">
        <v>52</v>
      </c>
      <c r="G1220" s="32">
        <v>27</v>
      </c>
      <c r="H1220" s="32" t="s">
        <v>18</v>
      </c>
      <c r="I1220" s="34" t="s">
        <v>30</v>
      </c>
      <c r="J1220" s="33" t="s">
        <v>3581</v>
      </c>
      <c r="K1220" s="33" t="s">
        <v>25</v>
      </c>
      <c r="L1220" s="35" t="s">
        <v>21</v>
      </c>
    </row>
    <row r="1221" spans="1:12" x14ac:dyDescent="0.35">
      <c r="A1221" s="36" t="s">
        <v>3582</v>
      </c>
      <c r="B1221" s="36" t="s">
        <v>13</v>
      </c>
      <c r="C1221" s="36" t="s">
        <v>3583</v>
      </c>
      <c r="D1221" s="36" t="s">
        <v>90</v>
      </c>
      <c r="E1221" s="36" t="s">
        <v>178</v>
      </c>
      <c r="F1221" s="37" t="s">
        <v>66</v>
      </c>
      <c r="G1221" s="36">
        <v>2</v>
      </c>
      <c r="H1221" s="36" t="s">
        <v>109</v>
      </c>
      <c r="I1221" s="37"/>
      <c r="J1221" s="36" t="s">
        <v>3584</v>
      </c>
      <c r="K1221" s="36" t="s">
        <v>25</v>
      </c>
      <c r="L1221" s="36" t="s">
        <v>21</v>
      </c>
    </row>
    <row r="1222" spans="1:12" x14ac:dyDescent="0.35">
      <c r="A1222" s="38" t="s">
        <v>3585</v>
      </c>
      <c r="B1222" s="39" t="s">
        <v>13</v>
      </c>
      <c r="C1222" s="40" t="s">
        <v>3586</v>
      </c>
      <c r="D1222" s="40" t="s">
        <v>34</v>
      </c>
      <c r="E1222" s="40" t="s">
        <v>47</v>
      </c>
      <c r="F1222" s="41" t="s">
        <v>62</v>
      </c>
      <c r="G1222" s="39">
        <v>3</v>
      </c>
      <c r="H1222" s="39" t="s">
        <v>18</v>
      </c>
      <c r="I1222" s="41" t="s">
        <v>62</v>
      </c>
      <c r="J1222" s="40" t="s">
        <v>3587</v>
      </c>
      <c r="K1222" s="40" t="s">
        <v>44</v>
      </c>
      <c r="L1222" s="42" t="s">
        <v>26</v>
      </c>
    </row>
    <row r="1223" spans="1:12" x14ac:dyDescent="0.35">
      <c r="A1223" s="9" t="s">
        <v>3588</v>
      </c>
      <c r="B1223" s="10" t="s">
        <v>13</v>
      </c>
      <c r="C1223" s="11" t="s">
        <v>3589</v>
      </c>
      <c r="D1223" s="11" t="s">
        <v>34</v>
      </c>
      <c r="E1223" s="11" t="s">
        <v>118</v>
      </c>
      <c r="F1223" s="12" t="s">
        <v>23</v>
      </c>
      <c r="G1223" s="10">
        <v>3</v>
      </c>
      <c r="H1223" s="10" t="s">
        <v>18</v>
      </c>
      <c r="I1223" s="12" t="s">
        <v>23</v>
      </c>
      <c r="J1223" s="11" t="s">
        <v>3590</v>
      </c>
      <c r="K1223" s="11" t="s">
        <v>44</v>
      </c>
      <c r="L1223" s="13" t="s">
        <v>21</v>
      </c>
    </row>
    <row r="1224" spans="1:12" x14ac:dyDescent="0.35">
      <c r="A1224" s="14" t="s">
        <v>3591</v>
      </c>
      <c r="B1224" s="15" t="s">
        <v>13</v>
      </c>
      <c r="C1224" s="16" t="s">
        <v>3592</v>
      </c>
      <c r="D1224" s="16" t="s">
        <v>34</v>
      </c>
      <c r="E1224" s="16" t="s">
        <v>51</v>
      </c>
      <c r="F1224" s="17" t="s">
        <v>133</v>
      </c>
      <c r="G1224" s="15">
        <v>2</v>
      </c>
      <c r="H1224" s="15" t="s">
        <v>18</v>
      </c>
      <c r="I1224" s="17" t="s">
        <v>104</v>
      </c>
      <c r="J1224" s="16" t="s">
        <v>3593</v>
      </c>
      <c r="K1224" s="16" t="s">
        <v>44</v>
      </c>
      <c r="L1224" s="18" t="s">
        <v>26</v>
      </c>
    </row>
    <row r="1225" spans="1:12" ht="15" customHeight="1" x14ac:dyDescent="0.35">
      <c r="A1225" s="19" t="s">
        <v>3594</v>
      </c>
      <c r="B1225" s="20" t="s">
        <v>13</v>
      </c>
      <c r="C1225" s="21" t="s">
        <v>3595</v>
      </c>
      <c r="D1225" s="21" t="s">
        <v>34</v>
      </c>
      <c r="E1225" s="21" t="s">
        <v>36</v>
      </c>
      <c r="F1225" s="22" t="s">
        <v>30</v>
      </c>
      <c r="G1225" s="20">
        <v>5</v>
      </c>
      <c r="H1225" s="20" t="s">
        <v>18</v>
      </c>
      <c r="I1225" s="22" t="s">
        <v>30</v>
      </c>
      <c r="J1225" s="21" t="s">
        <v>3596</v>
      </c>
      <c r="K1225" s="21" t="s">
        <v>115</v>
      </c>
      <c r="L1225" s="23" t="s">
        <v>26</v>
      </c>
    </row>
    <row r="1226" spans="1:12" x14ac:dyDescent="0.35">
      <c r="A1226" s="24" t="s">
        <v>3597</v>
      </c>
      <c r="B1226" s="24" t="s">
        <v>13</v>
      </c>
      <c r="C1226" s="24" t="s">
        <v>3598</v>
      </c>
      <c r="D1226" s="24" t="s">
        <v>34</v>
      </c>
      <c r="E1226" s="24" t="s">
        <v>165</v>
      </c>
      <c r="F1226" s="25" t="s">
        <v>37</v>
      </c>
      <c r="G1226" s="24">
        <v>21</v>
      </c>
      <c r="H1226" s="24" t="s">
        <v>42</v>
      </c>
      <c r="I1226" s="25"/>
      <c r="J1226" s="24" t="s">
        <v>3599</v>
      </c>
      <c r="K1226" s="24" t="s">
        <v>25</v>
      </c>
      <c r="L1226" s="24" t="s">
        <v>21</v>
      </c>
    </row>
    <row r="1227" spans="1:12" x14ac:dyDescent="0.35">
      <c r="A1227" s="36" t="s">
        <v>3600</v>
      </c>
      <c r="B1227" s="36" t="s">
        <v>13</v>
      </c>
      <c r="C1227" s="36" t="s">
        <v>3601</v>
      </c>
      <c r="D1227" s="36" t="s">
        <v>34</v>
      </c>
      <c r="E1227" s="36" t="s">
        <v>133</v>
      </c>
      <c r="F1227" s="37" t="s">
        <v>62</v>
      </c>
      <c r="G1227" s="36">
        <v>3</v>
      </c>
      <c r="H1227" s="36" t="s">
        <v>109</v>
      </c>
      <c r="I1227" s="37"/>
      <c r="J1227" s="36" t="s">
        <v>3602</v>
      </c>
      <c r="K1227" s="36" t="s">
        <v>115</v>
      </c>
      <c r="L1227" s="36" t="s">
        <v>21</v>
      </c>
    </row>
    <row r="1228" spans="1:12" ht="15" customHeight="1" x14ac:dyDescent="0.35">
      <c r="A1228" s="48" t="s">
        <v>3603</v>
      </c>
      <c r="B1228" s="49" t="s">
        <v>13</v>
      </c>
      <c r="C1228" s="50" t="s">
        <v>3604</v>
      </c>
      <c r="D1228" s="50" t="s">
        <v>34</v>
      </c>
      <c r="E1228" s="50" t="s">
        <v>149</v>
      </c>
      <c r="F1228" s="51" t="s">
        <v>104</v>
      </c>
      <c r="G1228" s="49">
        <v>8</v>
      </c>
      <c r="H1228" s="49" t="s">
        <v>18</v>
      </c>
      <c r="I1228" s="51" t="s">
        <v>29</v>
      </c>
      <c r="J1228" s="50" t="s">
        <v>3605</v>
      </c>
      <c r="K1228" s="50" t="s">
        <v>293</v>
      </c>
      <c r="L1228" s="52" t="s">
        <v>21</v>
      </c>
    </row>
    <row r="1229" spans="1:12" x14ac:dyDescent="0.35">
      <c r="A1229" s="36" t="s">
        <v>3606</v>
      </c>
      <c r="B1229" s="36" t="s">
        <v>13</v>
      </c>
      <c r="C1229" s="36" t="s">
        <v>3607</v>
      </c>
      <c r="D1229" s="36" t="s">
        <v>34</v>
      </c>
      <c r="E1229" s="36" t="s">
        <v>82</v>
      </c>
      <c r="F1229" s="37" t="s">
        <v>118</v>
      </c>
      <c r="G1229" s="36">
        <v>9</v>
      </c>
      <c r="H1229" s="36" t="s">
        <v>42</v>
      </c>
      <c r="I1229" s="37"/>
      <c r="J1229" s="36" t="s">
        <v>3608</v>
      </c>
      <c r="K1229" s="36" t="s">
        <v>130</v>
      </c>
      <c r="L1229" s="36" t="s">
        <v>21</v>
      </c>
    </row>
    <row r="1230" spans="1:12" x14ac:dyDescent="0.35">
      <c r="A1230" s="38" t="s">
        <v>3609</v>
      </c>
      <c r="B1230" s="39" t="s">
        <v>13</v>
      </c>
      <c r="C1230" s="40" t="s">
        <v>3610</v>
      </c>
      <c r="D1230" s="40" t="s">
        <v>78</v>
      </c>
      <c r="E1230" s="40" t="s">
        <v>36</v>
      </c>
      <c r="F1230" s="41" t="s">
        <v>17</v>
      </c>
      <c r="G1230" s="39">
        <v>5</v>
      </c>
      <c r="H1230" s="39" t="s">
        <v>18</v>
      </c>
      <c r="I1230" s="41" t="s">
        <v>17</v>
      </c>
      <c r="J1230" s="40" t="s">
        <v>3611</v>
      </c>
      <c r="K1230" s="40" t="s">
        <v>39</v>
      </c>
      <c r="L1230" s="42" t="s">
        <v>26</v>
      </c>
    </row>
    <row r="1231" spans="1:12" x14ac:dyDescent="0.35">
      <c r="A1231" s="9" t="s">
        <v>3612</v>
      </c>
      <c r="B1231" s="10" t="s">
        <v>13</v>
      </c>
      <c r="C1231" s="11" t="s">
        <v>3613</v>
      </c>
      <c r="D1231" s="11" t="s">
        <v>34</v>
      </c>
      <c r="E1231" s="11" t="s">
        <v>29</v>
      </c>
      <c r="F1231" s="12" t="s">
        <v>97</v>
      </c>
      <c r="G1231" s="10">
        <v>2</v>
      </c>
      <c r="H1231" s="10" t="s">
        <v>18</v>
      </c>
      <c r="I1231" s="12" t="s">
        <v>97</v>
      </c>
      <c r="J1231" s="11" t="s">
        <v>3614</v>
      </c>
      <c r="K1231" s="11" t="s">
        <v>25</v>
      </c>
      <c r="L1231" s="13" t="s">
        <v>21</v>
      </c>
    </row>
    <row r="1232" spans="1:12" x14ac:dyDescent="0.35">
      <c r="A1232" s="14" t="s">
        <v>3615</v>
      </c>
      <c r="B1232" s="15" t="s">
        <v>13</v>
      </c>
      <c r="C1232" s="16" t="s">
        <v>3616</v>
      </c>
      <c r="D1232" s="16" t="s">
        <v>34</v>
      </c>
      <c r="E1232" s="16" t="s">
        <v>51</v>
      </c>
      <c r="F1232" s="17" t="s">
        <v>52</v>
      </c>
      <c r="G1232" s="15">
        <v>12</v>
      </c>
      <c r="H1232" s="15" t="s">
        <v>18</v>
      </c>
      <c r="I1232" s="17" t="s">
        <v>52</v>
      </c>
      <c r="J1232" s="16" t="s">
        <v>3617</v>
      </c>
      <c r="K1232" s="16" t="s">
        <v>25</v>
      </c>
      <c r="L1232" s="18" t="s">
        <v>21</v>
      </c>
    </row>
    <row r="1233" spans="1:12" x14ac:dyDescent="0.35">
      <c r="A1233" s="9" t="s">
        <v>3618</v>
      </c>
      <c r="B1233" s="10" t="s">
        <v>13</v>
      </c>
      <c r="C1233" s="11" t="s">
        <v>3619</v>
      </c>
      <c r="D1233" s="11" t="s">
        <v>34</v>
      </c>
      <c r="E1233" s="11" t="s">
        <v>66</v>
      </c>
      <c r="F1233" s="12" t="s">
        <v>62</v>
      </c>
      <c r="G1233" s="10">
        <v>6</v>
      </c>
      <c r="H1233" s="10" t="s">
        <v>18</v>
      </c>
      <c r="I1233" s="12" t="s">
        <v>62</v>
      </c>
      <c r="J1233" s="11" t="s">
        <v>3620</v>
      </c>
      <c r="K1233" s="11" t="s">
        <v>130</v>
      </c>
      <c r="L1233" s="13" t="s">
        <v>21</v>
      </c>
    </row>
    <row r="1234" spans="1:12" x14ac:dyDescent="0.35">
      <c r="A1234" s="14" t="s">
        <v>3621</v>
      </c>
      <c r="B1234" s="15" t="s">
        <v>13</v>
      </c>
      <c r="C1234" s="16" t="s">
        <v>3622</v>
      </c>
      <c r="D1234" s="16" t="s">
        <v>90</v>
      </c>
      <c r="E1234" s="16" t="s">
        <v>62</v>
      </c>
      <c r="F1234" s="17" t="s">
        <v>37</v>
      </c>
      <c r="G1234" s="15">
        <v>3</v>
      </c>
      <c r="H1234" s="15" t="s">
        <v>18</v>
      </c>
      <c r="I1234" s="17" t="s">
        <v>23</v>
      </c>
      <c r="J1234" s="16" t="s">
        <v>3623</v>
      </c>
      <c r="K1234" s="16" t="s">
        <v>25</v>
      </c>
      <c r="L1234" s="18" t="s">
        <v>26</v>
      </c>
    </row>
    <row r="1235" spans="1:12" x14ac:dyDescent="0.35">
      <c r="A1235" s="9" t="s">
        <v>3624</v>
      </c>
      <c r="B1235" s="10" t="s">
        <v>13</v>
      </c>
      <c r="C1235" s="11" t="s">
        <v>3625</v>
      </c>
      <c r="D1235" s="11" t="s">
        <v>15</v>
      </c>
      <c r="E1235" s="11" t="s">
        <v>457</v>
      </c>
      <c r="F1235" s="12" t="s">
        <v>29</v>
      </c>
      <c r="G1235" s="10">
        <v>12</v>
      </c>
      <c r="H1235" s="10" t="s">
        <v>18</v>
      </c>
      <c r="I1235" s="12" t="s">
        <v>29</v>
      </c>
      <c r="J1235" s="11" t="s">
        <v>3626</v>
      </c>
      <c r="K1235" s="11" t="s">
        <v>25</v>
      </c>
      <c r="L1235" s="13" t="s">
        <v>21</v>
      </c>
    </row>
    <row r="1236" spans="1:12" x14ac:dyDescent="0.35">
      <c r="A1236" s="14" t="s">
        <v>3627</v>
      </c>
      <c r="B1236" s="15" t="s">
        <v>13</v>
      </c>
      <c r="C1236" s="16" t="s">
        <v>3628</v>
      </c>
      <c r="D1236" s="16" t="s">
        <v>34</v>
      </c>
      <c r="E1236" s="16" t="s">
        <v>133</v>
      </c>
      <c r="F1236" s="17" t="s">
        <v>17</v>
      </c>
      <c r="G1236" s="15">
        <v>12</v>
      </c>
      <c r="H1236" s="15" t="s">
        <v>18</v>
      </c>
      <c r="I1236" s="17" t="s">
        <v>17</v>
      </c>
      <c r="J1236" s="16" t="s">
        <v>3629</v>
      </c>
      <c r="K1236" s="16" t="s">
        <v>44</v>
      </c>
      <c r="L1236" s="18" t="s">
        <v>21</v>
      </c>
    </row>
    <row r="1237" spans="1:12" x14ac:dyDescent="0.35">
      <c r="A1237" s="9" t="s">
        <v>3630</v>
      </c>
      <c r="B1237" s="10" t="s">
        <v>13</v>
      </c>
      <c r="C1237" s="11" t="s">
        <v>3631</v>
      </c>
      <c r="D1237" s="11" t="s">
        <v>34</v>
      </c>
      <c r="E1237" s="11" t="s">
        <v>35</v>
      </c>
      <c r="F1237" s="12" t="s">
        <v>23</v>
      </c>
      <c r="G1237" s="10">
        <v>15</v>
      </c>
      <c r="H1237" s="10" t="s">
        <v>18</v>
      </c>
      <c r="I1237" s="12" t="s">
        <v>52</v>
      </c>
      <c r="J1237" s="11" t="s">
        <v>3632</v>
      </c>
      <c r="K1237" s="11" t="s">
        <v>25</v>
      </c>
      <c r="L1237" s="13" t="s">
        <v>21</v>
      </c>
    </row>
    <row r="1238" spans="1:12" x14ac:dyDescent="0.35">
      <c r="A1238" s="14" t="s">
        <v>3633</v>
      </c>
      <c r="B1238" s="15" t="s">
        <v>13</v>
      </c>
      <c r="C1238" s="16" t="s">
        <v>3634</v>
      </c>
      <c r="D1238" s="16" t="s">
        <v>15</v>
      </c>
      <c r="E1238" s="16" t="s">
        <v>113</v>
      </c>
      <c r="F1238" s="17" t="s">
        <v>30</v>
      </c>
      <c r="G1238" s="15">
        <v>3</v>
      </c>
      <c r="H1238" s="15" t="s">
        <v>18</v>
      </c>
      <c r="I1238" s="17" t="s">
        <v>30</v>
      </c>
      <c r="J1238" s="16" t="s">
        <v>3635</v>
      </c>
      <c r="K1238" s="16" t="s">
        <v>25</v>
      </c>
      <c r="L1238" s="18" t="s">
        <v>21</v>
      </c>
    </row>
    <row r="1239" spans="1:12" x14ac:dyDescent="0.35">
      <c r="A1239" s="9" t="s">
        <v>3636</v>
      </c>
      <c r="B1239" s="10" t="s">
        <v>13</v>
      </c>
      <c r="C1239" s="11" t="s">
        <v>3637</v>
      </c>
      <c r="D1239" s="11" t="s">
        <v>34</v>
      </c>
      <c r="E1239" s="11" t="s">
        <v>36</v>
      </c>
      <c r="F1239" s="12" t="s">
        <v>30</v>
      </c>
      <c r="G1239" s="10">
        <v>4</v>
      </c>
      <c r="H1239" s="10" t="s">
        <v>18</v>
      </c>
      <c r="I1239" s="12" t="s">
        <v>30</v>
      </c>
      <c r="J1239" s="11" t="s">
        <v>1462</v>
      </c>
      <c r="K1239" s="11" t="s">
        <v>25</v>
      </c>
      <c r="L1239" s="13" t="s">
        <v>21</v>
      </c>
    </row>
    <row r="1240" spans="1:12" x14ac:dyDescent="0.35">
      <c r="A1240" s="14" t="s">
        <v>3638</v>
      </c>
      <c r="B1240" s="15" t="s">
        <v>13</v>
      </c>
      <c r="C1240" s="16" t="s">
        <v>3639</v>
      </c>
      <c r="D1240" s="16" t="s">
        <v>15</v>
      </c>
      <c r="E1240" s="16" t="s">
        <v>104</v>
      </c>
      <c r="F1240" s="17" t="s">
        <v>97</v>
      </c>
      <c r="G1240" s="15">
        <v>2</v>
      </c>
      <c r="H1240" s="15" t="s">
        <v>18</v>
      </c>
      <c r="I1240" s="17" t="s">
        <v>97</v>
      </c>
      <c r="J1240" s="16" t="s">
        <v>3640</v>
      </c>
      <c r="K1240" s="16" t="s">
        <v>25</v>
      </c>
      <c r="L1240" s="18" t="s">
        <v>26</v>
      </c>
    </row>
    <row r="1241" spans="1:12" x14ac:dyDescent="0.35">
      <c r="A1241" s="9" t="s">
        <v>3641</v>
      </c>
      <c r="B1241" s="10" t="s">
        <v>13</v>
      </c>
      <c r="C1241" s="11" t="s">
        <v>3642</v>
      </c>
      <c r="D1241" s="11" t="s">
        <v>34</v>
      </c>
      <c r="E1241" s="11" t="s">
        <v>97</v>
      </c>
      <c r="F1241" s="12" t="s">
        <v>17</v>
      </c>
      <c r="G1241" s="10">
        <v>8</v>
      </c>
      <c r="H1241" s="10" t="s">
        <v>18</v>
      </c>
      <c r="I1241" s="12" t="s">
        <v>17</v>
      </c>
      <c r="J1241" s="11" t="s">
        <v>3643</v>
      </c>
      <c r="K1241" s="11" t="s">
        <v>115</v>
      </c>
      <c r="L1241" s="13" t="s">
        <v>26</v>
      </c>
    </row>
    <row r="1242" spans="1:12" x14ac:dyDescent="0.35">
      <c r="A1242" s="14" t="s">
        <v>3644</v>
      </c>
      <c r="B1242" s="15" t="s">
        <v>13</v>
      </c>
      <c r="C1242" s="16" t="s">
        <v>3645</v>
      </c>
      <c r="D1242" s="16" t="s">
        <v>34</v>
      </c>
      <c r="E1242" s="16" t="s">
        <v>35</v>
      </c>
      <c r="F1242" s="17" t="s">
        <v>52</v>
      </c>
      <c r="G1242" s="15">
        <v>15</v>
      </c>
      <c r="H1242" s="15" t="s">
        <v>18</v>
      </c>
      <c r="I1242" s="17" t="s">
        <v>17</v>
      </c>
      <c r="J1242" s="16" t="s">
        <v>3646</v>
      </c>
      <c r="K1242" s="16" t="s">
        <v>130</v>
      </c>
      <c r="L1242" s="18" t="s">
        <v>21</v>
      </c>
    </row>
    <row r="1243" spans="1:12" x14ac:dyDescent="0.35">
      <c r="A1243" s="9" t="s">
        <v>3647</v>
      </c>
      <c r="B1243" s="10" t="s">
        <v>13</v>
      </c>
      <c r="C1243" s="11" t="s">
        <v>3648</v>
      </c>
      <c r="D1243" s="11" t="s">
        <v>34</v>
      </c>
      <c r="E1243" s="11" t="s">
        <v>104</v>
      </c>
      <c r="F1243" s="12" t="s">
        <v>118</v>
      </c>
      <c r="G1243" s="10">
        <v>4</v>
      </c>
      <c r="H1243" s="10" t="s">
        <v>18</v>
      </c>
      <c r="I1243" s="12" t="s">
        <v>118</v>
      </c>
      <c r="J1243" s="11" t="s">
        <v>3649</v>
      </c>
      <c r="K1243" s="11" t="s">
        <v>25</v>
      </c>
      <c r="L1243" s="13" t="s">
        <v>21</v>
      </c>
    </row>
    <row r="1244" spans="1:12" x14ac:dyDescent="0.35">
      <c r="A1244" s="14" t="s">
        <v>3650</v>
      </c>
      <c r="B1244" s="15" t="s">
        <v>13</v>
      </c>
      <c r="C1244" s="16" t="s">
        <v>3651</v>
      </c>
      <c r="D1244" s="16" t="s">
        <v>34</v>
      </c>
      <c r="E1244" s="16" t="s">
        <v>97</v>
      </c>
      <c r="F1244" s="17" t="s">
        <v>52</v>
      </c>
      <c r="G1244" s="15">
        <v>5</v>
      </c>
      <c r="H1244" s="15" t="s">
        <v>18</v>
      </c>
      <c r="I1244" s="17" t="s">
        <v>52</v>
      </c>
      <c r="J1244" s="16" t="s">
        <v>3652</v>
      </c>
      <c r="K1244" s="16" t="s">
        <v>44</v>
      </c>
      <c r="L1244" s="18" t="s">
        <v>21</v>
      </c>
    </row>
    <row r="1245" spans="1:12" x14ac:dyDescent="0.35">
      <c r="A1245" s="9" t="s">
        <v>3653</v>
      </c>
      <c r="B1245" s="10" t="s">
        <v>13</v>
      </c>
      <c r="C1245" s="11" t="s">
        <v>3654</v>
      </c>
      <c r="D1245" s="11" t="s">
        <v>78</v>
      </c>
      <c r="E1245" s="11" t="s">
        <v>133</v>
      </c>
      <c r="F1245" s="12" t="s">
        <v>62</v>
      </c>
      <c r="G1245" s="10">
        <v>3</v>
      </c>
      <c r="H1245" s="10" t="s">
        <v>18</v>
      </c>
      <c r="I1245" s="12" t="s">
        <v>97</v>
      </c>
      <c r="J1245" s="11" t="s">
        <v>3655</v>
      </c>
      <c r="K1245" s="11" t="s">
        <v>39</v>
      </c>
      <c r="L1245" s="13" t="s">
        <v>21</v>
      </c>
    </row>
    <row r="1246" spans="1:12" x14ac:dyDescent="0.35">
      <c r="A1246" s="14" t="s">
        <v>3656</v>
      </c>
      <c r="B1246" s="15" t="s">
        <v>13</v>
      </c>
      <c r="C1246" s="16" t="s">
        <v>3657</v>
      </c>
      <c r="D1246" s="16" t="s">
        <v>34</v>
      </c>
      <c r="E1246" s="16" t="s">
        <v>133</v>
      </c>
      <c r="F1246" s="17" t="s">
        <v>62</v>
      </c>
      <c r="G1246" s="15">
        <v>3</v>
      </c>
      <c r="H1246" s="15" t="s">
        <v>18</v>
      </c>
      <c r="I1246" s="17" t="s">
        <v>97</v>
      </c>
      <c r="J1246" s="16" t="s">
        <v>2973</v>
      </c>
      <c r="K1246" s="16" t="s">
        <v>130</v>
      </c>
      <c r="L1246" s="18" t="s">
        <v>26</v>
      </c>
    </row>
    <row r="1247" spans="1:12" ht="15" customHeight="1" x14ac:dyDescent="0.35">
      <c r="A1247" s="19" t="s">
        <v>3658</v>
      </c>
      <c r="B1247" s="20" t="s">
        <v>13</v>
      </c>
      <c r="C1247" s="21" t="s">
        <v>3659</v>
      </c>
      <c r="D1247" s="21" t="s">
        <v>15</v>
      </c>
      <c r="E1247" s="21" t="s">
        <v>780</v>
      </c>
      <c r="F1247" s="22" t="s">
        <v>66</v>
      </c>
      <c r="G1247" s="20">
        <v>13</v>
      </c>
      <c r="H1247" s="20" t="s">
        <v>18</v>
      </c>
      <c r="I1247" s="22" t="s">
        <v>66</v>
      </c>
      <c r="J1247" s="21" t="s">
        <v>3660</v>
      </c>
      <c r="K1247" s="21" t="s">
        <v>25</v>
      </c>
      <c r="L1247" s="23" t="s">
        <v>21</v>
      </c>
    </row>
    <row r="1248" spans="1:12" x14ac:dyDescent="0.35">
      <c r="A1248" s="24" t="s">
        <v>3661</v>
      </c>
      <c r="B1248" s="24" t="s">
        <v>13</v>
      </c>
      <c r="C1248" s="24" t="s">
        <v>3662</v>
      </c>
      <c r="D1248" s="24" t="s">
        <v>15</v>
      </c>
      <c r="E1248" s="24" t="s">
        <v>47</v>
      </c>
      <c r="F1248" s="25" t="s">
        <v>37</v>
      </c>
      <c r="G1248" s="24">
        <v>7</v>
      </c>
      <c r="H1248" s="24" t="s">
        <v>42</v>
      </c>
      <c r="I1248" s="25"/>
      <c r="J1248" s="24" t="s">
        <v>3663</v>
      </c>
      <c r="K1248" s="24" t="s">
        <v>25</v>
      </c>
      <c r="L1248" s="24" t="s">
        <v>21</v>
      </c>
    </row>
    <row r="1249" spans="1:12" ht="15" customHeight="1" x14ac:dyDescent="0.35">
      <c r="A1249" s="43" t="s">
        <v>3664</v>
      </c>
      <c r="B1249" s="44" t="s">
        <v>13</v>
      </c>
      <c r="C1249" s="45" t="s">
        <v>3665</v>
      </c>
      <c r="D1249" s="45" t="s">
        <v>78</v>
      </c>
      <c r="E1249" s="45" t="s">
        <v>178</v>
      </c>
      <c r="F1249" s="46" t="s">
        <v>17</v>
      </c>
      <c r="G1249" s="44">
        <v>17</v>
      </c>
      <c r="H1249" s="44" t="s">
        <v>18</v>
      </c>
      <c r="I1249" s="46" t="s">
        <v>17</v>
      </c>
      <c r="J1249" s="45" t="s">
        <v>3666</v>
      </c>
      <c r="K1249" s="45" t="s">
        <v>39</v>
      </c>
      <c r="L1249" s="47" t="s">
        <v>21</v>
      </c>
    </row>
    <row r="1250" spans="1:12" x14ac:dyDescent="0.35">
      <c r="A1250" s="24" t="s">
        <v>3667</v>
      </c>
      <c r="B1250" s="24" t="s">
        <v>13</v>
      </c>
      <c r="C1250" s="24" t="s">
        <v>3668</v>
      </c>
      <c r="D1250" s="24" t="s">
        <v>15</v>
      </c>
      <c r="E1250" s="24" t="s">
        <v>113</v>
      </c>
      <c r="F1250" s="25" t="s">
        <v>70</v>
      </c>
      <c r="G1250" s="24">
        <v>4</v>
      </c>
      <c r="H1250" s="24" t="s">
        <v>42</v>
      </c>
      <c r="I1250" s="25"/>
      <c r="J1250" s="24" t="s">
        <v>3669</v>
      </c>
      <c r="K1250" s="24" t="s">
        <v>25</v>
      </c>
      <c r="L1250" s="24" t="s">
        <v>21</v>
      </c>
    </row>
    <row r="1251" spans="1:12" ht="15" customHeight="1" x14ac:dyDescent="0.35">
      <c r="A1251" s="43" t="s">
        <v>3670</v>
      </c>
      <c r="B1251" s="44" t="s">
        <v>13</v>
      </c>
      <c r="C1251" s="45" t="s">
        <v>3671</v>
      </c>
      <c r="D1251" s="45" t="s">
        <v>34</v>
      </c>
      <c r="E1251" s="45" t="s">
        <v>178</v>
      </c>
      <c r="F1251" s="46" t="s">
        <v>23</v>
      </c>
      <c r="G1251" s="44">
        <v>14</v>
      </c>
      <c r="H1251" s="44" t="s">
        <v>18</v>
      </c>
      <c r="I1251" s="46" t="s">
        <v>52</v>
      </c>
      <c r="J1251" s="45" t="s">
        <v>3672</v>
      </c>
      <c r="K1251" s="45" t="s">
        <v>130</v>
      </c>
      <c r="L1251" s="47" t="s">
        <v>21</v>
      </c>
    </row>
    <row r="1252" spans="1:12" x14ac:dyDescent="0.35">
      <c r="A1252" s="24" t="s">
        <v>3673</v>
      </c>
      <c r="B1252" s="24" t="s">
        <v>13</v>
      </c>
      <c r="C1252" s="24" t="s">
        <v>3674</v>
      </c>
      <c r="D1252" s="24" t="s">
        <v>34</v>
      </c>
      <c r="E1252" s="24" t="s">
        <v>3675</v>
      </c>
      <c r="F1252" s="25" t="s">
        <v>104</v>
      </c>
      <c r="G1252" s="24">
        <v>37</v>
      </c>
      <c r="H1252" s="24" t="s">
        <v>42</v>
      </c>
      <c r="I1252" s="25"/>
      <c r="J1252" s="24" t="s">
        <v>3676</v>
      </c>
      <c r="K1252" s="24" t="s">
        <v>25</v>
      </c>
      <c r="L1252" s="24" t="s">
        <v>21</v>
      </c>
    </row>
    <row r="1253" spans="1:12" x14ac:dyDescent="0.35">
      <c r="A1253" s="36" t="s">
        <v>3677</v>
      </c>
      <c r="B1253" s="36" t="s">
        <v>13</v>
      </c>
      <c r="C1253" s="36" t="s">
        <v>3678</v>
      </c>
      <c r="D1253" s="36" t="s">
        <v>34</v>
      </c>
      <c r="E1253" s="36" t="s">
        <v>62</v>
      </c>
      <c r="F1253" s="37" t="s">
        <v>36</v>
      </c>
      <c r="G1253" s="36">
        <v>2</v>
      </c>
      <c r="H1253" s="36" t="s">
        <v>42</v>
      </c>
      <c r="I1253" s="37"/>
      <c r="J1253" s="36" t="s">
        <v>3679</v>
      </c>
      <c r="K1253" s="36" t="s">
        <v>44</v>
      </c>
      <c r="L1253" s="36" t="s">
        <v>21</v>
      </c>
    </row>
    <row r="1254" spans="1:12" x14ac:dyDescent="0.35">
      <c r="A1254" s="38" t="s">
        <v>3680</v>
      </c>
      <c r="B1254" s="39" t="s">
        <v>13</v>
      </c>
      <c r="C1254" s="40" t="s">
        <v>3681</v>
      </c>
      <c r="D1254" s="40" t="s">
        <v>34</v>
      </c>
      <c r="E1254" s="40" t="s">
        <v>35</v>
      </c>
      <c r="F1254" s="41" t="s">
        <v>52</v>
      </c>
      <c r="G1254" s="39">
        <v>15</v>
      </c>
      <c r="H1254" s="39" t="s">
        <v>18</v>
      </c>
      <c r="I1254" s="41" t="s">
        <v>17</v>
      </c>
      <c r="J1254" s="40" t="s">
        <v>3682</v>
      </c>
      <c r="K1254" s="40" t="s">
        <v>130</v>
      </c>
      <c r="L1254" s="42" t="s">
        <v>21</v>
      </c>
    </row>
    <row r="1255" spans="1:12" x14ac:dyDescent="0.35">
      <c r="A1255" s="9" t="s">
        <v>3683</v>
      </c>
      <c r="B1255" s="10" t="s">
        <v>13</v>
      </c>
      <c r="C1255" s="11" t="s">
        <v>3684</v>
      </c>
      <c r="D1255" s="11" t="s">
        <v>34</v>
      </c>
      <c r="E1255" s="11" t="s">
        <v>118</v>
      </c>
      <c r="F1255" s="12" t="s">
        <v>23</v>
      </c>
      <c r="G1255" s="10">
        <v>3</v>
      </c>
      <c r="H1255" s="10" t="s">
        <v>18</v>
      </c>
      <c r="I1255" s="12" t="s">
        <v>23</v>
      </c>
      <c r="J1255" s="11" t="s">
        <v>3685</v>
      </c>
      <c r="K1255" s="11" t="s">
        <v>44</v>
      </c>
      <c r="L1255" s="13" t="s">
        <v>21</v>
      </c>
    </row>
    <row r="1256" spans="1:12" x14ac:dyDescent="0.35">
      <c r="A1256" s="14" t="s">
        <v>3686</v>
      </c>
      <c r="B1256" s="15" t="s">
        <v>13</v>
      </c>
      <c r="C1256" s="16" t="s">
        <v>3687</v>
      </c>
      <c r="D1256" s="16" t="s">
        <v>15</v>
      </c>
      <c r="E1256" s="16" t="s">
        <v>47</v>
      </c>
      <c r="F1256" s="17" t="s">
        <v>113</v>
      </c>
      <c r="G1256" s="15">
        <v>9</v>
      </c>
      <c r="H1256" s="15" t="s">
        <v>18</v>
      </c>
      <c r="I1256" s="17" t="s">
        <v>23</v>
      </c>
      <c r="J1256" s="16" t="s">
        <v>3688</v>
      </c>
      <c r="K1256" s="16" t="s">
        <v>25</v>
      </c>
      <c r="L1256" s="18" t="s">
        <v>21</v>
      </c>
    </row>
    <row r="1257" spans="1:12" ht="15" customHeight="1" x14ac:dyDescent="0.35">
      <c r="A1257" s="19" t="s">
        <v>3689</v>
      </c>
      <c r="B1257" s="20" t="s">
        <v>13</v>
      </c>
      <c r="C1257" s="21" t="s">
        <v>3690</v>
      </c>
      <c r="D1257" s="21" t="s">
        <v>15</v>
      </c>
      <c r="E1257" s="21" t="s">
        <v>275</v>
      </c>
      <c r="F1257" s="22" t="s">
        <v>47</v>
      </c>
      <c r="G1257" s="20">
        <v>12</v>
      </c>
      <c r="H1257" s="20" t="s">
        <v>18</v>
      </c>
      <c r="I1257" s="22" t="s">
        <v>133</v>
      </c>
      <c r="J1257" s="21" t="s">
        <v>1039</v>
      </c>
      <c r="K1257" s="21" t="s">
        <v>241</v>
      </c>
      <c r="L1257" s="23" t="s">
        <v>21</v>
      </c>
    </row>
    <row r="1258" spans="1:12" x14ac:dyDescent="0.35">
      <c r="A1258" s="24" t="s">
        <v>3691</v>
      </c>
      <c r="B1258" s="24" t="s">
        <v>13</v>
      </c>
      <c r="C1258" s="24" t="s">
        <v>3692</v>
      </c>
      <c r="D1258" s="24" t="s">
        <v>34</v>
      </c>
      <c r="E1258" s="24" t="s">
        <v>66</v>
      </c>
      <c r="F1258" s="25" t="s">
        <v>118</v>
      </c>
      <c r="G1258" s="24">
        <v>8</v>
      </c>
      <c r="H1258" s="24" t="s">
        <v>42</v>
      </c>
      <c r="I1258" s="25"/>
      <c r="J1258" s="24" t="s">
        <v>3693</v>
      </c>
      <c r="K1258" s="24" t="s">
        <v>130</v>
      </c>
      <c r="L1258" s="24" t="s">
        <v>21</v>
      </c>
    </row>
    <row r="1259" spans="1:12" x14ac:dyDescent="0.35">
      <c r="A1259" s="26" t="s">
        <v>3694</v>
      </c>
      <c r="B1259" s="27" t="s">
        <v>13</v>
      </c>
      <c r="C1259" s="28" t="s">
        <v>3695</v>
      </c>
      <c r="D1259" s="28" t="s">
        <v>15</v>
      </c>
      <c r="E1259" s="28" t="s">
        <v>252</v>
      </c>
      <c r="F1259" s="29" t="s">
        <v>66</v>
      </c>
      <c r="G1259" s="27">
        <v>6</v>
      </c>
      <c r="H1259" s="27" t="s">
        <v>18</v>
      </c>
      <c r="I1259" s="29" t="s">
        <v>66</v>
      </c>
      <c r="J1259" s="28" t="s">
        <v>3696</v>
      </c>
      <c r="K1259" s="28" t="s">
        <v>25</v>
      </c>
      <c r="L1259" s="30" t="s">
        <v>21</v>
      </c>
    </row>
    <row r="1260" spans="1:12" x14ac:dyDescent="0.35">
      <c r="A1260" s="14" t="s">
        <v>3697</v>
      </c>
      <c r="B1260" s="15" t="s">
        <v>13</v>
      </c>
      <c r="C1260" s="16" t="s">
        <v>3698</v>
      </c>
      <c r="D1260" s="16" t="s">
        <v>15</v>
      </c>
      <c r="E1260" s="16" t="s">
        <v>97</v>
      </c>
      <c r="F1260" s="17" t="s">
        <v>30</v>
      </c>
      <c r="G1260" s="15">
        <v>6</v>
      </c>
      <c r="H1260" s="15" t="s">
        <v>18</v>
      </c>
      <c r="I1260" s="17" t="s">
        <v>30</v>
      </c>
      <c r="J1260" s="16" t="s">
        <v>3699</v>
      </c>
      <c r="K1260" s="16" t="s">
        <v>25</v>
      </c>
      <c r="L1260" s="18" t="s">
        <v>26</v>
      </c>
    </row>
    <row r="1261" spans="1:12" x14ac:dyDescent="0.35">
      <c r="A1261" s="9" t="s">
        <v>3700</v>
      </c>
      <c r="B1261" s="10" t="s">
        <v>13</v>
      </c>
      <c r="C1261" s="11" t="s">
        <v>3701</v>
      </c>
      <c r="D1261" s="11" t="s">
        <v>34</v>
      </c>
      <c r="E1261" s="11" t="s">
        <v>82</v>
      </c>
      <c r="F1261" s="12" t="s">
        <v>47</v>
      </c>
      <c r="G1261" s="10">
        <v>3</v>
      </c>
      <c r="H1261" s="10" t="s">
        <v>18</v>
      </c>
      <c r="I1261" s="12" t="s">
        <v>47</v>
      </c>
      <c r="J1261" s="11" t="s">
        <v>1342</v>
      </c>
      <c r="K1261" s="11" t="s">
        <v>130</v>
      </c>
      <c r="L1261" s="13" t="s">
        <v>26</v>
      </c>
    </row>
    <row r="1262" spans="1:12" x14ac:dyDescent="0.35">
      <c r="A1262" s="14" t="s">
        <v>3702</v>
      </c>
      <c r="B1262" s="15" t="s">
        <v>13</v>
      </c>
      <c r="C1262" s="16" t="s">
        <v>3703</v>
      </c>
      <c r="D1262" s="16" t="s">
        <v>34</v>
      </c>
      <c r="E1262" s="16" t="s">
        <v>133</v>
      </c>
      <c r="F1262" s="17" t="s">
        <v>52</v>
      </c>
      <c r="G1262" s="15">
        <v>11</v>
      </c>
      <c r="H1262" s="15" t="s">
        <v>18</v>
      </c>
      <c r="I1262" s="17" t="s">
        <v>52</v>
      </c>
      <c r="J1262" s="16" t="s">
        <v>3704</v>
      </c>
      <c r="K1262" s="16" t="s">
        <v>115</v>
      </c>
      <c r="L1262" s="18" t="s">
        <v>21</v>
      </c>
    </row>
    <row r="1263" spans="1:12" x14ac:dyDescent="0.35">
      <c r="A1263" s="9" t="s">
        <v>3705</v>
      </c>
      <c r="B1263" s="10" t="s">
        <v>13</v>
      </c>
      <c r="C1263" s="11" t="s">
        <v>3706</v>
      </c>
      <c r="D1263" s="11" t="s">
        <v>34</v>
      </c>
      <c r="E1263" s="11" t="s">
        <v>37</v>
      </c>
      <c r="F1263" s="12" t="s">
        <v>70</v>
      </c>
      <c r="G1263" s="10">
        <v>6</v>
      </c>
      <c r="H1263" s="10" t="s">
        <v>18</v>
      </c>
      <c r="I1263" s="12" t="s">
        <v>70</v>
      </c>
      <c r="J1263" s="11" t="s">
        <v>3707</v>
      </c>
      <c r="K1263" s="11" t="s">
        <v>72</v>
      </c>
      <c r="L1263" s="13" t="s">
        <v>21</v>
      </c>
    </row>
    <row r="1264" spans="1:12" x14ac:dyDescent="0.35">
      <c r="A1264" s="14" t="s">
        <v>3708</v>
      </c>
      <c r="B1264" s="15" t="s">
        <v>13</v>
      </c>
      <c r="C1264" s="16" t="s">
        <v>3709</v>
      </c>
      <c r="D1264" s="16" t="s">
        <v>78</v>
      </c>
      <c r="E1264" s="16" t="s">
        <v>302</v>
      </c>
      <c r="F1264" s="17" t="s">
        <v>29</v>
      </c>
      <c r="G1264" s="15">
        <v>20</v>
      </c>
      <c r="H1264" s="15" t="s">
        <v>18</v>
      </c>
      <c r="I1264" s="17" t="s">
        <v>29</v>
      </c>
      <c r="J1264" s="16" t="s">
        <v>3710</v>
      </c>
      <c r="K1264" s="16" t="s">
        <v>25</v>
      </c>
      <c r="L1264" s="18" t="s">
        <v>21</v>
      </c>
    </row>
    <row r="1265" spans="1:12" ht="15" customHeight="1" x14ac:dyDescent="0.35">
      <c r="A1265" s="19" t="s">
        <v>3711</v>
      </c>
      <c r="B1265" s="20" t="s">
        <v>13</v>
      </c>
      <c r="C1265" s="21" t="s">
        <v>3712</v>
      </c>
      <c r="D1265" s="21" t="s">
        <v>34</v>
      </c>
      <c r="E1265" s="21" t="s">
        <v>252</v>
      </c>
      <c r="F1265" s="22" t="s">
        <v>37</v>
      </c>
      <c r="G1265" s="20">
        <v>15</v>
      </c>
      <c r="H1265" s="20" t="s">
        <v>18</v>
      </c>
      <c r="I1265" s="22" t="s">
        <v>37</v>
      </c>
      <c r="J1265" s="21" t="s">
        <v>3713</v>
      </c>
      <c r="K1265" s="21" t="s">
        <v>130</v>
      </c>
      <c r="L1265" s="23" t="s">
        <v>26</v>
      </c>
    </row>
    <row r="1266" spans="1:12" x14ac:dyDescent="0.35">
      <c r="A1266" s="24" t="s">
        <v>3714</v>
      </c>
      <c r="B1266" s="24" t="s">
        <v>13</v>
      </c>
      <c r="C1266" s="24" t="s">
        <v>3715</v>
      </c>
      <c r="D1266" s="24" t="s">
        <v>90</v>
      </c>
      <c r="E1266" s="24" t="s">
        <v>62</v>
      </c>
      <c r="F1266" s="25" t="s">
        <v>37</v>
      </c>
      <c r="G1266" s="24">
        <v>4</v>
      </c>
      <c r="H1266" s="24" t="s">
        <v>42</v>
      </c>
      <c r="I1266" s="25"/>
      <c r="J1266" s="24" t="s">
        <v>3716</v>
      </c>
      <c r="K1266" s="24" t="s">
        <v>39</v>
      </c>
      <c r="L1266" s="24" t="s">
        <v>21</v>
      </c>
    </row>
    <row r="1267" spans="1:12" x14ac:dyDescent="0.35">
      <c r="A1267" s="26" t="s">
        <v>3717</v>
      </c>
      <c r="B1267" s="27" t="s">
        <v>13</v>
      </c>
      <c r="C1267" s="28" t="s">
        <v>3718</v>
      </c>
      <c r="D1267" s="28" t="s">
        <v>15</v>
      </c>
      <c r="E1267" s="28" t="s">
        <v>36</v>
      </c>
      <c r="F1267" s="29" t="s">
        <v>30</v>
      </c>
      <c r="G1267" s="27">
        <v>6</v>
      </c>
      <c r="H1267" s="27" t="s">
        <v>18</v>
      </c>
      <c r="I1267" s="29" t="s">
        <v>30</v>
      </c>
      <c r="J1267" s="28" t="s">
        <v>3719</v>
      </c>
      <c r="K1267" s="28" t="s">
        <v>25</v>
      </c>
      <c r="L1267" s="30" t="s">
        <v>21</v>
      </c>
    </row>
    <row r="1268" spans="1:12" ht="15" customHeight="1" x14ac:dyDescent="0.35">
      <c r="A1268" s="31" t="s">
        <v>3720</v>
      </c>
      <c r="B1268" s="32" t="s">
        <v>13</v>
      </c>
      <c r="C1268" s="33" t="s">
        <v>3721</v>
      </c>
      <c r="D1268" s="33" t="s">
        <v>34</v>
      </c>
      <c r="E1268" s="33" t="s">
        <v>62</v>
      </c>
      <c r="F1268" s="34" t="s">
        <v>30</v>
      </c>
      <c r="G1268" s="32">
        <v>8</v>
      </c>
      <c r="H1268" s="32" t="s">
        <v>18</v>
      </c>
      <c r="I1268" s="34" t="s">
        <v>70</v>
      </c>
      <c r="J1268" s="33" t="s">
        <v>3722</v>
      </c>
      <c r="K1268" s="33" t="s">
        <v>130</v>
      </c>
      <c r="L1268" s="35" t="s">
        <v>21</v>
      </c>
    </row>
    <row r="1269" spans="1:12" x14ac:dyDescent="0.35">
      <c r="A1269" s="36" t="s">
        <v>3723</v>
      </c>
      <c r="B1269" s="36" t="s">
        <v>13</v>
      </c>
      <c r="C1269" s="36" t="s">
        <v>3724</v>
      </c>
      <c r="D1269" s="36" t="s">
        <v>34</v>
      </c>
      <c r="E1269" s="36" t="s">
        <v>113</v>
      </c>
      <c r="F1269" s="37" t="s">
        <v>70</v>
      </c>
      <c r="G1269" s="36">
        <v>5</v>
      </c>
      <c r="H1269" s="36" t="s">
        <v>42</v>
      </c>
      <c r="I1269" s="37"/>
      <c r="J1269" s="36" t="s">
        <v>3725</v>
      </c>
      <c r="K1269" s="36" t="s">
        <v>115</v>
      </c>
      <c r="L1269" s="36" t="s">
        <v>21</v>
      </c>
    </row>
    <row r="1270" spans="1:12" x14ac:dyDescent="0.35">
      <c r="A1270" s="38" t="s">
        <v>3726</v>
      </c>
      <c r="B1270" s="39" t="s">
        <v>13</v>
      </c>
      <c r="C1270" s="40" t="s">
        <v>3727</v>
      </c>
      <c r="D1270" s="40" t="s">
        <v>15</v>
      </c>
      <c r="E1270" s="40" t="s">
        <v>133</v>
      </c>
      <c r="F1270" s="41" t="s">
        <v>17</v>
      </c>
      <c r="G1270" s="39">
        <v>13</v>
      </c>
      <c r="H1270" s="39" t="s">
        <v>18</v>
      </c>
      <c r="I1270" s="41" t="s">
        <v>17</v>
      </c>
      <c r="J1270" s="40" t="s">
        <v>3728</v>
      </c>
      <c r="K1270" s="40" t="s">
        <v>25</v>
      </c>
      <c r="L1270" s="42" t="s">
        <v>21</v>
      </c>
    </row>
    <row r="1271" spans="1:12" ht="15" customHeight="1" x14ac:dyDescent="0.35">
      <c r="A1271" s="19" t="s">
        <v>3729</v>
      </c>
      <c r="B1271" s="20" t="s">
        <v>13</v>
      </c>
      <c r="C1271" s="21" t="s">
        <v>3730</v>
      </c>
      <c r="D1271" s="21" t="s">
        <v>34</v>
      </c>
      <c r="E1271" s="21" t="s">
        <v>133</v>
      </c>
      <c r="F1271" s="22" t="s">
        <v>30</v>
      </c>
      <c r="G1271" s="20">
        <v>11</v>
      </c>
      <c r="H1271" s="20" t="s">
        <v>18</v>
      </c>
      <c r="I1271" s="22" t="s">
        <v>30</v>
      </c>
      <c r="J1271" s="21" t="s">
        <v>3731</v>
      </c>
      <c r="K1271" s="21" t="s">
        <v>44</v>
      </c>
      <c r="L1271" s="23" t="s">
        <v>21</v>
      </c>
    </row>
    <row r="1272" spans="1:12" x14ac:dyDescent="0.35">
      <c r="A1272" s="24" t="s">
        <v>3732</v>
      </c>
      <c r="B1272" s="24" t="s">
        <v>13</v>
      </c>
      <c r="C1272" s="24" t="s">
        <v>3733</v>
      </c>
      <c r="D1272" s="24" t="s">
        <v>34</v>
      </c>
      <c r="E1272" s="24" t="s">
        <v>47</v>
      </c>
      <c r="F1272" s="25" t="s">
        <v>37</v>
      </c>
      <c r="G1272" s="24">
        <v>8</v>
      </c>
      <c r="H1272" s="24" t="s">
        <v>109</v>
      </c>
      <c r="I1272" s="25"/>
      <c r="J1272" s="24" t="s">
        <v>3734</v>
      </c>
      <c r="K1272" s="24" t="s">
        <v>44</v>
      </c>
      <c r="L1272" s="24" t="s">
        <v>21</v>
      </c>
    </row>
    <row r="1273" spans="1:12" x14ac:dyDescent="0.35">
      <c r="A1273" s="26" t="s">
        <v>3732</v>
      </c>
      <c r="B1273" s="27" t="s">
        <v>13</v>
      </c>
      <c r="C1273" s="28" t="s">
        <v>3733</v>
      </c>
      <c r="D1273" s="28" t="s">
        <v>34</v>
      </c>
      <c r="E1273" s="28" t="s">
        <v>47</v>
      </c>
      <c r="F1273" s="29" t="s">
        <v>17</v>
      </c>
      <c r="G1273" s="27">
        <v>13</v>
      </c>
      <c r="H1273" s="27" t="s">
        <v>18</v>
      </c>
      <c r="I1273" s="29" t="s">
        <v>17</v>
      </c>
      <c r="J1273" s="28" t="s">
        <v>3734</v>
      </c>
      <c r="K1273" s="28" t="s">
        <v>44</v>
      </c>
      <c r="L1273" s="30" t="s">
        <v>21</v>
      </c>
    </row>
    <row r="1274" spans="1:12" x14ac:dyDescent="0.35">
      <c r="A1274" s="14" t="s">
        <v>3735</v>
      </c>
      <c r="B1274" s="15" t="s">
        <v>13</v>
      </c>
      <c r="C1274" s="16" t="s">
        <v>3736</v>
      </c>
      <c r="D1274" s="16" t="s">
        <v>34</v>
      </c>
      <c r="E1274" s="16" t="s">
        <v>35</v>
      </c>
      <c r="F1274" s="17" t="s">
        <v>97</v>
      </c>
      <c r="G1274" s="15">
        <v>10</v>
      </c>
      <c r="H1274" s="15" t="s">
        <v>18</v>
      </c>
      <c r="I1274" s="17" t="s">
        <v>97</v>
      </c>
      <c r="J1274" s="16" t="s">
        <v>3737</v>
      </c>
      <c r="K1274" s="16" t="s">
        <v>115</v>
      </c>
      <c r="L1274" s="18" t="s">
        <v>21</v>
      </c>
    </row>
    <row r="1275" spans="1:12" x14ac:dyDescent="0.35">
      <c r="A1275" s="9" t="s">
        <v>3738</v>
      </c>
      <c r="B1275" s="10" t="s">
        <v>13</v>
      </c>
      <c r="C1275" s="11" t="s">
        <v>3739</v>
      </c>
      <c r="D1275" s="11" t="s">
        <v>34</v>
      </c>
      <c r="E1275" s="11" t="s">
        <v>47</v>
      </c>
      <c r="F1275" s="12" t="s">
        <v>97</v>
      </c>
      <c r="G1275" s="10">
        <v>5</v>
      </c>
      <c r="H1275" s="10" t="s">
        <v>18</v>
      </c>
      <c r="I1275" s="12" t="s">
        <v>97</v>
      </c>
      <c r="J1275" s="11" t="s">
        <v>3740</v>
      </c>
      <c r="K1275" s="11" t="s">
        <v>44</v>
      </c>
      <c r="L1275" s="13" t="s">
        <v>26</v>
      </c>
    </row>
    <row r="1276" spans="1:12" ht="15" customHeight="1" x14ac:dyDescent="0.35">
      <c r="A1276" s="31" t="s">
        <v>3741</v>
      </c>
      <c r="B1276" s="32" t="s">
        <v>13</v>
      </c>
      <c r="C1276" s="33" t="s">
        <v>3742</v>
      </c>
      <c r="D1276" s="33" t="s">
        <v>34</v>
      </c>
      <c r="E1276" s="33" t="s">
        <v>47</v>
      </c>
      <c r="F1276" s="34" t="s">
        <v>62</v>
      </c>
      <c r="G1276" s="32">
        <v>3</v>
      </c>
      <c r="H1276" s="32" t="s">
        <v>18</v>
      </c>
      <c r="I1276" s="34" t="s">
        <v>62</v>
      </c>
      <c r="J1276" s="33" t="s">
        <v>3743</v>
      </c>
      <c r="K1276" s="33" t="s">
        <v>44</v>
      </c>
      <c r="L1276" s="35" t="s">
        <v>26</v>
      </c>
    </row>
    <row r="1277" spans="1:12" x14ac:dyDescent="0.35">
      <c r="A1277" s="36" t="s">
        <v>3744</v>
      </c>
      <c r="B1277" s="36" t="s">
        <v>13</v>
      </c>
      <c r="C1277" s="36" t="s">
        <v>3745</v>
      </c>
      <c r="D1277" s="36" t="s">
        <v>15</v>
      </c>
      <c r="E1277" s="36" t="s">
        <v>104</v>
      </c>
      <c r="F1277" s="37" t="s">
        <v>36</v>
      </c>
      <c r="G1277" s="36">
        <v>4</v>
      </c>
      <c r="H1277" s="36" t="s">
        <v>42</v>
      </c>
      <c r="I1277" s="37"/>
      <c r="J1277" s="36" t="s">
        <v>3746</v>
      </c>
      <c r="K1277" s="36" t="s">
        <v>25</v>
      </c>
      <c r="L1277" s="36" t="s">
        <v>26</v>
      </c>
    </row>
    <row r="1278" spans="1:12" x14ac:dyDescent="0.35">
      <c r="A1278" s="38" t="s">
        <v>3747</v>
      </c>
      <c r="B1278" s="39" t="s">
        <v>13</v>
      </c>
      <c r="C1278" s="40" t="s">
        <v>3748</v>
      </c>
      <c r="D1278" s="40" t="s">
        <v>34</v>
      </c>
      <c r="E1278" s="40" t="s">
        <v>97</v>
      </c>
      <c r="F1278" s="41" t="s">
        <v>113</v>
      </c>
      <c r="G1278" s="39">
        <v>4</v>
      </c>
      <c r="H1278" s="39" t="s">
        <v>18</v>
      </c>
      <c r="I1278" s="41" t="s">
        <v>23</v>
      </c>
      <c r="J1278" s="40" t="s">
        <v>3749</v>
      </c>
      <c r="K1278" s="40" t="s">
        <v>115</v>
      </c>
      <c r="L1278" s="42" t="s">
        <v>21</v>
      </c>
    </row>
    <row r="1279" spans="1:12" ht="15" customHeight="1" x14ac:dyDescent="0.35">
      <c r="A1279" s="19" t="s">
        <v>3750</v>
      </c>
      <c r="B1279" s="20" t="s">
        <v>13</v>
      </c>
      <c r="C1279" s="21" t="s">
        <v>3751</v>
      </c>
      <c r="D1279" s="21" t="s">
        <v>34</v>
      </c>
      <c r="E1279" s="21" t="s">
        <v>29</v>
      </c>
      <c r="F1279" s="22" t="s">
        <v>37</v>
      </c>
      <c r="G1279" s="20">
        <v>6</v>
      </c>
      <c r="H1279" s="20" t="s">
        <v>18</v>
      </c>
      <c r="I1279" s="22" t="s">
        <v>113</v>
      </c>
      <c r="J1279" s="21" t="s">
        <v>3752</v>
      </c>
      <c r="K1279" s="21" t="s">
        <v>25</v>
      </c>
      <c r="L1279" s="23" t="s">
        <v>26</v>
      </c>
    </row>
    <row r="1280" spans="1:12" x14ac:dyDescent="0.35">
      <c r="A1280" s="24" t="s">
        <v>3753</v>
      </c>
      <c r="B1280" s="24" t="s">
        <v>13</v>
      </c>
      <c r="C1280" s="24" t="s">
        <v>3754</v>
      </c>
      <c r="D1280" s="24" t="s">
        <v>15</v>
      </c>
      <c r="E1280" s="24" t="s">
        <v>62</v>
      </c>
      <c r="F1280" s="25" t="s">
        <v>70</v>
      </c>
      <c r="G1280" s="24">
        <v>10</v>
      </c>
      <c r="H1280" s="24" t="s">
        <v>42</v>
      </c>
      <c r="I1280" s="25"/>
      <c r="J1280" s="24" t="s">
        <v>3755</v>
      </c>
      <c r="K1280" s="24" t="s">
        <v>25</v>
      </c>
      <c r="L1280" s="24" t="s">
        <v>21</v>
      </c>
    </row>
    <row r="1281" spans="1:12" x14ac:dyDescent="0.35">
      <c r="A1281" s="36" t="s">
        <v>3756</v>
      </c>
      <c r="B1281" s="36" t="s">
        <v>13</v>
      </c>
      <c r="C1281" s="36" t="s">
        <v>3757</v>
      </c>
      <c r="D1281" s="36" t="s">
        <v>15</v>
      </c>
      <c r="E1281" s="36" t="s">
        <v>793</v>
      </c>
      <c r="F1281" s="37" t="s">
        <v>17</v>
      </c>
      <c r="G1281" s="36">
        <v>38</v>
      </c>
      <c r="H1281" s="36" t="s">
        <v>42</v>
      </c>
      <c r="I1281" s="37"/>
      <c r="J1281" s="36" t="s">
        <v>3758</v>
      </c>
      <c r="K1281" s="36" t="s">
        <v>25</v>
      </c>
      <c r="L1281" s="36" t="s">
        <v>21</v>
      </c>
    </row>
    <row r="1282" spans="1:12" x14ac:dyDescent="0.35">
      <c r="A1282" s="38" t="s">
        <v>3759</v>
      </c>
      <c r="B1282" s="39" t="s">
        <v>13</v>
      </c>
      <c r="C1282" s="40" t="s">
        <v>3760</v>
      </c>
      <c r="D1282" s="40" t="s">
        <v>34</v>
      </c>
      <c r="E1282" s="40" t="s">
        <v>82</v>
      </c>
      <c r="F1282" s="41" t="s">
        <v>66</v>
      </c>
      <c r="G1282" s="39">
        <v>1</v>
      </c>
      <c r="H1282" s="39" t="s">
        <v>18</v>
      </c>
      <c r="I1282" s="41" t="s">
        <v>66</v>
      </c>
      <c r="J1282" s="40" t="s">
        <v>2895</v>
      </c>
      <c r="K1282" s="40" t="s">
        <v>130</v>
      </c>
      <c r="L1282" s="42" t="s">
        <v>21</v>
      </c>
    </row>
    <row r="1283" spans="1:12" ht="15" customHeight="1" x14ac:dyDescent="0.35">
      <c r="A1283" s="19" t="s">
        <v>3761</v>
      </c>
      <c r="B1283" s="20" t="s">
        <v>13</v>
      </c>
      <c r="C1283" s="21" t="s">
        <v>3762</v>
      </c>
      <c r="D1283" s="21" t="s">
        <v>34</v>
      </c>
      <c r="E1283" s="21" t="s">
        <v>51</v>
      </c>
      <c r="F1283" s="22" t="s">
        <v>23</v>
      </c>
      <c r="G1283" s="20">
        <v>11</v>
      </c>
      <c r="H1283" s="20" t="s">
        <v>18</v>
      </c>
      <c r="I1283" s="22" t="s">
        <v>23</v>
      </c>
      <c r="J1283" s="21" t="s">
        <v>3763</v>
      </c>
      <c r="K1283" s="21" t="s">
        <v>25</v>
      </c>
      <c r="L1283" s="23" t="s">
        <v>21</v>
      </c>
    </row>
    <row r="1284" spans="1:12" x14ac:dyDescent="0.35">
      <c r="A1284" s="24" t="s">
        <v>3764</v>
      </c>
      <c r="B1284" s="24" t="s">
        <v>13</v>
      </c>
      <c r="C1284" s="24" t="s">
        <v>3765</v>
      </c>
      <c r="D1284" s="24" t="s">
        <v>34</v>
      </c>
      <c r="E1284" s="24" t="s">
        <v>133</v>
      </c>
      <c r="F1284" s="25" t="s">
        <v>97</v>
      </c>
      <c r="G1284" s="24">
        <v>4</v>
      </c>
      <c r="H1284" s="24" t="s">
        <v>42</v>
      </c>
      <c r="I1284" s="25"/>
      <c r="J1284" s="24" t="s">
        <v>3766</v>
      </c>
      <c r="K1284" s="24" t="s">
        <v>115</v>
      </c>
      <c r="L1284" s="24" t="s">
        <v>21</v>
      </c>
    </row>
    <row r="1285" spans="1:12" x14ac:dyDescent="0.35">
      <c r="A1285" s="36" t="s">
        <v>3767</v>
      </c>
      <c r="B1285" s="36" t="s">
        <v>13</v>
      </c>
      <c r="C1285" s="36" t="s">
        <v>3768</v>
      </c>
      <c r="D1285" s="36" t="s">
        <v>15</v>
      </c>
      <c r="E1285" s="36" t="s">
        <v>149</v>
      </c>
      <c r="F1285" s="37" t="s">
        <v>17</v>
      </c>
      <c r="G1285" s="36">
        <v>19</v>
      </c>
      <c r="H1285" s="36" t="s">
        <v>42</v>
      </c>
      <c r="I1285" s="37"/>
      <c r="J1285" s="36" t="s">
        <v>3769</v>
      </c>
      <c r="K1285" s="36" t="s">
        <v>25</v>
      </c>
      <c r="L1285" s="36" t="s">
        <v>21</v>
      </c>
    </row>
    <row r="1286" spans="1:12" x14ac:dyDescent="0.35">
      <c r="A1286" s="38" t="s">
        <v>3770</v>
      </c>
      <c r="B1286" s="39" t="s">
        <v>13</v>
      </c>
      <c r="C1286" s="40" t="s">
        <v>3771</v>
      </c>
      <c r="D1286" s="40" t="s">
        <v>34</v>
      </c>
      <c r="E1286" s="40" t="s">
        <v>104</v>
      </c>
      <c r="F1286" s="41" t="s">
        <v>30</v>
      </c>
      <c r="G1286" s="39">
        <v>10</v>
      </c>
      <c r="H1286" s="39" t="s">
        <v>18</v>
      </c>
      <c r="I1286" s="41" t="s">
        <v>70</v>
      </c>
      <c r="J1286" s="40" t="s">
        <v>3772</v>
      </c>
      <c r="K1286" s="40" t="s">
        <v>115</v>
      </c>
      <c r="L1286" s="42" t="s">
        <v>21</v>
      </c>
    </row>
    <row r="1287" spans="1:12" x14ac:dyDescent="0.35">
      <c r="A1287" s="9" t="s">
        <v>3773</v>
      </c>
      <c r="B1287" s="10" t="s">
        <v>13</v>
      </c>
      <c r="C1287" s="11" t="s">
        <v>3774</v>
      </c>
      <c r="D1287" s="11" t="s">
        <v>15</v>
      </c>
      <c r="E1287" s="11" t="s">
        <v>244</v>
      </c>
      <c r="F1287" s="12" t="s">
        <v>118</v>
      </c>
      <c r="G1287" s="10">
        <v>16</v>
      </c>
      <c r="H1287" s="10" t="s">
        <v>18</v>
      </c>
      <c r="I1287" s="12" t="s">
        <v>36</v>
      </c>
      <c r="J1287" s="11" t="s">
        <v>3775</v>
      </c>
      <c r="K1287" s="11" t="s">
        <v>25</v>
      </c>
      <c r="L1287" s="13" t="s">
        <v>21</v>
      </c>
    </row>
    <row r="1288" spans="1:12" x14ac:dyDescent="0.35">
      <c r="A1288" s="14" t="s">
        <v>3776</v>
      </c>
      <c r="B1288" s="15" t="s">
        <v>13</v>
      </c>
      <c r="C1288" s="16" t="s">
        <v>3777</v>
      </c>
      <c r="D1288" s="16" t="s">
        <v>15</v>
      </c>
      <c r="E1288" s="16" t="s">
        <v>35</v>
      </c>
      <c r="F1288" s="17" t="s">
        <v>118</v>
      </c>
      <c r="G1288" s="15">
        <v>12</v>
      </c>
      <c r="H1288" s="15" t="s">
        <v>18</v>
      </c>
      <c r="I1288" s="17" t="s">
        <v>36</v>
      </c>
      <c r="J1288" s="16" t="s">
        <v>3778</v>
      </c>
      <c r="K1288" s="16" t="s">
        <v>25</v>
      </c>
      <c r="L1288" s="18" t="s">
        <v>21</v>
      </c>
    </row>
    <row r="1289" spans="1:12" x14ac:dyDescent="0.35">
      <c r="A1289" s="9" t="s">
        <v>3779</v>
      </c>
      <c r="B1289" s="10" t="s">
        <v>13</v>
      </c>
      <c r="C1289" s="11" t="s">
        <v>3780</v>
      </c>
      <c r="D1289" s="11" t="s">
        <v>34</v>
      </c>
      <c r="E1289" s="11" t="s">
        <v>47</v>
      </c>
      <c r="F1289" s="12" t="s">
        <v>29</v>
      </c>
      <c r="G1289" s="10">
        <v>3</v>
      </c>
      <c r="H1289" s="10" t="s">
        <v>18</v>
      </c>
      <c r="I1289" s="12" t="s">
        <v>29</v>
      </c>
      <c r="J1289" s="11" t="s">
        <v>3781</v>
      </c>
      <c r="K1289" s="11" t="s">
        <v>130</v>
      </c>
      <c r="L1289" s="13" t="s">
        <v>21</v>
      </c>
    </row>
    <row r="1290" spans="1:12" ht="15" customHeight="1" x14ac:dyDescent="0.35">
      <c r="A1290" s="31" t="s">
        <v>3782</v>
      </c>
      <c r="B1290" s="32" t="s">
        <v>13</v>
      </c>
      <c r="C1290" s="33" t="s">
        <v>3783</v>
      </c>
      <c r="D1290" s="33" t="s">
        <v>34</v>
      </c>
      <c r="E1290" s="33" t="s">
        <v>104</v>
      </c>
      <c r="F1290" s="34" t="s">
        <v>36</v>
      </c>
      <c r="G1290" s="32">
        <v>5</v>
      </c>
      <c r="H1290" s="32" t="s">
        <v>18</v>
      </c>
      <c r="I1290" s="34" t="s">
        <v>36</v>
      </c>
      <c r="J1290" s="33" t="s">
        <v>3784</v>
      </c>
      <c r="K1290" s="33" t="s">
        <v>115</v>
      </c>
      <c r="L1290" s="35" t="s">
        <v>21</v>
      </c>
    </row>
    <row r="1291" spans="1:12" x14ac:dyDescent="0.35">
      <c r="A1291" s="53"/>
      <c r="B1291" s="53"/>
      <c r="C1291" s="53"/>
      <c r="D1291" s="53"/>
      <c r="E1291" s="53"/>
      <c r="F1291" s="53"/>
      <c r="G1291" s="53"/>
      <c r="H1291" s="53"/>
      <c r="I1291" s="53"/>
      <c r="J1291" s="53"/>
      <c r="K1291" s="53"/>
      <c r="L1291" s="53"/>
    </row>
    <row r="1292" spans="1:12" x14ac:dyDescent="0.35">
      <c r="A1292" s="54" t="s">
        <v>3785</v>
      </c>
      <c r="B1292" s="54"/>
      <c r="C1292" s="54"/>
      <c r="D1292" s="54"/>
      <c r="E1292" s="54"/>
      <c r="F1292" s="54"/>
      <c r="G1292" s="54"/>
      <c r="H1292" s="54"/>
      <c r="I1292" s="54"/>
      <c r="J1292" s="54"/>
      <c r="K1292" s="54"/>
      <c r="L1292" s="54"/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EE8"/>
  </sheetPr>
  <dimension ref="B2:M47"/>
  <sheetViews>
    <sheetView zoomScaleNormal="100" workbookViewId="0">
      <selection activeCell="I4" sqref="I4"/>
    </sheetView>
  </sheetViews>
  <sheetFormatPr baseColWidth="10" defaultColWidth="10.54296875" defaultRowHeight="14.5" x14ac:dyDescent="0.35"/>
  <cols>
    <col min="1" max="1" width="2.1796875" customWidth="1"/>
    <col min="2" max="2" width="36.36328125" customWidth="1"/>
    <col min="3" max="4" width="20" customWidth="1"/>
    <col min="5" max="5" width="27.26953125" customWidth="1"/>
    <col min="6" max="6" width="5.453125" customWidth="1"/>
    <col min="7" max="13" width="16.36328125" customWidth="1"/>
  </cols>
  <sheetData>
    <row r="2" spans="2:13" ht="24" customHeight="1" x14ac:dyDescent="0.45">
      <c r="B2" s="55" t="s">
        <v>3786</v>
      </c>
    </row>
    <row r="3" spans="2:13" x14ac:dyDescent="0.35">
      <c r="B3" s="56" t="s">
        <v>3787</v>
      </c>
    </row>
    <row r="5" spans="2:13" ht="17.25" customHeight="1" x14ac:dyDescent="0.35">
      <c r="B5" s="57" t="s">
        <v>3788</v>
      </c>
      <c r="C5" s="58" t="s">
        <v>3789</v>
      </c>
      <c r="D5" s="58" t="s">
        <v>3790</v>
      </c>
      <c r="E5" s="59" t="s">
        <v>3791</v>
      </c>
      <c r="G5" s="239" t="s">
        <v>3792</v>
      </c>
      <c r="H5" s="239"/>
      <c r="I5" s="239"/>
      <c r="J5" s="239"/>
      <c r="K5" s="239"/>
      <c r="L5" s="239"/>
      <c r="M5" s="239"/>
    </row>
    <row r="6" spans="2:13" ht="49.5" customHeight="1" x14ac:dyDescent="0.45">
      <c r="B6" s="60">
        <f>COUNTA('recuperación efectiva'!A2:A979)</f>
        <v>978</v>
      </c>
      <c r="C6" s="61">
        <f>AVERAGE('recuperación efectiva'!H2:H979)</f>
        <v>8.794478527607362</v>
      </c>
      <c r="D6" s="61">
        <f>MEDIAN('recuperación efectiva'!H2:H979)</f>
        <v>7</v>
      </c>
      <c r="E6" s="62">
        <f>MAX('recuperación efectiva'!H2:H979)</f>
        <v>37</v>
      </c>
      <c r="G6" s="240" t="s">
        <v>3793</v>
      </c>
      <c r="H6" s="240"/>
      <c r="I6" s="240"/>
      <c r="J6" s="240"/>
      <c r="K6" s="240"/>
      <c r="L6" s="240"/>
      <c r="M6" s="240"/>
    </row>
    <row r="7" spans="2:13" ht="49.5" customHeight="1" x14ac:dyDescent="0.35">
      <c r="G7" s="241" t="s">
        <v>3794</v>
      </c>
      <c r="H7" s="241"/>
      <c r="I7" s="241"/>
      <c r="J7" s="241"/>
      <c r="K7" s="241"/>
      <c r="L7" s="241"/>
      <c r="M7" s="241"/>
    </row>
    <row r="8" spans="2:13" ht="49.5" customHeight="1" x14ac:dyDescent="0.35">
      <c r="B8" s="63" t="s">
        <v>3795</v>
      </c>
      <c r="G8" s="240" t="s">
        <v>3796</v>
      </c>
      <c r="H8" s="240"/>
      <c r="I8" s="240"/>
      <c r="J8" s="240"/>
      <c r="K8" s="240"/>
      <c r="L8" s="240"/>
      <c r="M8" s="240"/>
    </row>
    <row r="9" spans="2:13" ht="49.5" customHeight="1" x14ac:dyDescent="0.35">
      <c r="B9" s="64" t="s">
        <v>11</v>
      </c>
      <c r="C9" s="65" t="s">
        <v>3797</v>
      </c>
      <c r="D9" s="65" t="s">
        <v>3798</v>
      </c>
      <c r="E9" s="66" t="s">
        <v>3789</v>
      </c>
      <c r="G9" s="242" t="s">
        <v>3799</v>
      </c>
      <c r="H9" s="242"/>
      <c r="I9" s="242"/>
      <c r="J9" s="242"/>
      <c r="K9" s="242"/>
      <c r="L9" s="242"/>
      <c r="M9" s="242"/>
    </row>
    <row r="10" spans="2:13" ht="49.5" customHeight="1" x14ac:dyDescent="0.35">
      <c r="B10" s="67" t="s">
        <v>21</v>
      </c>
      <c r="C10" s="68">
        <f>COUNTIF('recuperación efectiva'!M:M,B10)</f>
        <v>0</v>
      </c>
      <c r="D10" s="69">
        <f>C10/$B$6</f>
        <v>0</v>
      </c>
      <c r="E10" s="70" t="e">
        <f>AVERAGEIF('recuperación efectiva'!M:M,B10,'recuperación efectiva'!H:H)</f>
        <v>#DIV/0!</v>
      </c>
    </row>
    <row r="11" spans="2:13" ht="49.5" customHeight="1" x14ac:dyDescent="0.35">
      <c r="B11" s="71" t="s">
        <v>26</v>
      </c>
      <c r="C11" s="72">
        <f>COUNTIF('recuperación efectiva'!M:M,B11)</f>
        <v>0</v>
      </c>
      <c r="D11" s="73">
        <f>C11/$B$6</f>
        <v>0</v>
      </c>
      <c r="E11" s="74" t="e">
        <f>AVERAGEIF('recuperación efectiva'!M:M,B11,'recuperación efectiva'!H:H)</f>
        <v>#DIV/0!</v>
      </c>
    </row>
    <row r="13" spans="2:13" ht="17.25" customHeight="1" x14ac:dyDescent="0.35">
      <c r="B13" s="63" t="s">
        <v>3800</v>
      </c>
    </row>
    <row r="14" spans="2:13" x14ac:dyDescent="0.35">
      <c r="B14" s="75" t="s">
        <v>1</v>
      </c>
      <c r="C14" s="65" t="s">
        <v>3797</v>
      </c>
      <c r="D14" s="65" t="s">
        <v>3798</v>
      </c>
      <c r="E14" s="66" t="s">
        <v>3789</v>
      </c>
    </row>
    <row r="15" spans="2:13" x14ac:dyDescent="0.35">
      <c r="B15" s="67" t="s">
        <v>13</v>
      </c>
      <c r="C15" s="68">
        <f>COUNTIF('recuperación efectiva'!B:B,B15)</f>
        <v>958</v>
      </c>
      <c r="D15" s="69">
        <f>C15/$B$6</f>
        <v>0.9795501022494888</v>
      </c>
      <c r="E15" s="70">
        <f>AVERAGEIF('recuperación efectiva'!B:B,B15,'recuperación efectiva'!H:H)</f>
        <v>8.8350730688935286</v>
      </c>
    </row>
    <row r="16" spans="2:13" x14ac:dyDescent="0.35">
      <c r="B16" s="71" t="s">
        <v>85</v>
      </c>
      <c r="C16" s="72">
        <f>COUNTIF('recuperación efectiva'!B:B,B16)</f>
        <v>20</v>
      </c>
      <c r="D16" s="73">
        <f>C16/$B$6</f>
        <v>2.0449897750511249E-2</v>
      </c>
      <c r="E16" s="74">
        <f>AVERAGEIF('recuperación efectiva'!B:B,B16,'recuperación efectiva'!H:H)</f>
        <v>6.85</v>
      </c>
    </row>
    <row r="18" spans="2:5" ht="17.25" customHeight="1" x14ac:dyDescent="0.35">
      <c r="B18" s="63" t="s">
        <v>3801</v>
      </c>
    </row>
    <row r="19" spans="2:5" x14ac:dyDescent="0.35">
      <c r="B19" s="75" t="s">
        <v>3</v>
      </c>
      <c r="C19" s="65" t="s">
        <v>3797</v>
      </c>
      <c r="D19" s="65" t="s">
        <v>3798</v>
      </c>
      <c r="E19" s="66" t="s">
        <v>3789</v>
      </c>
    </row>
    <row r="20" spans="2:5" ht="17.25" customHeight="1" x14ac:dyDescent="0.35">
      <c r="B20" s="76" t="s">
        <v>34</v>
      </c>
      <c r="C20" s="68">
        <f>COUNTIF('recuperación efectiva'!D:D,B20)</f>
        <v>727</v>
      </c>
      <c r="D20" s="69">
        <f>C20/$B$6</f>
        <v>0.74335378323108381</v>
      </c>
      <c r="E20" s="70">
        <f>AVERAGEIF('recuperación efectiva'!D:D,B20,'recuperación efectiva'!H:H)</f>
        <v>8.371389270976616</v>
      </c>
    </row>
    <row r="21" spans="2:5" x14ac:dyDescent="0.35">
      <c r="B21" s="77" t="s">
        <v>15</v>
      </c>
      <c r="C21" s="78">
        <f>COUNTIF('recuperación efectiva'!D:D,B21)</f>
        <v>118</v>
      </c>
      <c r="D21" s="79">
        <f>C21/$B$6</f>
        <v>0.12065439672801637</v>
      </c>
      <c r="E21" s="80">
        <f>AVERAGEIF('recuperación efectiva'!D:D,B21,'recuperación efectiva'!H:H)</f>
        <v>9.4915254237288131</v>
      </c>
    </row>
    <row r="22" spans="2:5" x14ac:dyDescent="0.35">
      <c r="B22" s="67" t="s">
        <v>90</v>
      </c>
      <c r="C22" s="68">
        <f>COUNTIF('recuperación efectiva'!D:D,B22)</f>
        <v>75</v>
      </c>
      <c r="D22" s="69">
        <f>C22/$B$6</f>
        <v>7.6687116564417179E-2</v>
      </c>
      <c r="E22" s="70">
        <f>AVERAGEIF('recuperación efectiva'!D:D,B22,'recuperación efectiva'!H:H)</f>
        <v>7.253333333333333</v>
      </c>
    </row>
    <row r="23" spans="2:5" x14ac:dyDescent="0.35">
      <c r="B23" s="67" t="s">
        <v>78</v>
      </c>
      <c r="C23" s="68">
        <f>COUNTIF('recuperación efectiva'!D:D,B23)</f>
        <v>50</v>
      </c>
      <c r="D23" s="69">
        <f>C23/$B$6</f>
        <v>5.112474437627812E-2</v>
      </c>
      <c r="E23" s="70">
        <f>AVERAGEIF('recuperación efectiva'!D:D,B23,'recuperación efectiva'!H:H)</f>
        <v>12.88</v>
      </c>
    </row>
    <row r="24" spans="2:5" x14ac:dyDescent="0.35">
      <c r="B24" s="71" t="s">
        <v>363</v>
      </c>
      <c r="C24" s="72">
        <f>COUNTIF('recuperación efectiva'!D:D,B24)</f>
        <v>8</v>
      </c>
      <c r="D24" s="73">
        <f>C24/$B$6</f>
        <v>8.1799591002044997E-3</v>
      </c>
      <c r="E24" s="74">
        <f>AVERAGEIF('recuperación efectiva'!D:D,B24,'recuperación efectiva'!H:H)</f>
        <v>25.875</v>
      </c>
    </row>
    <row r="25" spans="2:5" x14ac:dyDescent="0.35">
      <c r="B25" t="s">
        <v>78</v>
      </c>
    </row>
    <row r="26" spans="2:5" ht="17.25" customHeight="1" x14ac:dyDescent="0.35">
      <c r="B26" s="63" t="s">
        <v>3802</v>
      </c>
    </row>
    <row r="27" spans="2:5" x14ac:dyDescent="0.35">
      <c r="B27" s="75" t="s">
        <v>3803</v>
      </c>
      <c r="C27" s="65" t="s">
        <v>3797</v>
      </c>
      <c r="D27" s="65" t="s">
        <v>3798</v>
      </c>
      <c r="E27" s="66" t="s">
        <v>3789</v>
      </c>
    </row>
    <row r="28" spans="2:5" x14ac:dyDescent="0.35">
      <c r="B28" s="81">
        <v>2022</v>
      </c>
      <c r="C28" s="68">
        <f>COUNTIF('recuperación efectiva'!F:F,B28)</f>
        <v>12</v>
      </c>
      <c r="D28" s="69">
        <f>C28/$B$6</f>
        <v>1.2269938650306749E-2</v>
      </c>
      <c r="E28" s="70">
        <f>AVERAGEIF('recuperación efectiva'!F:F,B28,'recuperación efectiva'!H:H)</f>
        <v>31.5</v>
      </c>
    </row>
    <row r="29" spans="2:5" x14ac:dyDescent="0.35">
      <c r="B29" s="81">
        <v>2023</v>
      </c>
      <c r="C29" s="68">
        <f>COUNTIF('recuperación efectiva'!F:F,B29)</f>
        <v>48</v>
      </c>
      <c r="D29" s="69">
        <f>C29/$B$6</f>
        <v>4.9079754601226995E-2</v>
      </c>
      <c r="E29" s="70">
        <f>AVERAGEIF('recuperación efectiva'!F:F,B29,'recuperación efectiva'!H:H)</f>
        <v>23.708333333333332</v>
      </c>
    </row>
    <row r="30" spans="2:5" x14ac:dyDescent="0.35">
      <c r="B30" s="81">
        <v>2024</v>
      </c>
      <c r="C30" s="68">
        <f>COUNTIF('recuperación efectiva'!F:F,B30)</f>
        <v>287</v>
      </c>
      <c r="D30" s="69">
        <f>C30/$B$6</f>
        <v>0.29345603271983639</v>
      </c>
      <c r="E30" s="70">
        <f>AVERAGEIF('recuperación efectiva'!F:F,B30,'recuperación efectiva'!H:H)</f>
        <v>11.930313588850174</v>
      </c>
    </row>
    <row r="31" spans="2:5" x14ac:dyDescent="0.35">
      <c r="B31" s="81">
        <v>2025</v>
      </c>
      <c r="C31" s="68">
        <f>COUNTIF('recuperación efectiva'!F:F,B31)</f>
        <v>612</v>
      </c>
      <c r="D31" s="69">
        <f>C31/$B$6</f>
        <v>0.62576687116564422</v>
      </c>
      <c r="E31" s="70">
        <f>AVERAGEIF('recuperación efectiva'!F:F,B31,'recuperación efectiva'!H:H)</f>
        <v>5.9101307189542487</v>
      </c>
    </row>
    <row r="32" spans="2:5" x14ac:dyDescent="0.35">
      <c r="B32" s="82">
        <v>2026</v>
      </c>
      <c r="C32" s="72">
        <f>COUNTIF('recuperación efectiva'!F:F,B32)</f>
        <v>19</v>
      </c>
      <c r="D32" s="73">
        <f>C32/$B$6</f>
        <v>1.9427402862985686E-2</v>
      </c>
      <c r="E32" s="74">
        <f>AVERAGEIF('recuperación efectiva'!F:F,B32,'recuperación efectiva'!H:H)</f>
        <v>2.3157894736842106</v>
      </c>
    </row>
    <row r="34" spans="2:5" ht="17.25" customHeight="1" x14ac:dyDescent="0.35">
      <c r="B34" s="63" t="s">
        <v>3804</v>
      </c>
    </row>
    <row r="35" spans="2:5" x14ac:dyDescent="0.35">
      <c r="B35" s="75" t="s">
        <v>10</v>
      </c>
      <c r="C35" s="65" t="s">
        <v>3797</v>
      </c>
      <c r="D35" s="65" t="s">
        <v>3798</v>
      </c>
      <c r="E35" s="66" t="s">
        <v>3789</v>
      </c>
    </row>
    <row r="36" spans="2:5" x14ac:dyDescent="0.35">
      <c r="B36" s="67" t="s">
        <v>25</v>
      </c>
      <c r="C36" s="68">
        <f>COUNTIF('recuperación efectiva'!L:L,B36)</f>
        <v>0</v>
      </c>
      <c r="D36" s="69">
        <f t="shared" ref="D36:D47" si="0">C36/$B$6</f>
        <v>0</v>
      </c>
      <c r="E36" s="70" t="e">
        <f>AVERAGEIF('recuperación efectiva'!L:L,B36,'recuperación efectiva'!H:H)</f>
        <v>#DIV/0!</v>
      </c>
    </row>
    <row r="37" spans="2:5" x14ac:dyDescent="0.35">
      <c r="B37" s="67" t="s">
        <v>130</v>
      </c>
      <c r="C37" s="68">
        <f>COUNTIF('recuperación efectiva'!L:L,B37)</f>
        <v>0</v>
      </c>
      <c r="D37" s="69">
        <f t="shared" si="0"/>
        <v>0</v>
      </c>
      <c r="E37" s="70" t="e">
        <f>AVERAGEIF('recuperación efectiva'!L:L,B37,'recuperación efectiva'!H:H)</f>
        <v>#DIV/0!</v>
      </c>
    </row>
    <row r="38" spans="2:5" x14ac:dyDescent="0.35">
      <c r="B38" s="67" t="s">
        <v>44</v>
      </c>
      <c r="C38" s="68">
        <f>COUNTIF('recuperación efectiva'!L:L,B38)</f>
        <v>0</v>
      </c>
      <c r="D38" s="69">
        <f t="shared" si="0"/>
        <v>0</v>
      </c>
      <c r="E38" s="70" t="e">
        <f>AVERAGEIF('recuperación efectiva'!L:L,B38,'recuperación efectiva'!H:H)</f>
        <v>#DIV/0!</v>
      </c>
    </row>
    <row r="39" spans="2:5" x14ac:dyDescent="0.35">
      <c r="B39" s="67" t="s">
        <v>115</v>
      </c>
      <c r="C39" s="68">
        <f>COUNTIF('recuperación efectiva'!L:L,B39)</f>
        <v>0</v>
      </c>
      <c r="D39" s="69">
        <f t="shared" si="0"/>
        <v>0</v>
      </c>
      <c r="E39" s="70" t="e">
        <f>AVERAGEIF('recuperación efectiva'!L:L,B39,'recuperación efectiva'!H:H)</f>
        <v>#DIV/0!</v>
      </c>
    </row>
    <row r="40" spans="2:5" x14ac:dyDescent="0.35">
      <c r="B40" s="67" t="s">
        <v>39</v>
      </c>
      <c r="C40" s="68">
        <f>COUNTIF('recuperación efectiva'!L:L,B40)</f>
        <v>0</v>
      </c>
      <c r="D40" s="69">
        <f t="shared" si="0"/>
        <v>0</v>
      </c>
      <c r="E40" s="70" t="e">
        <f>AVERAGEIF('recuperación efectiva'!L:L,B40,'recuperación efectiva'!H:H)</f>
        <v>#DIV/0!</v>
      </c>
    </row>
    <row r="41" spans="2:5" x14ac:dyDescent="0.35">
      <c r="B41" s="67" t="s">
        <v>72</v>
      </c>
      <c r="C41" s="68">
        <f>COUNTIF('recuperación efectiva'!L:L,B41)</f>
        <v>0</v>
      </c>
      <c r="D41" s="69">
        <f t="shared" si="0"/>
        <v>0</v>
      </c>
      <c r="E41" s="70" t="e">
        <f>AVERAGEIF('recuperación efectiva'!L:L,B41,'recuperación efectiva'!H:H)</f>
        <v>#DIV/0!</v>
      </c>
    </row>
    <row r="42" spans="2:5" x14ac:dyDescent="0.35">
      <c r="B42" s="67" t="s">
        <v>241</v>
      </c>
      <c r="C42" s="68">
        <f>COUNTIF('recuperación efectiva'!L:L,B42)</f>
        <v>0</v>
      </c>
      <c r="D42" s="69">
        <f t="shared" si="0"/>
        <v>0</v>
      </c>
      <c r="E42" s="70" t="e">
        <f>AVERAGEIF('recuperación efectiva'!L:L,B42,'recuperación efectiva'!H:H)</f>
        <v>#DIV/0!</v>
      </c>
    </row>
    <row r="43" spans="2:5" x14ac:dyDescent="0.35">
      <c r="B43" s="67" t="s">
        <v>20</v>
      </c>
      <c r="C43" s="68">
        <f>COUNTIF('recuperación efectiva'!L:L,B43)</f>
        <v>0</v>
      </c>
      <c r="D43" s="69">
        <f t="shared" si="0"/>
        <v>0</v>
      </c>
      <c r="E43" s="70" t="e">
        <f>AVERAGEIF('recuperación efectiva'!L:L,B43,'recuperación efectiva'!H:H)</f>
        <v>#DIV/0!</v>
      </c>
    </row>
    <row r="44" spans="2:5" x14ac:dyDescent="0.35">
      <c r="B44" s="67" t="s">
        <v>195</v>
      </c>
      <c r="C44" s="68">
        <f>COUNTIF('recuperación efectiva'!L:L,B44)</f>
        <v>0</v>
      </c>
      <c r="D44" s="69">
        <f t="shared" si="0"/>
        <v>0</v>
      </c>
      <c r="E44" s="70" t="e">
        <f>AVERAGEIF('recuperación efectiva'!L:L,B44,'recuperación efectiva'!H:H)</f>
        <v>#DIV/0!</v>
      </c>
    </row>
    <row r="45" spans="2:5" x14ac:dyDescent="0.35">
      <c r="B45" s="67" t="s">
        <v>293</v>
      </c>
      <c r="C45" s="68">
        <f>COUNTIF('recuperación efectiva'!L:L,B45)</f>
        <v>0</v>
      </c>
      <c r="D45" s="69">
        <f t="shared" si="0"/>
        <v>0</v>
      </c>
      <c r="E45" s="70" t="e">
        <f>AVERAGEIF('recuperación efectiva'!L:L,B45,'recuperación efectiva'!H:H)</f>
        <v>#DIV/0!</v>
      </c>
    </row>
    <row r="46" spans="2:5" x14ac:dyDescent="0.35">
      <c r="B46" s="67" t="s">
        <v>727</v>
      </c>
      <c r="C46" s="68">
        <f>COUNTIF('recuperación efectiva'!L:L,B46)</f>
        <v>0</v>
      </c>
      <c r="D46" s="69">
        <f t="shared" si="0"/>
        <v>0</v>
      </c>
      <c r="E46" s="70" t="e">
        <f>AVERAGEIF('recuperación efectiva'!L:L,B46,'recuperación efectiva'!H:H)</f>
        <v>#DIV/0!</v>
      </c>
    </row>
    <row r="47" spans="2:5" x14ac:dyDescent="0.35">
      <c r="B47" s="71" t="s">
        <v>3323</v>
      </c>
      <c r="C47" s="72">
        <f>COUNTIF('recuperación efectiva'!L:L,B47)</f>
        <v>0</v>
      </c>
      <c r="D47" s="73">
        <f t="shared" si="0"/>
        <v>0</v>
      </c>
      <c r="E47" s="74" t="e">
        <f>AVERAGEIF('recuperación efectiva'!L:L,B47,'recuperación efectiva'!H:H)</f>
        <v>#DIV/0!</v>
      </c>
    </row>
  </sheetData>
  <mergeCells count="5">
    <mergeCell ref="G5:M5"/>
    <mergeCell ref="G6:M6"/>
    <mergeCell ref="G7:M7"/>
    <mergeCell ref="G8:M8"/>
    <mergeCell ref="G9:M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979"/>
  <sheetViews>
    <sheetView showGridLines="0" topLeftCell="N1" zoomScale="50" zoomScaleNormal="50" workbookViewId="0">
      <pane ySplit="1" topLeftCell="A116" activePane="bottomLeft" state="frozen"/>
      <selection activeCell="N1" sqref="N1"/>
      <selection pane="bottomLeft" activeCell="G1" sqref="G1"/>
    </sheetView>
  </sheetViews>
  <sheetFormatPr baseColWidth="10" defaultColWidth="10.54296875" defaultRowHeight="14.5" x14ac:dyDescent="0.35"/>
  <cols>
    <col min="1" max="1" width="36.36328125" customWidth="1"/>
    <col min="2" max="2" width="12.7265625" customWidth="1"/>
    <col min="3" max="3" width="14.54296875" customWidth="1"/>
    <col min="4" max="4" width="27.26953125" customWidth="1"/>
    <col min="5" max="5" width="14.54296875" customWidth="1"/>
    <col min="6" max="6" width="16.36328125" style="83" customWidth="1"/>
    <col min="7" max="7" width="21.81640625" customWidth="1"/>
    <col min="8" max="9" width="20" customWidth="1"/>
    <col min="10" max="10" width="18.1796875" customWidth="1"/>
    <col min="11" max="11" width="14.54296875" customWidth="1"/>
    <col min="12" max="12" width="21.81640625" customWidth="1"/>
    <col min="13" max="13" width="14.54296875" customWidth="1"/>
    <col min="15" max="15" width="36.90625" customWidth="1"/>
    <col min="16" max="16" width="35.54296875" customWidth="1"/>
    <col min="17" max="17" width="35.7265625" customWidth="1"/>
    <col min="18" max="18" width="35.1796875" customWidth="1"/>
    <col min="19" max="20" width="33.26953125" customWidth="1"/>
    <col min="21" max="21" width="18.1796875" customWidth="1"/>
    <col min="22" max="23" width="32.7265625" customWidth="1"/>
    <col min="24" max="25" width="11.453125" customWidth="1"/>
    <col min="26" max="26" width="11.81640625" customWidth="1"/>
    <col min="27" max="28" width="11.453125" customWidth="1"/>
    <col min="29" max="31" width="11.81640625" customWidth="1"/>
    <col min="32" max="33" width="11.453125" customWidth="1"/>
    <col min="34" max="35" width="11.81640625" customWidth="1"/>
    <col min="36" max="37" width="11" customWidth="1"/>
  </cols>
  <sheetData>
    <row r="1" spans="1:18" ht="27.75" customHeight="1" x14ac:dyDescent="0.35">
      <c r="A1" s="84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3805</v>
      </c>
      <c r="G1" s="85" t="s">
        <v>5</v>
      </c>
      <c r="H1" s="85" t="s">
        <v>6</v>
      </c>
      <c r="I1" s="85" t="s">
        <v>7</v>
      </c>
      <c r="J1" s="85" t="s">
        <v>8</v>
      </c>
      <c r="K1" s="85" t="s">
        <v>3806</v>
      </c>
      <c r="L1" s="85" t="s">
        <v>9</v>
      </c>
      <c r="M1" s="85" t="s">
        <v>10</v>
      </c>
      <c r="N1" s="86" t="s">
        <v>11</v>
      </c>
    </row>
    <row r="2" spans="1:18" x14ac:dyDescent="0.35">
      <c r="A2" s="87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5">
        <f>+YEAR(Tabla2[[#This Row],[Cosecha]])</f>
        <v>2023</v>
      </c>
      <c r="G2" s="6" t="s">
        <v>17</v>
      </c>
      <c r="H2" s="88">
        <f t="shared" ref="H2:H65" si="0">(YEAR(G2)-YEAR(E2))*12+(MONTH(G2)-MONTH(E2))</f>
        <v>36</v>
      </c>
      <c r="I2" s="5" t="s">
        <v>18</v>
      </c>
      <c r="J2" s="6" t="s">
        <v>17</v>
      </c>
      <c r="K2" s="88">
        <f t="shared" ref="K2:K65" si="1">(YEAR(J2)-YEAR(E2))*12+(MONTH(J2)-MONTH(E2))</f>
        <v>36</v>
      </c>
      <c r="L2" s="6" t="s">
        <v>19</v>
      </c>
      <c r="M2" s="6" t="s">
        <v>20</v>
      </c>
      <c r="N2" s="89" t="s">
        <v>21</v>
      </c>
    </row>
    <row r="3" spans="1:18" x14ac:dyDescent="0.35">
      <c r="A3" s="90" t="s">
        <v>12</v>
      </c>
      <c r="B3" s="10" t="s">
        <v>13</v>
      </c>
      <c r="C3" s="11" t="s">
        <v>22</v>
      </c>
      <c r="D3" s="11" t="s">
        <v>15</v>
      </c>
      <c r="E3" s="12" t="s">
        <v>23</v>
      </c>
      <c r="F3" s="10">
        <f>+YEAR(Tabla2[[#This Row],[Cosecha]])</f>
        <v>2026</v>
      </c>
      <c r="G3" s="11" t="s">
        <v>17</v>
      </c>
      <c r="H3" s="91">
        <f t="shared" si="0"/>
        <v>3</v>
      </c>
      <c r="I3" s="10" t="s">
        <v>18</v>
      </c>
      <c r="J3" s="11" t="s">
        <v>17</v>
      </c>
      <c r="K3" s="88">
        <f t="shared" si="1"/>
        <v>3</v>
      </c>
      <c r="L3" s="11" t="s">
        <v>24</v>
      </c>
      <c r="M3" s="11" t="s">
        <v>25</v>
      </c>
      <c r="N3" s="92" t="s">
        <v>26</v>
      </c>
      <c r="P3" s="93" t="s">
        <v>3807</v>
      </c>
    </row>
    <row r="4" spans="1:18" x14ac:dyDescent="0.35">
      <c r="A4" s="94" t="s">
        <v>27</v>
      </c>
      <c r="B4" s="15" t="s">
        <v>13</v>
      </c>
      <c r="C4" s="16" t="s">
        <v>28</v>
      </c>
      <c r="D4" s="16" t="s">
        <v>15</v>
      </c>
      <c r="E4" s="17" t="s">
        <v>29</v>
      </c>
      <c r="F4" s="15">
        <f>+YEAR(Tabla2[[#This Row],[Cosecha]])</f>
        <v>2025</v>
      </c>
      <c r="G4" s="16" t="s">
        <v>30</v>
      </c>
      <c r="H4" s="95">
        <f t="shared" si="0"/>
        <v>9</v>
      </c>
      <c r="I4" s="15" t="s">
        <v>18</v>
      </c>
      <c r="J4" s="16" t="s">
        <v>30</v>
      </c>
      <c r="K4" s="88">
        <f t="shared" si="1"/>
        <v>9</v>
      </c>
      <c r="L4" s="16" t="s">
        <v>31</v>
      </c>
      <c r="M4" s="16" t="s">
        <v>25</v>
      </c>
      <c r="N4" s="96" t="s">
        <v>21</v>
      </c>
      <c r="P4" s="97" t="s">
        <v>1</v>
      </c>
      <c r="Q4" s="97" t="s">
        <v>3808</v>
      </c>
      <c r="R4" s="97" t="s">
        <v>3809</v>
      </c>
    </row>
    <row r="5" spans="1:18" x14ac:dyDescent="0.35">
      <c r="A5" s="90" t="s">
        <v>32</v>
      </c>
      <c r="B5" s="10" t="s">
        <v>13</v>
      </c>
      <c r="C5" s="11" t="s">
        <v>33</v>
      </c>
      <c r="D5" s="11" t="s">
        <v>34</v>
      </c>
      <c r="E5" s="12" t="s">
        <v>35</v>
      </c>
      <c r="F5" s="10">
        <f>+YEAR(Tabla2[[#This Row],[Cosecha]])</f>
        <v>2024</v>
      </c>
      <c r="G5" s="11" t="s">
        <v>36</v>
      </c>
      <c r="H5" s="91">
        <f t="shared" si="0"/>
        <v>12</v>
      </c>
      <c r="I5" s="10" t="s">
        <v>18</v>
      </c>
      <c r="J5" s="11" t="s">
        <v>37</v>
      </c>
      <c r="K5" s="88">
        <f t="shared" si="1"/>
        <v>13</v>
      </c>
      <c r="L5" s="11" t="s">
        <v>38</v>
      </c>
      <c r="M5" s="11" t="s">
        <v>39</v>
      </c>
      <c r="N5" s="92" t="s">
        <v>21</v>
      </c>
      <c r="P5" s="98" t="s">
        <v>13</v>
      </c>
      <c r="Q5" s="99">
        <f>COUNTIF(B:B,"Hombre")</f>
        <v>958</v>
      </c>
      <c r="R5" s="99">
        <f>+ROUND(AVERAGEIF(B:B,Tabla3[[#This Row],[Sexo]],H:H),0)</f>
        <v>9</v>
      </c>
    </row>
    <row r="6" spans="1:18" x14ac:dyDescent="0.35">
      <c r="A6" s="94" t="s">
        <v>45</v>
      </c>
      <c r="B6" s="15" t="s">
        <v>13</v>
      </c>
      <c r="C6" s="16" t="s">
        <v>46</v>
      </c>
      <c r="D6" s="16" t="s">
        <v>34</v>
      </c>
      <c r="E6" s="17" t="s">
        <v>47</v>
      </c>
      <c r="F6" s="15">
        <f>+YEAR(Tabla2[[#This Row],[Cosecha]])</f>
        <v>2025</v>
      </c>
      <c r="G6" s="16" t="s">
        <v>37</v>
      </c>
      <c r="H6" s="95">
        <f t="shared" si="0"/>
        <v>8</v>
      </c>
      <c r="I6" s="15" t="s">
        <v>18</v>
      </c>
      <c r="J6" s="16" t="s">
        <v>37</v>
      </c>
      <c r="K6" s="88">
        <f t="shared" si="1"/>
        <v>8</v>
      </c>
      <c r="L6" s="16" t="s">
        <v>48</v>
      </c>
      <c r="M6" s="16" t="s">
        <v>44</v>
      </c>
      <c r="N6" s="96" t="s">
        <v>21</v>
      </c>
      <c r="P6" s="100" t="s">
        <v>85</v>
      </c>
      <c r="Q6" s="101">
        <f>COUNTIF(B:B,"Mujer")</f>
        <v>20</v>
      </c>
      <c r="R6" s="101">
        <f>+ROUND(AVERAGEIF(B:B,Tabla3[[#This Row],[Sexo]],H:H),0)</f>
        <v>7</v>
      </c>
    </row>
    <row r="7" spans="1:18" x14ac:dyDescent="0.35">
      <c r="A7" s="90" t="s">
        <v>49</v>
      </c>
      <c r="B7" s="10" t="s">
        <v>13</v>
      </c>
      <c r="C7" s="11" t="s">
        <v>50</v>
      </c>
      <c r="D7" s="11" t="s">
        <v>34</v>
      </c>
      <c r="E7" s="12" t="s">
        <v>51</v>
      </c>
      <c r="F7" s="10">
        <f>+YEAR(Tabla2[[#This Row],[Cosecha]])</f>
        <v>2025</v>
      </c>
      <c r="G7" s="11" t="s">
        <v>23</v>
      </c>
      <c r="H7" s="91">
        <f t="shared" si="0"/>
        <v>11</v>
      </c>
      <c r="I7" s="10" t="s">
        <v>18</v>
      </c>
      <c r="J7" s="11" t="s">
        <v>52</v>
      </c>
      <c r="K7" s="88">
        <f t="shared" si="1"/>
        <v>12</v>
      </c>
      <c r="L7" s="11" t="s">
        <v>53</v>
      </c>
      <c r="M7" s="11" t="s">
        <v>44</v>
      </c>
      <c r="N7" s="92" t="s">
        <v>21</v>
      </c>
    </row>
    <row r="8" spans="1:18" x14ac:dyDescent="0.35">
      <c r="A8" s="94" t="s">
        <v>54</v>
      </c>
      <c r="B8" s="15" t="s">
        <v>13</v>
      </c>
      <c r="C8" s="16" t="s">
        <v>55</v>
      </c>
      <c r="D8" s="16" t="s">
        <v>34</v>
      </c>
      <c r="E8" s="17" t="s">
        <v>29</v>
      </c>
      <c r="F8" s="15">
        <f>+YEAR(Tabla2[[#This Row],[Cosecha]])</f>
        <v>2025</v>
      </c>
      <c r="G8" s="16" t="s">
        <v>30</v>
      </c>
      <c r="H8" s="95">
        <f t="shared" si="0"/>
        <v>9</v>
      </c>
      <c r="I8" s="15" t="s">
        <v>18</v>
      </c>
      <c r="J8" s="16" t="s">
        <v>30</v>
      </c>
      <c r="K8" s="88">
        <f t="shared" si="1"/>
        <v>9</v>
      </c>
      <c r="L8" s="16" t="s">
        <v>56</v>
      </c>
      <c r="M8" s="16" t="s">
        <v>25</v>
      </c>
      <c r="N8" s="96" t="s">
        <v>21</v>
      </c>
    </row>
    <row r="9" spans="1:18" x14ac:dyDescent="0.35">
      <c r="A9" s="90" t="s">
        <v>57</v>
      </c>
      <c r="B9" s="10" t="s">
        <v>13</v>
      </c>
      <c r="C9" s="11" t="s">
        <v>58</v>
      </c>
      <c r="D9" s="11" t="s">
        <v>34</v>
      </c>
      <c r="E9" s="12" t="s">
        <v>29</v>
      </c>
      <c r="F9" s="10">
        <f>+YEAR(Tabla2[[#This Row],[Cosecha]])</f>
        <v>2025</v>
      </c>
      <c r="G9" s="11" t="s">
        <v>30</v>
      </c>
      <c r="H9" s="91">
        <f t="shared" si="0"/>
        <v>9</v>
      </c>
      <c r="I9" s="10" t="s">
        <v>18</v>
      </c>
      <c r="J9" s="11" t="s">
        <v>17</v>
      </c>
      <c r="K9" s="88">
        <f t="shared" si="1"/>
        <v>10</v>
      </c>
      <c r="L9" s="11" t="s">
        <v>59</v>
      </c>
      <c r="M9" s="11" t="s">
        <v>25</v>
      </c>
      <c r="N9" s="92" t="s">
        <v>21</v>
      </c>
    </row>
    <row r="10" spans="1:18" x14ac:dyDescent="0.35">
      <c r="A10" s="94" t="s">
        <v>60</v>
      </c>
      <c r="B10" s="15" t="s">
        <v>13</v>
      </c>
      <c r="C10" s="16" t="s">
        <v>61</v>
      </c>
      <c r="D10" s="16" t="s">
        <v>15</v>
      </c>
      <c r="E10" s="17" t="s">
        <v>35</v>
      </c>
      <c r="F10" s="15">
        <f>+YEAR(Tabla2[[#This Row],[Cosecha]])</f>
        <v>2024</v>
      </c>
      <c r="G10" s="16" t="s">
        <v>29</v>
      </c>
      <c r="H10" s="95">
        <f t="shared" si="0"/>
        <v>8</v>
      </c>
      <c r="I10" s="15" t="s">
        <v>18</v>
      </c>
      <c r="J10" s="16" t="s">
        <v>62</v>
      </c>
      <c r="K10" s="88">
        <f t="shared" si="1"/>
        <v>9</v>
      </c>
      <c r="L10" s="16" t="s">
        <v>63</v>
      </c>
      <c r="M10" s="16" t="s">
        <v>25</v>
      </c>
      <c r="N10" s="96" t="s">
        <v>21</v>
      </c>
    </row>
    <row r="11" spans="1:18" x14ac:dyDescent="0.35">
      <c r="A11" s="90" t="s">
        <v>68</v>
      </c>
      <c r="B11" s="10" t="s">
        <v>13</v>
      </c>
      <c r="C11" s="11" t="s">
        <v>69</v>
      </c>
      <c r="D11" s="11" t="s">
        <v>34</v>
      </c>
      <c r="E11" s="12" t="s">
        <v>37</v>
      </c>
      <c r="F11" s="10">
        <f>+YEAR(Tabla2[[#This Row],[Cosecha]])</f>
        <v>2025</v>
      </c>
      <c r="G11" s="11" t="s">
        <v>17</v>
      </c>
      <c r="H11" s="91">
        <f t="shared" si="0"/>
        <v>5</v>
      </c>
      <c r="I11" s="10" t="s">
        <v>18</v>
      </c>
      <c r="J11" s="11" t="s">
        <v>70</v>
      </c>
      <c r="K11" s="88">
        <f t="shared" si="1"/>
        <v>6</v>
      </c>
      <c r="L11" s="11" t="s">
        <v>71</v>
      </c>
      <c r="M11" s="11" t="s">
        <v>72</v>
      </c>
      <c r="N11" s="92" t="s">
        <v>21</v>
      </c>
    </row>
    <row r="12" spans="1:18" x14ac:dyDescent="0.35">
      <c r="A12" s="94" t="s">
        <v>73</v>
      </c>
      <c r="B12" s="15" t="s">
        <v>13</v>
      </c>
      <c r="C12" s="16" t="s">
        <v>74</v>
      </c>
      <c r="D12" s="16" t="s">
        <v>15</v>
      </c>
      <c r="E12" s="17" t="s">
        <v>36</v>
      </c>
      <c r="F12" s="15">
        <f>+YEAR(Tabla2[[#This Row],[Cosecha]])</f>
        <v>2025</v>
      </c>
      <c r="G12" s="16" t="s">
        <v>17</v>
      </c>
      <c r="H12" s="95">
        <f t="shared" si="0"/>
        <v>6</v>
      </c>
      <c r="I12" s="15" t="s">
        <v>18</v>
      </c>
      <c r="J12" s="16" t="s">
        <v>17</v>
      </c>
      <c r="K12" s="88">
        <f t="shared" si="1"/>
        <v>6</v>
      </c>
      <c r="L12" s="16" t="s">
        <v>75</v>
      </c>
      <c r="M12" s="16" t="s">
        <v>25</v>
      </c>
      <c r="N12" s="96" t="s">
        <v>26</v>
      </c>
    </row>
    <row r="13" spans="1:18" x14ac:dyDescent="0.35">
      <c r="A13" s="90" t="s">
        <v>76</v>
      </c>
      <c r="B13" s="10" t="s">
        <v>13</v>
      </c>
      <c r="C13" s="11" t="s">
        <v>77</v>
      </c>
      <c r="D13" s="11" t="s">
        <v>78</v>
      </c>
      <c r="E13" s="12" t="s">
        <v>66</v>
      </c>
      <c r="F13" s="10">
        <f>+YEAR(Tabla2[[#This Row],[Cosecha]])</f>
        <v>2025</v>
      </c>
      <c r="G13" s="11" t="s">
        <v>37</v>
      </c>
      <c r="H13" s="91">
        <f t="shared" si="0"/>
        <v>10</v>
      </c>
      <c r="I13" s="10" t="s">
        <v>18</v>
      </c>
      <c r="J13" s="11" t="s">
        <v>30</v>
      </c>
      <c r="K13" s="88">
        <f t="shared" si="1"/>
        <v>14</v>
      </c>
      <c r="L13" s="11" t="s">
        <v>79</v>
      </c>
      <c r="M13" s="11" t="s">
        <v>25</v>
      </c>
      <c r="N13" s="92" t="s">
        <v>21</v>
      </c>
    </row>
    <row r="14" spans="1:18" x14ac:dyDescent="0.35">
      <c r="A14" s="94" t="s">
        <v>80</v>
      </c>
      <c r="B14" s="15" t="s">
        <v>13</v>
      </c>
      <c r="C14" s="16" t="s">
        <v>81</v>
      </c>
      <c r="D14" s="16" t="s">
        <v>78</v>
      </c>
      <c r="E14" s="17" t="s">
        <v>82</v>
      </c>
      <c r="F14" s="15">
        <f>+YEAR(Tabla2[[#This Row],[Cosecha]])</f>
        <v>2024</v>
      </c>
      <c r="G14" s="16" t="s">
        <v>23</v>
      </c>
      <c r="H14" s="95">
        <f t="shared" si="0"/>
        <v>13</v>
      </c>
      <c r="I14" s="15" t="s">
        <v>18</v>
      </c>
      <c r="J14" s="16" t="s">
        <v>23</v>
      </c>
      <c r="K14" s="88">
        <f t="shared" si="1"/>
        <v>13</v>
      </c>
      <c r="L14" s="16" t="s">
        <v>83</v>
      </c>
      <c r="M14" s="16" t="s">
        <v>25</v>
      </c>
      <c r="N14" s="96" t="s">
        <v>21</v>
      </c>
    </row>
    <row r="15" spans="1:18" x14ac:dyDescent="0.35">
      <c r="A15" s="90" t="s">
        <v>84</v>
      </c>
      <c r="B15" s="10" t="s">
        <v>85</v>
      </c>
      <c r="C15" s="11" t="s">
        <v>86</v>
      </c>
      <c r="D15" s="11" t="s">
        <v>34</v>
      </c>
      <c r="E15" s="12" t="s">
        <v>23</v>
      </c>
      <c r="F15" s="10">
        <f>+YEAR(Tabla2[[#This Row],[Cosecha]])</f>
        <v>2026</v>
      </c>
      <c r="G15" s="11" t="s">
        <v>52</v>
      </c>
      <c r="H15" s="91">
        <f t="shared" si="0"/>
        <v>1</v>
      </c>
      <c r="I15" s="10" t="s">
        <v>18</v>
      </c>
      <c r="J15" s="11" t="s">
        <v>52</v>
      </c>
      <c r="K15" s="88">
        <f t="shared" si="1"/>
        <v>1</v>
      </c>
      <c r="L15" s="11" t="s">
        <v>87</v>
      </c>
      <c r="M15" s="11" t="s">
        <v>44</v>
      </c>
      <c r="N15" s="92" t="s">
        <v>21</v>
      </c>
      <c r="P15" s="93" t="s">
        <v>3810</v>
      </c>
    </row>
    <row r="16" spans="1:18" x14ac:dyDescent="0.35">
      <c r="A16" s="94" t="s">
        <v>88</v>
      </c>
      <c r="B16" s="15" t="s">
        <v>85</v>
      </c>
      <c r="C16" s="16" t="s">
        <v>89</v>
      </c>
      <c r="D16" s="16" t="s">
        <v>90</v>
      </c>
      <c r="E16" s="17" t="s">
        <v>36</v>
      </c>
      <c r="F16" s="15">
        <f>+YEAR(Tabla2[[#This Row],[Cosecha]])</f>
        <v>2025</v>
      </c>
      <c r="G16" s="16" t="s">
        <v>52</v>
      </c>
      <c r="H16" s="95">
        <f t="shared" si="0"/>
        <v>4</v>
      </c>
      <c r="I16" s="15" t="s">
        <v>18</v>
      </c>
      <c r="J16" s="16" t="s">
        <v>52</v>
      </c>
      <c r="K16" s="88">
        <f t="shared" si="1"/>
        <v>4</v>
      </c>
      <c r="L16" s="16" t="s">
        <v>91</v>
      </c>
      <c r="M16" s="16" t="s">
        <v>25</v>
      </c>
      <c r="N16" s="96" t="s">
        <v>26</v>
      </c>
      <c r="P16" s="97" t="s">
        <v>3</v>
      </c>
      <c r="Q16" s="97" t="s">
        <v>3808</v>
      </c>
      <c r="R16" s="97" t="s">
        <v>3809</v>
      </c>
    </row>
    <row r="17" spans="1:19" x14ac:dyDescent="0.35">
      <c r="A17" s="90" t="s">
        <v>92</v>
      </c>
      <c r="B17" s="10" t="s">
        <v>13</v>
      </c>
      <c r="C17" s="11" t="s">
        <v>93</v>
      </c>
      <c r="D17" s="11" t="s">
        <v>90</v>
      </c>
      <c r="E17" s="12" t="s">
        <v>82</v>
      </c>
      <c r="F17" s="10">
        <f>+YEAR(Tabla2[[#This Row],[Cosecha]])</f>
        <v>2024</v>
      </c>
      <c r="G17" s="11" t="s">
        <v>17</v>
      </c>
      <c r="H17" s="91">
        <f t="shared" si="0"/>
        <v>16</v>
      </c>
      <c r="I17" s="10" t="s">
        <v>18</v>
      </c>
      <c r="J17" s="11" t="s">
        <v>17</v>
      </c>
      <c r="K17" s="88">
        <f t="shared" si="1"/>
        <v>16</v>
      </c>
      <c r="L17" s="11" t="s">
        <v>94</v>
      </c>
      <c r="M17" s="11" t="s">
        <v>25</v>
      </c>
      <c r="N17" s="92" t="s">
        <v>21</v>
      </c>
      <c r="P17" s="102" t="s">
        <v>363</v>
      </c>
      <c r="Q17" s="103">
        <f>COUNTIF(D:D,Tabla35[[#This Row],[Estado]])</f>
        <v>8</v>
      </c>
      <c r="R17" s="103">
        <f>+ROUND(AVERAGEIF(D:D,Tabla35[[#This Row],[Estado]],H:H),0)</f>
        <v>26</v>
      </c>
    </row>
    <row r="18" spans="1:19" x14ac:dyDescent="0.35">
      <c r="A18" s="94" t="s">
        <v>95</v>
      </c>
      <c r="B18" s="15" t="s">
        <v>13</v>
      </c>
      <c r="C18" s="16" t="s">
        <v>96</v>
      </c>
      <c r="D18" s="16" t="s">
        <v>90</v>
      </c>
      <c r="E18" s="17" t="s">
        <v>97</v>
      </c>
      <c r="F18" s="15">
        <f>+YEAR(Tabla2[[#This Row],[Cosecha]])</f>
        <v>2025</v>
      </c>
      <c r="G18" s="16" t="s">
        <v>17</v>
      </c>
      <c r="H18" s="95">
        <f t="shared" si="0"/>
        <v>8</v>
      </c>
      <c r="I18" s="15" t="s">
        <v>18</v>
      </c>
      <c r="J18" s="16" t="s">
        <v>17</v>
      </c>
      <c r="K18" s="88">
        <f t="shared" si="1"/>
        <v>8</v>
      </c>
      <c r="L18" s="16" t="s">
        <v>98</v>
      </c>
      <c r="M18" s="16" t="s">
        <v>39</v>
      </c>
      <c r="N18" s="96" t="s">
        <v>26</v>
      </c>
      <c r="P18" s="104" t="s">
        <v>78</v>
      </c>
      <c r="Q18" s="105">
        <f>COUNTIF(D:D,Tabla35[[#This Row],[Estado]])</f>
        <v>50</v>
      </c>
      <c r="R18" s="105">
        <f>+ROUND(AVERAGEIF(D:D,Tabla35[[#This Row],[Estado]],H:H),0)</f>
        <v>13</v>
      </c>
    </row>
    <row r="19" spans="1:19" x14ac:dyDescent="0.35">
      <c r="A19" s="90" t="s">
        <v>99</v>
      </c>
      <c r="B19" s="10" t="s">
        <v>13</v>
      </c>
      <c r="C19" s="11" t="s">
        <v>100</v>
      </c>
      <c r="D19" s="11" t="s">
        <v>34</v>
      </c>
      <c r="E19" s="12" t="s">
        <v>51</v>
      </c>
      <c r="F19" s="10">
        <f>+YEAR(Tabla2[[#This Row],[Cosecha]])</f>
        <v>2025</v>
      </c>
      <c r="G19" s="11" t="s">
        <v>17</v>
      </c>
      <c r="H19" s="91">
        <f t="shared" si="0"/>
        <v>14</v>
      </c>
      <c r="I19" s="10" t="s">
        <v>18</v>
      </c>
      <c r="J19" s="11" t="s">
        <v>17</v>
      </c>
      <c r="K19" s="88">
        <f t="shared" si="1"/>
        <v>14</v>
      </c>
      <c r="L19" s="11" t="s">
        <v>101</v>
      </c>
      <c r="M19" s="11" t="s">
        <v>25</v>
      </c>
      <c r="N19" s="92" t="s">
        <v>21</v>
      </c>
      <c r="P19" s="104" t="s">
        <v>15</v>
      </c>
      <c r="Q19" s="105">
        <f>COUNTIF(D:D,Tabla35[[#This Row],[Estado]])</f>
        <v>118</v>
      </c>
      <c r="R19" s="105">
        <f>+ROUND(AVERAGEIF(D:D,Tabla35[[#This Row],[Estado]],H:H),0)</f>
        <v>9</v>
      </c>
    </row>
    <row r="20" spans="1:19" x14ac:dyDescent="0.35">
      <c r="A20" s="94" t="s">
        <v>102</v>
      </c>
      <c r="B20" s="15" t="s">
        <v>13</v>
      </c>
      <c r="C20" s="16" t="s">
        <v>103</v>
      </c>
      <c r="D20" s="16" t="s">
        <v>34</v>
      </c>
      <c r="E20" s="17" t="s">
        <v>104</v>
      </c>
      <c r="F20" s="15">
        <f>+YEAR(Tabla2[[#This Row],[Cosecha]])</f>
        <v>2025</v>
      </c>
      <c r="G20" s="16" t="s">
        <v>23</v>
      </c>
      <c r="H20" s="95">
        <f t="shared" si="0"/>
        <v>8</v>
      </c>
      <c r="I20" s="15" t="s">
        <v>18</v>
      </c>
      <c r="J20" s="16" t="s">
        <v>52</v>
      </c>
      <c r="K20" s="88">
        <f t="shared" si="1"/>
        <v>9</v>
      </c>
      <c r="L20" s="16" t="s">
        <v>105</v>
      </c>
      <c r="M20" s="16" t="s">
        <v>25</v>
      </c>
      <c r="N20" s="96" t="s">
        <v>26</v>
      </c>
      <c r="P20" s="100" t="s">
        <v>34</v>
      </c>
      <c r="Q20" s="101">
        <f>COUNTIF(D:D,Tabla35[[#This Row],[Estado]])</f>
        <v>727</v>
      </c>
      <c r="R20" s="101">
        <f>+ROUND(AVERAGEIF(D:D,Tabla35[[#This Row],[Estado]],H:H),0)</f>
        <v>8</v>
      </c>
    </row>
    <row r="21" spans="1:19" x14ac:dyDescent="0.35">
      <c r="A21" s="90" t="s">
        <v>116</v>
      </c>
      <c r="B21" s="10" t="s">
        <v>13</v>
      </c>
      <c r="C21" s="11" t="s">
        <v>117</v>
      </c>
      <c r="D21" s="11" t="s">
        <v>34</v>
      </c>
      <c r="E21" s="12" t="s">
        <v>118</v>
      </c>
      <c r="F21" s="10">
        <f>+YEAR(Tabla2[[#This Row],[Cosecha]])</f>
        <v>2025</v>
      </c>
      <c r="G21" s="11" t="s">
        <v>52</v>
      </c>
      <c r="H21" s="91">
        <f t="shared" si="0"/>
        <v>5</v>
      </c>
      <c r="I21" s="10" t="s">
        <v>18</v>
      </c>
      <c r="J21" s="11" t="s">
        <v>52</v>
      </c>
      <c r="K21" s="88">
        <f t="shared" si="1"/>
        <v>5</v>
      </c>
      <c r="L21" s="11" t="s">
        <v>119</v>
      </c>
      <c r="M21" s="11" t="s">
        <v>115</v>
      </c>
      <c r="N21" s="92" t="s">
        <v>21</v>
      </c>
      <c r="P21" s="100" t="s">
        <v>90</v>
      </c>
      <c r="Q21" s="101">
        <f>COUNTIF(D:D,Tabla35[[#This Row],[Estado]])</f>
        <v>75</v>
      </c>
      <c r="R21" s="101">
        <f>+ROUND(AVERAGEIF(D:D,Tabla35[[#This Row],[Estado]],H:H),0)</f>
        <v>7</v>
      </c>
    </row>
    <row r="22" spans="1:19" x14ac:dyDescent="0.35">
      <c r="A22" s="94" t="s">
        <v>120</v>
      </c>
      <c r="B22" s="15" t="s">
        <v>13</v>
      </c>
      <c r="C22" s="16" t="s">
        <v>121</v>
      </c>
      <c r="D22" s="16" t="s">
        <v>15</v>
      </c>
      <c r="E22" s="17" t="s">
        <v>122</v>
      </c>
      <c r="F22" s="15">
        <f>+YEAR(Tabla2[[#This Row],[Cosecha]])</f>
        <v>2023</v>
      </c>
      <c r="G22" s="16" t="s">
        <v>29</v>
      </c>
      <c r="H22" s="95">
        <f t="shared" si="0"/>
        <v>21</v>
      </c>
      <c r="I22" s="15" t="s">
        <v>18</v>
      </c>
      <c r="J22" s="16" t="s">
        <v>29</v>
      </c>
      <c r="K22" s="88">
        <f t="shared" si="1"/>
        <v>21</v>
      </c>
      <c r="L22" s="16" t="s">
        <v>123</v>
      </c>
      <c r="M22" s="16" t="s">
        <v>25</v>
      </c>
      <c r="N22" s="96" t="s">
        <v>21</v>
      </c>
    </row>
    <row r="23" spans="1:19" x14ac:dyDescent="0.35">
      <c r="A23" s="90" t="s">
        <v>124</v>
      </c>
      <c r="B23" s="10" t="s">
        <v>13</v>
      </c>
      <c r="C23" s="11" t="s">
        <v>125</v>
      </c>
      <c r="D23" s="11" t="s">
        <v>34</v>
      </c>
      <c r="E23" s="12" t="s">
        <v>118</v>
      </c>
      <c r="F23" s="10">
        <f>+YEAR(Tabla2[[#This Row],[Cosecha]])</f>
        <v>2025</v>
      </c>
      <c r="G23" s="11" t="s">
        <v>70</v>
      </c>
      <c r="H23" s="91">
        <f t="shared" si="0"/>
        <v>8</v>
      </c>
      <c r="I23" s="10" t="s">
        <v>18</v>
      </c>
      <c r="J23" s="11" t="s">
        <v>70</v>
      </c>
      <c r="K23" s="88">
        <f t="shared" si="1"/>
        <v>8</v>
      </c>
      <c r="L23" s="11" t="s">
        <v>126</v>
      </c>
      <c r="M23" s="11" t="s">
        <v>115</v>
      </c>
      <c r="N23" s="92" t="s">
        <v>21</v>
      </c>
    </row>
    <row r="24" spans="1:19" x14ac:dyDescent="0.35">
      <c r="A24" s="94" t="s">
        <v>127</v>
      </c>
      <c r="B24" s="15" t="s">
        <v>13</v>
      </c>
      <c r="C24" s="16" t="s">
        <v>128</v>
      </c>
      <c r="D24" s="16" t="s">
        <v>34</v>
      </c>
      <c r="E24" s="17" t="s">
        <v>51</v>
      </c>
      <c r="F24" s="15">
        <f>+YEAR(Tabla2[[#This Row],[Cosecha]])</f>
        <v>2025</v>
      </c>
      <c r="G24" s="16" t="s">
        <v>29</v>
      </c>
      <c r="H24" s="95">
        <f t="shared" si="0"/>
        <v>4</v>
      </c>
      <c r="I24" s="15" t="s">
        <v>18</v>
      </c>
      <c r="J24" s="16" t="s">
        <v>29</v>
      </c>
      <c r="K24" s="88">
        <f t="shared" si="1"/>
        <v>4</v>
      </c>
      <c r="L24" s="16" t="s">
        <v>129</v>
      </c>
      <c r="M24" s="16" t="s">
        <v>130</v>
      </c>
      <c r="N24" s="96" t="s">
        <v>21</v>
      </c>
    </row>
    <row r="25" spans="1:19" x14ac:dyDescent="0.35">
      <c r="A25" s="90" t="s">
        <v>131</v>
      </c>
      <c r="B25" s="10" t="s">
        <v>13</v>
      </c>
      <c r="C25" s="11" t="s">
        <v>132</v>
      </c>
      <c r="D25" s="11" t="s">
        <v>34</v>
      </c>
      <c r="E25" s="12" t="s">
        <v>51</v>
      </c>
      <c r="F25" s="10">
        <f>+YEAR(Tabla2[[#This Row],[Cosecha]])</f>
        <v>2025</v>
      </c>
      <c r="G25" s="11" t="s">
        <v>133</v>
      </c>
      <c r="H25" s="91">
        <f t="shared" si="0"/>
        <v>2</v>
      </c>
      <c r="I25" s="10" t="s">
        <v>18</v>
      </c>
      <c r="J25" s="11" t="s">
        <v>104</v>
      </c>
      <c r="K25" s="88">
        <f t="shared" si="1"/>
        <v>3</v>
      </c>
      <c r="L25" s="11" t="s">
        <v>134</v>
      </c>
      <c r="M25" s="11" t="s">
        <v>44</v>
      </c>
      <c r="N25" s="92" t="s">
        <v>26</v>
      </c>
    </row>
    <row r="26" spans="1:19" x14ac:dyDescent="0.35">
      <c r="A26" s="94" t="s">
        <v>135</v>
      </c>
      <c r="B26" s="15" t="s">
        <v>13</v>
      </c>
      <c r="C26" s="16" t="s">
        <v>136</v>
      </c>
      <c r="D26" s="16" t="s">
        <v>34</v>
      </c>
      <c r="E26" s="17" t="s">
        <v>62</v>
      </c>
      <c r="F26" s="15">
        <f>+YEAR(Tabla2[[#This Row],[Cosecha]])</f>
        <v>2025</v>
      </c>
      <c r="G26" s="16" t="s">
        <v>30</v>
      </c>
      <c r="H26" s="95">
        <f t="shared" si="0"/>
        <v>8</v>
      </c>
      <c r="I26" s="15" t="s">
        <v>18</v>
      </c>
      <c r="J26" s="16" t="s">
        <v>30</v>
      </c>
      <c r="K26" s="88">
        <f t="shared" si="1"/>
        <v>8</v>
      </c>
      <c r="L26" s="16" t="s">
        <v>137</v>
      </c>
      <c r="M26" s="16" t="s">
        <v>115</v>
      </c>
      <c r="N26" s="96" t="s">
        <v>26</v>
      </c>
    </row>
    <row r="27" spans="1:19" x14ac:dyDescent="0.35">
      <c r="A27" s="90" t="s">
        <v>147</v>
      </c>
      <c r="B27" s="10" t="s">
        <v>13</v>
      </c>
      <c r="C27" s="11" t="s">
        <v>148</v>
      </c>
      <c r="D27" s="11" t="s">
        <v>34</v>
      </c>
      <c r="E27" s="12" t="s">
        <v>149</v>
      </c>
      <c r="F27" s="10">
        <f>+YEAR(Tabla2[[#This Row],[Cosecha]])</f>
        <v>2024</v>
      </c>
      <c r="G27" s="11" t="s">
        <v>133</v>
      </c>
      <c r="H27" s="91">
        <f t="shared" si="0"/>
        <v>7</v>
      </c>
      <c r="I27" s="10" t="s">
        <v>18</v>
      </c>
      <c r="J27" s="11" t="s">
        <v>133</v>
      </c>
      <c r="K27" s="88">
        <f t="shared" si="1"/>
        <v>7</v>
      </c>
      <c r="L27" s="11" t="s">
        <v>150</v>
      </c>
      <c r="M27" s="11" t="s">
        <v>130</v>
      </c>
      <c r="N27" s="92" t="s">
        <v>21</v>
      </c>
    </row>
    <row r="28" spans="1:19" x14ac:dyDescent="0.35">
      <c r="A28" s="94" t="s">
        <v>151</v>
      </c>
      <c r="B28" s="15" t="s">
        <v>13</v>
      </c>
      <c r="C28" s="16" t="s">
        <v>152</v>
      </c>
      <c r="D28" s="16" t="s">
        <v>34</v>
      </c>
      <c r="E28" s="17" t="s">
        <v>47</v>
      </c>
      <c r="F28" s="15">
        <f>+YEAR(Tabla2[[#This Row],[Cosecha]])</f>
        <v>2025</v>
      </c>
      <c r="G28" s="16" t="s">
        <v>29</v>
      </c>
      <c r="H28" s="95">
        <f t="shared" si="0"/>
        <v>3</v>
      </c>
      <c r="I28" s="15" t="s">
        <v>18</v>
      </c>
      <c r="J28" s="16" t="s">
        <v>29</v>
      </c>
      <c r="K28" s="88">
        <f t="shared" si="1"/>
        <v>3</v>
      </c>
      <c r="L28" s="16" t="s">
        <v>153</v>
      </c>
      <c r="M28" s="16" t="s">
        <v>25</v>
      </c>
      <c r="N28" s="96" t="s">
        <v>21</v>
      </c>
    </row>
    <row r="29" spans="1:19" x14ac:dyDescent="0.35">
      <c r="A29" s="90" t="s">
        <v>154</v>
      </c>
      <c r="B29" s="10" t="s">
        <v>85</v>
      </c>
      <c r="C29" s="11" t="s">
        <v>155</v>
      </c>
      <c r="D29" s="11" t="s">
        <v>90</v>
      </c>
      <c r="E29" s="12" t="s">
        <v>104</v>
      </c>
      <c r="F29" s="10">
        <f>+YEAR(Tabla2[[#This Row],[Cosecha]])</f>
        <v>2025</v>
      </c>
      <c r="G29" s="11" t="s">
        <v>62</v>
      </c>
      <c r="H29" s="91">
        <f t="shared" si="0"/>
        <v>2</v>
      </c>
      <c r="I29" s="10" t="s">
        <v>18</v>
      </c>
      <c r="J29" s="11" t="s">
        <v>97</v>
      </c>
      <c r="K29" s="88">
        <f t="shared" si="1"/>
        <v>3</v>
      </c>
      <c r="L29" s="11" t="s">
        <v>156</v>
      </c>
      <c r="M29" s="11" t="s">
        <v>39</v>
      </c>
      <c r="N29" s="92" t="s">
        <v>26</v>
      </c>
    </row>
    <row r="30" spans="1:19" x14ac:dyDescent="0.35">
      <c r="A30" s="94" t="s">
        <v>157</v>
      </c>
      <c r="B30" s="15" t="s">
        <v>13</v>
      </c>
      <c r="C30" s="16" t="s">
        <v>158</v>
      </c>
      <c r="D30" s="16" t="s">
        <v>34</v>
      </c>
      <c r="E30" s="17" t="s">
        <v>82</v>
      </c>
      <c r="F30" s="15">
        <f>+YEAR(Tabla2[[#This Row],[Cosecha]])</f>
        <v>2024</v>
      </c>
      <c r="G30" s="16" t="s">
        <v>30</v>
      </c>
      <c r="H30" s="95">
        <f t="shared" si="0"/>
        <v>15</v>
      </c>
      <c r="I30" s="15" t="s">
        <v>18</v>
      </c>
      <c r="J30" s="16" t="s">
        <v>17</v>
      </c>
      <c r="K30" s="88">
        <f t="shared" si="1"/>
        <v>16</v>
      </c>
      <c r="L30" s="16" t="s">
        <v>159</v>
      </c>
      <c r="M30" s="16" t="s">
        <v>130</v>
      </c>
      <c r="N30" s="96" t="s">
        <v>21</v>
      </c>
      <c r="P30" s="93" t="s">
        <v>3811</v>
      </c>
    </row>
    <row r="31" spans="1:19" x14ac:dyDescent="0.35">
      <c r="A31" s="90" t="s">
        <v>170</v>
      </c>
      <c r="B31" s="10" t="s">
        <v>13</v>
      </c>
      <c r="C31" s="11" t="s">
        <v>171</v>
      </c>
      <c r="D31" s="11" t="s">
        <v>78</v>
      </c>
      <c r="E31" s="12" t="s">
        <v>113</v>
      </c>
      <c r="F31" s="10">
        <f>+YEAR(Tabla2[[#This Row],[Cosecha]])</f>
        <v>2025</v>
      </c>
      <c r="G31" s="11" t="s">
        <v>30</v>
      </c>
      <c r="H31" s="91">
        <f t="shared" si="0"/>
        <v>3</v>
      </c>
      <c r="I31" s="10" t="s">
        <v>18</v>
      </c>
      <c r="J31" s="11" t="s">
        <v>30</v>
      </c>
      <c r="K31" s="88">
        <f t="shared" si="1"/>
        <v>3</v>
      </c>
      <c r="L31" s="11" t="s">
        <v>172</v>
      </c>
      <c r="M31" s="11" t="s">
        <v>39</v>
      </c>
      <c r="N31" s="92" t="s">
        <v>21</v>
      </c>
      <c r="P31" s="97" t="s">
        <v>3805</v>
      </c>
      <c r="Q31" s="97" t="s">
        <v>3809</v>
      </c>
      <c r="R31" s="97" t="s">
        <v>3812</v>
      </c>
      <c r="S31" s="97" t="s">
        <v>3813</v>
      </c>
    </row>
    <row r="32" spans="1:19" x14ac:dyDescent="0.35">
      <c r="A32" s="94" t="s">
        <v>173</v>
      </c>
      <c r="B32" s="15" t="s">
        <v>13</v>
      </c>
      <c r="C32" s="16" t="s">
        <v>174</v>
      </c>
      <c r="D32" s="16" t="s">
        <v>15</v>
      </c>
      <c r="E32" s="17" t="s">
        <v>133</v>
      </c>
      <c r="F32" s="15">
        <f>+YEAR(Tabla2[[#This Row],[Cosecha]])</f>
        <v>2025</v>
      </c>
      <c r="G32" s="16" t="s">
        <v>118</v>
      </c>
      <c r="H32" s="95">
        <f t="shared" si="0"/>
        <v>5</v>
      </c>
      <c r="I32" s="15" t="s">
        <v>18</v>
      </c>
      <c r="J32" s="16" t="s">
        <v>36</v>
      </c>
      <c r="K32" s="88">
        <f t="shared" si="1"/>
        <v>6</v>
      </c>
      <c r="L32" s="16" t="s">
        <v>175</v>
      </c>
      <c r="M32" s="16" t="s">
        <v>25</v>
      </c>
      <c r="N32" s="96" t="s">
        <v>21</v>
      </c>
      <c r="P32" s="106">
        <v>2022</v>
      </c>
      <c r="Q32" s="107">
        <f>+ROUND(AVERAGEIF(Tabla2[Año Cosecha],P32,Tabla2[Meses transcurridos]),0)</f>
        <v>32</v>
      </c>
      <c r="R32" s="107">
        <f>_xlfn.MAXIFS(Tabla2[Meses transcurridos],Tabla2[Año Cosecha],P32)</f>
        <v>36</v>
      </c>
      <c r="S32" s="108">
        <f>_xlfn.MINIFS(Tabla2[Meses transcurridos],Tabla2[Año Cosecha],P32)</f>
        <v>26</v>
      </c>
    </row>
    <row r="33" spans="1:30" x14ac:dyDescent="0.35">
      <c r="A33" s="90" t="s">
        <v>176</v>
      </c>
      <c r="B33" s="10" t="s">
        <v>13</v>
      </c>
      <c r="C33" s="11" t="s">
        <v>177</v>
      </c>
      <c r="D33" s="11" t="s">
        <v>34</v>
      </c>
      <c r="E33" s="12" t="s">
        <v>178</v>
      </c>
      <c r="F33" s="10">
        <f>+YEAR(Tabla2[[#This Row],[Cosecha]])</f>
        <v>2024</v>
      </c>
      <c r="G33" s="11" t="s">
        <v>113</v>
      </c>
      <c r="H33" s="91">
        <f t="shared" si="0"/>
        <v>13</v>
      </c>
      <c r="I33" s="10" t="s">
        <v>18</v>
      </c>
      <c r="J33" s="11" t="s">
        <v>23</v>
      </c>
      <c r="K33" s="88">
        <f t="shared" si="1"/>
        <v>14</v>
      </c>
      <c r="L33" s="11" t="s">
        <v>179</v>
      </c>
      <c r="M33" s="11" t="s">
        <v>130</v>
      </c>
      <c r="N33" s="92" t="s">
        <v>21</v>
      </c>
      <c r="P33" s="109">
        <v>2023</v>
      </c>
      <c r="Q33" s="110">
        <f>+ROUND(AVERAGEIF(Tabla2[Año Cosecha],P33,Tabla2[Meses transcurridos]),0)</f>
        <v>24</v>
      </c>
      <c r="R33" s="110">
        <f>_xlfn.MAXIFS(Tabla2[Meses transcurridos],Tabla2[Año Cosecha],P33)</f>
        <v>37</v>
      </c>
      <c r="S33" s="111">
        <f>_xlfn.MINIFS(Tabla2[Meses transcurridos],Tabla2[Año Cosecha],P33)</f>
        <v>13</v>
      </c>
    </row>
    <row r="34" spans="1:30" x14ac:dyDescent="0.35">
      <c r="A34" s="94" t="s">
        <v>180</v>
      </c>
      <c r="B34" s="15" t="s">
        <v>13</v>
      </c>
      <c r="C34" s="16" t="s">
        <v>181</v>
      </c>
      <c r="D34" s="16" t="s">
        <v>34</v>
      </c>
      <c r="E34" s="17" t="s">
        <v>82</v>
      </c>
      <c r="F34" s="15">
        <f>+YEAR(Tabla2[[#This Row],[Cosecha]])</f>
        <v>2024</v>
      </c>
      <c r="G34" s="16" t="s">
        <v>62</v>
      </c>
      <c r="H34" s="95">
        <f t="shared" si="0"/>
        <v>7</v>
      </c>
      <c r="I34" s="15" t="s">
        <v>18</v>
      </c>
      <c r="J34" s="16" t="s">
        <v>97</v>
      </c>
      <c r="K34" s="88">
        <f t="shared" si="1"/>
        <v>8</v>
      </c>
      <c r="L34" s="16" t="s">
        <v>182</v>
      </c>
      <c r="M34" s="16" t="s">
        <v>130</v>
      </c>
      <c r="N34" s="96" t="s">
        <v>21</v>
      </c>
      <c r="P34" s="106">
        <v>2024</v>
      </c>
      <c r="Q34" s="107">
        <f>+ROUND(AVERAGEIF(Tabla2[Año Cosecha],P34,Tabla2[Meses transcurridos]),0)</f>
        <v>12</v>
      </c>
      <c r="R34" s="107">
        <f>_xlfn.MAXIFS(Tabla2[Meses transcurridos],Tabla2[Año Cosecha],P34)</f>
        <v>27</v>
      </c>
      <c r="S34" s="108">
        <f>_xlfn.MINIFS(Tabla2[Meses transcurridos],Tabla2[Año Cosecha],P34)</f>
        <v>1</v>
      </c>
    </row>
    <row r="35" spans="1:30" x14ac:dyDescent="0.35">
      <c r="A35" s="90" t="s">
        <v>183</v>
      </c>
      <c r="B35" s="10" t="s">
        <v>13</v>
      </c>
      <c r="C35" s="11" t="s">
        <v>184</v>
      </c>
      <c r="D35" s="11" t="s">
        <v>34</v>
      </c>
      <c r="E35" s="12" t="s">
        <v>35</v>
      </c>
      <c r="F35" s="10">
        <f>+YEAR(Tabla2[[#This Row],[Cosecha]])</f>
        <v>2024</v>
      </c>
      <c r="G35" s="11" t="s">
        <v>118</v>
      </c>
      <c r="H35" s="91">
        <f t="shared" si="0"/>
        <v>11</v>
      </c>
      <c r="I35" s="10" t="s">
        <v>18</v>
      </c>
      <c r="J35" s="11" t="s">
        <v>118</v>
      </c>
      <c r="K35" s="88">
        <f t="shared" si="1"/>
        <v>11</v>
      </c>
      <c r="L35" s="11" t="s">
        <v>185</v>
      </c>
      <c r="M35" s="11" t="s">
        <v>39</v>
      </c>
      <c r="N35" s="92" t="s">
        <v>21</v>
      </c>
      <c r="P35" s="112">
        <v>2025</v>
      </c>
      <c r="Q35" s="113">
        <f>+ROUND(AVERAGEIF(Tabla2[Año Cosecha],P35,Tabla2[Meses transcurridos]),0)</f>
        <v>6</v>
      </c>
      <c r="R35" s="113">
        <f>_xlfn.MAXIFS(Tabla2[Meses transcurridos],Tabla2[Año Cosecha],P35)</f>
        <v>15</v>
      </c>
      <c r="S35" s="114">
        <f>_xlfn.MINIFS(Tabla2[Meses transcurridos],Tabla2[Año Cosecha],P35)</f>
        <v>0</v>
      </c>
    </row>
    <row r="36" spans="1:30" x14ac:dyDescent="0.35">
      <c r="A36" s="94" t="s">
        <v>186</v>
      </c>
      <c r="B36" s="15" t="s">
        <v>13</v>
      </c>
      <c r="C36" s="16" t="s">
        <v>187</v>
      </c>
      <c r="D36" s="16" t="s">
        <v>34</v>
      </c>
      <c r="E36" s="17" t="s">
        <v>97</v>
      </c>
      <c r="F36" s="15">
        <f>+YEAR(Tabla2[[#This Row],[Cosecha]])</f>
        <v>2025</v>
      </c>
      <c r="G36" s="16" t="s">
        <v>17</v>
      </c>
      <c r="H36" s="95">
        <f t="shared" si="0"/>
        <v>8</v>
      </c>
      <c r="I36" s="15" t="s">
        <v>18</v>
      </c>
      <c r="J36" s="16" t="s">
        <v>17</v>
      </c>
      <c r="K36" s="88">
        <f t="shared" si="1"/>
        <v>8</v>
      </c>
      <c r="L36" s="16" t="s">
        <v>188</v>
      </c>
      <c r="M36" s="16" t="s">
        <v>115</v>
      </c>
      <c r="N36" s="96" t="s">
        <v>21</v>
      </c>
      <c r="P36" s="115">
        <v>2026</v>
      </c>
      <c r="Q36" s="116">
        <f>+ROUND(AVERAGEIF(Tabla2[Año Cosecha],P36,Tabla2[Meses transcurridos]),0)</f>
        <v>2</v>
      </c>
      <c r="R36" s="116">
        <f>_xlfn.MAXIFS(Tabla2[Meses transcurridos],Tabla2[Año Cosecha],P36)</f>
        <v>4</v>
      </c>
      <c r="S36" s="117">
        <f>_xlfn.MINIFS(Tabla2[Meses transcurridos],Tabla2[Año Cosecha],P36)</f>
        <v>1</v>
      </c>
    </row>
    <row r="37" spans="1:30" x14ac:dyDescent="0.35">
      <c r="A37" s="90" t="s">
        <v>189</v>
      </c>
      <c r="B37" s="10" t="s">
        <v>13</v>
      </c>
      <c r="C37" s="11" t="s">
        <v>190</v>
      </c>
      <c r="D37" s="11" t="s">
        <v>90</v>
      </c>
      <c r="E37" s="12" t="s">
        <v>37</v>
      </c>
      <c r="F37" s="10">
        <f>+YEAR(Tabla2[[#This Row],[Cosecha]])</f>
        <v>2025</v>
      </c>
      <c r="G37" s="11" t="s">
        <v>30</v>
      </c>
      <c r="H37" s="91">
        <f t="shared" si="0"/>
        <v>4</v>
      </c>
      <c r="I37" s="10" t="s">
        <v>18</v>
      </c>
      <c r="J37" s="11" t="s">
        <v>30</v>
      </c>
      <c r="K37" s="88">
        <f t="shared" si="1"/>
        <v>4</v>
      </c>
      <c r="L37" s="11" t="s">
        <v>191</v>
      </c>
      <c r="M37" s="11" t="s">
        <v>39</v>
      </c>
      <c r="N37" s="92" t="s">
        <v>21</v>
      </c>
      <c r="P37" s="118" t="s">
        <v>3814</v>
      </c>
      <c r="Q37" s="119">
        <f>+AVERAGE(Q32:Q36)</f>
        <v>15.2</v>
      </c>
      <c r="R37" s="119">
        <f>+AVERAGE(R32:R36)</f>
        <v>23.8</v>
      </c>
      <c r="S37" s="119">
        <f>+AVERAGE(S32:S36)</f>
        <v>8.1999999999999993</v>
      </c>
    </row>
    <row r="38" spans="1:30" x14ac:dyDescent="0.35">
      <c r="A38" s="94" t="s">
        <v>196</v>
      </c>
      <c r="B38" s="15" t="s">
        <v>13</v>
      </c>
      <c r="C38" s="16" t="s">
        <v>197</v>
      </c>
      <c r="D38" s="16" t="s">
        <v>34</v>
      </c>
      <c r="E38" s="17" t="s">
        <v>66</v>
      </c>
      <c r="F38" s="15">
        <f>+YEAR(Tabla2[[#This Row],[Cosecha]])</f>
        <v>2025</v>
      </c>
      <c r="G38" s="16" t="s">
        <v>30</v>
      </c>
      <c r="H38" s="95">
        <f t="shared" si="0"/>
        <v>14</v>
      </c>
      <c r="I38" s="15" t="s">
        <v>18</v>
      </c>
      <c r="J38" s="16" t="s">
        <v>30</v>
      </c>
      <c r="K38" s="88">
        <f t="shared" si="1"/>
        <v>14</v>
      </c>
      <c r="L38" s="16" t="s">
        <v>198</v>
      </c>
      <c r="M38" s="16" t="s">
        <v>25</v>
      </c>
      <c r="N38" s="96" t="s">
        <v>21</v>
      </c>
    </row>
    <row r="39" spans="1:30" x14ac:dyDescent="0.35">
      <c r="A39" s="90" t="s">
        <v>205</v>
      </c>
      <c r="B39" s="10" t="s">
        <v>13</v>
      </c>
      <c r="C39" s="11" t="s">
        <v>206</v>
      </c>
      <c r="D39" s="11" t="s">
        <v>34</v>
      </c>
      <c r="E39" s="12" t="s">
        <v>62</v>
      </c>
      <c r="F39" s="10">
        <f>+YEAR(Tabla2[[#This Row],[Cosecha]])</f>
        <v>2025</v>
      </c>
      <c r="G39" s="11" t="s">
        <v>23</v>
      </c>
      <c r="H39" s="91">
        <f t="shared" si="0"/>
        <v>6</v>
      </c>
      <c r="I39" s="10" t="s">
        <v>18</v>
      </c>
      <c r="J39" s="11" t="s">
        <v>23</v>
      </c>
      <c r="K39" s="88">
        <f t="shared" si="1"/>
        <v>6</v>
      </c>
      <c r="L39" s="11" t="s">
        <v>207</v>
      </c>
      <c r="M39" s="11" t="s">
        <v>115</v>
      </c>
      <c r="N39" s="92" t="s">
        <v>21</v>
      </c>
      <c r="P39" s="120" t="s">
        <v>3805</v>
      </c>
      <c r="Q39" s="121" t="s">
        <v>3808</v>
      </c>
    </row>
    <row r="40" spans="1:30" x14ac:dyDescent="0.35">
      <c r="A40" s="94" t="s">
        <v>208</v>
      </c>
      <c r="B40" s="15" t="s">
        <v>13</v>
      </c>
      <c r="C40" s="16" t="s">
        <v>209</v>
      </c>
      <c r="D40" s="16" t="s">
        <v>34</v>
      </c>
      <c r="E40" s="17" t="s">
        <v>104</v>
      </c>
      <c r="F40" s="15">
        <f>+YEAR(Tabla2[[#This Row],[Cosecha]])</f>
        <v>2025</v>
      </c>
      <c r="G40" s="16" t="s">
        <v>37</v>
      </c>
      <c r="H40" s="95">
        <f t="shared" si="0"/>
        <v>6</v>
      </c>
      <c r="I40" s="15" t="s">
        <v>18</v>
      </c>
      <c r="J40" s="16" t="s">
        <v>37</v>
      </c>
      <c r="K40" s="88">
        <f t="shared" si="1"/>
        <v>6</v>
      </c>
      <c r="L40" s="16" t="s">
        <v>210</v>
      </c>
      <c r="M40" s="16" t="s">
        <v>130</v>
      </c>
      <c r="N40" s="96" t="s">
        <v>21</v>
      </c>
      <c r="P40" s="122">
        <v>2022</v>
      </c>
      <c r="Q40" s="107">
        <f>COUNTIF(F:F,P40)</f>
        <v>12</v>
      </c>
    </row>
    <row r="41" spans="1:30" x14ac:dyDescent="0.35">
      <c r="A41" s="90" t="s">
        <v>211</v>
      </c>
      <c r="B41" s="10" t="s">
        <v>13</v>
      </c>
      <c r="C41" s="11" t="s">
        <v>212</v>
      </c>
      <c r="D41" s="11" t="s">
        <v>15</v>
      </c>
      <c r="E41" s="12" t="s">
        <v>36</v>
      </c>
      <c r="F41" s="10">
        <f>+YEAR(Tabla2[[#This Row],[Cosecha]])</f>
        <v>2025</v>
      </c>
      <c r="G41" s="11" t="s">
        <v>52</v>
      </c>
      <c r="H41" s="91">
        <f t="shared" si="0"/>
        <v>4</v>
      </c>
      <c r="I41" s="10" t="s">
        <v>18</v>
      </c>
      <c r="J41" s="11" t="s">
        <v>30</v>
      </c>
      <c r="K41" s="88">
        <f t="shared" si="1"/>
        <v>5</v>
      </c>
      <c r="L41" s="11" t="s">
        <v>213</v>
      </c>
      <c r="M41" s="11" t="s">
        <v>25</v>
      </c>
      <c r="N41" s="92" t="s">
        <v>21</v>
      </c>
      <c r="P41" s="123">
        <v>2023</v>
      </c>
      <c r="Q41" s="107">
        <f>COUNTIF(F:F,P41)</f>
        <v>48</v>
      </c>
    </row>
    <row r="42" spans="1:30" x14ac:dyDescent="0.35">
      <c r="A42" s="94" t="s">
        <v>220</v>
      </c>
      <c r="B42" s="15" t="s">
        <v>13</v>
      </c>
      <c r="C42" s="16" t="s">
        <v>221</v>
      </c>
      <c r="D42" s="16" t="s">
        <v>34</v>
      </c>
      <c r="E42" s="17" t="s">
        <v>178</v>
      </c>
      <c r="F42" s="15">
        <f>+YEAR(Tabla2[[#This Row],[Cosecha]])</f>
        <v>2024</v>
      </c>
      <c r="G42" s="16" t="s">
        <v>118</v>
      </c>
      <c r="H42" s="95">
        <f t="shared" si="0"/>
        <v>10</v>
      </c>
      <c r="I42" s="15" t="s">
        <v>18</v>
      </c>
      <c r="J42" s="16" t="s">
        <v>36</v>
      </c>
      <c r="K42" s="88">
        <f t="shared" si="1"/>
        <v>11</v>
      </c>
      <c r="L42" s="16" t="s">
        <v>222</v>
      </c>
      <c r="M42" s="16" t="s">
        <v>130</v>
      </c>
      <c r="N42" s="96" t="s">
        <v>26</v>
      </c>
      <c r="P42" s="122">
        <v>2024</v>
      </c>
      <c r="Q42" s="107">
        <f>COUNTIF(F:F,P42)</f>
        <v>287</v>
      </c>
    </row>
    <row r="43" spans="1:30" x14ac:dyDescent="0.35">
      <c r="A43" s="90" t="s">
        <v>223</v>
      </c>
      <c r="B43" s="10" t="s">
        <v>13</v>
      </c>
      <c r="C43" s="11" t="s">
        <v>224</v>
      </c>
      <c r="D43" s="11" t="s">
        <v>15</v>
      </c>
      <c r="E43" s="12" t="s">
        <v>113</v>
      </c>
      <c r="F43" s="10">
        <f>+YEAR(Tabla2[[#This Row],[Cosecha]])</f>
        <v>2025</v>
      </c>
      <c r="G43" s="11" t="s">
        <v>30</v>
      </c>
      <c r="H43" s="91">
        <f t="shared" si="0"/>
        <v>3</v>
      </c>
      <c r="I43" s="10" t="s">
        <v>18</v>
      </c>
      <c r="J43" s="11" t="s">
        <v>30</v>
      </c>
      <c r="K43" s="88">
        <f t="shared" si="1"/>
        <v>3</v>
      </c>
      <c r="L43" s="11" t="s">
        <v>225</v>
      </c>
      <c r="M43" s="11" t="s">
        <v>25</v>
      </c>
      <c r="N43" s="92" t="s">
        <v>26</v>
      </c>
      <c r="P43" s="123">
        <v>2025</v>
      </c>
      <c r="Q43" s="107">
        <f>COUNTIF(F:F,P43)</f>
        <v>612</v>
      </c>
    </row>
    <row r="44" spans="1:30" x14ac:dyDescent="0.35">
      <c r="A44" s="94" t="s">
        <v>226</v>
      </c>
      <c r="B44" s="15" t="s">
        <v>13</v>
      </c>
      <c r="C44" s="16" t="s">
        <v>227</v>
      </c>
      <c r="D44" s="16" t="s">
        <v>34</v>
      </c>
      <c r="E44" s="17" t="s">
        <v>118</v>
      </c>
      <c r="F44" s="15">
        <f>+YEAR(Tabla2[[#This Row],[Cosecha]])</f>
        <v>2025</v>
      </c>
      <c r="G44" s="16" t="s">
        <v>17</v>
      </c>
      <c r="H44" s="95">
        <f t="shared" si="0"/>
        <v>7</v>
      </c>
      <c r="I44" s="15" t="s">
        <v>18</v>
      </c>
      <c r="J44" s="16" t="s">
        <v>17</v>
      </c>
      <c r="K44" s="88">
        <f t="shared" si="1"/>
        <v>7</v>
      </c>
      <c r="L44" s="16" t="s">
        <v>228</v>
      </c>
      <c r="M44" s="16" t="s">
        <v>44</v>
      </c>
      <c r="N44" s="96" t="s">
        <v>21</v>
      </c>
      <c r="P44" s="124">
        <v>2026</v>
      </c>
      <c r="Q44" s="116">
        <f>COUNTIF(F:F,P44)</f>
        <v>19</v>
      </c>
    </row>
    <row r="45" spans="1:30" x14ac:dyDescent="0.35">
      <c r="A45" s="90" t="s">
        <v>229</v>
      </c>
      <c r="B45" s="10" t="s">
        <v>13</v>
      </c>
      <c r="C45" s="11" t="s">
        <v>230</v>
      </c>
      <c r="D45" s="11" t="s">
        <v>34</v>
      </c>
      <c r="E45" s="12" t="s">
        <v>97</v>
      </c>
      <c r="F45" s="10">
        <f>+YEAR(Tabla2[[#This Row],[Cosecha]])</f>
        <v>2025</v>
      </c>
      <c r="G45" s="11" t="s">
        <v>17</v>
      </c>
      <c r="H45" s="91">
        <f t="shared" si="0"/>
        <v>8</v>
      </c>
      <c r="I45" s="10" t="s">
        <v>18</v>
      </c>
      <c r="J45" s="11" t="s">
        <v>70</v>
      </c>
      <c r="K45" s="88">
        <f t="shared" si="1"/>
        <v>9</v>
      </c>
      <c r="L45" s="11" t="s">
        <v>231</v>
      </c>
      <c r="M45" s="11" t="s">
        <v>115</v>
      </c>
      <c r="N45" s="92" t="s">
        <v>21</v>
      </c>
      <c r="P45" s="125" t="s">
        <v>3815</v>
      </c>
      <c r="Q45" s="126">
        <f>+SUM(Q40:Q44)</f>
        <v>978</v>
      </c>
    </row>
    <row r="46" spans="1:30" x14ac:dyDescent="0.35">
      <c r="A46" s="94" t="s">
        <v>235</v>
      </c>
      <c r="B46" s="15" t="s">
        <v>13</v>
      </c>
      <c r="C46" s="16" t="s">
        <v>236</v>
      </c>
      <c r="D46" s="16" t="s">
        <v>34</v>
      </c>
      <c r="E46" s="17" t="s">
        <v>118</v>
      </c>
      <c r="F46" s="15">
        <f>+YEAR(Tabla2[[#This Row],[Cosecha]])</f>
        <v>2025</v>
      </c>
      <c r="G46" s="16" t="s">
        <v>17</v>
      </c>
      <c r="H46" s="95">
        <f t="shared" si="0"/>
        <v>7</v>
      </c>
      <c r="I46" s="15" t="s">
        <v>18</v>
      </c>
      <c r="J46" s="16" t="s">
        <v>70</v>
      </c>
      <c r="K46" s="88">
        <f t="shared" si="1"/>
        <v>8</v>
      </c>
      <c r="L46" s="16" t="s">
        <v>237</v>
      </c>
      <c r="M46" s="16" t="s">
        <v>44</v>
      </c>
      <c r="N46" s="96" t="s">
        <v>26</v>
      </c>
    </row>
    <row r="47" spans="1:30" x14ac:dyDescent="0.35">
      <c r="A47" s="90" t="s">
        <v>238</v>
      </c>
      <c r="B47" s="10" t="s">
        <v>13</v>
      </c>
      <c r="C47" s="11" t="s">
        <v>239</v>
      </c>
      <c r="D47" s="11" t="s">
        <v>34</v>
      </c>
      <c r="E47" s="12" t="s">
        <v>82</v>
      </c>
      <c r="F47" s="10">
        <f>+YEAR(Tabla2[[#This Row],[Cosecha]])</f>
        <v>2024</v>
      </c>
      <c r="G47" s="11" t="s">
        <v>52</v>
      </c>
      <c r="H47" s="91">
        <f t="shared" si="0"/>
        <v>14</v>
      </c>
      <c r="I47" s="10" t="s">
        <v>18</v>
      </c>
      <c r="J47" s="11" t="s">
        <v>52</v>
      </c>
      <c r="K47" s="88">
        <f t="shared" si="1"/>
        <v>14</v>
      </c>
      <c r="L47" s="11" t="s">
        <v>240</v>
      </c>
      <c r="M47" s="11" t="s">
        <v>241</v>
      </c>
      <c r="N47" s="92" t="s">
        <v>21</v>
      </c>
    </row>
    <row r="48" spans="1:30" ht="17.25" customHeight="1" x14ac:dyDescent="0.5">
      <c r="A48" s="94" t="s">
        <v>242</v>
      </c>
      <c r="B48" s="15" t="s">
        <v>13</v>
      </c>
      <c r="C48" s="16" t="s">
        <v>243</v>
      </c>
      <c r="D48" s="16" t="s">
        <v>15</v>
      </c>
      <c r="E48" s="17" t="s">
        <v>244</v>
      </c>
      <c r="F48" s="15">
        <f>+YEAR(Tabla2[[#This Row],[Cosecha]])</f>
        <v>2024</v>
      </c>
      <c r="G48" s="16" t="s">
        <v>113</v>
      </c>
      <c r="H48" s="95">
        <f t="shared" si="0"/>
        <v>19</v>
      </c>
      <c r="I48" s="15" t="s">
        <v>18</v>
      </c>
      <c r="J48" s="16" t="s">
        <v>23</v>
      </c>
      <c r="K48" s="88">
        <f t="shared" si="1"/>
        <v>20</v>
      </c>
      <c r="L48" s="16" t="s">
        <v>245</v>
      </c>
      <c r="M48" s="16" t="s">
        <v>25</v>
      </c>
      <c r="N48" s="96" t="s">
        <v>21</v>
      </c>
      <c r="AD48" s="127"/>
    </row>
    <row r="49" spans="1:14" x14ac:dyDescent="0.35">
      <c r="A49" s="90" t="s">
        <v>250</v>
      </c>
      <c r="B49" s="10" t="s">
        <v>13</v>
      </c>
      <c r="C49" s="11" t="s">
        <v>251</v>
      </c>
      <c r="D49" s="11" t="s">
        <v>78</v>
      </c>
      <c r="E49" s="12" t="s">
        <v>252</v>
      </c>
      <c r="F49" s="10">
        <f>+YEAR(Tabla2[[#This Row],[Cosecha]])</f>
        <v>2024</v>
      </c>
      <c r="G49" s="11" t="s">
        <v>113</v>
      </c>
      <c r="H49" s="91">
        <f t="shared" si="0"/>
        <v>17</v>
      </c>
      <c r="I49" s="10" t="s">
        <v>18</v>
      </c>
      <c r="J49" s="11" t="s">
        <v>23</v>
      </c>
      <c r="K49" s="88">
        <f t="shared" si="1"/>
        <v>18</v>
      </c>
      <c r="L49" s="11" t="s">
        <v>253</v>
      </c>
      <c r="M49" s="11" t="s">
        <v>25</v>
      </c>
      <c r="N49" s="92" t="s">
        <v>21</v>
      </c>
    </row>
    <row r="50" spans="1:14" x14ac:dyDescent="0.35">
      <c r="A50" s="94" t="s">
        <v>257</v>
      </c>
      <c r="B50" s="15" t="s">
        <v>13</v>
      </c>
      <c r="C50" s="16" t="s">
        <v>258</v>
      </c>
      <c r="D50" s="16" t="s">
        <v>78</v>
      </c>
      <c r="E50" s="17" t="s">
        <v>259</v>
      </c>
      <c r="F50" s="15">
        <f>+YEAR(Tabla2[[#This Row],[Cosecha]])</f>
        <v>2022</v>
      </c>
      <c r="G50" s="16" t="s">
        <v>133</v>
      </c>
      <c r="H50" s="95">
        <f t="shared" si="0"/>
        <v>34</v>
      </c>
      <c r="I50" s="15" t="s">
        <v>18</v>
      </c>
      <c r="J50" s="16" t="s">
        <v>104</v>
      </c>
      <c r="K50" s="88">
        <f t="shared" si="1"/>
        <v>35</v>
      </c>
      <c r="L50" s="16" t="s">
        <v>260</v>
      </c>
      <c r="M50" s="16" t="s">
        <v>25</v>
      </c>
      <c r="N50" s="96" t="s">
        <v>21</v>
      </c>
    </row>
    <row r="51" spans="1:14" x14ac:dyDescent="0.35">
      <c r="A51" s="90" t="s">
        <v>261</v>
      </c>
      <c r="B51" s="10" t="s">
        <v>13</v>
      </c>
      <c r="C51" s="11" t="s">
        <v>262</v>
      </c>
      <c r="D51" s="11" t="s">
        <v>34</v>
      </c>
      <c r="E51" s="12" t="s">
        <v>37</v>
      </c>
      <c r="F51" s="10">
        <f>+YEAR(Tabla2[[#This Row],[Cosecha]])</f>
        <v>2025</v>
      </c>
      <c r="G51" s="11" t="s">
        <v>52</v>
      </c>
      <c r="H51" s="91">
        <f t="shared" si="0"/>
        <v>3</v>
      </c>
      <c r="I51" s="10" t="s">
        <v>18</v>
      </c>
      <c r="J51" s="11" t="s">
        <v>17</v>
      </c>
      <c r="K51" s="88">
        <f t="shared" si="1"/>
        <v>5</v>
      </c>
      <c r="L51" s="11" t="s">
        <v>263</v>
      </c>
      <c r="M51" s="11" t="s">
        <v>72</v>
      </c>
      <c r="N51" s="92" t="s">
        <v>21</v>
      </c>
    </row>
    <row r="52" spans="1:14" x14ac:dyDescent="0.35">
      <c r="A52" s="94" t="s">
        <v>273</v>
      </c>
      <c r="B52" s="15" t="s">
        <v>13</v>
      </c>
      <c r="C52" s="16" t="s">
        <v>274</v>
      </c>
      <c r="D52" s="16" t="s">
        <v>34</v>
      </c>
      <c r="E52" s="17" t="s">
        <v>275</v>
      </c>
      <c r="F52" s="15">
        <f>+YEAR(Tabla2[[#This Row],[Cosecha]])</f>
        <v>2024</v>
      </c>
      <c r="G52" s="16" t="s">
        <v>30</v>
      </c>
      <c r="H52" s="95">
        <f t="shared" si="0"/>
        <v>24</v>
      </c>
      <c r="I52" s="15" t="s">
        <v>18</v>
      </c>
      <c r="J52" s="16" t="s">
        <v>70</v>
      </c>
      <c r="K52" s="88">
        <f t="shared" si="1"/>
        <v>26</v>
      </c>
      <c r="L52" s="16" t="s">
        <v>276</v>
      </c>
      <c r="M52" s="16" t="s">
        <v>130</v>
      </c>
      <c r="N52" s="96" t="s">
        <v>21</v>
      </c>
    </row>
    <row r="53" spans="1:14" x14ac:dyDescent="0.35">
      <c r="A53" s="90" t="s">
        <v>283</v>
      </c>
      <c r="B53" s="10" t="s">
        <v>13</v>
      </c>
      <c r="C53" s="11" t="s">
        <v>284</v>
      </c>
      <c r="D53" s="11" t="s">
        <v>34</v>
      </c>
      <c r="E53" s="12" t="s">
        <v>82</v>
      </c>
      <c r="F53" s="10">
        <f>+YEAR(Tabla2[[#This Row],[Cosecha]])</f>
        <v>2024</v>
      </c>
      <c r="G53" s="11" t="s">
        <v>17</v>
      </c>
      <c r="H53" s="91">
        <f t="shared" si="0"/>
        <v>16</v>
      </c>
      <c r="I53" s="10" t="s">
        <v>18</v>
      </c>
      <c r="J53" s="11" t="s">
        <v>17</v>
      </c>
      <c r="K53" s="88">
        <f t="shared" si="1"/>
        <v>16</v>
      </c>
      <c r="L53" s="11" t="s">
        <v>285</v>
      </c>
      <c r="M53" s="11" t="s">
        <v>130</v>
      </c>
      <c r="N53" s="92" t="s">
        <v>21</v>
      </c>
    </row>
    <row r="54" spans="1:14" x14ac:dyDescent="0.35">
      <c r="A54" s="94" t="s">
        <v>286</v>
      </c>
      <c r="B54" s="15" t="s">
        <v>13</v>
      </c>
      <c r="C54" s="16" t="s">
        <v>287</v>
      </c>
      <c r="D54" s="16" t="s">
        <v>34</v>
      </c>
      <c r="E54" s="17" t="s">
        <v>82</v>
      </c>
      <c r="F54" s="15">
        <f>+YEAR(Tabla2[[#This Row],[Cosecha]])</f>
        <v>2024</v>
      </c>
      <c r="G54" s="16" t="s">
        <v>66</v>
      </c>
      <c r="H54" s="95">
        <f t="shared" si="0"/>
        <v>1</v>
      </c>
      <c r="I54" s="15" t="s">
        <v>18</v>
      </c>
      <c r="J54" s="16" t="s">
        <v>51</v>
      </c>
      <c r="K54" s="88">
        <f t="shared" si="1"/>
        <v>2</v>
      </c>
      <c r="L54" s="16" t="s">
        <v>288</v>
      </c>
      <c r="M54" s="16" t="s">
        <v>130</v>
      </c>
      <c r="N54" s="96" t="s">
        <v>26</v>
      </c>
    </row>
    <row r="55" spans="1:14" x14ac:dyDescent="0.35">
      <c r="A55" s="90" t="s">
        <v>294</v>
      </c>
      <c r="B55" s="10" t="s">
        <v>13</v>
      </c>
      <c r="C55" s="11" t="s">
        <v>295</v>
      </c>
      <c r="D55" s="11" t="s">
        <v>34</v>
      </c>
      <c r="E55" s="12" t="s">
        <v>118</v>
      </c>
      <c r="F55" s="10">
        <f>+YEAR(Tabla2[[#This Row],[Cosecha]])</f>
        <v>2025</v>
      </c>
      <c r="G55" s="11" t="s">
        <v>113</v>
      </c>
      <c r="H55" s="91">
        <f t="shared" si="0"/>
        <v>3</v>
      </c>
      <c r="I55" s="10" t="s">
        <v>18</v>
      </c>
      <c r="J55" s="11" t="s">
        <v>23</v>
      </c>
      <c r="K55" s="88">
        <f t="shared" si="1"/>
        <v>4</v>
      </c>
      <c r="L55" s="11" t="s">
        <v>296</v>
      </c>
      <c r="M55" s="11" t="s">
        <v>115</v>
      </c>
      <c r="N55" s="92" t="s">
        <v>26</v>
      </c>
    </row>
    <row r="56" spans="1:14" x14ac:dyDescent="0.35">
      <c r="A56" s="94" t="s">
        <v>297</v>
      </c>
      <c r="B56" s="15" t="s">
        <v>13</v>
      </c>
      <c r="C56" s="16" t="s">
        <v>298</v>
      </c>
      <c r="D56" s="16" t="s">
        <v>34</v>
      </c>
      <c r="E56" s="17" t="s">
        <v>82</v>
      </c>
      <c r="F56" s="15">
        <f>+YEAR(Tabla2[[#This Row],[Cosecha]])</f>
        <v>2024</v>
      </c>
      <c r="G56" s="16" t="s">
        <v>97</v>
      </c>
      <c r="H56" s="95">
        <f t="shared" si="0"/>
        <v>8</v>
      </c>
      <c r="I56" s="15" t="s">
        <v>18</v>
      </c>
      <c r="J56" s="16" t="s">
        <v>118</v>
      </c>
      <c r="K56" s="88">
        <f t="shared" si="1"/>
        <v>9</v>
      </c>
      <c r="L56" s="16" t="s">
        <v>299</v>
      </c>
      <c r="M56" s="16" t="s">
        <v>130</v>
      </c>
      <c r="N56" s="96" t="s">
        <v>21</v>
      </c>
    </row>
    <row r="57" spans="1:14" x14ac:dyDescent="0.35">
      <c r="A57" s="90" t="s">
        <v>304</v>
      </c>
      <c r="B57" s="10" t="s">
        <v>13</v>
      </c>
      <c r="C57" s="11" t="s">
        <v>305</v>
      </c>
      <c r="D57" s="11" t="s">
        <v>34</v>
      </c>
      <c r="E57" s="12" t="s">
        <v>47</v>
      </c>
      <c r="F57" s="10">
        <f>+YEAR(Tabla2[[#This Row],[Cosecha]])</f>
        <v>2025</v>
      </c>
      <c r="G57" s="11" t="s">
        <v>29</v>
      </c>
      <c r="H57" s="91">
        <f t="shared" si="0"/>
        <v>3</v>
      </c>
      <c r="I57" s="10" t="s">
        <v>18</v>
      </c>
      <c r="J57" s="11" t="s">
        <v>29</v>
      </c>
      <c r="K57" s="88">
        <f t="shared" si="1"/>
        <v>3</v>
      </c>
      <c r="L57" s="11" t="s">
        <v>306</v>
      </c>
      <c r="M57" s="11" t="s">
        <v>44</v>
      </c>
      <c r="N57" s="92" t="s">
        <v>21</v>
      </c>
    </row>
    <row r="58" spans="1:14" x14ac:dyDescent="0.35">
      <c r="A58" s="94" t="s">
        <v>307</v>
      </c>
      <c r="B58" s="15" t="s">
        <v>13</v>
      </c>
      <c r="C58" s="16" t="s">
        <v>308</v>
      </c>
      <c r="D58" s="16" t="s">
        <v>90</v>
      </c>
      <c r="E58" s="17" t="s">
        <v>62</v>
      </c>
      <c r="F58" s="15">
        <f>+YEAR(Tabla2[[#This Row],[Cosecha]])</f>
        <v>2025</v>
      </c>
      <c r="G58" s="16" t="s">
        <v>37</v>
      </c>
      <c r="H58" s="95">
        <f t="shared" si="0"/>
        <v>4</v>
      </c>
      <c r="I58" s="15" t="s">
        <v>18</v>
      </c>
      <c r="J58" s="16" t="s">
        <v>113</v>
      </c>
      <c r="K58" s="88">
        <f t="shared" si="1"/>
        <v>5</v>
      </c>
      <c r="L58" s="16" t="s">
        <v>309</v>
      </c>
      <c r="M58" s="16" t="s">
        <v>39</v>
      </c>
      <c r="N58" s="96" t="s">
        <v>26</v>
      </c>
    </row>
    <row r="59" spans="1:14" x14ac:dyDescent="0.35">
      <c r="A59" s="90" t="s">
        <v>310</v>
      </c>
      <c r="B59" s="10" t="s">
        <v>13</v>
      </c>
      <c r="C59" s="11" t="s">
        <v>311</v>
      </c>
      <c r="D59" s="11" t="s">
        <v>90</v>
      </c>
      <c r="E59" s="12" t="s">
        <v>118</v>
      </c>
      <c r="F59" s="10">
        <f>+YEAR(Tabla2[[#This Row],[Cosecha]])</f>
        <v>2025</v>
      </c>
      <c r="G59" s="11" t="s">
        <v>113</v>
      </c>
      <c r="H59" s="91">
        <f t="shared" si="0"/>
        <v>3</v>
      </c>
      <c r="I59" s="10" t="s">
        <v>18</v>
      </c>
      <c r="J59" s="11" t="s">
        <v>52</v>
      </c>
      <c r="K59" s="88">
        <f t="shared" si="1"/>
        <v>5</v>
      </c>
      <c r="L59" s="11" t="s">
        <v>312</v>
      </c>
      <c r="M59" s="11" t="s">
        <v>39</v>
      </c>
      <c r="N59" s="92" t="s">
        <v>26</v>
      </c>
    </row>
    <row r="60" spans="1:14" x14ac:dyDescent="0.35">
      <c r="A60" s="94" t="s">
        <v>313</v>
      </c>
      <c r="B60" s="15" t="s">
        <v>13</v>
      </c>
      <c r="C60" s="16" t="s">
        <v>314</v>
      </c>
      <c r="D60" s="16" t="s">
        <v>34</v>
      </c>
      <c r="E60" s="17" t="s">
        <v>97</v>
      </c>
      <c r="F60" s="15">
        <f>+YEAR(Tabla2[[#This Row],[Cosecha]])</f>
        <v>2025</v>
      </c>
      <c r="G60" s="16" t="s">
        <v>113</v>
      </c>
      <c r="H60" s="95">
        <f t="shared" si="0"/>
        <v>4</v>
      </c>
      <c r="I60" s="15" t="s">
        <v>18</v>
      </c>
      <c r="J60" s="16" t="s">
        <v>23</v>
      </c>
      <c r="K60" s="88">
        <f t="shared" si="1"/>
        <v>5</v>
      </c>
      <c r="L60" s="16" t="s">
        <v>315</v>
      </c>
      <c r="M60" s="16" t="s">
        <v>115</v>
      </c>
      <c r="N60" s="96" t="s">
        <v>26</v>
      </c>
    </row>
    <row r="61" spans="1:14" x14ac:dyDescent="0.35">
      <c r="A61" s="90" t="s">
        <v>322</v>
      </c>
      <c r="B61" s="10" t="s">
        <v>13</v>
      </c>
      <c r="C61" s="11" t="s">
        <v>323</v>
      </c>
      <c r="D61" s="11" t="s">
        <v>15</v>
      </c>
      <c r="E61" s="12" t="s">
        <v>113</v>
      </c>
      <c r="F61" s="10">
        <f>+YEAR(Tabla2[[#This Row],[Cosecha]])</f>
        <v>2025</v>
      </c>
      <c r="G61" s="11" t="s">
        <v>17</v>
      </c>
      <c r="H61" s="91">
        <f t="shared" si="0"/>
        <v>4</v>
      </c>
      <c r="I61" s="10" t="s">
        <v>18</v>
      </c>
      <c r="J61" s="11" t="s">
        <v>17</v>
      </c>
      <c r="K61" s="88">
        <f t="shared" si="1"/>
        <v>4</v>
      </c>
      <c r="L61" s="11" t="s">
        <v>324</v>
      </c>
      <c r="M61" s="11" t="s">
        <v>25</v>
      </c>
      <c r="N61" s="92" t="s">
        <v>26</v>
      </c>
    </row>
    <row r="62" spans="1:14" x14ac:dyDescent="0.35">
      <c r="A62" s="94" t="s">
        <v>325</v>
      </c>
      <c r="B62" s="15" t="s">
        <v>13</v>
      </c>
      <c r="C62" s="16" t="s">
        <v>326</v>
      </c>
      <c r="D62" s="16" t="s">
        <v>90</v>
      </c>
      <c r="E62" s="17" t="s">
        <v>29</v>
      </c>
      <c r="F62" s="15">
        <f>+YEAR(Tabla2[[#This Row],[Cosecha]])</f>
        <v>2025</v>
      </c>
      <c r="G62" s="16" t="s">
        <v>17</v>
      </c>
      <c r="H62" s="95">
        <f t="shared" si="0"/>
        <v>10</v>
      </c>
      <c r="I62" s="15" t="s">
        <v>18</v>
      </c>
      <c r="J62" s="16" t="s">
        <v>17</v>
      </c>
      <c r="K62" s="88">
        <f t="shared" si="1"/>
        <v>10</v>
      </c>
      <c r="L62" s="16" t="s">
        <v>327</v>
      </c>
      <c r="M62" s="16" t="s">
        <v>25</v>
      </c>
      <c r="N62" s="96" t="s">
        <v>21</v>
      </c>
    </row>
    <row r="63" spans="1:14" x14ac:dyDescent="0.35">
      <c r="A63" s="90" t="s">
        <v>328</v>
      </c>
      <c r="B63" s="10" t="s">
        <v>13</v>
      </c>
      <c r="C63" s="11" t="s">
        <v>329</v>
      </c>
      <c r="D63" s="11" t="s">
        <v>78</v>
      </c>
      <c r="E63" s="12" t="s">
        <v>29</v>
      </c>
      <c r="F63" s="10">
        <f>+YEAR(Tabla2[[#This Row],[Cosecha]])</f>
        <v>2025</v>
      </c>
      <c r="G63" s="11" t="s">
        <v>36</v>
      </c>
      <c r="H63" s="91">
        <f t="shared" si="0"/>
        <v>4</v>
      </c>
      <c r="I63" s="10" t="s">
        <v>18</v>
      </c>
      <c r="J63" s="11" t="s">
        <v>37</v>
      </c>
      <c r="K63" s="88">
        <f t="shared" si="1"/>
        <v>5</v>
      </c>
      <c r="L63" s="11" t="s">
        <v>330</v>
      </c>
      <c r="M63" s="11" t="s">
        <v>25</v>
      </c>
      <c r="N63" s="92" t="s">
        <v>21</v>
      </c>
    </row>
    <row r="64" spans="1:14" x14ac:dyDescent="0.35">
      <c r="A64" s="94" t="s">
        <v>334</v>
      </c>
      <c r="B64" s="15" t="s">
        <v>13</v>
      </c>
      <c r="C64" s="16" t="s">
        <v>335</v>
      </c>
      <c r="D64" s="16" t="s">
        <v>34</v>
      </c>
      <c r="E64" s="17" t="s">
        <v>51</v>
      </c>
      <c r="F64" s="15">
        <f>+YEAR(Tabla2[[#This Row],[Cosecha]])</f>
        <v>2025</v>
      </c>
      <c r="G64" s="16" t="s">
        <v>29</v>
      </c>
      <c r="H64" s="95">
        <f t="shared" si="0"/>
        <v>4</v>
      </c>
      <c r="I64" s="15" t="s">
        <v>18</v>
      </c>
      <c r="J64" s="16" t="s">
        <v>62</v>
      </c>
      <c r="K64" s="88">
        <f t="shared" si="1"/>
        <v>5</v>
      </c>
      <c r="L64" s="16" t="s">
        <v>336</v>
      </c>
      <c r="M64" s="16" t="s">
        <v>44</v>
      </c>
      <c r="N64" s="96" t="s">
        <v>21</v>
      </c>
    </row>
    <row r="65" spans="1:18" x14ac:dyDescent="0.35">
      <c r="A65" s="90" t="s">
        <v>337</v>
      </c>
      <c r="B65" s="10" t="s">
        <v>13</v>
      </c>
      <c r="C65" s="11" t="s">
        <v>338</v>
      </c>
      <c r="D65" s="11" t="s">
        <v>34</v>
      </c>
      <c r="E65" s="12" t="s">
        <v>118</v>
      </c>
      <c r="F65" s="10">
        <f>+YEAR(Tabla2[[#This Row],[Cosecha]])</f>
        <v>2025</v>
      </c>
      <c r="G65" s="11" t="s">
        <v>52</v>
      </c>
      <c r="H65" s="91">
        <f t="shared" si="0"/>
        <v>5</v>
      </c>
      <c r="I65" s="10" t="s">
        <v>18</v>
      </c>
      <c r="J65" s="11" t="s">
        <v>17</v>
      </c>
      <c r="K65" s="88">
        <f t="shared" si="1"/>
        <v>7</v>
      </c>
      <c r="L65" s="11" t="s">
        <v>339</v>
      </c>
      <c r="M65" s="11" t="s">
        <v>115</v>
      </c>
      <c r="N65" s="92" t="s">
        <v>26</v>
      </c>
    </row>
    <row r="66" spans="1:18" x14ac:dyDescent="0.35">
      <c r="A66" s="94" t="s">
        <v>340</v>
      </c>
      <c r="B66" s="15" t="s">
        <v>85</v>
      </c>
      <c r="C66" s="16" t="s">
        <v>341</v>
      </c>
      <c r="D66" s="16" t="s">
        <v>34</v>
      </c>
      <c r="E66" s="17" t="s">
        <v>252</v>
      </c>
      <c r="F66" s="15">
        <f>+YEAR(Tabla2[[#This Row],[Cosecha]])</f>
        <v>2024</v>
      </c>
      <c r="G66" s="16" t="s">
        <v>37</v>
      </c>
      <c r="H66" s="95">
        <f t="shared" ref="H66:H129" si="2">(YEAR(G66)-YEAR(E66))*12+(MONTH(G66)-MONTH(E66))</f>
        <v>16</v>
      </c>
      <c r="I66" s="15" t="s">
        <v>18</v>
      </c>
      <c r="J66" s="16" t="s">
        <v>113</v>
      </c>
      <c r="K66" s="88">
        <f t="shared" ref="K66:K129" si="3">(YEAR(J66)-YEAR(E66))*12+(MONTH(J66)-MONTH(E66))</f>
        <v>17</v>
      </c>
      <c r="L66" s="16" t="s">
        <v>342</v>
      </c>
      <c r="M66" s="16" t="s">
        <v>130</v>
      </c>
      <c r="N66" s="96" t="s">
        <v>21</v>
      </c>
    </row>
    <row r="67" spans="1:18" x14ac:dyDescent="0.35">
      <c r="A67" s="90" t="s">
        <v>349</v>
      </c>
      <c r="B67" s="10" t="s">
        <v>13</v>
      </c>
      <c r="C67" s="11" t="s">
        <v>350</v>
      </c>
      <c r="D67" s="11" t="s">
        <v>34</v>
      </c>
      <c r="E67" s="12" t="s">
        <v>47</v>
      </c>
      <c r="F67" s="10">
        <f>+YEAR(Tabla2[[#This Row],[Cosecha]])</f>
        <v>2025</v>
      </c>
      <c r="G67" s="11" t="s">
        <v>118</v>
      </c>
      <c r="H67" s="91">
        <f t="shared" si="2"/>
        <v>6</v>
      </c>
      <c r="I67" s="10" t="s">
        <v>18</v>
      </c>
      <c r="J67" s="11" t="s">
        <v>97</v>
      </c>
      <c r="K67" s="88">
        <f t="shared" si="3"/>
        <v>5</v>
      </c>
      <c r="L67" s="11" t="s">
        <v>351</v>
      </c>
      <c r="M67" s="11" t="s">
        <v>44</v>
      </c>
      <c r="N67" s="92" t="s">
        <v>26</v>
      </c>
    </row>
    <row r="68" spans="1:18" x14ac:dyDescent="0.35">
      <c r="A68" s="94" t="s">
        <v>352</v>
      </c>
      <c r="B68" s="15" t="s">
        <v>13</v>
      </c>
      <c r="C68" s="16" t="s">
        <v>353</v>
      </c>
      <c r="D68" s="16" t="s">
        <v>15</v>
      </c>
      <c r="E68" s="17" t="s">
        <v>133</v>
      </c>
      <c r="F68" s="15">
        <f>+YEAR(Tabla2[[#This Row],[Cosecha]])</f>
        <v>2025</v>
      </c>
      <c r="G68" s="16" t="s">
        <v>113</v>
      </c>
      <c r="H68" s="95">
        <f t="shared" si="2"/>
        <v>8</v>
      </c>
      <c r="I68" s="15" t="s">
        <v>18</v>
      </c>
      <c r="J68" s="16" t="s">
        <v>113</v>
      </c>
      <c r="K68" s="88">
        <f t="shared" si="3"/>
        <v>8</v>
      </c>
      <c r="L68" s="16" t="s">
        <v>354</v>
      </c>
      <c r="M68" s="16" t="s">
        <v>25</v>
      </c>
      <c r="N68" s="96" t="s">
        <v>21</v>
      </c>
    </row>
    <row r="69" spans="1:18" x14ac:dyDescent="0.35">
      <c r="A69" s="90" t="s">
        <v>355</v>
      </c>
      <c r="B69" s="10" t="s">
        <v>13</v>
      </c>
      <c r="C69" s="11" t="s">
        <v>356</v>
      </c>
      <c r="D69" s="11" t="s">
        <v>34</v>
      </c>
      <c r="E69" s="12" t="s">
        <v>122</v>
      </c>
      <c r="F69" s="10">
        <f>+YEAR(Tabla2[[#This Row],[Cosecha]])</f>
        <v>2023</v>
      </c>
      <c r="G69" s="11" t="s">
        <v>133</v>
      </c>
      <c r="H69" s="91">
        <f t="shared" si="2"/>
        <v>19</v>
      </c>
      <c r="I69" s="10" t="s">
        <v>18</v>
      </c>
      <c r="J69" s="11" t="s">
        <v>133</v>
      </c>
      <c r="K69" s="88">
        <f t="shared" si="3"/>
        <v>19</v>
      </c>
      <c r="L69" s="11" t="s">
        <v>357</v>
      </c>
      <c r="M69" s="11" t="s">
        <v>241</v>
      </c>
      <c r="N69" s="92" t="s">
        <v>21</v>
      </c>
    </row>
    <row r="70" spans="1:18" x14ac:dyDescent="0.35">
      <c r="A70" s="94" t="s">
        <v>358</v>
      </c>
      <c r="B70" s="15" t="s">
        <v>13</v>
      </c>
      <c r="C70" s="16" t="s">
        <v>359</v>
      </c>
      <c r="D70" s="16" t="s">
        <v>34</v>
      </c>
      <c r="E70" s="17" t="s">
        <v>62</v>
      </c>
      <c r="F70" s="15">
        <f>+YEAR(Tabla2[[#This Row],[Cosecha]])</f>
        <v>2025</v>
      </c>
      <c r="G70" s="16" t="s">
        <v>118</v>
      </c>
      <c r="H70" s="95">
        <f t="shared" si="2"/>
        <v>2</v>
      </c>
      <c r="I70" s="15" t="s">
        <v>18</v>
      </c>
      <c r="J70" s="16" t="s">
        <v>118</v>
      </c>
      <c r="K70" s="88">
        <f t="shared" si="3"/>
        <v>2</v>
      </c>
      <c r="L70" s="16" t="s">
        <v>360</v>
      </c>
      <c r="M70" s="16" t="s">
        <v>44</v>
      </c>
      <c r="N70" s="96" t="s">
        <v>21</v>
      </c>
    </row>
    <row r="71" spans="1:18" x14ac:dyDescent="0.35">
      <c r="A71" s="90" t="s">
        <v>361</v>
      </c>
      <c r="B71" s="10" t="s">
        <v>13</v>
      </c>
      <c r="C71" s="11" t="s">
        <v>362</v>
      </c>
      <c r="D71" s="11" t="s">
        <v>363</v>
      </c>
      <c r="E71" s="12" t="s">
        <v>364</v>
      </c>
      <c r="F71" s="10">
        <f>+YEAR(Tabla2[[#This Row],[Cosecha]])</f>
        <v>2023</v>
      </c>
      <c r="G71" s="11" t="s">
        <v>118</v>
      </c>
      <c r="H71" s="91">
        <f t="shared" si="2"/>
        <v>31</v>
      </c>
      <c r="I71" s="10" t="s">
        <v>18</v>
      </c>
      <c r="J71" s="11" t="s">
        <v>36</v>
      </c>
      <c r="K71" s="88">
        <f t="shared" si="3"/>
        <v>32</v>
      </c>
      <c r="L71" s="11" t="s">
        <v>365</v>
      </c>
      <c r="M71" s="11" t="s">
        <v>25</v>
      </c>
      <c r="N71" s="92" t="s">
        <v>21</v>
      </c>
    </row>
    <row r="72" spans="1:18" x14ac:dyDescent="0.35">
      <c r="A72" s="94" t="s">
        <v>366</v>
      </c>
      <c r="B72" s="15" t="s">
        <v>13</v>
      </c>
      <c r="C72" s="16" t="s">
        <v>367</v>
      </c>
      <c r="D72" s="16" t="s">
        <v>34</v>
      </c>
      <c r="E72" s="17" t="s">
        <v>51</v>
      </c>
      <c r="F72" s="15">
        <f>+YEAR(Tabla2[[#This Row],[Cosecha]])</f>
        <v>2025</v>
      </c>
      <c r="G72" s="16" t="s">
        <v>118</v>
      </c>
      <c r="H72" s="95">
        <f t="shared" si="2"/>
        <v>7</v>
      </c>
      <c r="I72" s="15" t="s">
        <v>18</v>
      </c>
      <c r="J72" s="16" t="s">
        <v>118</v>
      </c>
      <c r="K72" s="88">
        <f t="shared" si="3"/>
        <v>7</v>
      </c>
      <c r="L72" s="16" t="s">
        <v>368</v>
      </c>
      <c r="M72" s="16" t="s">
        <v>130</v>
      </c>
      <c r="N72" s="96" t="s">
        <v>21</v>
      </c>
      <c r="P72" s="93" t="s">
        <v>3810</v>
      </c>
    </row>
    <row r="73" spans="1:18" x14ac:dyDescent="0.35">
      <c r="A73" s="90" t="s">
        <v>369</v>
      </c>
      <c r="B73" s="10" t="s">
        <v>13</v>
      </c>
      <c r="C73" s="11" t="s">
        <v>370</v>
      </c>
      <c r="D73" s="11" t="s">
        <v>15</v>
      </c>
      <c r="E73" s="12" t="s">
        <v>244</v>
      </c>
      <c r="F73" s="10">
        <f>+YEAR(Tabla2[[#This Row],[Cosecha]])</f>
        <v>2024</v>
      </c>
      <c r="G73" s="11" t="s">
        <v>133</v>
      </c>
      <c r="H73" s="91">
        <f t="shared" si="2"/>
        <v>11</v>
      </c>
      <c r="I73" s="10" t="s">
        <v>18</v>
      </c>
      <c r="J73" s="11" t="s">
        <v>133</v>
      </c>
      <c r="K73" s="88">
        <f t="shared" si="3"/>
        <v>11</v>
      </c>
      <c r="L73" s="11" t="s">
        <v>371</v>
      </c>
      <c r="M73" s="11" t="s">
        <v>25</v>
      </c>
      <c r="N73" s="92" t="s">
        <v>21</v>
      </c>
      <c r="P73" s="97" t="s">
        <v>11</v>
      </c>
      <c r="Q73" s="97" t="s">
        <v>3808</v>
      </c>
      <c r="R73" s="128" t="s">
        <v>3809</v>
      </c>
    </row>
    <row r="74" spans="1:18" x14ac:dyDescent="0.35">
      <c r="A74" s="94" t="s">
        <v>372</v>
      </c>
      <c r="B74" s="15" t="s">
        <v>13</v>
      </c>
      <c r="C74" s="16" t="s">
        <v>373</v>
      </c>
      <c r="D74" s="16" t="s">
        <v>34</v>
      </c>
      <c r="E74" s="17" t="s">
        <v>133</v>
      </c>
      <c r="F74" s="15">
        <f>+YEAR(Tabla2[[#This Row],[Cosecha]])</f>
        <v>2025</v>
      </c>
      <c r="G74" s="16" t="s">
        <v>30</v>
      </c>
      <c r="H74" s="95">
        <f t="shared" si="2"/>
        <v>11</v>
      </c>
      <c r="I74" s="15" t="s">
        <v>18</v>
      </c>
      <c r="J74" s="16" t="s">
        <v>17</v>
      </c>
      <c r="K74" s="88">
        <f t="shared" si="3"/>
        <v>12</v>
      </c>
      <c r="L74" s="16" t="s">
        <v>374</v>
      </c>
      <c r="M74" s="16" t="s">
        <v>115</v>
      </c>
      <c r="N74" s="96" t="s">
        <v>21</v>
      </c>
      <c r="P74" s="102" t="s">
        <v>21</v>
      </c>
      <c r="Q74" s="103">
        <f>COUNTIF(M:M,Tabla357[[#This Row],[Plataforma]])</f>
        <v>0</v>
      </c>
      <c r="R74" s="103">
        <f>+ROUND(AVERAGEIF(Tabla2[Plataforma],Tabla357[[#This Row],[Plataforma]],Tabla2[Meses transcurridos]),0)</f>
        <v>10</v>
      </c>
    </row>
    <row r="75" spans="1:18" x14ac:dyDescent="0.35">
      <c r="A75" s="90" t="s">
        <v>375</v>
      </c>
      <c r="B75" s="10" t="s">
        <v>13</v>
      </c>
      <c r="C75" s="11" t="s">
        <v>376</v>
      </c>
      <c r="D75" s="11" t="s">
        <v>34</v>
      </c>
      <c r="E75" s="12" t="s">
        <v>252</v>
      </c>
      <c r="F75" s="10">
        <f>+YEAR(Tabla2[[#This Row],[Cosecha]])</f>
        <v>2024</v>
      </c>
      <c r="G75" s="11" t="s">
        <v>47</v>
      </c>
      <c r="H75" s="91">
        <f t="shared" si="2"/>
        <v>8</v>
      </c>
      <c r="I75" s="10" t="s">
        <v>18</v>
      </c>
      <c r="J75" s="11" t="s">
        <v>47</v>
      </c>
      <c r="K75" s="88">
        <f t="shared" si="3"/>
        <v>8</v>
      </c>
      <c r="L75" s="11" t="s">
        <v>377</v>
      </c>
      <c r="M75" s="11" t="s">
        <v>25</v>
      </c>
      <c r="N75" s="92" t="s">
        <v>21</v>
      </c>
      <c r="P75" s="129" t="s">
        <v>26</v>
      </c>
      <c r="Q75" s="130">
        <f>COUNTIF(M:M,Tabla357[[#This Row],[Plataforma]])</f>
        <v>0</v>
      </c>
      <c r="R75" s="130">
        <f>+ROUND(AVERAGEIF(Tabla2[Plataforma],Tabla357[[#This Row],[Plataforma]],Tabla2[Meses transcurridos]),0)</f>
        <v>6</v>
      </c>
    </row>
    <row r="76" spans="1:18" x14ac:dyDescent="0.35">
      <c r="A76" s="94" t="s">
        <v>378</v>
      </c>
      <c r="B76" s="15" t="s">
        <v>85</v>
      </c>
      <c r="C76" s="16" t="s">
        <v>379</v>
      </c>
      <c r="D76" s="16" t="s">
        <v>78</v>
      </c>
      <c r="E76" s="17" t="s">
        <v>97</v>
      </c>
      <c r="F76" s="15">
        <f>+YEAR(Tabla2[[#This Row],[Cosecha]])</f>
        <v>2025</v>
      </c>
      <c r="G76" s="16" t="s">
        <v>52</v>
      </c>
      <c r="H76" s="95">
        <f t="shared" si="2"/>
        <v>6</v>
      </c>
      <c r="I76" s="15" t="s">
        <v>18</v>
      </c>
      <c r="J76" s="16" t="s">
        <v>30</v>
      </c>
      <c r="K76" s="88">
        <f t="shared" si="3"/>
        <v>7</v>
      </c>
      <c r="L76" s="16" t="s">
        <v>380</v>
      </c>
      <c r="M76" s="16" t="s">
        <v>39</v>
      </c>
      <c r="N76" s="96" t="s">
        <v>21</v>
      </c>
    </row>
    <row r="77" spans="1:18" x14ac:dyDescent="0.35">
      <c r="A77" s="90" t="s">
        <v>381</v>
      </c>
      <c r="B77" s="10" t="s">
        <v>13</v>
      </c>
      <c r="C77" s="11" t="s">
        <v>382</v>
      </c>
      <c r="D77" s="11" t="s">
        <v>34</v>
      </c>
      <c r="E77" s="12" t="s">
        <v>133</v>
      </c>
      <c r="F77" s="10">
        <f>+YEAR(Tabla2[[#This Row],[Cosecha]])</f>
        <v>2025</v>
      </c>
      <c r="G77" s="11" t="s">
        <v>37</v>
      </c>
      <c r="H77" s="91">
        <f t="shared" si="2"/>
        <v>7</v>
      </c>
      <c r="I77" s="10" t="s">
        <v>18</v>
      </c>
      <c r="J77" s="11" t="s">
        <v>37</v>
      </c>
      <c r="K77" s="88">
        <f t="shared" si="3"/>
        <v>7</v>
      </c>
      <c r="L77" s="11" t="s">
        <v>383</v>
      </c>
      <c r="M77" s="11" t="s">
        <v>44</v>
      </c>
      <c r="N77" s="92" t="s">
        <v>21</v>
      </c>
    </row>
    <row r="78" spans="1:18" x14ac:dyDescent="0.35">
      <c r="A78" s="94" t="s">
        <v>387</v>
      </c>
      <c r="B78" s="15" t="s">
        <v>13</v>
      </c>
      <c r="C78" s="16" t="s">
        <v>388</v>
      </c>
      <c r="D78" s="16" t="s">
        <v>34</v>
      </c>
      <c r="E78" s="17" t="s">
        <v>244</v>
      </c>
      <c r="F78" s="15">
        <f>+YEAR(Tabla2[[#This Row],[Cosecha]])</f>
        <v>2024</v>
      </c>
      <c r="G78" s="16" t="s">
        <v>52</v>
      </c>
      <c r="H78" s="95">
        <f t="shared" si="2"/>
        <v>21</v>
      </c>
      <c r="I78" s="15" t="s">
        <v>18</v>
      </c>
      <c r="J78" s="16" t="s">
        <v>52</v>
      </c>
      <c r="K78" s="88">
        <f t="shared" si="3"/>
        <v>21</v>
      </c>
      <c r="L78" s="16" t="s">
        <v>389</v>
      </c>
      <c r="M78" s="16" t="s">
        <v>25</v>
      </c>
      <c r="N78" s="96" t="s">
        <v>21</v>
      </c>
    </row>
    <row r="79" spans="1:18" x14ac:dyDescent="0.35">
      <c r="A79" s="90" t="s">
        <v>390</v>
      </c>
      <c r="B79" s="10" t="s">
        <v>13</v>
      </c>
      <c r="C79" s="11" t="s">
        <v>391</v>
      </c>
      <c r="D79" s="11" t="s">
        <v>34</v>
      </c>
      <c r="E79" s="12" t="s">
        <v>392</v>
      </c>
      <c r="F79" s="10">
        <f>+YEAR(Tabla2[[#This Row],[Cosecha]])</f>
        <v>2022</v>
      </c>
      <c r="G79" s="11" t="s">
        <v>133</v>
      </c>
      <c r="H79" s="91">
        <f t="shared" si="2"/>
        <v>31</v>
      </c>
      <c r="I79" s="10" t="s">
        <v>18</v>
      </c>
      <c r="J79" s="11" t="s">
        <v>104</v>
      </c>
      <c r="K79" s="88">
        <f t="shared" si="3"/>
        <v>32</v>
      </c>
      <c r="L79" s="11" t="s">
        <v>393</v>
      </c>
      <c r="M79" s="11" t="s">
        <v>25</v>
      </c>
      <c r="N79" s="92" t="s">
        <v>21</v>
      </c>
    </row>
    <row r="80" spans="1:18" x14ac:dyDescent="0.35">
      <c r="A80" s="94" t="s">
        <v>394</v>
      </c>
      <c r="B80" s="15" t="s">
        <v>13</v>
      </c>
      <c r="C80" s="16" t="s">
        <v>395</v>
      </c>
      <c r="D80" s="16" t="s">
        <v>34</v>
      </c>
      <c r="E80" s="17" t="s">
        <v>36</v>
      </c>
      <c r="F80" s="15">
        <f>+YEAR(Tabla2[[#This Row],[Cosecha]])</f>
        <v>2025</v>
      </c>
      <c r="G80" s="16" t="s">
        <v>23</v>
      </c>
      <c r="H80" s="95">
        <f t="shared" si="2"/>
        <v>3</v>
      </c>
      <c r="I80" s="15" t="s">
        <v>18</v>
      </c>
      <c r="J80" s="16" t="s">
        <v>30</v>
      </c>
      <c r="K80" s="88">
        <f t="shared" si="3"/>
        <v>5</v>
      </c>
      <c r="L80" s="16" t="s">
        <v>396</v>
      </c>
      <c r="M80" s="16" t="s">
        <v>44</v>
      </c>
      <c r="N80" s="96" t="s">
        <v>26</v>
      </c>
    </row>
    <row r="81" spans="1:14" x14ac:dyDescent="0.35">
      <c r="A81" s="90" t="s">
        <v>397</v>
      </c>
      <c r="B81" s="10" t="s">
        <v>13</v>
      </c>
      <c r="C81" s="11" t="s">
        <v>398</v>
      </c>
      <c r="D81" s="11" t="s">
        <v>34</v>
      </c>
      <c r="E81" s="12" t="s">
        <v>51</v>
      </c>
      <c r="F81" s="10">
        <f>+YEAR(Tabla2[[#This Row],[Cosecha]])</f>
        <v>2025</v>
      </c>
      <c r="G81" s="11" t="s">
        <v>23</v>
      </c>
      <c r="H81" s="91">
        <f t="shared" si="2"/>
        <v>11</v>
      </c>
      <c r="I81" s="10" t="s">
        <v>18</v>
      </c>
      <c r="J81" s="11" t="s">
        <v>52</v>
      </c>
      <c r="K81" s="88">
        <f t="shared" si="3"/>
        <v>12</v>
      </c>
      <c r="L81" s="11" t="s">
        <v>399</v>
      </c>
      <c r="M81" s="11" t="s">
        <v>25</v>
      </c>
      <c r="N81" s="92" t="s">
        <v>21</v>
      </c>
    </row>
    <row r="82" spans="1:14" x14ac:dyDescent="0.35">
      <c r="A82" s="94" t="s">
        <v>403</v>
      </c>
      <c r="B82" s="15" t="s">
        <v>13</v>
      </c>
      <c r="C82" s="16" t="s">
        <v>404</v>
      </c>
      <c r="D82" s="16" t="s">
        <v>34</v>
      </c>
      <c r="E82" s="17" t="s">
        <v>62</v>
      </c>
      <c r="F82" s="15">
        <f>+YEAR(Tabla2[[#This Row],[Cosecha]])</f>
        <v>2025</v>
      </c>
      <c r="G82" s="16" t="s">
        <v>97</v>
      </c>
      <c r="H82" s="95">
        <f t="shared" si="2"/>
        <v>1</v>
      </c>
      <c r="I82" s="15" t="s">
        <v>18</v>
      </c>
      <c r="J82" s="16" t="s">
        <v>97</v>
      </c>
      <c r="K82" s="88">
        <f t="shared" si="3"/>
        <v>1</v>
      </c>
      <c r="L82" s="16" t="s">
        <v>405</v>
      </c>
      <c r="M82" s="16" t="s">
        <v>44</v>
      </c>
      <c r="N82" s="96" t="s">
        <v>21</v>
      </c>
    </row>
    <row r="83" spans="1:14" x14ac:dyDescent="0.35">
      <c r="A83" s="90" t="s">
        <v>406</v>
      </c>
      <c r="B83" s="10" t="s">
        <v>13</v>
      </c>
      <c r="C83" s="11" t="s">
        <v>407</v>
      </c>
      <c r="D83" s="11" t="s">
        <v>34</v>
      </c>
      <c r="E83" s="12" t="s">
        <v>47</v>
      </c>
      <c r="F83" s="10">
        <f>+YEAR(Tabla2[[#This Row],[Cosecha]])</f>
        <v>2025</v>
      </c>
      <c r="G83" s="11" t="s">
        <v>62</v>
      </c>
      <c r="H83" s="91">
        <f t="shared" si="2"/>
        <v>4</v>
      </c>
      <c r="I83" s="10" t="s">
        <v>18</v>
      </c>
      <c r="J83" s="11" t="s">
        <v>62</v>
      </c>
      <c r="K83" s="88">
        <f t="shared" si="3"/>
        <v>4</v>
      </c>
      <c r="L83" s="11" t="s">
        <v>408</v>
      </c>
      <c r="M83" s="11" t="s">
        <v>130</v>
      </c>
      <c r="N83" s="92" t="s">
        <v>21</v>
      </c>
    </row>
    <row r="84" spans="1:14" x14ac:dyDescent="0.35">
      <c r="A84" s="94" t="s">
        <v>409</v>
      </c>
      <c r="B84" s="15" t="s">
        <v>13</v>
      </c>
      <c r="C84" s="16" t="s">
        <v>410</v>
      </c>
      <c r="D84" s="16" t="s">
        <v>34</v>
      </c>
      <c r="E84" s="17" t="s">
        <v>66</v>
      </c>
      <c r="F84" s="15">
        <f>+YEAR(Tabla2[[#This Row],[Cosecha]])</f>
        <v>2025</v>
      </c>
      <c r="G84" s="16" t="s">
        <v>30</v>
      </c>
      <c r="H84" s="95">
        <f t="shared" si="2"/>
        <v>14</v>
      </c>
      <c r="I84" s="15" t="s">
        <v>18</v>
      </c>
      <c r="J84" s="16" t="s">
        <v>30</v>
      </c>
      <c r="K84" s="88">
        <f t="shared" si="3"/>
        <v>14</v>
      </c>
      <c r="L84" s="16" t="s">
        <v>411</v>
      </c>
      <c r="M84" s="16" t="s">
        <v>44</v>
      </c>
      <c r="N84" s="96" t="s">
        <v>21</v>
      </c>
    </row>
    <row r="85" spans="1:14" x14ac:dyDescent="0.35">
      <c r="A85" s="90" t="s">
        <v>415</v>
      </c>
      <c r="B85" s="10" t="s">
        <v>13</v>
      </c>
      <c r="C85" s="11" t="s">
        <v>416</v>
      </c>
      <c r="D85" s="11" t="s">
        <v>34</v>
      </c>
      <c r="E85" s="12" t="s">
        <v>66</v>
      </c>
      <c r="F85" s="10">
        <f>+YEAR(Tabla2[[#This Row],[Cosecha]])</f>
        <v>2025</v>
      </c>
      <c r="G85" s="11" t="s">
        <v>29</v>
      </c>
      <c r="H85" s="91">
        <f t="shared" si="2"/>
        <v>5</v>
      </c>
      <c r="I85" s="10" t="s">
        <v>18</v>
      </c>
      <c r="J85" s="11" t="s">
        <v>29</v>
      </c>
      <c r="K85" s="88">
        <f t="shared" si="3"/>
        <v>5</v>
      </c>
      <c r="L85" s="11" t="s">
        <v>417</v>
      </c>
      <c r="M85" s="11" t="s">
        <v>25</v>
      </c>
      <c r="N85" s="92" t="s">
        <v>21</v>
      </c>
    </row>
    <row r="86" spans="1:14" x14ac:dyDescent="0.35">
      <c r="A86" s="94" t="s">
        <v>418</v>
      </c>
      <c r="B86" s="15" t="s">
        <v>13</v>
      </c>
      <c r="C86" s="16" t="s">
        <v>419</v>
      </c>
      <c r="D86" s="16" t="s">
        <v>34</v>
      </c>
      <c r="E86" s="17" t="s">
        <v>29</v>
      </c>
      <c r="F86" s="15">
        <f>+YEAR(Tabla2[[#This Row],[Cosecha]])</f>
        <v>2025</v>
      </c>
      <c r="G86" s="16" t="s">
        <v>113</v>
      </c>
      <c r="H86" s="95">
        <f t="shared" si="2"/>
        <v>6</v>
      </c>
      <c r="I86" s="15" t="s">
        <v>18</v>
      </c>
      <c r="J86" s="16" t="s">
        <v>52</v>
      </c>
      <c r="K86" s="88">
        <f t="shared" si="3"/>
        <v>8</v>
      </c>
      <c r="L86" s="16" t="s">
        <v>420</v>
      </c>
      <c r="M86" s="16" t="s">
        <v>115</v>
      </c>
      <c r="N86" s="96" t="s">
        <v>21</v>
      </c>
    </row>
    <row r="87" spans="1:14" x14ac:dyDescent="0.35">
      <c r="A87" s="90" t="s">
        <v>421</v>
      </c>
      <c r="B87" s="10" t="s">
        <v>13</v>
      </c>
      <c r="C87" s="11" t="s">
        <v>422</v>
      </c>
      <c r="D87" s="11" t="s">
        <v>34</v>
      </c>
      <c r="E87" s="12" t="s">
        <v>47</v>
      </c>
      <c r="F87" s="10">
        <f>+YEAR(Tabla2[[#This Row],[Cosecha]])</f>
        <v>2025</v>
      </c>
      <c r="G87" s="11" t="s">
        <v>17</v>
      </c>
      <c r="H87" s="91">
        <f t="shared" si="2"/>
        <v>13</v>
      </c>
      <c r="I87" s="10" t="s">
        <v>18</v>
      </c>
      <c r="J87" s="11" t="s">
        <v>17</v>
      </c>
      <c r="K87" s="88">
        <f t="shared" si="3"/>
        <v>13</v>
      </c>
      <c r="L87" s="11" t="s">
        <v>423</v>
      </c>
      <c r="M87" s="11" t="s">
        <v>130</v>
      </c>
      <c r="N87" s="92" t="s">
        <v>21</v>
      </c>
    </row>
    <row r="88" spans="1:14" x14ac:dyDescent="0.35">
      <c r="A88" s="94" t="s">
        <v>424</v>
      </c>
      <c r="B88" s="15" t="s">
        <v>13</v>
      </c>
      <c r="C88" s="16" t="s">
        <v>425</v>
      </c>
      <c r="D88" s="16" t="s">
        <v>34</v>
      </c>
      <c r="E88" s="17" t="s">
        <v>97</v>
      </c>
      <c r="F88" s="15">
        <f>+YEAR(Tabla2[[#This Row],[Cosecha]])</f>
        <v>2025</v>
      </c>
      <c r="G88" s="16" t="s">
        <v>23</v>
      </c>
      <c r="H88" s="95">
        <f t="shared" si="2"/>
        <v>5</v>
      </c>
      <c r="I88" s="15" t="s">
        <v>18</v>
      </c>
      <c r="J88" s="16" t="s">
        <v>52</v>
      </c>
      <c r="K88" s="88">
        <f t="shared" si="3"/>
        <v>6</v>
      </c>
      <c r="L88" s="16" t="s">
        <v>426</v>
      </c>
      <c r="M88" s="16" t="s">
        <v>115</v>
      </c>
      <c r="N88" s="96" t="s">
        <v>21</v>
      </c>
    </row>
    <row r="89" spans="1:14" x14ac:dyDescent="0.35">
      <c r="A89" s="90" t="s">
        <v>433</v>
      </c>
      <c r="B89" s="10" t="s">
        <v>13</v>
      </c>
      <c r="C89" s="11" t="s">
        <v>434</v>
      </c>
      <c r="D89" s="11" t="s">
        <v>34</v>
      </c>
      <c r="E89" s="12" t="s">
        <v>29</v>
      </c>
      <c r="F89" s="10">
        <f>+YEAR(Tabla2[[#This Row],[Cosecha]])</f>
        <v>2025</v>
      </c>
      <c r="G89" s="11" t="s">
        <v>30</v>
      </c>
      <c r="H89" s="91">
        <f t="shared" si="2"/>
        <v>9</v>
      </c>
      <c r="I89" s="10" t="s">
        <v>18</v>
      </c>
      <c r="J89" s="11" t="s">
        <v>30</v>
      </c>
      <c r="K89" s="88">
        <f t="shared" si="3"/>
        <v>9</v>
      </c>
      <c r="L89" s="11" t="s">
        <v>435</v>
      </c>
      <c r="M89" s="11" t="s">
        <v>115</v>
      </c>
      <c r="N89" s="92" t="s">
        <v>26</v>
      </c>
    </row>
    <row r="90" spans="1:14" x14ac:dyDescent="0.35">
      <c r="A90" s="94" t="s">
        <v>436</v>
      </c>
      <c r="B90" s="15" t="s">
        <v>13</v>
      </c>
      <c r="C90" s="16" t="s">
        <v>437</v>
      </c>
      <c r="D90" s="16" t="s">
        <v>34</v>
      </c>
      <c r="E90" s="17" t="s">
        <v>248</v>
      </c>
      <c r="F90" s="15">
        <f>+YEAR(Tabla2[[#This Row],[Cosecha]])</f>
        <v>2023</v>
      </c>
      <c r="G90" s="16" t="s">
        <v>51</v>
      </c>
      <c r="H90" s="95">
        <f t="shared" si="2"/>
        <v>15</v>
      </c>
      <c r="I90" s="15" t="s">
        <v>18</v>
      </c>
      <c r="J90" s="16" t="s">
        <v>51</v>
      </c>
      <c r="K90" s="88">
        <f t="shared" si="3"/>
        <v>15</v>
      </c>
      <c r="L90" s="16" t="s">
        <v>438</v>
      </c>
      <c r="M90" s="16" t="s">
        <v>25</v>
      </c>
      <c r="N90" s="96" t="s">
        <v>21</v>
      </c>
    </row>
    <row r="91" spans="1:14" x14ac:dyDescent="0.35">
      <c r="A91" s="90" t="s">
        <v>439</v>
      </c>
      <c r="B91" s="10" t="s">
        <v>13</v>
      </c>
      <c r="C91" s="11" t="s">
        <v>440</v>
      </c>
      <c r="D91" s="11" t="s">
        <v>78</v>
      </c>
      <c r="E91" s="12" t="s">
        <v>149</v>
      </c>
      <c r="F91" s="10">
        <f>+YEAR(Tabla2[[#This Row],[Cosecha]])</f>
        <v>2024</v>
      </c>
      <c r="G91" s="11" t="s">
        <v>133</v>
      </c>
      <c r="H91" s="91">
        <f t="shared" si="2"/>
        <v>7</v>
      </c>
      <c r="I91" s="10" t="s">
        <v>18</v>
      </c>
      <c r="J91" s="11" t="s">
        <v>104</v>
      </c>
      <c r="K91" s="88">
        <f t="shared" si="3"/>
        <v>8</v>
      </c>
      <c r="L91" s="11" t="s">
        <v>441</v>
      </c>
      <c r="M91" s="11" t="s">
        <v>25</v>
      </c>
      <c r="N91" s="92" t="s">
        <v>21</v>
      </c>
    </row>
    <row r="92" spans="1:14" x14ac:dyDescent="0.35">
      <c r="A92" s="94" t="s">
        <v>445</v>
      </c>
      <c r="B92" s="15" t="s">
        <v>13</v>
      </c>
      <c r="C92" s="16" t="s">
        <v>446</v>
      </c>
      <c r="D92" s="16" t="s">
        <v>90</v>
      </c>
      <c r="E92" s="17" t="s">
        <v>37</v>
      </c>
      <c r="F92" s="15">
        <f>+YEAR(Tabla2[[#This Row],[Cosecha]])</f>
        <v>2025</v>
      </c>
      <c r="G92" s="16" t="s">
        <v>30</v>
      </c>
      <c r="H92" s="95">
        <f t="shared" si="2"/>
        <v>4</v>
      </c>
      <c r="I92" s="15" t="s">
        <v>18</v>
      </c>
      <c r="J92" s="16" t="s">
        <v>17</v>
      </c>
      <c r="K92" s="88">
        <f t="shared" si="3"/>
        <v>5</v>
      </c>
      <c r="L92" s="16" t="s">
        <v>447</v>
      </c>
      <c r="M92" s="16" t="s">
        <v>115</v>
      </c>
      <c r="N92" s="96" t="s">
        <v>21</v>
      </c>
    </row>
    <row r="93" spans="1:14" x14ac:dyDescent="0.35">
      <c r="A93" s="90" t="s">
        <v>451</v>
      </c>
      <c r="B93" s="10" t="s">
        <v>13</v>
      </c>
      <c r="C93" s="11" t="s">
        <v>452</v>
      </c>
      <c r="D93" s="11" t="s">
        <v>34</v>
      </c>
      <c r="E93" s="12" t="s">
        <v>453</v>
      </c>
      <c r="F93" s="10">
        <f>+YEAR(Tabla2[[#This Row],[Cosecha]])</f>
        <v>2024</v>
      </c>
      <c r="G93" s="11" t="s">
        <v>52</v>
      </c>
      <c r="H93" s="91">
        <f t="shared" si="2"/>
        <v>22</v>
      </c>
      <c r="I93" s="10" t="s">
        <v>18</v>
      </c>
      <c r="J93" s="11" t="s">
        <v>52</v>
      </c>
      <c r="K93" s="88">
        <f t="shared" si="3"/>
        <v>22</v>
      </c>
      <c r="L93" s="11" t="s">
        <v>454</v>
      </c>
      <c r="M93" s="11" t="s">
        <v>25</v>
      </c>
      <c r="N93" s="92" t="s">
        <v>21</v>
      </c>
    </row>
    <row r="94" spans="1:14" x14ac:dyDescent="0.35">
      <c r="A94" s="94" t="s">
        <v>455</v>
      </c>
      <c r="B94" s="15" t="s">
        <v>13</v>
      </c>
      <c r="C94" s="16" t="s">
        <v>456</v>
      </c>
      <c r="D94" s="16" t="s">
        <v>34</v>
      </c>
      <c r="E94" s="17" t="s">
        <v>457</v>
      </c>
      <c r="F94" s="15">
        <f>+YEAR(Tabla2[[#This Row],[Cosecha]])</f>
        <v>2024</v>
      </c>
      <c r="G94" s="16" t="s">
        <v>52</v>
      </c>
      <c r="H94" s="95">
        <f t="shared" si="2"/>
        <v>20</v>
      </c>
      <c r="I94" s="15" t="s">
        <v>18</v>
      </c>
      <c r="J94" s="16" t="s">
        <v>52</v>
      </c>
      <c r="K94" s="88">
        <f t="shared" si="3"/>
        <v>20</v>
      </c>
      <c r="L94" s="16" t="s">
        <v>458</v>
      </c>
      <c r="M94" s="16" t="s">
        <v>130</v>
      </c>
      <c r="N94" s="96" t="s">
        <v>21</v>
      </c>
    </row>
    <row r="95" spans="1:14" x14ac:dyDescent="0.35">
      <c r="A95" s="90" t="s">
        <v>462</v>
      </c>
      <c r="B95" s="10" t="s">
        <v>13</v>
      </c>
      <c r="C95" s="11" t="s">
        <v>463</v>
      </c>
      <c r="D95" s="11" t="s">
        <v>15</v>
      </c>
      <c r="E95" s="12" t="s">
        <v>37</v>
      </c>
      <c r="F95" s="10">
        <f>+YEAR(Tabla2[[#This Row],[Cosecha]])</f>
        <v>2025</v>
      </c>
      <c r="G95" s="11" t="s">
        <v>30</v>
      </c>
      <c r="H95" s="91">
        <f t="shared" si="2"/>
        <v>4</v>
      </c>
      <c r="I95" s="10" t="s">
        <v>18</v>
      </c>
      <c r="J95" s="11" t="s">
        <v>30</v>
      </c>
      <c r="K95" s="88">
        <f t="shared" si="3"/>
        <v>4</v>
      </c>
      <c r="L95" s="11" t="s">
        <v>464</v>
      </c>
      <c r="M95" s="11" t="s">
        <v>25</v>
      </c>
      <c r="N95" s="92" t="s">
        <v>26</v>
      </c>
    </row>
    <row r="96" spans="1:14" x14ac:dyDescent="0.35">
      <c r="A96" s="94" t="s">
        <v>465</v>
      </c>
      <c r="B96" s="15" t="s">
        <v>13</v>
      </c>
      <c r="C96" s="16" t="s">
        <v>466</v>
      </c>
      <c r="D96" s="16" t="s">
        <v>34</v>
      </c>
      <c r="E96" s="17" t="s">
        <v>252</v>
      </c>
      <c r="F96" s="15">
        <f>+YEAR(Tabla2[[#This Row],[Cosecha]])</f>
        <v>2024</v>
      </c>
      <c r="G96" s="16" t="s">
        <v>51</v>
      </c>
      <c r="H96" s="95">
        <f t="shared" si="2"/>
        <v>7</v>
      </c>
      <c r="I96" s="15" t="s">
        <v>18</v>
      </c>
      <c r="J96" s="16" t="s">
        <v>47</v>
      </c>
      <c r="K96" s="88">
        <f t="shared" si="3"/>
        <v>8</v>
      </c>
      <c r="L96" s="16" t="s">
        <v>467</v>
      </c>
      <c r="M96" s="16" t="s">
        <v>130</v>
      </c>
      <c r="N96" s="96" t="s">
        <v>21</v>
      </c>
    </row>
    <row r="97" spans="1:18" x14ac:dyDescent="0.35">
      <c r="A97" s="90" t="s">
        <v>468</v>
      </c>
      <c r="B97" s="10" t="s">
        <v>13</v>
      </c>
      <c r="C97" s="11" t="s">
        <v>469</v>
      </c>
      <c r="D97" s="11" t="s">
        <v>34</v>
      </c>
      <c r="E97" s="12" t="s">
        <v>97</v>
      </c>
      <c r="F97" s="10">
        <f>+YEAR(Tabla2[[#This Row],[Cosecha]])</f>
        <v>2025</v>
      </c>
      <c r="G97" s="11" t="s">
        <v>70</v>
      </c>
      <c r="H97" s="91">
        <f t="shared" si="2"/>
        <v>9</v>
      </c>
      <c r="I97" s="10" t="s">
        <v>18</v>
      </c>
      <c r="J97" s="11" t="s">
        <v>70</v>
      </c>
      <c r="K97" s="88">
        <f t="shared" si="3"/>
        <v>9</v>
      </c>
      <c r="L97" s="11" t="s">
        <v>470</v>
      </c>
      <c r="M97" s="11" t="s">
        <v>115</v>
      </c>
      <c r="N97" s="92" t="s">
        <v>21</v>
      </c>
    </row>
    <row r="98" spans="1:18" x14ac:dyDescent="0.35">
      <c r="A98" s="94" t="s">
        <v>474</v>
      </c>
      <c r="B98" s="15" t="s">
        <v>13</v>
      </c>
      <c r="C98" s="16" t="s">
        <v>475</v>
      </c>
      <c r="D98" s="16" t="s">
        <v>34</v>
      </c>
      <c r="E98" s="17" t="s">
        <v>118</v>
      </c>
      <c r="F98" s="15">
        <f>+YEAR(Tabla2[[#This Row],[Cosecha]])</f>
        <v>2025</v>
      </c>
      <c r="G98" s="16" t="s">
        <v>70</v>
      </c>
      <c r="H98" s="95">
        <f t="shared" si="2"/>
        <v>8</v>
      </c>
      <c r="I98" s="15" t="s">
        <v>18</v>
      </c>
      <c r="J98" s="16" t="s">
        <v>70</v>
      </c>
      <c r="K98" s="88">
        <f t="shared" si="3"/>
        <v>8</v>
      </c>
      <c r="L98" s="16" t="s">
        <v>476</v>
      </c>
      <c r="M98" s="16" t="s">
        <v>44</v>
      </c>
      <c r="N98" s="96" t="s">
        <v>21</v>
      </c>
    </row>
    <row r="99" spans="1:18" x14ac:dyDescent="0.35">
      <c r="A99" s="90" t="s">
        <v>480</v>
      </c>
      <c r="B99" s="10" t="s">
        <v>13</v>
      </c>
      <c r="C99" s="11" t="s">
        <v>481</v>
      </c>
      <c r="D99" s="11" t="s">
        <v>34</v>
      </c>
      <c r="E99" s="12" t="s">
        <v>82</v>
      </c>
      <c r="F99" s="10">
        <f>+YEAR(Tabla2[[#This Row],[Cosecha]])</f>
        <v>2024</v>
      </c>
      <c r="G99" s="11" t="s">
        <v>133</v>
      </c>
      <c r="H99" s="91">
        <f t="shared" si="2"/>
        <v>4</v>
      </c>
      <c r="I99" s="10" t="s">
        <v>18</v>
      </c>
      <c r="J99" s="11" t="s">
        <v>104</v>
      </c>
      <c r="K99" s="88">
        <f t="shared" si="3"/>
        <v>5</v>
      </c>
      <c r="L99" s="11" t="s">
        <v>482</v>
      </c>
      <c r="M99" s="11" t="s">
        <v>130</v>
      </c>
      <c r="N99" s="92" t="s">
        <v>21</v>
      </c>
    </row>
    <row r="100" spans="1:18" x14ac:dyDescent="0.35">
      <c r="A100" s="94" t="s">
        <v>483</v>
      </c>
      <c r="B100" s="15" t="s">
        <v>13</v>
      </c>
      <c r="C100" s="16" t="s">
        <v>484</v>
      </c>
      <c r="D100" s="16" t="s">
        <v>34</v>
      </c>
      <c r="E100" s="17" t="s">
        <v>133</v>
      </c>
      <c r="F100" s="15">
        <f>+YEAR(Tabla2[[#This Row],[Cosecha]])</f>
        <v>2025</v>
      </c>
      <c r="G100" s="16" t="s">
        <v>62</v>
      </c>
      <c r="H100" s="95">
        <f t="shared" si="2"/>
        <v>3</v>
      </c>
      <c r="I100" s="15" t="s">
        <v>18</v>
      </c>
      <c r="J100" s="16" t="s">
        <v>97</v>
      </c>
      <c r="K100" s="88">
        <f t="shared" si="3"/>
        <v>4</v>
      </c>
      <c r="L100" s="16" t="s">
        <v>485</v>
      </c>
      <c r="M100" s="16" t="s">
        <v>115</v>
      </c>
      <c r="N100" s="96" t="s">
        <v>26</v>
      </c>
    </row>
    <row r="101" spans="1:18" x14ac:dyDescent="0.35">
      <c r="A101" s="90" t="s">
        <v>489</v>
      </c>
      <c r="B101" s="10" t="s">
        <v>13</v>
      </c>
      <c r="C101" s="11" t="s">
        <v>490</v>
      </c>
      <c r="D101" s="11" t="s">
        <v>78</v>
      </c>
      <c r="E101" s="12" t="s">
        <v>36</v>
      </c>
      <c r="F101" s="10">
        <f>+YEAR(Tabla2[[#This Row],[Cosecha]])</f>
        <v>2025</v>
      </c>
      <c r="G101" s="11" t="s">
        <v>17</v>
      </c>
      <c r="H101" s="91">
        <f t="shared" si="2"/>
        <v>6</v>
      </c>
      <c r="I101" s="10" t="s">
        <v>18</v>
      </c>
      <c r="J101" s="11" t="s">
        <v>17</v>
      </c>
      <c r="K101" s="88">
        <f t="shared" si="3"/>
        <v>6</v>
      </c>
      <c r="L101" s="11" t="s">
        <v>491</v>
      </c>
      <c r="M101" s="11" t="s">
        <v>39</v>
      </c>
      <c r="N101" s="92" t="s">
        <v>26</v>
      </c>
    </row>
    <row r="102" spans="1:18" x14ac:dyDescent="0.35">
      <c r="A102" s="94" t="s">
        <v>492</v>
      </c>
      <c r="B102" s="15" t="s">
        <v>13</v>
      </c>
      <c r="C102" s="16" t="s">
        <v>493</v>
      </c>
      <c r="D102" s="16" t="s">
        <v>34</v>
      </c>
      <c r="E102" s="17" t="s">
        <v>51</v>
      </c>
      <c r="F102" s="15">
        <f>+YEAR(Tabla2[[#This Row],[Cosecha]])</f>
        <v>2025</v>
      </c>
      <c r="G102" s="16" t="s">
        <v>36</v>
      </c>
      <c r="H102" s="95">
        <f t="shared" si="2"/>
        <v>8</v>
      </c>
      <c r="I102" s="15" t="s">
        <v>18</v>
      </c>
      <c r="J102" s="16" t="s">
        <v>30</v>
      </c>
      <c r="K102" s="88">
        <f t="shared" si="3"/>
        <v>13</v>
      </c>
      <c r="L102" s="16" t="s">
        <v>494</v>
      </c>
      <c r="M102" s="16" t="s">
        <v>25</v>
      </c>
      <c r="N102" s="96" t="s">
        <v>21</v>
      </c>
    </row>
    <row r="103" spans="1:18" x14ac:dyDescent="0.35">
      <c r="A103" s="90" t="s">
        <v>495</v>
      </c>
      <c r="B103" s="10" t="s">
        <v>13</v>
      </c>
      <c r="C103" s="11" t="s">
        <v>496</v>
      </c>
      <c r="D103" s="11" t="s">
        <v>34</v>
      </c>
      <c r="E103" s="12" t="s">
        <v>497</v>
      </c>
      <c r="F103" s="10">
        <f>+YEAR(Tabla2[[#This Row],[Cosecha]])</f>
        <v>2024</v>
      </c>
      <c r="G103" s="11" t="s">
        <v>62</v>
      </c>
      <c r="H103" s="91">
        <f t="shared" si="2"/>
        <v>11</v>
      </c>
      <c r="I103" s="10" t="s">
        <v>18</v>
      </c>
      <c r="J103" s="11" t="s">
        <v>97</v>
      </c>
      <c r="K103" s="88">
        <f t="shared" si="3"/>
        <v>12</v>
      </c>
      <c r="L103" s="11" t="s">
        <v>498</v>
      </c>
      <c r="M103" s="11" t="s">
        <v>130</v>
      </c>
      <c r="N103" s="92" t="s">
        <v>21</v>
      </c>
    </row>
    <row r="104" spans="1:18" x14ac:dyDescent="0.35">
      <c r="A104" s="94" t="s">
        <v>499</v>
      </c>
      <c r="B104" s="15" t="s">
        <v>13</v>
      </c>
      <c r="C104" s="16" t="s">
        <v>500</v>
      </c>
      <c r="D104" s="16" t="s">
        <v>34</v>
      </c>
      <c r="E104" s="17" t="s">
        <v>104</v>
      </c>
      <c r="F104" s="15">
        <f>+YEAR(Tabla2[[#This Row],[Cosecha]])</f>
        <v>2025</v>
      </c>
      <c r="G104" s="16" t="s">
        <v>37</v>
      </c>
      <c r="H104" s="95">
        <f t="shared" si="2"/>
        <v>6</v>
      </c>
      <c r="I104" s="15" t="s">
        <v>18</v>
      </c>
      <c r="J104" s="16" t="s">
        <v>113</v>
      </c>
      <c r="K104" s="88">
        <f t="shared" si="3"/>
        <v>7</v>
      </c>
      <c r="L104" s="16" t="s">
        <v>501</v>
      </c>
      <c r="M104" s="16" t="s">
        <v>115</v>
      </c>
      <c r="N104" s="96" t="s">
        <v>26</v>
      </c>
    </row>
    <row r="105" spans="1:18" x14ac:dyDescent="0.35">
      <c r="A105" s="90" t="s">
        <v>502</v>
      </c>
      <c r="B105" s="10" t="s">
        <v>13</v>
      </c>
      <c r="C105" s="11" t="s">
        <v>503</v>
      </c>
      <c r="D105" s="11" t="s">
        <v>15</v>
      </c>
      <c r="E105" s="12" t="s">
        <v>149</v>
      </c>
      <c r="F105" s="10">
        <f>+YEAR(Tabla2[[#This Row],[Cosecha]])</f>
        <v>2024</v>
      </c>
      <c r="G105" s="11" t="s">
        <v>118</v>
      </c>
      <c r="H105" s="91">
        <f t="shared" si="2"/>
        <v>12</v>
      </c>
      <c r="I105" s="10" t="s">
        <v>18</v>
      </c>
      <c r="J105" s="11" t="s">
        <v>36</v>
      </c>
      <c r="K105" s="88">
        <f t="shared" si="3"/>
        <v>13</v>
      </c>
      <c r="L105" s="11" t="s">
        <v>504</v>
      </c>
      <c r="M105" s="11" t="s">
        <v>25</v>
      </c>
      <c r="N105" s="92" t="s">
        <v>21</v>
      </c>
      <c r="P105" s="128" t="s">
        <v>3805</v>
      </c>
      <c r="Q105" s="131" t="s">
        <v>3808</v>
      </c>
      <c r="R105" s="128" t="s">
        <v>3809</v>
      </c>
    </row>
    <row r="106" spans="1:18" x14ac:dyDescent="0.35">
      <c r="A106" s="94" t="s">
        <v>505</v>
      </c>
      <c r="B106" s="15" t="s">
        <v>13</v>
      </c>
      <c r="C106" s="16" t="s">
        <v>506</v>
      </c>
      <c r="D106" s="16" t="s">
        <v>90</v>
      </c>
      <c r="E106" s="17" t="s">
        <v>37</v>
      </c>
      <c r="F106" s="15">
        <f>+YEAR(Tabla2[[#This Row],[Cosecha]])</f>
        <v>2025</v>
      </c>
      <c r="G106" s="16" t="s">
        <v>113</v>
      </c>
      <c r="H106" s="95">
        <f t="shared" si="2"/>
        <v>1</v>
      </c>
      <c r="I106" s="15" t="s">
        <v>18</v>
      </c>
      <c r="J106" s="16" t="s">
        <v>23</v>
      </c>
      <c r="K106" s="88">
        <f t="shared" si="3"/>
        <v>2</v>
      </c>
      <c r="L106" s="16" t="s">
        <v>507</v>
      </c>
      <c r="M106" s="16" t="s">
        <v>25</v>
      </c>
      <c r="N106" s="96" t="s">
        <v>21</v>
      </c>
      <c r="P106" s="132" t="s">
        <v>727</v>
      </c>
      <c r="Q106" s="132">
        <f t="shared" ref="Q106:Q118" si="4">COUNTIF(L:L,P106)</f>
        <v>0</v>
      </c>
      <c r="R106" s="132" t="e">
        <f t="shared" ref="R106:R118" si="5">+ROUND(AVERAGEIF(L:L,P106,H:H),0)</f>
        <v>#DIV/0!</v>
      </c>
    </row>
    <row r="107" spans="1:18" x14ac:dyDescent="0.35">
      <c r="A107" s="90" t="s">
        <v>508</v>
      </c>
      <c r="B107" s="10" t="s">
        <v>13</v>
      </c>
      <c r="C107" s="11" t="s">
        <v>509</v>
      </c>
      <c r="D107" s="11" t="s">
        <v>34</v>
      </c>
      <c r="E107" s="12" t="s">
        <v>97</v>
      </c>
      <c r="F107" s="10">
        <f>+YEAR(Tabla2[[#This Row],[Cosecha]])</f>
        <v>2025</v>
      </c>
      <c r="G107" s="11" t="s">
        <v>37</v>
      </c>
      <c r="H107" s="91">
        <f t="shared" si="2"/>
        <v>3</v>
      </c>
      <c r="I107" s="10" t="s">
        <v>18</v>
      </c>
      <c r="J107" s="11" t="s">
        <v>113</v>
      </c>
      <c r="K107" s="88">
        <f t="shared" si="3"/>
        <v>4</v>
      </c>
      <c r="L107" s="11" t="s">
        <v>510</v>
      </c>
      <c r="M107" s="11" t="s">
        <v>115</v>
      </c>
      <c r="N107" s="92" t="s">
        <v>21</v>
      </c>
      <c r="P107" s="133" t="s">
        <v>20</v>
      </c>
      <c r="Q107" s="133">
        <f t="shared" si="4"/>
        <v>0</v>
      </c>
      <c r="R107" s="133" t="e">
        <f t="shared" si="5"/>
        <v>#DIV/0!</v>
      </c>
    </row>
    <row r="108" spans="1:18" x14ac:dyDescent="0.35">
      <c r="A108" s="94" t="s">
        <v>514</v>
      </c>
      <c r="B108" s="15" t="s">
        <v>13</v>
      </c>
      <c r="C108" s="16" t="s">
        <v>515</v>
      </c>
      <c r="D108" s="16" t="s">
        <v>34</v>
      </c>
      <c r="E108" s="17" t="s">
        <v>118</v>
      </c>
      <c r="F108" s="15">
        <f>+YEAR(Tabla2[[#This Row],[Cosecha]])</f>
        <v>2025</v>
      </c>
      <c r="G108" s="16" t="s">
        <v>30</v>
      </c>
      <c r="H108" s="95">
        <f t="shared" si="2"/>
        <v>6</v>
      </c>
      <c r="I108" s="15" t="s">
        <v>18</v>
      </c>
      <c r="J108" s="16" t="s">
        <v>30</v>
      </c>
      <c r="K108" s="88">
        <f t="shared" si="3"/>
        <v>6</v>
      </c>
      <c r="L108" s="16" t="s">
        <v>516</v>
      </c>
      <c r="M108" s="16" t="s">
        <v>115</v>
      </c>
      <c r="N108" s="96" t="s">
        <v>26</v>
      </c>
      <c r="P108" s="134" t="s">
        <v>293</v>
      </c>
      <c r="Q108" s="134">
        <f t="shared" si="4"/>
        <v>0</v>
      </c>
      <c r="R108" s="134" t="e">
        <f t="shared" si="5"/>
        <v>#DIV/0!</v>
      </c>
    </row>
    <row r="109" spans="1:18" x14ac:dyDescent="0.35">
      <c r="A109" s="90" t="s">
        <v>517</v>
      </c>
      <c r="B109" s="10" t="s">
        <v>13</v>
      </c>
      <c r="C109" s="11" t="s">
        <v>518</v>
      </c>
      <c r="D109" s="11" t="s">
        <v>34</v>
      </c>
      <c r="E109" s="12" t="s">
        <v>62</v>
      </c>
      <c r="F109" s="10">
        <f>+YEAR(Tabla2[[#This Row],[Cosecha]])</f>
        <v>2025</v>
      </c>
      <c r="G109" s="11" t="s">
        <v>52</v>
      </c>
      <c r="H109" s="91">
        <f t="shared" si="2"/>
        <v>7</v>
      </c>
      <c r="I109" s="10" t="s">
        <v>18</v>
      </c>
      <c r="J109" s="11" t="s">
        <v>52</v>
      </c>
      <c r="K109" s="88">
        <f t="shared" si="3"/>
        <v>7</v>
      </c>
      <c r="L109" s="11" t="s">
        <v>519</v>
      </c>
      <c r="M109" s="11" t="s">
        <v>44</v>
      </c>
      <c r="N109" s="92" t="s">
        <v>26</v>
      </c>
      <c r="P109" s="133" t="s">
        <v>3323</v>
      </c>
      <c r="Q109" s="133">
        <f t="shared" si="4"/>
        <v>0</v>
      </c>
      <c r="R109" s="133" t="e">
        <f t="shared" si="5"/>
        <v>#DIV/0!</v>
      </c>
    </row>
    <row r="110" spans="1:18" x14ac:dyDescent="0.35">
      <c r="A110" s="94" t="s">
        <v>520</v>
      </c>
      <c r="B110" s="15" t="s">
        <v>13</v>
      </c>
      <c r="C110" s="16" t="s">
        <v>521</v>
      </c>
      <c r="D110" s="16" t="s">
        <v>34</v>
      </c>
      <c r="E110" s="17" t="s">
        <v>62</v>
      </c>
      <c r="F110" s="15">
        <f>+YEAR(Tabla2[[#This Row],[Cosecha]])</f>
        <v>2025</v>
      </c>
      <c r="G110" s="16" t="s">
        <v>17</v>
      </c>
      <c r="H110" s="95">
        <f t="shared" si="2"/>
        <v>9</v>
      </c>
      <c r="I110" s="15" t="s">
        <v>18</v>
      </c>
      <c r="J110" s="16" t="s">
        <v>17</v>
      </c>
      <c r="K110" s="88">
        <f t="shared" si="3"/>
        <v>9</v>
      </c>
      <c r="L110" s="16" t="s">
        <v>522</v>
      </c>
      <c r="M110" s="16" t="s">
        <v>44</v>
      </c>
      <c r="N110" s="96" t="s">
        <v>21</v>
      </c>
      <c r="P110" s="132" t="s">
        <v>241</v>
      </c>
      <c r="Q110" s="132">
        <f t="shared" si="4"/>
        <v>0</v>
      </c>
      <c r="R110" s="132" t="e">
        <f t="shared" si="5"/>
        <v>#DIV/0!</v>
      </c>
    </row>
    <row r="111" spans="1:18" x14ac:dyDescent="0.35">
      <c r="A111" s="90" t="s">
        <v>523</v>
      </c>
      <c r="B111" s="10" t="s">
        <v>13</v>
      </c>
      <c r="C111" s="11" t="s">
        <v>524</v>
      </c>
      <c r="D111" s="11" t="s">
        <v>34</v>
      </c>
      <c r="E111" s="12" t="s">
        <v>36</v>
      </c>
      <c r="F111" s="10">
        <f>+YEAR(Tabla2[[#This Row],[Cosecha]])</f>
        <v>2025</v>
      </c>
      <c r="G111" s="11" t="s">
        <v>52</v>
      </c>
      <c r="H111" s="91">
        <f t="shared" si="2"/>
        <v>4</v>
      </c>
      <c r="I111" s="10" t="s">
        <v>18</v>
      </c>
      <c r="J111" s="11" t="s">
        <v>52</v>
      </c>
      <c r="K111" s="88">
        <f t="shared" si="3"/>
        <v>4</v>
      </c>
      <c r="L111" s="11" t="s">
        <v>525</v>
      </c>
      <c r="M111" s="11" t="s">
        <v>115</v>
      </c>
      <c r="N111" s="92" t="s">
        <v>26</v>
      </c>
      <c r="P111" s="135" t="s">
        <v>195</v>
      </c>
      <c r="Q111" s="135">
        <f t="shared" si="4"/>
        <v>0</v>
      </c>
      <c r="R111" s="135" t="e">
        <f t="shared" si="5"/>
        <v>#DIV/0!</v>
      </c>
    </row>
    <row r="112" spans="1:18" x14ac:dyDescent="0.35">
      <c r="A112" s="94" t="s">
        <v>529</v>
      </c>
      <c r="B112" s="15" t="s">
        <v>13</v>
      </c>
      <c r="C112" s="16" t="s">
        <v>530</v>
      </c>
      <c r="D112" s="16" t="s">
        <v>34</v>
      </c>
      <c r="E112" s="17" t="s">
        <v>497</v>
      </c>
      <c r="F112" s="15">
        <f>+YEAR(Tabla2[[#This Row],[Cosecha]])</f>
        <v>2024</v>
      </c>
      <c r="G112" s="16" t="s">
        <v>17</v>
      </c>
      <c r="H112" s="95">
        <f t="shared" si="2"/>
        <v>20</v>
      </c>
      <c r="I112" s="15" t="s">
        <v>18</v>
      </c>
      <c r="J112" s="16" t="s">
        <v>17</v>
      </c>
      <c r="K112" s="88">
        <f t="shared" si="3"/>
        <v>20</v>
      </c>
      <c r="L112" s="16" t="s">
        <v>531</v>
      </c>
      <c r="M112" s="16" t="s">
        <v>130</v>
      </c>
      <c r="N112" s="96" t="s">
        <v>21</v>
      </c>
      <c r="P112" s="134" t="s">
        <v>39</v>
      </c>
      <c r="Q112" s="134">
        <f t="shared" si="4"/>
        <v>0</v>
      </c>
      <c r="R112" s="134" t="e">
        <f t="shared" si="5"/>
        <v>#DIV/0!</v>
      </c>
    </row>
    <row r="113" spans="1:22" x14ac:dyDescent="0.35">
      <c r="A113" s="90" t="s">
        <v>532</v>
      </c>
      <c r="B113" s="10" t="s">
        <v>13</v>
      </c>
      <c r="C113" s="11" t="s">
        <v>533</v>
      </c>
      <c r="D113" s="11" t="s">
        <v>90</v>
      </c>
      <c r="E113" s="12" t="s">
        <v>37</v>
      </c>
      <c r="F113" s="10">
        <f>+YEAR(Tabla2[[#This Row],[Cosecha]])</f>
        <v>2025</v>
      </c>
      <c r="G113" s="11" t="s">
        <v>23</v>
      </c>
      <c r="H113" s="91">
        <f t="shared" si="2"/>
        <v>2</v>
      </c>
      <c r="I113" s="10" t="s">
        <v>18</v>
      </c>
      <c r="J113" s="11" t="s">
        <v>52</v>
      </c>
      <c r="K113" s="88">
        <f t="shared" si="3"/>
        <v>3</v>
      </c>
      <c r="L113" s="11" t="s">
        <v>534</v>
      </c>
      <c r="M113" s="11" t="s">
        <v>25</v>
      </c>
      <c r="N113" s="92" t="s">
        <v>26</v>
      </c>
      <c r="P113" s="135" t="s">
        <v>25</v>
      </c>
      <c r="Q113" s="135">
        <f t="shared" si="4"/>
        <v>0</v>
      </c>
      <c r="R113" s="135" t="e">
        <f t="shared" si="5"/>
        <v>#DIV/0!</v>
      </c>
    </row>
    <row r="114" spans="1:22" x14ac:dyDescent="0.35">
      <c r="A114" s="94" t="s">
        <v>541</v>
      </c>
      <c r="B114" s="15" t="s">
        <v>13</v>
      </c>
      <c r="C114" s="16" t="s">
        <v>542</v>
      </c>
      <c r="D114" s="16" t="s">
        <v>90</v>
      </c>
      <c r="E114" s="17" t="s">
        <v>62</v>
      </c>
      <c r="F114" s="15">
        <f>+YEAR(Tabla2[[#This Row],[Cosecha]])</f>
        <v>2025</v>
      </c>
      <c r="G114" s="16" t="s">
        <v>30</v>
      </c>
      <c r="H114" s="95">
        <f t="shared" si="2"/>
        <v>8</v>
      </c>
      <c r="I114" s="15" t="s">
        <v>18</v>
      </c>
      <c r="J114" s="16" t="s">
        <v>30</v>
      </c>
      <c r="K114" s="88">
        <f t="shared" si="3"/>
        <v>8</v>
      </c>
      <c r="L114" s="16" t="s">
        <v>543</v>
      </c>
      <c r="M114" s="16" t="s">
        <v>25</v>
      </c>
      <c r="N114" s="96" t="s">
        <v>21</v>
      </c>
      <c r="P114" s="134" t="s">
        <v>130</v>
      </c>
      <c r="Q114" s="134">
        <f t="shared" si="4"/>
        <v>0</v>
      </c>
      <c r="R114" s="134" t="e">
        <f t="shared" si="5"/>
        <v>#DIV/0!</v>
      </c>
    </row>
    <row r="115" spans="1:22" x14ac:dyDescent="0.35">
      <c r="A115" s="90" t="s">
        <v>544</v>
      </c>
      <c r="B115" s="10" t="s">
        <v>13</v>
      </c>
      <c r="C115" s="11" t="s">
        <v>545</v>
      </c>
      <c r="D115" s="11" t="s">
        <v>34</v>
      </c>
      <c r="E115" s="12" t="s">
        <v>546</v>
      </c>
      <c r="F115" s="10">
        <f>+YEAR(Tabla2[[#This Row],[Cosecha]])</f>
        <v>2023</v>
      </c>
      <c r="G115" s="11" t="s">
        <v>133</v>
      </c>
      <c r="H115" s="91">
        <f t="shared" si="2"/>
        <v>21</v>
      </c>
      <c r="I115" s="10" t="s">
        <v>18</v>
      </c>
      <c r="J115" s="11" t="s">
        <v>104</v>
      </c>
      <c r="K115" s="88">
        <f t="shared" si="3"/>
        <v>22</v>
      </c>
      <c r="L115" s="11" t="s">
        <v>547</v>
      </c>
      <c r="M115" s="11" t="s">
        <v>20</v>
      </c>
      <c r="N115" s="92" t="s">
        <v>21</v>
      </c>
      <c r="P115" s="133" t="s">
        <v>44</v>
      </c>
      <c r="Q115" s="133">
        <f t="shared" si="4"/>
        <v>0</v>
      </c>
      <c r="R115" s="133" t="e">
        <f t="shared" si="5"/>
        <v>#DIV/0!</v>
      </c>
    </row>
    <row r="116" spans="1:22" x14ac:dyDescent="0.35">
      <c r="A116" s="94" t="s">
        <v>548</v>
      </c>
      <c r="B116" s="15" t="s">
        <v>13</v>
      </c>
      <c r="C116" s="16" t="s">
        <v>549</v>
      </c>
      <c r="D116" s="16" t="s">
        <v>34</v>
      </c>
      <c r="E116" s="17" t="s">
        <v>133</v>
      </c>
      <c r="F116" s="15">
        <f>+YEAR(Tabla2[[#This Row],[Cosecha]])</f>
        <v>2025</v>
      </c>
      <c r="G116" s="16" t="s">
        <v>113</v>
      </c>
      <c r="H116" s="95">
        <f t="shared" si="2"/>
        <v>8</v>
      </c>
      <c r="I116" s="15" t="s">
        <v>18</v>
      </c>
      <c r="J116" s="16" t="s">
        <v>23</v>
      </c>
      <c r="K116" s="88">
        <f t="shared" si="3"/>
        <v>9</v>
      </c>
      <c r="L116" s="16" t="s">
        <v>550</v>
      </c>
      <c r="M116" s="16" t="s">
        <v>115</v>
      </c>
      <c r="N116" s="96" t="s">
        <v>21</v>
      </c>
      <c r="P116" s="132" t="s">
        <v>44</v>
      </c>
      <c r="Q116" s="132">
        <f t="shared" si="4"/>
        <v>0</v>
      </c>
      <c r="R116" s="132" t="e">
        <f t="shared" si="5"/>
        <v>#DIV/0!</v>
      </c>
    </row>
    <row r="117" spans="1:22" x14ac:dyDescent="0.35">
      <c r="A117" s="90" t="s">
        <v>555</v>
      </c>
      <c r="B117" s="10" t="s">
        <v>13</v>
      </c>
      <c r="C117" s="11" t="s">
        <v>556</v>
      </c>
      <c r="D117" s="11" t="s">
        <v>34</v>
      </c>
      <c r="E117" s="12" t="s">
        <v>66</v>
      </c>
      <c r="F117" s="10">
        <f>+YEAR(Tabla2[[#This Row],[Cosecha]])</f>
        <v>2025</v>
      </c>
      <c r="G117" s="11" t="s">
        <v>133</v>
      </c>
      <c r="H117" s="91">
        <f t="shared" si="2"/>
        <v>3</v>
      </c>
      <c r="I117" s="10" t="s">
        <v>18</v>
      </c>
      <c r="J117" s="11" t="s">
        <v>133</v>
      </c>
      <c r="K117" s="88">
        <f t="shared" si="3"/>
        <v>3</v>
      </c>
      <c r="L117" s="11" t="s">
        <v>557</v>
      </c>
      <c r="M117" s="11" t="s">
        <v>115</v>
      </c>
      <c r="N117" s="92" t="s">
        <v>21</v>
      </c>
      <c r="P117" s="133" t="s">
        <v>115</v>
      </c>
      <c r="Q117" s="133">
        <f t="shared" si="4"/>
        <v>0</v>
      </c>
      <c r="R117" s="133" t="e">
        <f t="shared" si="5"/>
        <v>#DIV/0!</v>
      </c>
    </row>
    <row r="118" spans="1:22" x14ac:dyDescent="0.35">
      <c r="A118" s="94" t="s">
        <v>558</v>
      </c>
      <c r="B118" s="15" t="s">
        <v>13</v>
      </c>
      <c r="C118" s="16" t="s">
        <v>559</v>
      </c>
      <c r="D118" s="16" t="s">
        <v>34</v>
      </c>
      <c r="E118" s="17" t="s">
        <v>36</v>
      </c>
      <c r="F118" s="15">
        <f>+YEAR(Tabla2[[#This Row],[Cosecha]])</f>
        <v>2025</v>
      </c>
      <c r="G118" s="16" t="s">
        <v>52</v>
      </c>
      <c r="H118" s="95">
        <f t="shared" si="2"/>
        <v>4</v>
      </c>
      <c r="I118" s="15" t="s">
        <v>18</v>
      </c>
      <c r="J118" s="16" t="s">
        <v>52</v>
      </c>
      <c r="K118" s="88">
        <f t="shared" si="3"/>
        <v>4</v>
      </c>
      <c r="L118" s="16" t="s">
        <v>560</v>
      </c>
      <c r="M118" s="16" t="s">
        <v>44</v>
      </c>
      <c r="N118" s="96" t="s">
        <v>21</v>
      </c>
      <c r="P118" s="134" t="s">
        <v>72</v>
      </c>
      <c r="Q118" s="134">
        <f t="shared" si="4"/>
        <v>0</v>
      </c>
      <c r="R118" s="134" t="e">
        <f t="shared" si="5"/>
        <v>#DIV/0!</v>
      </c>
    </row>
    <row r="119" spans="1:22" x14ac:dyDescent="0.35">
      <c r="A119" s="90" t="s">
        <v>561</v>
      </c>
      <c r="B119" s="10" t="s">
        <v>13</v>
      </c>
      <c r="C119" s="11" t="s">
        <v>562</v>
      </c>
      <c r="D119" s="11" t="s">
        <v>34</v>
      </c>
      <c r="E119" s="12" t="s">
        <v>104</v>
      </c>
      <c r="F119" s="10">
        <f>+YEAR(Tabla2[[#This Row],[Cosecha]])</f>
        <v>2025</v>
      </c>
      <c r="G119" s="11" t="s">
        <v>17</v>
      </c>
      <c r="H119" s="91">
        <f t="shared" si="2"/>
        <v>11</v>
      </c>
      <c r="I119" s="10" t="s">
        <v>18</v>
      </c>
      <c r="J119" s="11" t="s">
        <v>17</v>
      </c>
      <c r="K119" s="88">
        <f t="shared" si="3"/>
        <v>11</v>
      </c>
      <c r="L119" s="11" t="s">
        <v>563</v>
      </c>
      <c r="M119" s="11" t="s">
        <v>25</v>
      </c>
      <c r="N119" s="92" t="s">
        <v>21</v>
      </c>
    </row>
    <row r="120" spans="1:22" x14ac:dyDescent="0.35">
      <c r="A120" s="94" t="s">
        <v>564</v>
      </c>
      <c r="B120" s="15" t="s">
        <v>13</v>
      </c>
      <c r="C120" s="16" t="s">
        <v>565</v>
      </c>
      <c r="D120" s="16" t="s">
        <v>90</v>
      </c>
      <c r="E120" s="17" t="s">
        <v>62</v>
      </c>
      <c r="F120" s="15">
        <f>+YEAR(Tabla2[[#This Row],[Cosecha]])</f>
        <v>2025</v>
      </c>
      <c r="G120" s="16" t="s">
        <v>30</v>
      </c>
      <c r="H120" s="95">
        <f t="shared" si="2"/>
        <v>8</v>
      </c>
      <c r="I120" s="15" t="s">
        <v>18</v>
      </c>
      <c r="J120" s="16" t="s">
        <v>17</v>
      </c>
      <c r="K120" s="88">
        <f t="shared" si="3"/>
        <v>9</v>
      </c>
      <c r="L120" s="16" t="s">
        <v>566</v>
      </c>
      <c r="M120" s="16" t="s">
        <v>25</v>
      </c>
      <c r="N120" s="96" t="s">
        <v>21</v>
      </c>
    </row>
    <row r="121" spans="1:22" x14ac:dyDescent="0.35">
      <c r="A121" s="90" t="s">
        <v>567</v>
      </c>
      <c r="B121" s="10" t="s">
        <v>13</v>
      </c>
      <c r="C121" s="11" t="s">
        <v>568</v>
      </c>
      <c r="D121" s="11" t="s">
        <v>34</v>
      </c>
      <c r="E121" s="12" t="s">
        <v>149</v>
      </c>
      <c r="F121" s="10">
        <f>+YEAR(Tabla2[[#This Row],[Cosecha]])</f>
        <v>2024</v>
      </c>
      <c r="G121" s="11" t="s">
        <v>52</v>
      </c>
      <c r="H121" s="91">
        <f t="shared" si="2"/>
        <v>17</v>
      </c>
      <c r="I121" s="10" t="s">
        <v>18</v>
      </c>
      <c r="J121" s="11" t="s">
        <v>30</v>
      </c>
      <c r="K121" s="88">
        <f t="shared" si="3"/>
        <v>18</v>
      </c>
      <c r="L121" s="11" t="s">
        <v>569</v>
      </c>
      <c r="M121" s="11" t="s">
        <v>130</v>
      </c>
      <c r="N121" s="92" t="s">
        <v>26</v>
      </c>
    </row>
    <row r="122" spans="1:22" x14ac:dyDescent="0.35">
      <c r="A122" s="94" t="s">
        <v>576</v>
      </c>
      <c r="B122" s="15" t="s">
        <v>13</v>
      </c>
      <c r="C122" s="16" t="s">
        <v>577</v>
      </c>
      <c r="D122" s="16" t="s">
        <v>90</v>
      </c>
      <c r="E122" s="17" t="s">
        <v>118</v>
      </c>
      <c r="F122" s="15">
        <f>+YEAR(Tabla2[[#This Row],[Cosecha]])</f>
        <v>2025</v>
      </c>
      <c r="G122" s="16" t="s">
        <v>17</v>
      </c>
      <c r="H122" s="95">
        <f t="shared" si="2"/>
        <v>7</v>
      </c>
      <c r="I122" s="15" t="s">
        <v>18</v>
      </c>
      <c r="J122" s="16" t="s">
        <v>17</v>
      </c>
      <c r="K122" s="88">
        <f t="shared" si="3"/>
        <v>7</v>
      </c>
      <c r="L122" s="16" t="s">
        <v>578</v>
      </c>
      <c r="M122" s="16" t="s">
        <v>25</v>
      </c>
      <c r="N122" s="96" t="s">
        <v>26</v>
      </c>
      <c r="P122" s="136" t="s">
        <v>3816</v>
      </c>
      <c r="Q122" s="136" t="s">
        <v>3817</v>
      </c>
      <c r="R122" s="136" t="s">
        <v>3808</v>
      </c>
      <c r="S122" s="136" t="s">
        <v>3818</v>
      </c>
      <c r="T122" s="136" t="s">
        <v>3819</v>
      </c>
      <c r="U122" s="136" t="s">
        <v>3820</v>
      </c>
      <c r="V122" s="136" t="s">
        <v>3821</v>
      </c>
    </row>
    <row r="123" spans="1:22" x14ac:dyDescent="0.35">
      <c r="A123" s="90" t="s">
        <v>582</v>
      </c>
      <c r="B123" s="10" t="s">
        <v>13</v>
      </c>
      <c r="C123" s="11" t="s">
        <v>583</v>
      </c>
      <c r="D123" s="11" t="s">
        <v>78</v>
      </c>
      <c r="E123" s="12" t="s">
        <v>51</v>
      </c>
      <c r="F123" s="10">
        <f>+YEAR(Tabla2[[#This Row],[Cosecha]])</f>
        <v>2025</v>
      </c>
      <c r="G123" s="11" t="s">
        <v>118</v>
      </c>
      <c r="H123" s="91">
        <f t="shared" si="2"/>
        <v>7</v>
      </c>
      <c r="I123" s="10" t="s">
        <v>18</v>
      </c>
      <c r="J123" s="11" t="s">
        <v>118</v>
      </c>
      <c r="K123" s="88">
        <f t="shared" si="3"/>
        <v>7</v>
      </c>
      <c r="L123" s="11" t="s">
        <v>584</v>
      </c>
      <c r="M123" s="11" t="s">
        <v>25</v>
      </c>
      <c r="N123" s="92" t="s">
        <v>21</v>
      </c>
      <c r="P123" s="137" t="s">
        <v>66</v>
      </c>
      <c r="Q123" s="138">
        <v>45688</v>
      </c>
      <c r="R123" s="139">
        <f>COUNTIF(Tabla2[Mes envio recuperación],P123)</f>
        <v>21</v>
      </c>
      <c r="S123" s="139">
        <f>IFERROR(HLOOKUP(Q123,Originaciones!$AC$7:$AW$18,12,FALSE()),0)</f>
        <v>97</v>
      </c>
      <c r="T123" s="140">
        <f>IFERROR(HLOOKUP(Q123,Originaciones!$AC$7:$AW$44,38,FALSE()),0)</f>
        <v>8</v>
      </c>
      <c r="U123" s="140">
        <f t="shared" ref="U123:U139" si="6">+T123+S123</f>
        <v>105</v>
      </c>
      <c r="V123" s="140">
        <f t="shared" ref="V123:V139" si="7">+T123+S123-R123</f>
        <v>84</v>
      </c>
    </row>
    <row r="124" spans="1:22" x14ac:dyDescent="0.35">
      <c r="A124" s="94" t="s">
        <v>585</v>
      </c>
      <c r="B124" s="15" t="s">
        <v>13</v>
      </c>
      <c r="C124" s="16" t="s">
        <v>586</v>
      </c>
      <c r="D124" s="16" t="s">
        <v>34</v>
      </c>
      <c r="E124" s="17" t="s">
        <v>66</v>
      </c>
      <c r="F124" s="15">
        <f>+YEAR(Tabla2[[#This Row],[Cosecha]])</f>
        <v>2025</v>
      </c>
      <c r="G124" s="16" t="s">
        <v>97</v>
      </c>
      <c r="H124" s="95">
        <f t="shared" si="2"/>
        <v>7</v>
      </c>
      <c r="I124" s="15" t="s">
        <v>18</v>
      </c>
      <c r="J124" s="16" t="s">
        <v>97</v>
      </c>
      <c r="K124" s="88">
        <f t="shared" si="3"/>
        <v>7</v>
      </c>
      <c r="L124" s="16" t="s">
        <v>348</v>
      </c>
      <c r="M124" s="16" t="s">
        <v>44</v>
      </c>
      <c r="N124" s="96" t="s">
        <v>21</v>
      </c>
      <c r="P124" s="141" t="s">
        <v>51</v>
      </c>
      <c r="Q124" s="142">
        <v>45716</v>
      </c>
      <c r="R124" s="68">
        <f>COUNTIF(Tabla2[Mes envio recuperación],P124)</f>
        <v>9</v>
      </c>
      <c r="S124" s="68">
        <f>IFERROR(HLOOKUP(Q124,Originaciones!$AC$7:$AW$18,12,FALSE()),0)</f>
        <v>99</v>
      </c>
      <c r="T124" s="143">
        <f>IFERROR(HLOOKUP(Q124,Originaciones!$AC$7:$AW$44,38,FALSE()),0)</f>
        <v>14</v>
      </c>
      <c r="U124" s="143">
        <f t="shared" si="6"/>
        <v>113</v>
      </c>
      <c r="V124" s="143">
        <f t="shared" si="7"/>
        <v>104</v>
      </c>
    </row>
    <row r="125" spans="1:22" x14ac:dyDescent="0.35">
      <c r="A125" s="90" t="s">
        <v>587</v>
      </c>
      <c r="B125" s="10" t="s">
        <v>13</v>
      </c>
      <c r="C125" s="11" t="s">
        <v>588</v>
      </c>
      <c r="D125" s="11" t="s">
        <v>34</v>
      </c>
      <c r="E125" s="12" t="s">
        <v>244</v>
      </c>
      <c r="F125" s="10">
        <f>+YEAR(Tabla2[[#This Row],[Cosecha]])</f>
        <v>2024</v>
      </c>
      <c r="G125" s="11" t="s">
        <v>30</v>
      </c>
      <c r="H125" s="91">
        <f t="shared" si="2"/>
        <v>22</v>
      </c>
      <c r="I125" s="10" t="s">
        <v>18</v>
      </c>
      <c r="J125" s="11" t="s">
        <v>30</v>
      </c>
      <c r="K125" s="88">
        <f t="shared" si="3"/>
        <v>22</v>
      </c>
      <c r="L125" s="11" t="s">
        <v>589</v>
      </c>
      <c r="M125" s="11" t="s">
        <v>25</v>
      </c>
      <c r="N125" s="92" t="s">
        <v>21</v>
      </c>
      <c r="P125" s="137" t="s">
        <v>47</v>
      </c>
      <c r="Q125" s="138">
        <v>45747</v>
      </c>
      <c r="R125" s="139">
        <f>COUNTIF(Tabla2[Mes envio recuperación],P125)</f>
        <v>35</v>
      </c>
      <c r="S125" s="139">
        <f>IFERROR(HLOOKUP(Q125,Originaciones!$AC$7:$AW$18,12,FALSE()),0)</f>
        <v>136</v>
      </c>
      <c r="T125" s="140">
        <f>IFERROR(HLOOKUP(Q125,Originaciones!$AC$7:$AW$44,38,FALSE()),0)</f>
        <v>19</v>
      </c>
      <c r="U125" s="140">
        <f t="shared" si="6"/>
        <v>155</v>
      </c>
      <c r="V125" s="140">
        <f t="shared" si="7"/>
        <v>120</v>
      </c>
    </row>
    <row r="126" spans="1:22" x14ac:dyDescent="0.35">
      <c r="A126" s="94" t="s">
        <v>593</v>
      </c>
      <c r="B126" s="15" t="s">
        <v>13</v>
      </c>
      <c r="C126" s="16" t="s">
        <v>594</v>
      </c>
      <c r="D126" s="16" t="s">
        <v>34</v>
      </c>
      <c r="E126" s="17" t="s">
        <v>36</v>
      </c>
      <c r="F126" s="15">
        <f>+YEAR(Tabla2[[#This Row],[Cosecha]])</f>
        <v>2025</v>
      </c>
      <c r="G126" s="16" t="s">
        <v>52</v>
      </c>
      <c r="H126" s="95">
        <f t="shared" si="2"/>
        <v>4</v>
      </c>
      <c r="I126" s="15" t="s">
        <v>18</v>
      </c>
      <c r="J126" s="16" t="s">
        <v>30</v>
      </c>
      <c r="K126" s="88">
        <f t="shared" si="3"/>
        <v>5</v>
      </c>
      <c r="L126" s="16" t="s">
        <v>595</v>
      </c>
      <c r="M126" s="16" t="s">
        <v>44</v>
      </c>
      <c r="N126" s="96" t="s">
        <v>21</v>
      </c>
      <c r="P126" s="141" t="s">
        <v>133</v>
      </c>
      <c r="Q126" s="142">
        <v>45777</v>
      </c>
      <c r="R126" s="68">
        <f>COUNTIF(Tabla2[Mes envio recuperación],P126)</f>
        <v>60</v>
      </c>
      <c r="S126" s="68">
        <f>IFERROR(HLOOKUP(Q126,Originaciones!$AC$7:$AW$18,12,FALSE()),0)</f>
        <v>161</v>
      </c>
      <c r="T126" s="143">
        <f>IFERROR(HLOOKUP(Q126,Originaciones!$AC$7:$AW$44,38,FALSE()),0)</f>
        <v>18</v>
      </c>
      <c r="U126" s="143">
        <f t="shared" si="6"/>
        <v>179</v>
      </c>
      <c r="V126" s="143">
        <f t="shared" si="7"/>
        <v>119</v>
      </c>
    </row>
    <row r="127" spans="1:22" x14ac:dyDescent="0.35">
      <c r="A127" s="90" t="s">
        <v>596</v>
      </c>
      <c r="B127" s="10" t="s">
        <v>13</v>
      </c>
      <c r="C127" s="11" t="s">
        <v>597</v>
      </c>
      <c r="D127" s="11" t="s">
        <v>34</v>
      </c>
      <c r="E127" s="12" t="s">
        <v>62</v>
      </c>
      <c r="F127" s="10">
        <f>+YEAR(Tabla2[[#This Row],[Cosecha]])</f>
        <v>2025</v>
      </c>
      <c r="G127" s="11" t="s">
        <v>37</v>
      </c>
      <c r="H127" s="91">
        <f t="shared" si="2"/>
        <v>4</v>
      </c>
      <c r="I127" s="10" t="s">
        <v>18</v>
      </c>
      <c r="J127" s="11" t="s">
        <v>37</v>
      </c>
      <c r="K127" s="88">
        <f t="shared" si="3"/>
        <v>4</v>
      </c>
      <c r="L127" s="11" t="s">
        <v>598</v>
      </c>
      <c r="M127" s="11" t="s">
        <v>44</v>
      </c>
      <c r="N127" s="92" t="s">
        <v>26</v>
      </c>
      <c r="P127" s="137" t="s">
        <v>104</v>
      </c>
      <c r="Q127" s="138">
        <v>45808</v>
      </c>
      <c r="R127" s="139">
        <f>COUNTIF(Tabla2[Mes envio recuperación],P127)</f>
        <v>24</v>
      </c>
      <c r="S127" s="139">
        <f>IFERROR(HLOOKUP(Q127,Originaciones!$AC$7:$AW$18,12,FALSE()),0)</f>
        <v>157</v>
      </c>
      <c r="T127" s="140">
        <f>IFERROR(HLOOKUP(Q127,Originaciones!$AC$7:$AW$44,38,FALSE()),0)</f>
        <v>20</v>
      </c>
      <c r="U127" s="140">
        <f t="shared" si="6"/>
        <v>177</v>
      </c>
      <c r="V127" s="140">
        <f t="shared" si="7"/>
        <v>153</v>
      </c>
    </row>
    <row r="128" spans="1:22" x14ac:dyDescent="0.35">
      <c r="A128" s="94" t="s">
        <v>602</v>
      </c>
      <c r="B128" s="15" t="s">
        <v>13</v>
      </c>
      <c r="C128" s="16" t="s">
        <v>603</v>
      </c>
      <c r="D128" s="16" t="s">
        <v>34</v>
      </c>
      <c r="E128" s="17" t="s">
        <v>497</v>
      </c>
      <c r="F128" s="15">
        <f>+YEAR(Tabla2[[#This Row],[Cosecha]])</f>
        <v>2024</v>
      </c>
      <c r="G128" s="16" t="s">
        <v>62</v>
      </c>
      <c r="H128" s="95">
        <f t="shared" si="2"/>
        <v>11</v>
      </c>
      <c r="I128" s="15" t="s">
        <v>18</v>
      </c>
      <c r="J128" s="16" t="s">
        <v>62</v>
      </c>
      <c r="K128" s="88">
        <f t="shared" si="3"/>
        <v>11</v>
      </c>
      <c r="L128" s="16" t="s">
        <v>604</v>
      </c>
      <c r="M128" s="16" t="s">
        <v>130</v>
      </c>
      <c r="N128" s="96" t="s">
        <v>21</v>
      </c>
      <c r="P128" s="141" t="s">
        <v>29</v>
      </c>
      <c r="Q128" s="142">
        <v>45838</v>
      </c>
      <c r="R128" s="68">
        <f>COUNTIF(Tabla2[Mes envio recuperación],P128)</f>
        <v>79</v>
      </c>
      <c r="S128" s="68">
        <f>IFERROR(HLOOKUP(Q128,Originaciones!$AC$7:$AW$18,12,FALSE()),0)</f>
        <v>195</v>
      </c>
      <c r="T128" s="143">
        <f>IFERROR(HLOOKUP(Q128,Originaciones!$AC$7:$AW$44,38,FALSE()),0)</f>
        <v>23</v>
      </c>
      <c r="U128" s="143">
        <f t="shared" si="6"/>
        <v>218</v>
      </c>
      <c r="V128" s="143">
        <f t="shared" si="7"/>
        <v>139</v>
      </c>
    </row>
    <row r="129" spans="1:22" x14ac:dyDescent="0.35">
      <c r="A129" s="90" t="s">
        <v>605</v>
      </c>
      <c r="B129" s="10" t="s">
        <v>13</v>
      </c>
      <c r="C129" s="11" t="s">
        <v>606</v>
      </c>
      <c r="D129" s="11" t="s">
        <v>34</v>
      </c>
      <c r="E129" s="12" t="s">
        <v>104</v>
      </c>
      <c r="F129" s="10">
        <f>+YEAR(Tabla2[[#This Row],[Cosecha]])</f>
        <v>2025</v>
      </c>
      <c r="G129" s="11" t="s">
        <v>23</v>
      </c>
      <c r="H129" s="91">
        <f t="shared" si="2"/>
        <v>8</v>
      </c>
      <c r="I129" s="10" t="s">
        <v>18</v>
      </c>
      <c r="J129" s="11" t="s">
        <v>52</v>
      </c>
      <c r="K129" s="88">
        <f t="shared" si="3"/>
        <v>9</v>
      </c>
      <c r="L129" s="11" t="s">
        <v>607</v>
      </c>
      <c r="M129" s="11" t="s">
        <v>44</v>
      </c>
      <c r="N129" s="92" t="s">
        <v>21</v>
      </c>
      <c r="P129" s="137" t="s">
        <v>62</v>
      </c>
      <c r="Q129" s="138">
        <v>45869</v>
      </c>
      <c r="R129" s="139">
        <f>COUNTIF(Tabla2[Mes envio recuperación],P129)</f>
        <v>56</v>
      </c>
      <c r="S129" s="139">
        <f>IFERROR(HLOOKUP(Q129,Originaciones!$AC$7:$AW$18,12,FALSE()),0)</f>
        <v>199</v>
      </c>
      <c r="T129" s="140">
        <f>IFERROR(HLOOKUP(Q129,Originaciones!$AC$7:$AW$44,38,FALSE()),0)</f>
        <v>33</v>
      </c>
      <c r="U129" s="140">
        <f t="shared" si="6"/>
        <v>232</v>
      </c>
      <c r="V129" s="140">
        <f t="shared" si="7"/>
        <v>176</v>
      </c>
    </row>
    <row r="130" spans="1:22" x14ac:dyDescent="0.35">
      <c r="A130" s="94" t="s">
        <v>608</v>
      </c>
      <c r="B130" s="15" t="s">
        <v>13</v>
      </c>
      <c r="C130" s="16" t="s">
        <v>609</v>
      </c>
      <c r="D130" s="16" t="s">
        <v>78</v>
      </c>
      <c r="E130" s="17" t="s">
        <v>51</v>
      </c>
      <c r="F130" s="15">
        <f>+YEAR(Tabla2[[#This Row],[Cosecha]])</f>
        <v>2025</v>
      </c>
      <c r="G130" s="16" t="s">
        <v>30</v>
      </c>
      <c r="H130" s="95">
        <f t="shared" ref="H130:H193" si="8">(YEAR(G130)-YEAR(E130))*12+(MONTH(G130)-MONTH(E130))</f>
        <v>13</v>
      </c>
      <c r="I130" s="15" t="s">
        <v>18</v>
      </c>
      <c r="J130" s="16" t="s">
        <v>17</v>
      </c>
      <c r="K130" s="88">
        <f t="shared" ref="K130:K193" si="9">(YEAR(J130)-YEAR(E130))*12+(MONTH(J130)-MONTH(E130))</f>
        <v>14</v>
      </c>
      <c r="L130" s="16" t="s">
        <v>610</v>
      </c>
      <c r="M130" s="16" t="s">
        <v>25</v>
      </c>
      <c r="N130" s="96" t="s">
        <v>21</v>
      </c>
      <c r="P130" s="141" t="s">
        <v>97</v>
      </c>
      <c r="Q130" s="142">
        <v>45900</v>
      </c>
      <c r="R130" s="68">
        <f>COUNTIF(Tabla2[Mes envio recuperación],P130)</f>
        <v>54</v>
      </c>
      <c r="S130" s="68">
        <f>IFERROR(HLOOKUP(Q130,Originaciones!$AC$7:$AW$18,12,FALSE()),0)</f>
        <v>166</v>
      </c>
      <c r="T130" s="143">
        <f>IFERROR(HLOOKUP(Q130,Originaciones!$AC$7:$AW$44,38,FALSE()),0)</f>
        <v>31</v>
      </c>
      <c r="U130" s="143">
        <f t="shared" si="6"/>
        <v>197</v>
      </c>
      <c r="V130" s="143">
        <f t="shared" si="7"/>
        <v>143</v>
      </c>
    </row>
    <row r="131" spans="1:22" x14ac:dyDescent="0.35">
      <c r="A131" s="90" t="s">
        <v>614</v>
      </c>
      <c r="B131" s="10" t="s">
        <v>13</v>
      </c>
      <c r="C131" s="11" t="s">
        <v>615</v>
      </c>
      <c r="D131" s="11" t="s">
        <v>15</v>
      </c>
      <c r="E131" s="12" t="s">
        <v>497</v>
      </c>
      <c r="F131" s="10">
        <f>+YEAR(Tabla2[[#This Row],[Cosecha]])</f>
        <v>2024</v>
      </c>
      <c r="G131" s="11" t="s">
        <v>52</v>
      </c>
      <c r="H131" s="91">
        <f t="shared" si="8"/>
        <v>18</v>
      </c>
      <c r="I131" s="10" t="s">
        <v>18</v>
      </c>
      <c r="J131" s="11" t="s">
        <v>52</v>
      </c>
      <c r="K131" s="88">
        <f t="shared" si="9"/>
        <v>18</v>
      </c>
      <c r="L131" s="11" t="s">
        <v>616</v>
      </c>
      <c r="M131" s="11" t="s">
        <v>25</v>
      </c>
      <c r="N131" s="92" t="s">
        <v>21</v>
      </c>
      <c r="P131" s="137" t="s">
        <v>118</v>
      </c>
      <c r="Q131" s="138">
        <v>45930</v>
      </c>
      <c r="R131" s="139">
        <f>COUNTIF(Tabla2[Mes envio recuperación],P131)</f>
        <v>60</v>
      </c>
      <c r="S131" s="139">
        <f>IFERROR(HLOOKUP(Q131,Originaciones!$AC$7:$AW$18,12,FALSE()),0)</f>
        <v>180</v>
      </c>
      <c r="T131" s="140">
        <f>IFERROR(HLOOKUP(Q131,Originaciones!$AC$7:$AW$44,38,FALSE()),0)</f>
        <v>22</v>
      </c>
      <c r="U131" s="140">
        <f t="shared" si="6"/>
        <v>202</v>
      </c>
      <c r="V131" s="140">
        <f t="shared" si="7"/>
        <v>142</v>
      </c>
    </row>
    <row r="132" spans="1:22" x14ac:dyDescent="0.35">
      <c r="A132" s="94" t="s">
        <v>617</v>
      </c>
      <c r="B132" s="15" t="s">
        <v>13</v>
      </c>
      <c r="C132" s="16" t="s">
        <v>618</v>
      </c>
      <c r="D132" s="16" t="s">
        <v>78</v>
      </c>
      <c r="E132" s="17" t="s">
        <v>302</v>
      </c>
      <c r="F132" s="15">
        <f>+YEAR(Tabla2[[#This Row],[Cosecha]])</f>
        <v>2023</v>
      </c>
      <c r="G132" s="16" t="s">
        <v>66</v>
      </c>
      <c r="H132" s="95">
        <f t="shared" si="8"/>
        <v>15</v>
      </c>
      <c r="I132" s="15" t="s">
        <v>18</v>
      </c>
      <c r="J132" s="16" t="s">
        <v>51</v>
      </c>
      <c r="K132" s="88">
        <f t="shared" si="9"/>
        <v>16</v>
      </c>
      <c r="L132" s="16" t="s">
        <v>619</v>
      </c>
      <c r="M132" s="16" t="s">
        <v>25</v>
      </c>
      <c r="N132" s="96" t="s">
        <v>21</v>
      </c>
      <c r="P132" s="141" t="s">
        <v>36</v>
      </c>
      <c r="Q132" s="142">
        <v>45961</v>
      </c>
      <c r="R132" s="68">
        <f>COUNTIF(Tabla2[Mes envio recuperación],P132)</f>
        <v>18</v>
      </c>
      <c r="S132" s="68">
        <f>IFERROR(HLOOKUP(Q132,Originaciones!$AC$7:$AW$18,12,FALSE()),0)</f>
        <v>206</v>
      </c>
      <c r="T132" s="143">
        <f>IFERROR(HLOOKUP(Q132,Originaciones!$AC$7:$AW$44,38,FALSE()),0)</f>
        <v>26</v>
      </c>
      <c r="U132" s="143">
        <f t="shared" si="6"/>
        <v>232</v>
      </c>
      <c r="V132" s="143">
        <f t="shared" si="7"/>
        <v>214</v>
      </c>
    </row>
    <row r="133" spans="1:22" x14ac:dyDescent="0.35">
      <c r="A133" s="90" t="s">
        <v>620</v>
      </c>
      <c r="B133" s="10" t="s">
        <v>13</v>
      </c>
      <c r="C133" s="11" t="s">
        <v>621</v>
      </c>
      <c r="D133" s="11" t="s">
        <v>15</v>
      </c>
      <c r="E133" s="12" t="s">
        <v>29</v>
      </c>
      <c r="F133" s="10">
        <f>+YEAR(Tabla2[[#This Row],[Cosecha]])</f>
        <v>2025</v>
      </c>
      <c r="G133" s="11" t="s">
        <v>23</v>
      </c>
      <c r="H133" s="91">
        <f t="shared" si="8"/>
        <v>7</v>
      </c>
      <c r="I133" s="10" t="s">
        <v>18</v>
      </c>
      <c r="J133" s="11" t="s">
        <v>23</v>
      </c>
      <c r="K133" s="88">
        <f t="shared" si="9"/>
        <v>7</v>
      </c>
      <c r="L133" s="11" t="s">
        <v>622</v>
      </c>
      <c r="M133" s="11" t="s">
        <v>25</v>
      </c>
      <c r="N133" s="92" t="s">
        <v>26</v>
      </c>
      <c r="P133" s="137" t="s">
        <v>37</v>
      </c>
      <c r="Q133" s="138">
        <v>45991</v>
      </c>
      <c r="R133" s="139">
        <f>COUNTIF(Tabla2[Mes envio recuperación],P133)</f>
        <v>42</v>
      </c>
      <c r="S133" s="139">
        <f>IFERROR(HLOOKUP(Q133,Originaciones!$AC$7:$AW$18,12,FALSE()),0)</f>
        <v>211</v>
      </c>
      <c r="T133" s="140">
        <f>IFERROR(HLOOKUP(Q133,Originaciones!$AC$7:$AW$44,38,FALSE()),0)</f>
        <v>19</v>
      </c>
      <c r="U133" s="140">
        <f t="shared" si="6"/>
        <v>230</v>
      </c>
      <c r="V133" s="140">
        <f t="shared" si="7"/>
        <v>188</v>
      </c>
    </row>
    <row r="134" spans="1:22" x14ac:dyDescent="0.35">
      <c r="A134" s="94" t="s">
        <v>623</v>
      </c>
      <c r="B134" s="15" t="s">
        <v>13</v>
      </c>
      <c r="C134" s="16" t="s">
        <v>624</v>
      </c>
      <c r="D134" s="16" t="s">
        <v>34</v>
      </c>
      <c r="E134" s="17" t="s">
        <v>104</v>
      </c>
      <c r="F134" s="15">
        <f>+YEAR(Tabla2[[#This Row],[Cosecha]])</f>
        <v>2025</v>
      </c>
      <c r="G134" s="16" t="s">
        <v>62</v>
      </c>
      <c r="H134" s="95">
        <f t="shared" si="8"/>
        <v>2</v>
      </c>
      <c r="I134" s="15" t="s">
        <v>18</v>
      </c>
      <c r="J134" s="16" t="s">
        <v>97</v>
      </c>
      <c r="K134" s="88">
        <f t="shared" si="9"/>
        <v>3</v>
      </c>
      <c r="L134" s="16" t="s">
        <v>625</v>
      </c>
      <c r="M134" s="16" t="s">
        <v>115</v>
      </c>
      <c r="N134" s="96" t="s">
        <v>21</v>
      </c>
      <c r="P134" s="141" t="s">
        <v>113</v>
      </c>
      <c r="Q134" s="142">
        <v>46022</v>
      </c>
      <c r="R134" s="68">
        <f>COUNTIF(Tabla2[Mes envio recuperación],P134)</f>
        <v>70</v>
      </c>
      <c r="S134" s="68">
        <f>IFERROR(HLOOKUP(Q134,Originaciones!$AC$7:$AW$18,12,FALSE()),0)</f>
        <v>215</v>
      </c>
      <c r="T134" s="143">
        <f>IFERROR(HLOOKUP(Q134,Originaciones!$AC$7:$AW$44,38,FALSE()),0)</f>
        <v>16</v>
      </c>
      <c r="U134" s="143">
        <f t="shared" si="6"/>
        <v>231</v>
      </c>
      <c r="V134" s="143">
        <f t="shared" si="7"/>
        <v>161</v>
      </c>
    </row>
    <row r="135" spans="1:22" x14ac:dyDescent="0.35">
      <c r="A135" s="90" t="s">
        <v>626</v>
      </c>
      <c r="B135" s="10" t="s">
        <v>13</v>
      </c>
      <c r="C135" s="11" t="s">
        <v>627</v>
      </c>
      <c r="D135" s="11" t="s">
        <v>34</v>
      </c>
      <c r="E135" s="12" t="s">
        <v>97</v>
      </c>
      <c r="F135" s="10">
        <f>+YEAR(Tabla2[[#This Row],[Cosecha]])</f>
        <v>2025</v>
      </c>
      <c r="G135" s="11" t="s">
        <v>17</v>
      </c>
      <c r="H135" s="91">
        <f t="shared" si="8"/>
        <v>8</v>
      </c>
      <c r="I135" s="10" t="s">
        <v>18</v>
      </c>
      <c r="J135" s="11" t="s">
        <v>17</v>
      </c>
      <c r="K135" s="88">
        <f t="shared" si="9"/>
        <v>8</v>
      </c>
      <c r="L135" s="11" t="s">
        <v>628</v>
      </c>
      <c r="M135" s="11" t="s">
        <v>44</v>
      </c>
      <c r="N135" s="92" t="s">
        <v>21</v>
      </c>
      <c r="P135" s="137" t="s">
        <v>23</v>
      </c>
      <c r="Q135" s="138">
        <v>46053</v>
      </c>
      <c r="R135" s="139">
        <f>COUNTIF(Tabla2[Mes envio recuperación],P135)</f>
        <v>69</v>
      </c>
      <c r="S135" s="139">
        <f>IFERROR(HLOOKUP(Q135,Originaciones!$AC$7:$AW$18,12,FALSE()),0)</f>
        <v>175</v>
      </c>
      <c r="T135" s="140">
        <f>IFERROR(HLOOKUP(Q135,Originaciones!$AC$7:$AW$44,38,FALSE()),0)</f>
        <v>28</v>
      </c>
      <c r="U135" s="140">
        <f t="shared" si="6"/>
        <v>203</v>
      </c>
      <c r="V135" s="140">
        <f t="shared" si="7"/>
        <v>134</v>
      </c>
    </row>
    <row r="136" spans="1:22" x14ac:dyDescent="0.35">
      <c r="A136" s="94" t="s">
        <v>629</v>
      </c>
      <c r="B136" s="15" t="s">
        <v>13</v>
      </c>
      <c r="C136" s="16" t="s">
        <v>630</v>
      </c>
      <c r="D136" s="16" t="s">
        <v>34</v>
      </c>
      <c r="E136" s="17" t="s">
        <v>37</v>
      </c>
      <c r="F136" s="15">
        <f>+YEAR(Tabla2[[#This Row],[Cosecha]])</f>
        <v>2025</v>
      </c>
      <c r="G136" s="16" t="s">
        <v>17</v>
      </c>
      <c r="H136" s="95">
        <f t="shared" si="8"/>
        <v>5</v>
      </c>
      <c r="I136" s="15" t="s">
        <v>18</v>
      </c>
      <c r="J136" s="16" t="s">
        <v>70</v>
      </c>
      <c r="K136" s="88">
        <f t="shared" si="9"/>
        <v>6</v>
      </c>
      <c r="L136" s="16" t="s">
        <v>631</v>
      </c>
      <c r="M136" s="16" t="s">
        <v>115</v>
      </c>
      <c r="N136" s="96" t="s">
        <v>26</v>
      </c>
      <c r="P136" s="141" t="s">
        <v>52</v>
      </c>
      <c r="Q136" s="142">
        <v>46081</v>
      </c>
      <c r="R136" s="68">
        <f>COUNTIF(Tabla2[Mes envio recuperación],P136)</f>
        <v>111</v>
      </c>
      <c r="S136" s="68">
        <f>IFERROR(HLOOKUP(Q136,Originaciones!$AC$7:$AW$18,12,FALSE()),0)</f>
        <v>201</v>
      </c>
      <c r="T136" s="143">
        <f>IFERROR(HLOOKUP(Q136,Originaciones!$AC$7:$AW$44,38,FALSE()),0)</f>
        <v>45</v>
      </c>
      <c r="U136" s="143">
        <f t="shared" si="6"/>
        <v>246</v>
      </c>
      <c r="V136" s="143">
        <f t="shared" si="7"/>
        <v>135</v>
      </c>
    </row>
    <row r="137" spans="1:22" x14ac:dyDescent="0.35">
      <c r="A137" s="90" t="s">
        <v>632</v>
      </c>
      <c r="B137" s="10" t="s">
        <v>13</v>
      </c>
      <c r="C137" s="11" t="s">
        <v>633</v>
      </c>
      <c r="D137" s="11" t="s">
        <v>363</v>
      </c>
      <c r="E137" s="12" t="s">
        <v>275</v>
      </c>
      <c r="F137" s="10">
        <f>+YEAR(Tabla2[[#This Row],[Cosecha]])</f>
        <v>2024</v>
      </c>
      <c r="G137" s="11" t="s">
        <v>17</v>
      </c>
      <c r="H137" s="91">
        <f t="shared" si="8"/>
        <v>25</v>
      </c>
      <c r="I137" s="10" t="s">
        <v>18</v>
      </c>
      <c r="J137" s="11" t="s">
        <v>17</v>
      </c>
      <c r="K137" s="88">
        <f t="shared" si="9"/>
        <v>25</v>
      </c>
      <c r="L137" s="11" t="s">
        <v>634</v>
      </c>
      <c r="M137" s="11" t="s">
        <v>25</v>
      </c>
      <c r="N137" s="92" t="s">
        <v>21</v>
      </c>
      <c r="P137" s="137" t="s">
        <v>30</v>
      </c>
      <c r="Q137" s="138">
        <v>46112</v>
      </c>
      <c r="R137" s="139">
        <f>COUNTIF(Tabla2[Mes envio recuperación],P137)</f>
        <v>127</v>
      </c>
      <c r="S137" s="139">
        <f>IFERROR(HLOOKUP(Q137,Originaciones!$AC$7:$AW$18,12,FALSE()),0)</f>
        <v>177</v>
      </c>
      <c r="T137" s="140">
        <f>IFERROR(HLOOKUP(Q137,Originaciones!$AC$7:$AW$44,38,FALSE()),0)</f>
        <v>52</v>
      </c>
      <c r="U137" s="140">
        <f t="shared" si="6"/>
        <v>229</v>
      </c>
      <c r="V137" s="140">
        <f t="shared" si="7"/>
        <v>102</v>
      </c>
    </row>
    <row r="138" spans="1:22" x14ac:dyDescent="0.35">
      <c r="A138" s="94" t="s">
        <v>635</v>
      </c>
      <c r="B138" s="15" t="s">
        <v>13</v>
      </c>
      <c r="C138" s="16" t="s">
        <v>636</v>
      </c>
      <c r="D138" s="16" t="s">
        <v>34</v>
      </c>
      <c r="E138" s="17" t="s">
        <v>36</v>
      </c>
      <c r="F138" s="15">
        <f>+YEAR(Tabla2[[#This Row],[Cosecha]])</f>
        <v>2025</v>
      </c>
      <c r="G138" s="16" t="s">
        <v>30</v>
      </c>
      <c r="H138" s="95">
        <f t="shared" si="8"/>
        <v>5</v>
      </c>
      <c r="I138" s="15" t="s">
        <v>18</v>
      </c>
      <c r="J138" s="16" t="s">
        <v>30</v>
      </c>
      <c r="K138" s="88">
        <f t="shared" si="9"/>
        <v>5</v>
      </c>
      <c r="L138" s="16" t="s">
        <v>637</v>
      </c>
      <c r="M138" s="16" t="s">
        <v>115</v>
      </c>
      <c r="N138" s="96" t="s">
        <v>26</v>
      </c>
      <c r="P138" s="141" t="s">
        <v>17</v>
      </c>
      <c r="Q138" s="142">
        <v>46142</v>
      </c>
      <c r="R138" s="68">
        <f>COUNTIF(Tabla2[Mes envio recuperación],P138)</f>
        <v>106</v>
      </c>
      <c r="S138" s="68">
        <f>IFERROR(HLOOKUP(Q138,Originaciones!$AC$7:$AW$18,12,FALSE()),0)</f>
        <v>218</v>
      </c>
      <c r="T138" s="143">
        <f>IFERROR(HLOOKUP(Q138,Originaciones!$AC$7:$AW$44,38,FALSE()),0)</f>
        <v>34</v>
      </c>
      <c r="U138" s="143">
        <f t="shared" si="6"/>
        <v>252</v>
      </c>
      <c r="V138" s="143">
        <f t="shared" si="7"/>
        <v>146</v>
      </c>
    </row>
    <row r="139" spans="1:22" x14ac:dyDescent="0.35">
      <c r="A139" s="90" t="s">
        <v>641</v>
      </c>
      <c r="B139" s="10" t="s">
        <v>13</v>
      </c>
      <c r="C139" s="11" t="s">
        <v>642</v>
      </c>
      <c r="D139" s="11" t="s">
        <v>34</v>
      </c>
      <c r="E139" s="12" t="s">
        <v>47</v>
      </c>
      <c r="F139" s="10">
        <f>+YEAR(Tabla2[[#This Row],[Cosecha]])</f>
        <v>2025</v>
      </c>
      <c r="G139" s="11" t="s">
        <v>17</v>
      </c>
      <c r="H139" s="91">
        <f t="shared" si="8"/>
        <v>13</v>
      </c>
      <c r="I139" s="10" t="s">
        <v>18</v>
      </c>
      <c r="J139" s="11" t="s">
        <v>17</v>
      </c>
      <c r="K139" s="88">
        <f t="shared" si="9"/>
        <v>13</v>
      </c>
      <c r="L139" s="11" t="s">
        <v>643</v>
      </c>
      <c r="M139" s="11" t="s">
        <v>44</v>
      </c>
      <c r="N139" s="92" t="s">
        <v>21</v>
      </c>
      <c r="P139" s="144" t="s">
        <v>70</v>
      </c>
      <c r="Q139" s="145">
        <v>46173</v>
      </c>
      <c r="R139" s="146">
        <f>COUNTIF(Tabla2[Mes envio recuperación],P139)</f>
        <v>37</v>
      </c>
      <c r="S139" s="146">
        <f>IFERROR(HLOOKUP(Q139,Originaciones!$AC$7:$AW$18,12,FALSE()),0)</f>
        <v>0</v>
      </c>
      <c r="T139" s="147">
        <f>IFERROR(HLOOKUP(Q139,Originaciones!$AC$7:$AW$44,38,FALSE()),0)</f>
        <v>0</v>
      </c>
      <c r="U139" s="147">
        <f t="shared" si="6"/>
        <v>0</v>
      </c>
      <c r="V139" s="147">
        <f t="shared" si="7"/>
        <v>-37</v>
      </c>
    </row>
    <row r="140" spans="1:22" x14ac:dyDescent="0.35">
      <c r="A140" s="94" t="s">
        <v>647</v>
      </c>
      <c r="B140" s="15" t="s">
        <v>13</v>
      </c>
      <c r="C140" s="16" t="s">
        <v>648</v>
      </c>
      <c r="D140" s="16" t="s">
        <v>90</v>
      </c>
      <c r="E140" s="17" t="s">
        <v>62</v>
      </c>
      <c r="F140" s="15">
        <f>+YEAR(Tabla2[[#This Row],[Cosecha]])</f>
        <v>2025</v>
      </c>
      <c r="G140" s="16" t="s">
        <v>30</v>
      </c>
      <c r="H140" s="95">
        <f t="shared" si="8"/>
        <v>8</v>
      </c>
      <c r="I140" s="15" t="s">
        <v>18</v>
      </c>
      <c r="J140" s="16" t="s">
        <v>30</v>
      </c>
      <c r="K140" s="88">
        <f t="shared" si="9"/>
        <v>8</v>
      </c>
      <c r="L140" s="16" t="s">
        <v>649</v>
      </c>
      <c r="M140" s="16" t="s">
        <v>39</v>
      </c>
      <c r="N140" s="96" t="s">
        <v>21</v>
      </c>
    </row>
    <row r="141" spans="1:22" x14ac:dyDescent="0.35">
      <c r="A141" s="90" t="s">
        <v>650</v>
      </c>
      <c r="B141" s="10" t="s">
        <v>13</v>
      </c>
      <c r="C141" s="11" t="s">
        <v>651</v>
      </c>
      <c r="D141" s="11" t="s">
        <v>34</v>
      </c>
      <c r="E141" s="12" t="s">
        <v>51</v>
      </c>
      <c r="F141" s="10">
        <f>+YEAR(Tabla2[[#This Row],[Cosecha]])</f>
        <v>2025</v>
      </c>
      <c r="G141" s="11" t="s">
        <v>118</v>
      </c>
      <c r="H141" s="91">
        <f t="shared" si="8"/>
        <v>7</v>
      </c>
      <c r="I141" s="10" t="s">
        <v>18</v>
      </c>
      <c r="J141" s="11" t="s">
        <v>36</v>
      </c>
      <c r="K141" s="88">
        <f t="shared" si="9"/>
        <v>8</v>
      </c>
      <c r="L141" s="11" t="s">
        <v>652</v>
      </c>
      <c r="M141" s="11" t="s">
        <v>44</v>
      </c>
      <c r="N141" s="92" t="s">
        <v>21</v>
      </c>
    </row>
    <row r="142" spans="1:22" x14ac:dyDescent="0.35">
      <c r="A142" s="94" t="s">
        <v>653</v>
      </c>
      <c r="B142" s="15" t="s">
        <v>85</v>
      </c>
      <c r="C142" s="16" t="s">
        <v>654</v>
      </c>
      <c r="D142" s="16" t="s">
        <v>90</v>
      </c>
      <c r="E142" s="17" t="s">
        <v>497</v>
      </c>
      <c r="F142" s="15">
        <f>+YEAR(Tabla2[[#This Row],[Cosecha]])</f>
        <v>2024</v>
      </c>
      <c r="G142" s="16" t="s">
        <v>30</v>
      </c>
      <c r="H142" s="95">
        <f t="shared" si="8"/>
        <v>19</v>
      </c>
      <c r="I142" s="15" t="s">
        <v>18</v>
      </c>
      <c r="J142" s="16" t="s">
        <v>30</v>
      </c>
      <c r="K142" s="88">
        <f t="shared" si="9"/>
        <v>19</v>
      </c>
      <c r="L142" s="16" t="s">
        <v>655</v>
      </c>
      <c r="M142" s="16" t="s">
        <v>25</v>
      </c>
      <c r="N142" s="96" t="s">
        <v>21</v>
      </c>
    </row>
    <row r="143" spans="1:22" x14ac:dyDescent="0.35">
      <c r="A143" s="90" t="s">
        <v>656</v>
      </c>
      <c r="B143" s="10" t="s">
        <v>13</v>
      </c>
      <c r="C143" s="11" t="s">
        <v>657</v>
      </c>
      <c r="D143" s="11" t="s">
        <v>15</v>
      </c>
      <c r="E143" s="12" t="s">
        <v>291</v>
      </c>
      <c r="F143" s="10">
        <f>+YEAR(Tabla2[[#This Row],[Cosecha]])</f>
        <v>2022</v>
      </c>
      <c r="G143" s="11" t="s">
        <v>133</v>
      </c>
      <c r="H143" s="91">
        <f t="shared" si="8"/>
        <v>32</v>
      </c>
      <c r="I143" s="10" t="s">
        <v>18</v>
      </c>
      <c r="J143" s="11" t="s">
        <v>133</v>
      </c>
      <c r="K143" s="88">
        <f t="shared" si="9"/>
        <v>32</v>
      </c>
      <c r="L143" s="11" t="s">
        <v>658</v>
      </c>
      <c r="M143" s="11" t="s">
        <v>39</v>
      </c>
      <c r="N143" s="92" t="s">
        <v>21</v>
      </c>
    </row>
    <row r="144" spans="1:22" x14ac:dyDescent="0.35">
      <c r="A144" s="94" t="s">
        <v>659</v>
      </c>
      <c r="B144" s="15" t="s">
        <v>13</v>
      </c>
      <c r="C144" s="16" t="s">
        <v>660</v>
      </c>
      <c r="D144" s="16" t="s">
        <v>34</v>
      </c>
      <c r="E144" s="17" t="s">
        <v>252</v>
      </c>
      <c r="F144" s="15">
        <f>+YEAR(Tabla2[[#This Row],[Cosecha]])</f>
        <v>2024</v>
      </c>
      <c r="G144" s="16" t="s">
        <v>52</v>
      </c>
      <c r="H144" s="95">
        <f t="shared" si="8"/>
        <v>19</v>
      </c>
      <c r="I144" s="15" t="s">
        <v>18</v>
      </c>
      <c r="J144" s="16" t="s">
        <v>17</v>
      </c>
      <c r="K144" s="88">
        <f t="shared" si="9"/>
        <v>21</v>
      </c>
      <c r="L144" s="16" t="s">
        <v>661</v>
      </c>
      <c r="M144" s="16" t="s">
        <v>130</v>
      </c>
      <c r="N144" s="96" t="s">
        <v>21</v>
      </c>
    </row>
    <row r="145" spans="1:14" x14ac:dyDescent="0.35">
      <c r="A145" s="90" t="s">
        <v>662</v>
      </c>
      <c r="B145" s="10" t="s">
        <v>13</v>
      </c>
      <c r="C145" s="11" t="s">
        <v>663</v>
      </c>
      <c r="D145" s="11" t="s">
        <v>34</v>
      </c>
      <c r="E145" s="12" t="s">
        <v>35</v>
      </c>
      <c r="F145" s="10">
        <f>+YEAR(Tabla2[[#This Row],[Cosecha]])</f>
        <v>2024</v>
      </c>
      <c r="G145" s="11" t="s">
        <v>47</v>
      </c>
      <c r="H145" s="91">
        <f t="shared" si="8"/>
        <v>5</v>
      </c>
      <c r="I145" s="10" t="s">
        <v>18</v>
      </c>
      <c r="J145" s="11" t="s">
        <v>47</v>
      </c>
      <c r="K145" s="88">
        <f t="shared" si="9"/>
        <v>5</v>
      </c>
      <c r="L145" s="11" t="s">
        <v>664</v>
      </c>
      <c r="M145" s="11" t="s">
        <v>130</v>
      </c>
      <c r="N145" s="92" t="s">
        <v>21</v>
      </c>
    </row>
    <row r="146" spans="1:14" x14ac:dyDescent="0.35">
      <c r="A146" s="94" t="s">
        <v>665</v>
      </c>
      <c r="B146" s="15" t="s">
        <v>13</v>
      </c>
      <c r="C146" s="16" t="s">
        <v>666</v>
      </c>
      <c r="D146" s="16" t="s">
        <v>15</v>
      </c>
      <c r="E146" s="17" t="s">
        <v>47</v>
      </c>
      <c r="F146" s="15">
        <f>+YEAR(Tabla2[[#This Row],[Cosecha]])</f>
        <v>2025</v>
      </c>
      <c r="G146" s="16" t="s">
        <v>104</v>
      </c>
      <c r="H146" s="95">
        <f t="shared" si="8"/>
        <v>2</v>
      </c>
      <c r="I146" s="15" t="s">
        <v>18</v>
      </c>
      <c r="J146" s="16" t="s">
        <v>29</v>
      </c>
      <c r="K146" s="88">
        <f t="shared" si="9"/>
        <v>3</v>
      </c>
      <c r="L146" s="16" t="s">
        <v>667</v>
      </c>
      <c r="M146" s="16" t="s">
        <v>25</v>
      </c>
      <c r="N146" s="96" t="s">
        <v>21</v>
      </c>
    </row>
    <row r="147" spans="1:14" x14ac:dyDescent="0.35">
      <c r="A147" s="90" t="s">
        <v>668</v>
      </c>
      <c r="B147" s="10" t="s">
        <v>13</v>
      </c>
      <c r="C147" s="11" t="s">
        <v>669</v>
      </c>
      <c r="D147" s="11" t="s">
        <v>34</v>
      </c>
      <c r="E147" s="12" t="s">
        <v>51</v>
      </c>
      <c r="F147" s="10">
        <f>+YEAR(Tabla2[[#This Row],[Cosecha]])</f>
        <v>2025</v>
      </c>
      <c r="G147" s="11" t="s">
        <v>23</v>
      </c>
      <c r="H147" s="91">
        <f t="shared" si="8"/>
        <v>11</v>
      </c>
      <c r="I147" s="10" t="s">
        <v>18</v>
      </c>
      <c r="J147" s="11" t="s">
        <v>52</v>
      </c>
      <c r="K147" s="88">
        <f t="shared" si="9"/>
        <v>12</v>
      </c>
      <c r="L147" s="11" t="s">
        <v>670</v>
      </c>
      <c r="M147" s="11" t="s">
        <v>44</v>
      </c>
      <c r="N147" s="92" t="s">
        <v>21</v>
      </c>
    </row>
    <row r="148" spans="1:14" x14ac:dyDescent="0.35">
      <c r="A148" s="94" t="s">
        <v>671</v>
      </c>
      <c r="B148" s="15" t="s">
        <v>13</v>
      </c>
      <c r="C148" s="16" t="s">
        <v>672</v>
      </c>
      <c r="D148" s="16" t="s">
        <v>34</v>
      </c>
      <c r="E148" s="17" t="s">
        <v>62</v>
      </c>
      <c r="F148" s="15">
        <f>+YEAR(Tabla2[[#This Row],[Cosecha]])</f>
        <v>2025</v>
      </c>
      <c r="G148" s="16" t="s">
        <v>52</v>
      </c>
      <c r="H148" s="95">
        <f t="shared" si="8"/>
        <v>7</v>
      </c>
      <c r="I148" s="15" t="s">
        <v>18</v>
      </c>
      <c r="J148" s="16" t="s">
        <v>52</v>
      </c>
      <c r="K148" s="88">
        <f t="shared" si="9"/>
        <v>7</v>
      </c>
      <c r="L148" s="16" t="s">
        <v>673</v>
      </c>
      <c r="M148" s="16" t="s">
        <v>44</v>
      </c>
      <c r="N148" s="96" t="s">
        <v>26</v>
      </c>
    </row>
    <row r="149" spans="1:14" x14ac:dyDescent="0.35">
      <c r="A149" s="90" t="s">
        <v>674</v>
      </c>
      <c r="B149" s="10" t="s">
        <v>13</v>
      </c>
      <c r="C149" s="11" t="s">
        <v>675</v>
      </c>
      <c r="D149" s="11" t="s">
        <v>15</v>
      </c>
      <c r="E149" s="12" t="s">
        <v>62</v>
      </c>
      <c r="F149" s="10">
        <f>+YEAR(Tabla2[[#This Row],[Cosecha]])</f>
        <v>2025</v>
      </c>
      <c r="G149" s="11" t="s">
        <v>113</v>
      </c>
      <c r="H149" s="91">
        <f t="shared" si="8"/>
        <v>5</v>
      </c>
      <c r="I149" s="10" t="s">
        <v>18</v>
      </c>
      <c r="J149" s="11" t="s">
        <v>30</v>
      </c>
      <c r="K149" s="88">
        <f t="shared" si="9"/>
        <v>8</v>
      </c>
      <c r="L149" s="11" t="s">
        <v>676</v>
      </c>
      <c r="M149" s="11" t="s">
        <v>25</v>
      </c>
      <c r="N149" s="92" t="s">
        <v>26</v>
      </c>
    </row>
    <row r="150" spans="1:14" x14ac:dyDescent="0.35">
      <c r="A150" s="94" t="s">
        <v>677</v>
      </c>
      <c r="B150" s="15" t="s">
        <v>13</v>
      </c>
      <c r="C150" s="16" t="s">
        <v>678</v>
      </c>
      <c r="D150" s="16" t="s">
        <v>34</v>
      </c>
      <c r="E150" s="17" t="s">
        <v>47</v>
      </c>
      <c r="F150" s="15">
        <f>+YEAR(Tabla2[[#This Row],[Cosecha]])</f>
        <v>2025</v>
      </c>
      <c r="G150" s="16" t="s">
        <v>118</v>
      </c>
      <c r="H150" s="95">
        <f t="shared" si="8"/>
        <v>6</v>
      </c>
      <c r="I150" s="15" t="s">
        <v>18</v>
      </c>
      <c r="J150" s="16" t="s">
        <v>113</v>
      </c>
      <c r="K150" s="88">
        <f t="shared" si="9"/>
        <v>9</v>
      </c>
      <c r="L150" s="16" t="s">
        <v>679</v>
      </c>
      <c r="M150" s="16" t="s">
        <v>130</v>
      </c>
      <c r="N150" s="96" t="s">
        <v>21</v>
      </c>
    </row>
    <row r="151" spans="1:14" x14ac:dyDescent="0.35">
      <c r="A151" s="90" t="s">
        <v>680</v>
      </c>
      <c r="B151" s="10" t="s">
        <v>13</v>
      </c>
      <c r="C151" s="11" t="s">
        <v>681</v>
      </c>
      <c r="D151" s="11" t="s">
        <v>34</v>
      </c>
      <c r="E151" s="12" t="s">
        <v>133</v>
      </c>
      <c r="F151" s="10">
        <f>+YEAR(Tabla2[[#This Row],[Cosecha]])</f>
        <v>2025</v>
      </c>
      <c r="G151" s="11" t="s">
        <v>97</v>
      </c>
      <c r="H151" s="91">
        <f t="shared" si="8"/>
        <v>4</v>
      </c>
      <c r="I151" s="10" t="s">
        <v>18</v>
      </c>
      <c r="J151" s="11" t="s">
        <v>118</v>
      </c>
      <c r="K151" s="88">
        <f t="shared" si="9"/>
        <v>5</v>
      </c>
      <c r="L151" s="11" t="s">
        <v>682</v>
      </c>
      <c r="M151" s="11" t="s">
        <v>44</v>
      </c>
      <c r="N151" s="92" t="s">
        <v>21</v>
      </c>
    </row>
    <row r="152" spans="1:14" x14ac:dyDescent="0.35">
      <c r="A152" s="94" t="s">
        <v>683</v>
      </c>
      <c r="B152" s="15" t="s">
        <v>13</v>
      </c>
      <c r="C152" s="16" t="s">
        <v>684</v>
      </c>
      <c r="D152" s="16" t="s">
        <v>34</v>
      </c>
      <c r="E152" s="17" t="s">
        <v>149</v>
      </c>
      <c r="F152" s="15">
        <f>+YEAR(Tabla2[[#This Row],[Cosecha]])</f>
        <v>2024</v>
      </c>
      <c r="G152" s="16" t="s">
        <v>62</v>
      </c>
      <c r="H152" s="95">
        <f t="shared" si="8"/>
        <v>10</v>
      </c>
      <c r="I152" s="15" t="s">
        <v>18</v>
      </c>
      <c r="J152" s="16" t="s">
        <v>97</v>
      </c>
      <c r="K152" s="88">
        <f t="shared" si="9"/>
        <v>11</v>
      </c>
      <c r="L152" s="16" t="s">
        <v>685</v>
      </c>
      <c r="M152" s="16" t="s">
        <v>115</v>
      </c>
      <c r="N152" s="96" t="s">
        <v>26</v>
      </c>
    </row>
    <row r="153" spans="1:14" x14ac:dyDescent="0.35">
      <c r="A153" s="90" t="s">
        <v>692</v>
      </c>
      <c r="B153" s="10" t="s">
        <v>13</v>
      </c>
      <c r="C153" s="11" t="s">
        <v>693</v>
      </c>
      <c r="D153" s="11" t="s">
        <v>34</v>
      </c>
      <c r="E153" s="12" t="s">
        <v>497</v>
      </c>
      <c r="F153" s="10">
        <f>+YEAR(Tabla2[[#This Row],[Cosecha]])</f>
        <v>2024</v>
      </c>
      <c r="G153" s="11" t="s">
        <v>52</v>
      </c>
      <c r="H153" s="91">
        <f t="shared" si="8"/>
        <v>18</v>
      </c>
      <c r="I153" s="10" t="s">
        <v>18</v>
      </c>
      <c r="J153" s="11" t="s">
        <v>17</v>
      </c>
      <c r="K153" s="88">
        <f t="shared" si="9"/>
        <v>20</v>
      </c>
      <c r="L153" s="11" t="s">
        <v>694</v>
      </c>
      <c r="M153" s="11" t="s">
        <v>39</v>
      </c>
      <c r="N153" s="92" t="s">
        <v>21</v>
      </c>
    </row>
    <row r="154" spans="1:14" x14ac:dyDescent="0.35">
      <c r="A154" s="94" t="s">
        <v>695</v>
      </c>
      <c r="B154" s="15" t="s">
        <v>13</v>
      </c>
      <c r="C154" s="16" t="s">
        <v>696</v>
      </c>
      <c r="D154" s="16" t="s">
        <v>34</v>
      </c>
      <c r="E154" s="17" t="s">
        <v>36</v>
      </c>
      <c r="F154" s="15">
        <f>+YEAR(Tabla2[[#This Row],[Cosecha]])</f>
        <v>2025</v>
      </c>
      <c r="G154" s="16" t="s">
        <v>52</v>
      </c>
      <c r="H154" s="95">
        <f t="shared" si="8"/>
        <v>4</v>
      </c>
      <c r="I154" s="15" t="s">
        <v>18</v>
      </c>
      <c r="J154" s="16" t="s">
        <v>30</v>
      </c>
      <c r="K154" s="88">
        <f t="shared" si="9"/>
        <v>5</v>
      </c>
      <c r="L154" s="16" t="s">
        <v>697</v>
      </c>
      <c r="M154" s="16" t="s">
        <v>115</v>
      </c>
      <c r="N154" s="96" t="s">
        <v>21</v>
      </c>
    </row>
    <row r="155" spans="1:14" x14ac:dyDescent="0.35">
      <c r="A155" s="90" t="s">
        <v>698</v>
      </c>
      <c r="B155" s="10" t="s">
        <v>13</v>
      </c>
      <c r="C155" s="11" t="s">
        <v>699</v>
      </c>
      <c r="D155" s="11" t="s">
        <v>34</v>
      </c>
      <c r="E155" s="12" t="s">
        <v>47</v>
      </c>
      <c r="F155" s="10">
        <f>+YEAR(Tabla2[[#This Row],[Cosecha]])</f>
        <v>2025</v>
      </c>
      <c r="G155" s="11" t="s">
        <v>29</v>
      </c>
      <c r="H155" s="91">
        <f t="shared" si="8"/>
        <v>3</v>
      </c>
      <c r="I155" s="10" t="s">
        <v>18</v>
      </c>
      <c r="J155" s="11" t="s">
        <v>29</v>
      </c>
      <c r="K155" s="88">
        <f t="shared" si="9"/>
        <v>3</v>
      </c>
      <c r="L155" s="11" t="s">
        <v>700</v>
      </c>
      <c r="M155" s="11" t="s">
        <v>25</v>
      </c>
      <c r="N155" s="92" t="s">
        <v>21</v>
      </c>
    </row>
    <row r="156" spans="1:14" x14ac:dyDescent="0.35">
      <c r="A156" s="94" t="s">
        <v>701</v>
      </c>
      <c r="B156" s="15" t="s">
        <v>13</v>
      </c>
      <c r="C156" s="16" t="s">
        <v>702</v>
      </c>
      <c r="D156" s="16" t="s">
        <v>34</v>
      </c>
      <c r="E156" s="17" t="s">
        <v>97</v>
      </c>
      <c r="F156" s="15">
        <f>+YEAR(Tabla2[[#This Row],[Cosecha]])</f>
        <v>2025</v>
      </c>
      <c r="G156" s="16" t="s">
        <v>17</v>
      </c>
      <c r="H156" s="95">
        <f t="shared" si="8"/>
        <v>8</v>
      </c>
      <c r="I156" s="15" t="s">
        <v>18</v>
      </c>
      <c r="J156" s="16" t="s">
        <v>17</v>
      </c>
      <c r="K156" s="88">
        <f t="shared" si="9"/>
        <v>8</v>
      </c>
      <c r="L156" s="16" t="s">
        <v>703</v>
      </c>
      <c r="M156" s="16" t="s">
        <v>115</v>
      </c>
      <c r="N156" s="96" t="s">
        <v>21</v>
      </c>
    </row>
    <row r="157" spans="1:14" x14ac:dyDescent="0.35">
      <c r="A157" s="90" t="s">
        <v>704</v>
      </c>
      <c r="B157" s="10" t="s">
        <v>13</v>
      </c>
      <c r="C157" s="11" t="s">
        <v>705</v>
      </c>
      <c r="D157" s="11" t="s">
        <v>15</v>
      </c>
      <c r="E157" s="12" t="s">
        <v>97</v>
      </c>
      <c r="F157" s="10">
        <f>+YEAR(Tabla2[[#This Row],[Cosecha]])</f>
        <v>2025</v>
      </c>
      <c r="G157" s="11" t="s">
        <v>113</v>
      </c>
      <c r="H157" s="91">
        <f t="shared" si="8"/>
        <v>4</v>
      </c>
      <c r="I157" s="10" t="s">
        <v>18</v>
      </c>
      <c r="J157" s="11" t="s">
        <v>52</v>
      </c>
      <c r="K157" s="88">
        <f t="shared" si="9"/>
        <v>6</v>
      </c>
      <c r="L157" s="11" t="s">
        <v>667</v>
      </c>
      <c r="M157" s="11" t="s">
        <v>25</v>
      </c>
      <c r="N157" s="92" t="s">
        <v>21</v>
      </c>
    </row>
    <row r="158" spans="1:14" x14ac:dyDescent="0.35">
      <c r="A158" s="94" t="s">
        <v>706</v>
      </c>
      <c r="B158" s="15" t="s">
        <v>13</v>
      </c>
      <c r="C158" s="16" t="s">
        <v>707</v>
      </c>
      <c r="D158" s="16" t="s">
        <v>34</v>
      </c>
      <c r="E158" s="17" t="s">
        <v>252</v>
      </c>
      <c r="F158" s="15">
        <f>+YEAR(Tabla2[[#This Row],[Cosecha]])</f>
        <v>2024</v>
      </c>
      <c r="G158" s="16" t="s">
        <v>97</v>
      </c>
      <c r="H158" s="95">
        <f t="shared" si="8"/>
        <v>13</v>
      </c>
      <c r="I158" s="15" t="s">
        <v>18</v>
      </c>
      <c r="J158" s="16" t="s">
        <v>97</v>
      </c>
      <c r="K158" s="88">
        <f t="shared" si="9"/>
        <v>13</v>
      </c>
      <c r="L158" s="16" t="s">
        <v>708</v>
      </c>
      <c r="M158" s="16" t="s">
        <v>130</v>
      </c>
      <c r="N158" s="96" t="s">
        <v>21</v>
      </c>
    </row>
    <row r="159" spans="1:14" x14ac:dyDescent="0.35">
      <c r="A159" s="90" t="s">
        <v>709</v>
      </c>
      <c r="B159" s="10" t="s">
        <v>13</v>
      </c>
      <c r="C159" s="11" t="s">
        <v>710</v>
      </c>
      <c r="D159" s="11" t="s">
        <v>15</v>
      </c>
      <c r="E159" s="12" t="s">
        <v>62</v>
      </c>
      <c r="F159" s="10">
        <f>+YEAR(Tabla2[[#This Row],[Cosecha]])</f>
        <v>2025</v>
      </c>
      <c r="G159" s="11" t="s">
        <v>37</v>
      </c>
      <c r="H159" s="91">
        <f t="shared" si="8"/>
        <v>4</v>
      </c>
      <c r="I159" s="10" t="s">
        <v>18</v>
      </c>
      <c r="J159" s="11" t="s">
        <v>113</v>
      </c>
      <c r="K159" s="88">
        <f t="shared" si="9"/>
        <v>5</v>
      </c>
      <c r="L159" s="11" t="s">
        <v>711</v>
      </c>
      <c r="M159" s="11" t="s">
        <v>25</v>
      </c>
      <c r="N159" s="92" t="s">
        <v>26</v>
      </c>
    </row>
    <row r="160" spans="1:14" x14ac:dyDescent="0.35">
      <c r="A160" s="94" t="s">
        <v>712</v>
      </c>
      <c r="B160" s="15" t="s">
        <v>13</v>
      </c>
      <c r="C160" s="16" t="s">
        <v>713</v>
      </c>
      <c r="D160" s="16" t="s">
        <v>34</v>
      </c>
      <c r="E160" s="17" t="s">
        <v>118</v>
      </c>
      <c r="F160" s="15">
        <f>+YEAR(Tabla2[[#This Row],[Cosecha]])</f>
        <v>2025</v>
      </c>
      <c r="G160" s="16" t="s">
        <v>37</v>
      </c>
      <c r="H160" s="95">
        <f t="shared" si="8"/>
        <v>2</v>
      </c>
      <c r="I160" s="15" t="s">
        <v>18</v>
      </c>
      <c r="J160" s="16" t="s">
        <v>23</v>
      </c>
      <c r="K160" s="88">
        <f t="shared" si="9"/>
        <v>4</v>
      </c>
      <c r="L160" s="16" t="s">
        <v>714</v>
      </c>
      <c r="M160" s="16" t="s">
        <v>115</v>
      </c>
      <c r="N160" s="96" t="s">
        <v>26</v>
      </c>
    </row>
    <row r="161" spans="1:14" x14ac:dyDescent="0.35">
      <c r="A161" s="90" t="s">
        <v>715</v>
      </c>
      <c r="B161" s="10" t="s">
        <v>13</v>
      </c>
      <c r="C161" s="11" t="s">
        <v>716</v>
      </c>
      <c r="D161" s="11" t="s">
        <v>34</v>
      </c>
      <c r="E161" s="12" t="s">
        <v>82</v>
      </c>
      <c r="F161" s="10">
        <f>+YEAR(Tabla2[[#This Row],[Cosecha]])</f>
        <v>2024</v>
      </c>
      <c r="G161" s="11" t="s">
        <v>133</v>
      </c>
      <c r="H161" s="91">
        <f t="shared" si="8"/>
        <v>4</v>
      </c>
      <c r="I161" s="10" t="s">
        <v>18</v>
      </c>
      <c r="J161" s="11" t="s">
        <v>104</v>
      </c>
      <c r="K161" s="88">
        <f t="shared" si="9"/>
        <v>5</v>
      </c>
      <c r="L161" s="11" t="s">
        <v>717</v>
      </c>
      <c r="M161" s="11" t="s">
        <v>130</v>
      </c>
      <c r="N161" s="92" t="s">
        <v>26</v>
      </c>
    </row>
    <row r="162" spans="1:14" x14ac:dyDescent="0.35">
      <c r="A162" s="94" t="s">
        <v>718</v>
      </c>
      <c r="B162" s="15" t="s">
        <v>13</v>
      </c>
      <c r="C162" s="16" t="s">
        <v>719</v>
      </c>
      <c r="D162" s="16" t="s">
        <v>34</v>
      </c>
      <c r="E162" s="17" t="s">
        <v>178</v>
      </c>
      <c r="F162" s="15">
        <f>+YEAR(Tabla2[[#This Row],[Cosecha]])</f>
        <v>2024</v>
      </c>
      <c r="G162" s="16" t="s">
        <v>30</v>
      </c>
      <c r="H162" s="95">
        <f t="shared" si="8"/>
        <v>16</v>
      </c>
      <c r="I162" s="15" t="s">
        <v>18</v>
      </c>
      <c r="J162" s="16" t="s">
        <v>30</v>
      </c>
      <c r="K162" s="88">
        <f t="shared" si="9"/>
        <v>16</v>
      </c>
      <c r="L162" s="16" t="s">
        <v>720</v>
      </c>
      <c r="M162" s="16" t="s">
        <v>25</v>
      </c>
      <c r="N162" s="96" t="s">
        <v>21</v>
      </c>
    </row>
    <row r="163" spans="1:14" x14ac:dyDescent="0.35">
      <c r="A163" s="90" t="s">
        <v>721</v>
      </c>
      <c r="B163" s="10" t="s">
        <v>13</v>
      </c>
      <c r="C163" s="11" t="s">
        <v>722</v>
      </c>
      <c r="D163" s="11" t="s">
        <v>15</v>
      </c>
      <c r="E163" s="12" t="s">
        <v>62</v>
      </c>
      <c r="F163" s="10">
        <f>+YEAR(Tabla2[[#This Row],[Cosecha]])</f>
        <v>2025</v>
      </c>
      <c r="G163" s="11" t="s">
        <v>52</v>
      </c>
      <c r="H163" s="91">
        <f t="shared" si="8"/>
        <v>7</v>
      </c>
      <c r="I163" s="10" t="s">
        <v>18</v>
      </c>
      <c r="J163" s="11" t="s">
        <v>30</v>
      </c>
      <c r="K163" s="88">
        <f t="shared" si="9"/>
        <v>8</v>
      </c>
      <c r="L163" s="11" t="s">
        <v>723</v>
      </c>
      <c r="M163" s="11" t="s">
        <v>25</v>
      </c>
      <c r="N163" s="92" t="s">
        <v>26</v>
      </c>
    </row>
    <row r="164" spans="1:14" x14ac:dyDescent="0.35">
      <c r="A164" s="94" t="s">
        <v>728</v>
      </c>
      <c r="B164" s="15" t="s">
        <v>13</v>
      </c>
      <c r="C164" s="16" t="s">
        <v>729</v>
      </c>
      <c r="D164" s="16" t="s">
        <v>34</v>
      </c>
      <c r="E164" s="17" t="s">
        <v>104</v>
      </c>
      <c r="F164" s="15">
        <f>+YEAR(Tabla2[[#This Row],[Cosecha]])</f>
        <v>2025</v>
      </c>
      <c r="G164" s="16" t="s">
        <v>29</v>
      </c>
      <c r="H164" s="95">
        <f t="shared" si="8"/>
        <v>1</v>
      </c>
      <c r="I164" s="15" t="s">
        <v>18</v>
      </c>
      <c r="J164" s="16" t="s">
        <v>29</v>
      </c>
      <c r="K164" s="88">
        <f t="shared" si="9"/>
        <v>1</v>
      </c>
      <c r="L164" s="16" t="s">
        <v>730</v>
      </c>
      <c r="M164" s="16" t="s">
        <v>115</v>
      </c>
      <c r="N164" s="96" t="s">
        <v>26</v>
      </c>
    </row>
    <row r="165" spans="1:14" x14ac:dyDescent="0.35">
      <c r="A165" s="90" t="s">
        <v>731</v>
      </c>
      <c r="B165" s="10" t="s">
        <v>13</v>
      </c>
      <c r="C165" s="11" t="s">
        <v>732</v>
      </c>
      <c r="D165" s="11" t="s">
        <v>34</v>
      </c>
      <c r="E165" s="12" t="s">
        <v>47</v>
      </c>
      <c r="F165" s="10">
        <f>+YEAR(Tabla2[[#This Row],[Cosecha]])</f>
        <v>2025</v>
      </c>
      <c r="G165" s="11" t="s">
        <v>97</v>
      </c>
      <c r="H165" s="91">
        <f t="shared" si="8"/>
        <v>5</v>
      </c>
      <c r="I165" s="10" t="s">
        <v>18</v>
      </c>
      <c r="J165" s="11" t="s">
        <v>97</v>
      </c>
      <c r="K165" s="88">
        <f t="shared" si="9"/>
        <v>5</v>
      </c>
      <c r="L165" s="11" t="s">
        <v>733</v>
      </c>
      <c r="M165" s="11" t="s">
        <v>44</v>
      </c>
      <c r="N165" s="92" t="s">
        <v>21</v>
      </c>
    </row>
    <row r="166" spans="1:14" x14ac:dyDescent="0.35">
      <c r="A166" s="94" t="s">
        <v>734</v>
      </c>
      <c r="B166" s="15" t="s">
        <v>13</v>
      </c>
      <c r="C166" s="16" t="s">
        <v>735</v>
      </c>
      <c r="D166" s="16" t="s">
        <v>78</v>
      </c>
      <c r="E166" s="17" t="s">
        <v>453</v>
      </c>
      <c r="F166" s="15">
        <f>+YEAR(Tabla2[[#This Row],[Cosecha]])</f>
        <v>2024</v>
      </c>
      <c r="G166" s="16" t="s">
        <v>52</v>
      </c>
      <c r="H166" s="95">
        <f t="shared" si="8"/>
        <v>22</v>
      </c>
      <c r="I166" s="15" t="s">
        <v>18</v>
      </c>
      <c r="J166" s="16" t="s">
        <v>30</v>
      </c>
      <c r="K166" s="88">
        <f t="shared" si="9"/>
        <v>23</v>
      </c>
      <c r="L166" s="16" t="s">
        <v>736</v>
      </c>
      <c r="M166" s="16" t="s">
        <v>25</v>
      </c>
      <c r="N166" s="96" t="s">
        <v>21</v>
      </c>
    </row>
    <row r="167" spans="1:14" x14ac:dyDescent="0.35">
      <c r="A167" s="90" t="s">
        <v>737</v>
      </c>
      <c r="B167" s="10" t="s">
        <v>13</v>
      </c>
      <c r="C167" s="11" t="s">
        <v>738</v>
      </c>
      <c r="D167" s="11" t="s">
        <v>34</v>
      </c>
      <c r="E167" s="12" t="s">
        <v>47</v>
      </c>
      <c r="F167" s="10">
        <f>+YEAR(Tabla2[[#This Row],[Cosecha]])</f>
        <v>2025</v>
      </c>
      <c r="G167" s="11" t="s">
        <v>17</v>
      </c>
      <c r="H167" s="91">
        <f t="shared" si="8"/>
        <v>13</v>
      </c>
      <c r="I167" s="10" t="s">
        <v>18</v>
      </c>
      <c r="J167" s="11" t="s">
        <v>17</v>
      </c>
      <c r="K167" s="88">
        <f t="shared" si="9"/>
        <v>13</v>
      </c>
      <c r="L167" s="11" t="s">
        <v>739</v>
      </c>
      <c r="M167" s="11" t="s">
        <v>130</v>
      </c>
      <c r="N167" s="92" t="s">
        <v>21</v>
      </c>
    </row>
    <row r="168" spans="1:14" x14ac:dyDescent="0.35">
      <c r="A168" s="94" t="s">
        <v>746</v>
      </c>
      <c r="B168" s="15" t="s">
        <v>13</v>
      </c>
      <c r="C168" s="16" t="s">
        <v>747</v>
      </c>
      <c r="D168" s="16" t="s">
        <v>34</v>
      </c>
      <c r="E168" s="17" t="s">
        <v>165</v>
      </c>
      <c r="F168" s="15">
        <f>+YEAR(Tabla2[[#This Row],[Cosecha]])</f>
        <v>2024</v>
      </c>
      <c r="G168" s="16" t="s">
        <v>97</v>
      </c>
      <c r="H168" s="95">
        <f t="shared" si="8"/>
        <v>18</v>
      </c>
      <c r="I168" s="15" t="s">
        <v>18</v>
      </c>
      <c r="J168" s="16" t="s">
        <v>118</v>
      </c>
      <c r="K168" s="88">
        <f t="shared" si="9"/>
        <v>19</v>
      </c>
      <c r="L168" s="16" t="s">
        <v>748</v>
      </c>
      <c r="M168" s="16" t="s">
        <v>25</v>
      </c>
      <c r="N168" s="96" t="s">
        <v>21</v>
      </c>
    </row>
    <row r="169" spans="1:14" x14ac:dyDescent="0.35">
      <c r="A169" s="90" t="s">
        <v>749</v>
      </c>
      <c r="B169" s="10" t="s">
        <v>13</v>
      </c>
      <c r="C169" s="11" t="s">
        <v>750</v>
      </c>
      <c r="D169" s="11" t="s">
        <v>34</v>
      </c>
      <c r="E169" s="12" t="s">
        <v>35</v>
      </c>
      <c r="F169" s="10">
        <f>+YEAR(Tabla2[[#This Row],[Cosecha]])</f>
        <v>2024</v>
      </c>
      <c r="G169" s="11" t="s">
        <v>17</v>
      </c>
      <c r="H169" s="91">
        <f t="shared" si="8"/>
        <v>18</v>
      </c>
      <c r="I169" s="10" t="s">
        <v>18</v>
      </c>
      <c r="J169" s="11" t="s">
        <v>17</v>
      </c>
      <c r="K169" s="88">
        <f t="shared" si="9"/>
        <v>18</v>
      </c>
      <c r="L169" s="11" t="s">
        <v>751</v>
      </c>
      <c r="M169" s="11" t="s">
        <v>130</v>
      </c>
      <c r="N169" s="92" t="s">
        <v>26</v>
      </c>
    </row>
    <row r="170" spans="1:14" x14ac:dyDescent="0.35">
      <c r="A170" s="94" t="s">
        <v>752</v>
      </c>
      <c r="B170" s="15" t="s">
        <v>13</v>
      </c>
      <c r="C170" s="16" t="s">
        <v>753</v>
      </c>
      <c r="D170" s="16" t="s">
        <v>34</v>
      </c>
      <c r="E170" s="17" t="s">
        <v>62</v>
      </c>
      <c r="F170" s="15">
        <f>+YEAR(Tabla2[[#This Row],[Cosecha]])</f>
        <v>2025</v>
      </c>
      <c r="G170" s="16" t="s">
        <v>37</v>
      </c>
      <c r="H170" s="95">
        <f t="shared" si="8"/>
        <v>4</v>
      </c>
      <c r="I170" s="15" t="s">
        <v>18</v>
      </c>
      <c r="J170" s="16" t="s">
        <v>113</v>
      </c>
      <c r="K170" s="88">
        <f t="shared" si="9"/>
        <v>5</v>
      </c>
      <c r="L170" s="16" t="s">
        <v>754</v>
      </c>
      <c r="M170" s="16" t="s">
        <v>115</v>
      </c>
      <c r="N170" s="96" t="s">
        <v>21</v>
      </c>
    </row>
    <row r="171" spans="1:14" x14ac:dyDescent="0.35">
      <c r="A171" s="90" t="s">
        <v>755</v>
      </c>
      <c r="B171" s="10" t="s">
        <v>13</v>
      </c>
      <c r="C171" s="11" t="s">
        <v>756</v>
      </c>
      <c r="D171" s="11" t="s">
        <v>34</v>
      </c>
      <c r="E171" s="12" t="s">
        <v>62</v>
      </c>
      <c r="F171" s="10">
        <f>+YEAR(Tabla2[[#This Row],[Cosecha]])</f>
        <v>2025</v>
      </c>
      <c r="G171" s="11" t="s">
        <v>52</v>
      </c>
      <c r="H171" s="91">
        <f t="shared" si="8"/>
        <v>7</v>
      </c>
      <c r="I171" s="10" t="s">
        <v>18</v>
      </c>
      <c r="J171" s="11" t="s">
        <v>52</v>
      </c>
      <c r="K171" s="88">
        <f t="shared" si="9"/>
        <v>7</v>
      </c>
      <c r="L171" s="11" t="s">
        <v>757</v>
      </c>
      <c r="M171" s="11" t="s">
        <v>44</v>
      </c>
      <c r="N171" s="92" t="s">
        <v>26</v>
      </c>
    </row>
    <row r="172" spans="1:14" x14ac:dyDescent="0.35">
      <c r="A172" s="94" t="s">
        <v>758</v>
      </c>
      <c r="B172" s="15" t="s">
        <v>13</v>
      </c>
      <c r="C172" s="16" t="s">
        <v>759</v>
      </c>
      <c r="D172" s="16" t="s">
        <v>34</v>
      </c>
      <c r="E172" s="17" t="s">
        <v>37</v>
      </c>
      <c r="F172" s="15">
        <f>+YEAR(Tabla2[[#This Row],[Cosecha]])</f>
        <v>2025</v>
      </c>
      <c r="G172" s="16" t="s">
        <v>17</v>
      </c>
      <c r="H172" s="95">
        <f t="shared" si="8"/>
        <v>5</v>
      </c>
      <c r="I172" s="15" t="s">
        <v>18</v>
      </c>
      <c r="J172" s="16" t="s">
        <v>17</v>
      </c>
      <c r="K172" s="88">
        <f t="shared" si="9"/>
        <v>5</v>
      </c>
      <c r="L172" s="16" t="s">
        <v>760</v>
      </c>
      <c r="M172" s="16" t="s">
        <v>72</v>
      </c>
      <c r="N172" s="96" t="s">
        <v>21</v>
      </c>
    </row>
    <row r="173" spans="1:14" x14ac:dyDescent="0.35">
      <c r="A173" s="90" t="s">
        <v>764</v>
      </c>
      <c r="B173" s="10" t="s">
        <v>13</v>
      </c>
      <c r="C173" s="11" t="s">
        <v>765</v>
      </c>
      <c r="D173" s="11" t="s">
        <v>34</v>
      </c>
      <c r="E173" s="12" t="s">
        <v>118</v>
      </c>
      <c r="F173" s="10">
        <f>+YEAR(Tabla2[[#This Row],[Cosecha]])</f>
        <v>2025</v>
      </c>
      <c r="G173" s="11" t="s">
        <v>37</v>
      </c>
      <c r="H173" s="91">
        <f t="shared" si="8"/>
        <v>2</v>
      </c>
      <c r="I173" s="10" t="s">
        <v>18</v>
      </c>
      <c r="J173" s="11" t="s">
        <v>52</v>
      </c>
      <c r="K173" s="88">
        <f t="shared" si="9"/>
        <v>5</v>
      </c>
      <c r="L173" s="11" t="s">
        <v>417</v>
      </c>
      <c r="M173" s="11" t="s">
        <v>25</v>
      </c>
      <c r="N173" s="92" t="s">
        <v>21</v>
      </c>
    </row>
    <row r="174" spans="1:14" x14ac:dyDescent="0.35">
      <c r="A174" s="94" t="s">
        <v>766</v>
      </c>
      <c r="B174" s="15" t="s">
        <v>13</v>
      </c>
      <c r="C174" s="16" t="s">
        <v>767</v>
      </c>
      <c r="D174" s="16" t="s">
        <v>34</v>
      </c>
      <c r="E174" s="17" t="s">
        <v>62</v>
      </c>
      <c r="F174" s="15">
        <f>+YEAR(Tabla2[[#This Row],[Cosecha]])</f>
        <v>2025</v>
      </c>
      <c r="G174" s="16" t="s">
        <v>118</v>
      </c>
      <c r="H174" s="95">
        <f t="shared" si="8"/>
        <v>2</v>
      </c>
      <c r="I174" s="15" t="s">
        <v>18</v>
      </c>
      <c r="J174" s="16" t="s">
        <v>36</v>
      </c>
      <c r="K174" s="88">
        <f t="shared" si="9"/>
        <v>3</v>
      </c>
      <c r="L174" s="16" t="s">
        <v>768</v>
      </c>
      <c r="M174" s="16" t="s">
        <v>44</v>
      </c>
      <c r="N174" s="96" t="s">
        <v>21</v>
      </c>
    </row>
    <row r="175" spans="1:14" x14ac:dyDescent="0.35">
      <c r="A175" s="90" t="s">
        <v>772</v>
      </c>
      <c r="B175" s="10" t="s">
        <v>13</v>
      </c>
      <c r="C175" s="11" t="s">
        <v>773</v>
      </c>
      <c r="D175" s="11" t="s">
        <v>34</v>
      </c>
      <c r="E175" s="12" t="s">
        <v>47</v>
      </c>
      <c r="F175" s="10">
        <f>+YEAR(Tabla2[[#This Row],[Cosecha]])</f>
        <v>2025</v>
      </c>
      <c r="G175" s="11" t="s">
        <v>29</v>
      </c>
      <c r="H175" s="91">
        <f t="shared" si="8"/>
        <v>3</v>
      </c>
      <c r="I175" s="10" t="s">
        <v>18</v>
      </c>
      <c r="J175" s="11" t="s">
        <v>62</v>
      </c>
      <c r="K175" s="88">
        <f t="shared" si="9"/>
        <v>4</v>
      </c>
      <c r="L175" s="11" t="s">
        <v>774</v>
      </c>
      <c r="M175" s="11" t="s">
        <v>115</v>
      </c>
      <c r="N175" s="92" t="s">
        <v>21</v>
      </c>
    </row>
    <row r="176" spans="1:14" x14ac:dyDescent="0.35">
      <c r="A176" s="94" t="s">
        <v>782</v>
      </c>
      <c r="B176" s="15" t="s">
        <v>13</v>
      </c>
      <c r="C176" s="16" t="s">
        <v>783</v>
      </c>
      <c r="D176" s="16" t="s">
        <v>34</v>
      </c>
      <c r="E176" s="17" t="s">
        <v>37</v>
      </c>
      <c r="F176" s="15">
        <f>+YEAR(Tabla2[[#This Row],[Cosecha]])</f>
        <v>2025</v>
      </c>
      <c r="G176" s="16" t="s">
        <v>17</v>
      </c>
      <c r="H176" s="95">
        <f t="shared" si="8"/>
        <v>5</v>
      </c>
      <c r="I176" s="15" t="s">
        <v>18</v>
      </c>
      <c r="J176" s="16" t="s">
        <v>17</v>
      </c>
      <c r="K176" s="88">
        <f t="shared" si="9"/>
        <v>5</v>
      </c>
      <c r="L176" s="16" t="s">
        <v>784</v>
      </c>
      <c r="M176" s="16" t="s">
        <v>72</v>
      </c>
      <c r="N176" s="96" t="s">
        <v>21</v>
      </c>
    </row>
    <row r="177" spans="1:14" x14ac:dyDescent="0.35">
      <c r="A177" s="90" t="s">
        <v>785</v>
      </c>
      <c r="B177" s="10" t="s">
        <v>13</v>
      </c>
      <c r="C177" s="11" t="s">
        <v>786</v>
      </c>
      <c r="D177" s="11" t="s">
        <v>90</v>
      </c>
      <c r="E177" s="12" t="s">
        <v>29</v>
      </c>
      <c r="F177" s="10">
        <f>+YEAR(Tabla2[[#This Row],[Cosecha]])</f>
        <v>2025</v>
      </c>
      <c r="G177" s="11" t="s">
        <v>17</v>
      </c>
      <c r="H177" s="91">
        <f t="shared" si="8"/>
        <v>10</v>
      </c>
      <c r="I177" s="10" t="s">
        <v>18</v>
      </c>
      <c r="J177" s="11" t="s">
        <v>17</v>
      </c>
      <c r="K177" s="88">
        <f t="shared" si="9"/>
        <v>10</v>
      </c>
      <c r="L177" s="11" t="s">
        <v>787</v>
      </c>
      <c r="M177" s="11" t="s">
        <v>25</v>
      </c>
      <c r="N177" s="92" t="s">
        <v>26</v>
      </c>
    </row>
    <row r="178" spans="1:14" x14ac:dyDescent="0.35">
      <c r="A178" s="94" t="s">
        <v>788</v>
      </c>
      <c r="B178" s="15" t="s">
        <v>13</v>
      </c>
      <c r="C178" s="16" t="s">
        <v>789</v>
      </c>
      <c r="D178" s="16" t="s">
        <v>15</v>
      </c>
      <c r="E178" s="17" t="s">
        <v>29</v>
      </c>
      <c r="F178" s="15">
        <f>+YEAR(Tabla2[[#This Row],[Cosecha]])</f>
        <v>2025</v>
      </c>
      <c r="G178" s="16" t="s">
        <v>36</v>
      </c>
      <c r="H178" s="95">
        <f t="shared" si="8"/>
        <v>4</v>
      </c>
      <c r="I178" s="15" t="s">
        <v>18</v>
      </c>
      <c r="J178" s="16" t="s">
        <v>36</v>
      </c>
      <c r="K178" s="88">
        <f t="shared" si="9"/>
        <v>4</v>
      </c>
      <c r="L178" s="16" t="s">
        <v>790</v>
      </c>
      <c r="M178" s="16" t="s">
        <v>25</v>
      </c>
      <c r="N178" s="96" t="s">
        <v>21</v>
      </c>
    </row>
    <row r="179" spans="1:14" x14ac:dyDescent="0.35">
      <c r="A179" s="90" t="s">
        <v>795</v>
      </c>
      <c r="B179" s="10" t="s">
        <v>13</v>
      </c>
      <c r="C179" s="11" t="s">
        <v>796</v>
      </c>
      <c r="D179" s="11" t="s">
        <v>34</v>
      </c>
      <c r="E179" s="12" t="s">
        <v>178</v>
      </c>
      <c r="F179" s="10">
        <f>+YEAR(Tabla2[[#This Row],[Cosecha]])</f>
        <v>2024</v>
      </c>
      <c r="G179" s="11" t="s">
        <v>133</v>
      </c>
      <c r="H179" s="91">
        <f t="shared" si="8"/>
        <v>5</v>
      </c>
      <c r="I179" s="10" t="s">
        <v>18</v>
      </c>
      <c r="J179" s="11" t="s">
        <v>133</v>
      </c>
      <c r="K179" s="88">
        <f t="shared" si="9"/>
        <v>5</v>
      </c>
      <c r="L179" s="11" t="s">
        <v>797</v>
      </c>
      <c r="M179" s="11" t="s">
        <v>130</v>
      </c>
      <c r="N179" s="92" t="s">
        <v>26</v>
      </c>
    </row>
    <row r="180" spans="1:14" x14ac:dyDescent="0.35">
      <c r="A180" s="94" t="s">
        <v>798</v>
      </c>
      <c r="B180" s="15" t="s">
        <v>13</v>
      </c>
      <c r="C180" s="16" t="s">
        <v>799</v>
      </c>
      <c r="D180" s="16" t="s">
        <v>34</v>
      </c>
      <c r="E180" s="17" t="s">
        <v>133</v>
      </c>
      <c r="F180" s="15">
        <f>+YEAR(Tabla2[[#This Row],[Cosecha]])</f>
        <v>2025</v>
      </c>
      <c r="G180" s="16" t="s">
        <v>118</v>
      </c>
      <c r="H180" s="95">
        <f t="shared" si="8"/>
        <v>5</v>
      </c>
      <c r="I180" s="15" t="s">
        <v>18</v>
      </c>
      <c r="J180" s="16" t="s">
        <v>36</v>
      </c>
      <c r="K180" s="88">
        <f t="shared" si="9"/>
        <v>6</v>
      </c>
      <c r="L180" s="16" t="s">
        <v>800</v>
      </c>
      <c r="M180" s="16" t="s">
        <v>115</v>
      </c>
      <c r="N180" s="96" t="s">
        <v>21</v>
      </c>
    </row>
    <row r="181" spans="1:14" x14ac:dyDescent="0.35">
      <c r="A181" s="90" t="s">
        <v>801</v>
      </c>
      <c r="B181" s="10" t="s">
        <v>13</v>
      </c>
      <c r="C181" s="11" t="s">
        <v>802</v>
      </c>
      <c r="D181" s="11" t="s">
        <v>34</v>
      </c>
      <c r="E181" s="12" t="s">
        <v>35</v>
      </c>
      <c r="F181" s="10">
        <f>+YEAR(Tabla2[[#This Row],[Cosecha]])</f>
        <v>2024</v>
      </c>
      <c r="G181" s="11" t="s">
        <v>17</v>
      </c>
      <c r="H181" s="91">
        <f t="shared" si="8"/>
        <v>18</v>
      </c>
      <c r="I181" s="10" t="s">
        <v>18</v>
      </c>
      <c r="J181" s="11" t="s">
        <v>17</v>
      </c>
      <c r="K181" s="88">
        <f t="shared" si="9"/>
        <v>18</v>
      </c>
      <c r="L181" s="11" t="s">
        <v>803</v>
      </c>
      <c r="M181" s="11" t="s">
        <v>130</v>
      </c>
      <c r="N181" s="92" t="s">
        <v>21</v>
      </c>
    </row>
    <row r="182" spans="1:14" x14ac:dyDescent="0.35">
      <c r="A182" s="94" t="s">
        <v>807</v>
      </c>
      <c r="B182" s="15" t="s">
        <v>13</v>
      </c>
      <c r="C182" s="16" t="s">
        <v>808</v>
      </c>
      <c r="D182" s="16" t="s">
        <v>34</v>
      </c>
      <c r="E182" s="17" t="s">
        <v>497</v>
      </c>
      <c r="F182" s="15">
        <f>+YEAR(Tabla2[[#This Row],[Cosecha]])</f>
        <v>2024</v>
      </c>
      <c r="G182" s="16" t="s">
        <v>62</v>
      </c>
      <c r="H182" s="95">
        <f t="shared" si="8"/>
        <v>11</v>
      </c>
      <c r="I182" s="15" t="s">
        <v>18</v>
      </c>
      <c r="J182" s="16" t="s">
        <v>62</v>
      </c>
      <c r="K182" s="88">
        <f t="shared" si="9"/>
        <v>11</v>
      </c>
      <c r="L182" s="16" t="s">
        <v>809</v>
      </c>
      <c r="M182" s="16" t="s">
        <v>130</v>
      </c>
      <c r="N182" s="96" t="s">
        <v>21</v>
      </c>
    </row>
    <row r="183" spans="1:14" x14ac:dyDescent="0.35">
      <c r="A183" s="90" t="s">
        <v>813</v>
      </c>
      <c r="B183" s="10" t="s">
        <v>13</v>
      </c>
      <c r="C183" s="11" t="s">
        <v>814</v>
      </c>
      <c r="D183" s="11" t="s">
        <v>34</v>
      </c>
      <c r="E183" s="12" t="s">
        <v>36</v>
      </c>
      <c r="F183" s="10">
        <f>+YEAR(Tabla2[[#This Row],[Cosecha]])</f>
        <v>2025</v>
      </c>
      <c r="G183" s="11" t="s">
        <v>70</v>
      </c>
      <c r="H183" s="91">
        <f t="shared" si="8"/>
        <v>7</v>
      </c>
      <c r="I183" s="10" t="s">
        <v>18</v>
      </c>
      <c r="J183" s="11" t="s">
        <v>70</v>
      </c>
      <c r="K183" s="88">
        <f t="shared" si="9"/>
        <v>7</v>
      </c>
      <c r="L183" s="11" t="s">
        <v>815</v>
      </c>
      <c r="M183" s="11" t="s">
        <v>115</v>
      </c>
      <c r="N183" s="92" t="s">
        <v>21</v>
      </c>
    </row>
    <row r="184" spans="1:14" x14ac:dyDescent="0.35">
      <c r="A184" s="94" t="s">
        <v>816</v>
      </c>
      <c r="B184" s="15" t="s">
        <v>13</v>
      </c>
      <c r="C184" s="16" t="s">
        <v>817</v>
      </c>
      <c r="D184" s="16" t="s">
        <v>34</v>
      </c>
      <c r="E184" s="17" t="s">
        <v>62</v>
      </c>
      <c r="F184" s="15">
        <f>+YEAR(Tabla2[[#This Row],[Cosecha]])</f>
        <v>2025</v>
      </c>
      <c r="G184" s="16" t="s">
        <v>30</v>
      </c>
      <c r="H184" s="95">
        <f t="shared" si="8"/>
        <v>8</v>
      </c>
      <c r="I184" s="15" t="s">
        <v>18</v>
      </c>
      <c r="J184" s="16" t="s">
        <v>30</v>
      </c>
      <c r="K184" s="88">
        <f t="shared" si="9"/>
        <v>8</v>
      </c>
      <c r="L184" s="16" t="s">
        <v>818</v>
      </c>
      <c r="M184" s="16" t="s">
        <v>25</v>
      </c>
      <c r="N184" s="96" t="s">
        <v>21</v>
      </c>
    </row>
    <row r="185" spans="1:14" x14ac:dyDescent="0.35">
      <c r="A185" s="90" t="s">
        <v>819</v>
      </c>
      <c r="B185" s="10" t="s">
        <v>13</v>
      </c>
      <c r="C185" s="11" t="s">
        <v>820</v>
      </c>
      <c r="D185" s="11" t="s">
        <v>34</v>
      </c>
      <c r="E185" s="12" t="s">
        <v>165</v>
      </c>
      <c r="F185" s="10">
        <f>+YEAR(Tabla2[[#This Row],[Cosecha]])</f>
        <v>2024</v>
      </c>
      <c r="G185" s="11" t="s">
        <v>104</v>
      </c>
      <c r="H185" s="91">
        <f t="shared" si="8"/>
        <v>15</v>
      </c>
      <c r="I185" s="10" t="s">
        <v>18</v>
      </c>
      <c r="J185" s="11" t="s">
        <v>104</v>
      </c>
      <c r="K185" s="88">
        <f t="shared" si="9"/>
        <v>15</v>
      </c>
      <c r="L185" s="11" t="s">
        <v>821</v>
      </c>
      <c r="M185" s="11" t="s">
        <v>25</v>
      </c>
      <c r="N185" s="92" t="s">
        <v>21</v>
      </c>
    </row>
    <row r="186" spans="1:14" x14ac:dyDescent="0.35">
      <c r="A186" s="94" t="s">
        <v>822</v>
      </c>
      <c r="B186" s="15" t="s">
        <v>13</v>
      </c>
      <c r="C186" s="16" t="s">
        <v>823</v>
      </c>
      <c r="D186" s="16" t="s">
        <v>34</v>
      </c>
      <c r="E186" s="17" t="s">
        <v>244</v>
      </c>
      <c r="F186" s="15">
        <f>+YEAR(Tabla2[[#This Row],[Cosecha]])</f>
        <v>2024</v>
      </c>
      <c r="G186" s="16" t="s">
        <v>29</v>
      </c>
      <c r="H186" s="95">
        <f t="shared" si="8"/>
        <v>13</v>
      </c>
      <c r="I186" s="15" t="s">
        <v>18</v>
      </c>
      <c r="J186" s="16" t="s">
        <v>62</v>
      </c>
      <c r="K186" s="88">
        <f t="shared" si="9"/>
        <v>14</v>
      </c>
      <c r="L186" s="16" t="s">
        <v>824</v>
      </c>
      <c r="M186" s="16" t="s">
        <v>25</v>
      </c>
      <c r="N186" s="96" t="s">
        <v>21</v>
      </c>
    </row>
    <row r="187" spans="1:14" x14ac:dyDescent="0.35">
      <c r="A187" s="90" t="s">
        <v>825</v>
      </c>
      <c r="B187" s="10" t="s">
        <v>13</v>
      </c>
      <c r="C187" s="11" t="s">
        <v>826</v>
      </c>
      <c r="D187" s="11" t="s">
        <v>34</v>
      </c>
      <c r="E187" s="12" t="s">
        <v>97</v>
      </c>
      <c r="F187" s="10">
        <f>+YEAR(Tabla2[[#This Row],[Cosecha]])</f>
        <v>2025</v>
      </c>
      <c r="G187" s="11" t="s">
        <v>113</v>
      </c>
      <c r="H187" s="91">
        <f t="shared" si="8"/>
        <v>4</v>
      </c>
      <c r="I187" s="10" t="s">
        <v>18</v>
      </c>
      <c r="J187" s="11" t="s">
        <v>23</v>
      </c>
      <c r="K187" s="88">
        <f t="shared" si="9"/>
        <v>5</v>
      </c>
      <c r="L187" s="11" t="s">
        <v>827</v>
      </c>
      <c r="M187" s="11" t="s">
        <v>115</v>
      </c>
      <c r="N187" s="92" t="s">
        <v>26</v>
      </c>
    </row>
    <row r="188" spans="1:14" x14ac:dyDescent="0.35">
      <c r="A188" s="94" t="s">
        <v>831</v>
      </c>
      <c r="B188" s="15" t="s">
        <v>13</v>
      </c>
      <c r="C188" s="16" t="s">
        <v>832</v>
      </c>
      <c r="D188" s="16" t="s">
        <v>34</v>
      </c>
      <c r="E188" s="17" t="s">
        <v>133</v>
      </c>
      <c r="F188" s="15">
        <f>+YEAR(Tabla2[[#This Row],[Cosecha]])</f>
        <v>2025</v>
      </c>
      <c r="G188" s="16" t="s">
        <v>97</v>
      </c>
      <c r="H188" s="95">
        <f t="shared" si="8"/>
        <v>4</v>
      </c>
      <c r="I188" s="15" t="s">
        <v>18</v>
      </c>
      <c r="J188" s="16" t="s">
        <v>97</v>
      </c>
      <c r="K188" s="88">
        <f t="shared" si="9"/>
        <v>4</v>
      </c>
      <c r="L188" s="16" t="s">
        <v>833</v>
      </c>
      <c r="M188" s="16" t="s">
        <v>44</v>
      </c>
      <c r="N188" s="96" t="s">
        <v>26</v>
      </c>
    </row>
    <row r="189" spans="1:14" x14ac:dyDescent="0.35">
      <c r="A189" s="90" t="s">
        <v>834</v>
      </c>
      <c r="B189" s="10" t="s">
        <v>13</v>
      </c>
      <c r="C189" s="11" t="s">
        <v>835</v>
      </c>
      <c r="D189" s="11" t="s">
        <v>34</v>
      </c>
      <c r="E189" s="12" t="s">
        <v>133</v>
      </c>
      <c r="F189" s="10">
        <f>+YEAR(Tabla2[[#This Row],[Cosecha]])</f>
        <v>2025</v>
      </c>
      <c r="G189" s="11" t="s">
        <v>118</v>
      </c>
      <c r="H189" s="91">
        <f t="shared" si="8"/>
        <v>5</v>
      </c>
      <c r="I189" s="10" t="s">
        <v>18</v>
      </c>
      <c r="J189" s="11" t="s">
        <v>36</v>
      </c>
      <c r="K189" s="88">
        <f t="shared" si="9"/>
        <v>6</v>
      </c>
      <c r="L189" s="11" t="s">
        <v>836</v>
      </c>
      <c r="M189" s="11" t="s">
        <v>44</v>
      </c>
      <c r="N189" s="92" t="s">
        <v>26</v>
      </c>
    </row>
    <row r="190" spans="1:14" x14ac:dyDescent="0.35">
      <c r="A190" s="94" t="s">
        <v>840</v>
      </c>
      <c r="B190" s="15" t="s">
        <v>13</v>
      </c>
      <c r="C190" s="16" t="s">
        <v>841</v>
      </c>
      <c r="D190" s="16" t="s">
        <v>34</v>
      </c>
      <c r="E190" s="17" t="s">
        <v>37</v>
      </c>
      <c r="F190" s="15">
        <f>+YEAR(Tabla2[[#This Row],[Cosecha]])</f>
        <v>2025</v>
      </c>
      <c r="G190" s="16" t="s">
        <v>52</v>
      </c>
      <c r="H190" s="95">
        <f t="shared" si="8"/>
        <v>3</v>
      </c>
      <c r="I190" s="15" t="s">
        <v>18</v>
      </c>
      <c r="J190" s="16" t="s">
        <v>52</v>
      </c>
      <c r="K190" s="88">
        <f t="shared" si="9"/>
        <v>3</v>
      </c>
      <c r="L190" s="16" t="s">
        <v>842</v>
      </c>
      <c r="M190" s="16" t="s">
        <v>44</v>
      </c>
      <c r="N190" s="96" t="s">
        <v>21</v>
      </c>
    </row>
    <row r="191" spans="1:14" x14ac:dyDescent="0.35">
      <c r="A191" s="90" t="s">
        <v>843</v>
      </c>
      <c r="B191" s="10" t="s">
        <v>13</v>
      </c>
      <c r="C191" s="11" t="s">
        <v>844</v>
      </c>
      <c r="D191" s="11" t="s">
        <v>34</v>
      </c>
      <c r="E191" s="12" t="s">
        <v>30</v>
      </c>
      <c r="F191" s="10">
        <f>+YEAR(Tabla2[[#This Row],[Cosecha]])</f>
        <v>2026</v>
      </c>
      <c r="G191" s="11" t="s">
        <v>70</v>
      </c>
      <c r="H191" s="91">
        <f t="shared" si="8"/>
        <v>2</v>
      </c>
      <c r="I191" s="10" t="s">
        <v>18</v>
      </c>
      <c r="J191" s="11" t="s">
        <v>70</v>
      </c>
      <c r="K191" s="88">
        <f t="shared" si="9"/>
        <v>2</v>
      </c>
      <c r="L191" s="11" t="s">
        <v>845</v>
      </c>
      <c r="M191" s="11" t="s">
        <v>44</v>
      </c>
      <c r="N191" s="92" t="s">
        <v>21</v>
      </c>
    </row>
    <row r="192" spans="1:14" x14ac:dyDescent="0.35">
      <c r="A192" s="94" t="s">
        <v>846</v>
      </c>
      <c r="B192" s="15" t="s">
        <v>13</v>
      </c>
      <c r="C192" s="16" t="s">
        <v>847</v>
      </c>
      <c r="D192" s="16" t="s">
        <v>15</v>
      </c>
      <c r="E192" s="17" t="s">
        <v>62</v>
      </c>
      <c r="F192" s="15">
        <f>+YEAR(Tabla2[[#This Row],[Cosecha]])</f>
        <v>2025</v>
      </c>
      <c r="G192" s="16" t="s">
        <v>30</v>
      </c>
      <c r="H192" s="95">
        <f t="shared" si="8"/>
        <v>8</v>
      </c>
      <c r="I192" s="15" t="s">
        <v>18</v>
      </c>
      <c r="J192" s="16" t="s">
        <v>30</v>
      </c>
      <c r="K192" s="88">
        <f t="shared" si="9"/>
        <v>8</v>
      </c>
      <c r="L192" s="16" t="s">
        <v>848</v>
      </c>
      <c r="M192" s="16" t="s">
        <v>25</v>
      </c>
      <c r="N192" s="96" t="s">
        <v>21</v>
      </c>
    </row>
    <row r="193" spans="1:14" x14ac:dyDescent="0.35">
      <c r="A193" s="90" t="s">
        <v>849</v>
      </c>
      <c r="B193" s="10" t="s">
        <v>13</v>
      </c>
      <c r="C193" s="11" t="s">
        <v>850</v>
      </c>
      <c r="D193" s="11" t="s">
        <v>34</v>
      </c>
      <c r="E193" s="12" t="s">
        <v>497</v>
      </c>
      <c r="F193" s="10">
        <f>+YEAR(Tabla2[[#This Row],[Cosecha]])</f>
        <v>2024</v>
      </c>
      <c r="G193" s="11" t="s">
        <v>104</v>
      </c>
      <c r="H193" s="91">
        <f t="shared" si="8"/>
        <v>9</v>
      </c>
      <c r="I193" s="10" t="s">
        <v>18</v>
      </c>
      <c r="J193" s="11" t="s">
        <v>104</v>
      </c>
      <c r="K193" s="88">
        <f t="shared" si="9"/>
        <v>9</v>
      </c>
      <c r="L193" s="11" t="s">
        <v>851</v>
      </c>
      <c r="M193" s="11" t="s">
        <v>25</v>
      </c>
      <c r="N193" s="92" t="s">
        <v>21</v>
      </c>
    </row>
    <row r="194" spans="1:14" x14ac:dyDescent="0.35">
      <c r="A194" s="94" t="s">
        <v>852</v>
      </c>
      <c r="B194" s="15" t="s">
        <v>13</v>
      </c>
      <c r="C194" s="16" t="s">
        <v>853</v>
      </c>
      <c r="D194" s="16" t="s">
        <v>34</v>
      </c>
      <c r="E194" s="17" t="s">
        <v>29</v>
      </c>
      <c r="F194" s="15">
        <f>+YEAR(Tabla2[[#This Row],[Cosecha]])</f>
        <v>2025</v>
      </c>
      <c r="G194" s="16" t="s">
        <v>70</v>
      </c>
      <c r="H194" s="95">
        <f t="shared" ref="H194:H257" si="10">(YEAR(G194)-YEAR(E194))*12+(MONTH(G194)-MONTH(E194))</f>
        <v>11</v>
      </c>
      <c r="I194" s="15" t="s">
        <v>18</v>
      </c>
      <c r="J194" s="16" t="s">
        <v>70</v>
      </c>
      <c r="K194" s="88">
        <f t="shared" ref="K194:K257" si="11">(YEAR(J194)-YEAR(E194))*12+(MONTH(J194)-MONTH(E194))</f>
        <v>11</v>
      </c>
      <c r="L194" s="16" t="s">
        <v>854</v>
      </c>
      <c r="M194" s="16" t="s">
        <v>115</v>
      </c>
      <c r="N194" s="96" t="s">
        <v>21</v>
      </c>
    </row>
    <row r="195" spans="1:14" x14ac:dyDescent="0.35">
      <c r="A195" s="90" t="s">
        <v>855</v>
      </c>
      <c r="B195" s="10" t="s">
        <v>13</v>
      </c>
      <c r="C195" s="11" t="s">
        <v>856</v>
      </c>
      <c r="D195" s="11" t="s">
        <v>34</v>
      </c>
      <c r="E195" s="12" t="s">
        <v>36</v>
      </c>
      <c r="F195" s="10">
        <f>+YEAR(Tabla2[[#This Row],[Cosecha]])</f>
        <v>2025</v>
      </c>
      <c r="G195" s="11" t="s">
        <v>30</v>
      </c>
      <c r="H195" s="91">
        <f t="shared" si="10"/>
        <v>5</v>
      </c>
      <c r="I195" s="10" t="s">
        <v>18</v>
      </c>
      <c r="J195" s="11" t="s">
        <v>30</v>
      </c>
      <c r="K195" s="88">
        <f t="shared" si="11"/>
        <v>5</v>
      </c>
      <c r="L195" s="11" t="s">
        <v>857</v>
      </c>
      <c r="M195" s="11" t="s">
        <v>72</v>
      </c>
      <c r="N195" s="92" t="s">
        <v>21</v>
      </c>
    </row>
    <row r="196" spans="1:14" x14ac:dyDescent="0.35">
      <c r="A196" s="94" t="s">
        <v>861</v>
      </c>
      <c r="B196" s="15" t="s">
        <v>13</v>
      </c>
      <c r="C196" s="16" t="s">
        <v>862</v>
      </c>
      <c r="D196" s="16" t="s">
        <v>34</v>
      </c>
      <c r="E196" s="17" t="s">
        <v>35</v>
      </c>
      <c r="F196" s="15">
        <f>+YEAR(Tabla2[[#This Row],[Cosecha]])</f>
        <v>2024</v>
      </c>
      <c r="G196" s="16" t="s">
        <v>113</v>
      </c>
      <c r="H196" s="95">
        <f t="shared" si="10"/>
        <v>14</v>
      </c>
      <c r="I196" s="15" t="s">
        <v>18</v>
      </c>
      <c r="J196" s="16" t="s">
        <v>23</v>
      </c>
      <c r="K196" s="88">
        <f t="shared" si="11"/>
        <v>15</v>
      </c>
      <c r="L196" s="16" t="s">
        <v>863</v>
      </c>
      <c r="M196" s="16" t="s">
        <v>25</v>
      </c>
      <c r="N196" s="96" t="s">
        <v>21</v>
      </c>
    </row>
    <row r="197" spans="1:14" x14ac:dyDescent="0.35">
      <c r="A197" s="90" t="s">
        <v>864</v>
      </c>
      <c r="B197" s="10" t="s">
        <v>13</v>
      </c>
      <c r="C197" s="11" t="s">
        <v>865</v>
      </c>
      <c r="D197" s="11" t="s">
        <v>34</v>
      </c>
      <c r="E197" s="12" t="s">
        <v>122</v>
      </c>
      <c r="F197" s="10">
        <f>+YEAR(Tabla2[[#This Row],[Cosecha]])</f>
        <v>2023</v>
      </c>
      <c r="G197" s="11" t="s">
        <v>62</v>
      </c>
      <c r="H197" s="91">
        <f t="shared" si="10"/>
        <v>22</v>
      </c>
      <c r="I197" s="10" t="s">
        <v>18</v>
      </c>
      <c r="J197" s="11" t="s">
        <v>62</v>
      </c>
      <c r="K197" s="88">
        <f t="shared" si="11"/>
        <v>22</v>
      </c>
      <c r="L197" s="11" t="s">
        <v>866</v>
      </c>
      <c r="M197" s="11" t="s">
        <v>241</v>
      </c>
      <c r="N197" s="92" t="s">
        <v>21</v>
      </c>
    </row>
    <row r="198" spans="1:14" x14ac:dyDescent="0.35">
      <c r="A198" s="94" t="s">
        <v>867</v>
      </c>
      <c r="B198" s="15" t="s">
        <v>13</v>
      </c>
      <c r="C198" s="16" t="s">
        <v>868</v>
      </c>
      <c r="D198" s="16" t="s">
        <v>34</v>
      </c>
      <c r="E198" s="17" t="s">
        <v>252</v>
      </c>
      <c r="F198" s="15">
        <f>+YEAR(Tabla2[[#This Row],[Cosecha]])</f>
        <v>2024</v>
      </c>
      <c r="G198" s="16" t="s">
        <v>62</v>
      </c>
      <c r="H198" s="95">
        <f t="shared" si="10"/>
        <v>12</v>
      </c>
      <c r="I198" s="15" t="s">
        <v>18</v>
      </c>
      <c r="J198" s="16" t="s">
        <v>62</v>
      </c>
      <c r="K198" s="88">
        <f t="shared" si="11"/>
        <v>12</v>
      </c>
      <c r="L198" s="16" t="s">
        <v>869</v>
      </c>
      <c r="M198" s="16" t="s">
        <v>130</v>
      </c>
      <c r="N198" s="96" t="s">
        <v>21</v>
      </c>
    </row>
    <row r="199" spans="1:14" x14ac:dyDescent="0.35">
      <c r="A199" s="90" t="s">
        <v>873</v>
      </c>
      <c r="B199" s="10" t="s">
        <v>13</v>
      </c>
      <c r="C199" s="11" t="s">
        <v>874</v>
      </c>
      <c r="D199" s="11" t="s">
        <v>34</v>
      </c>
      <c r="E199" s="12" t="s">
        <v>275</v>
      </c>
      <c r="F199" s="10">
        <f>+YEAR(Tabla2[[#This Row],[Cosecha]])</f>
        <v>2024</v>
      </c>
      <c r="G199" s="11" t="s">
        <v>66</v>
      </c>
      <c r="H199" s="91">
        <f t="shared" si="10"/>
        <v>10</v>
      </c>
      <c r="I199" s="10" t="s">
        <v>18</v>
      </c>
      <c r="J199" s="11" t="s">
        <v>66</v>
      </c>
      <c r="K199" s="88">
        <f t="shared" si="11"/>
        <v>10</v>
      </c>
      <c r="L199" s="11" t="s">
        <v>875</v>
      </c>
      <c r="M199" s="11" t="s">
        <v>25</v>
      </c>
      <c r="N199" s="92" t="s">
        <v>21</v>
      </c>
    </row>
    <row r="200" spans="1:14" x14ac:dyDescent="0.35">
      <c r="A200" s="94" t="s">
        <v>879</v>
      </c>
      <c r="B200" s="15" t="s">
        <v>13</v>
      </c>
      <c r="C200" s="16" t="s">
        <v>880</v>
      </c>
      <c r="D200" s="16" t="s">
        <v>34</v>
      </c>
      <c r="E200" s="17" t="s">
        <v>178</v>
      </c>
      <c r="F200" s="15">
        <f>+YEAR(Tabla2[[#This Row],[Cosecha]])</f>
        <v>2024</v>
      </c>
      <c r="G200" s="16" t="s">
        <v>97</v>
      </c>
      <c r="H200" s="95">
        <f t="shared" si="10"/>
        <v>9</v>
      </c>
      <c r="I200" s="15" t="s">
        <v>18</v>
      </c>
      <c r="J200" s="16" t="s">
        <v>97</v>
      </c>
      <c r="K200" s="88">
        <f t="shared" si="11"/>
        <v>9</v>
      </c>
      <c r="L200" s="16" t="s">
        <v>881</v>
      </c>
      <c r="M200" s="16" t="s">
        <v>130</v>
      </c>
      <c r="N200" s="96" t="s">
        <v>21</v>
      </c>
    </row>
    <row r="201" spans="1:14" x14ac:dyDescent="0.35">
      <c r="A201" s="90" t="s">
        <v>888</v>
      </c>
      <c r="B201" s="10" t="s">
        <v>13</v>
      </c>
      <c r="C201" s="11" t="s">
        <v>889</v>
      </c>
      <c r="D201" s="11" t="s">
        <v>34</v>
      </c>
      <c r="E201" s="12" t="s">
        <v>66</v>
      </c>
      <c r="F201" s="10">
        <f>+YEAR(Tabla2[[#This Row],[Cosecha]])</f>
        <v>2025</v>
      </c>
      <c r="G201" s="11" t="s">
        <v>52</v>
      </c>
      <c r="H201" s="91">
        <f t="shared" si="10"/>
        <v>13</v>
      </c>
      <c r="I201" s="10" t="s">
        <v>18</v>
      </c>
      <c r="J201" s="11" t="s">
        <v>37</v>
      </c>
      <c r="K201" s="88">
        <f t="shared" si="11"/>
        <v>10</v>
      </c>
      <c r="L201" s="11" t="s">
        <v>890</v>
      </c>
      <c r="M201" s="11" t="s">
        <v>44</v>
      </c>
      <c r="N201" s="92" t="s">
        <v>21</v>
      </c>
    </row>
    <row r="202" spans="1:14" x14ac:dyDescent="0.35">
      <c r="A202" s="94" t="s">
        <v>894</v>
      </c>
      <c r="B202" s="15" t="s">
        <v>13</v>
      </c>
      <c r="C202" s="16" t="s">
        <v>895</v>
      </c>
      <c r="D202" s="16" t="s">
        <v>34</v>
      </c>
      <c r="E202" s="17" t="s">
        <v>37</v>
      </c>
      <c r="F202" s="15">
        <f>+YEAR(Tabla2[[#This Row],[Cosecha]])</f>
        <v>2025</v>
      </c>
      <c r="G202" s="16" t="s">
        <v>17</v>
      </c>
      <c r="H202" s="95">
        <f t="shared" si="10"/>
        <v>5</v>
      </c>
      <c r="I202" s="15" t="s">
        <v>18</v>
      </c>
      <c r="J202" s="16" t="s">
        <v>17</v>
      </c>
      <c r="K202" s="88">
        <f t="shared" si="11"/>
        <v>5</v>
      </c>
      <c r="L202" s="16" t="s">
        <v>896</v>
      </c>
      <c r="M202" s="16" t="s">
        <v>72</v>
      </c>
      <c r="N202" s="96" t="s">
        <v>21</v>
      </c>
    </row>
    <row r="203" spans="1:14" x14ac:dyDescent="0.35">
      <c r="A203" s="90" t="s">
        <v>897</v>
      </c>
      <c r="B203" s="10" t="s">
        <v>13</v>
      </c>
      <c r="C203" s="11" t="s">
        <v>898</v>
      </c>
      <c r="D203" s="11" t="s">
        <v>34</v>
      </c>
      <c r="E203" s="12" t="s">
        <v>244</v>
      </c>
      <c r="F203" s="10">
        <f>+YEAR(Tabla2[[#This Row],[Cosecha]])</f>
        <v>2024</v>
      </c>
      <c r="G203" s="11" t="s">
        <v>52</v>
      </c>
      <c r="H203" s="91">
        <f t="shared" si="10"/>
        <v>21</v>
      </c>
      <c r="I203" s="10" t="s">
        <v>18</v>
      </c>
      <c r="J203" s="11" t="s">
        <v>52</v>
      </c>
      <c r="K203" s="88">
        <f t="shared" si="11"/>
        <v>21</v>
      </c>
      <c r="L203" s="11" t="s">
        <v>899</v>
      </c>
      <c r="M203" s="11" t="s">
        <v>25</v>
      </c>
      <c r="N203" s="92" t="s">
        <v>21</v>
      </c>
    </row>
    <row r="204" spans="1:14" x14ac:dyDescent="0.35">
      <c r="A204" s="94" t="s">
        <v>903</v>
      </c>
      <c r="B204" s="15" t="s">
        <v>13</v>
      </c>
      <c r="C204" s="16" t="s">
        <v>904</v>
      </c>
      <c r="D204" s="16" t="s">
        <v>34</v>
      </c>
      <c r="E204" s="17" t="s">
        <v>47</v>
      </c>
      <c r="F204" s="15">
        <f>+YEAR(Tabla2[[#This Row],[Cosecha]])</f>
        <v>2025</v>
      </c>
      <c r="G204" s="16" t="s">
        <v>29</v>
      </c>
      <c r="H204" s="95">
        <f t="shared" si="10"/>
        <v>3</v>
      </c>
      <c r="I204" s="15" t="s">
        <v>18</v>
      </c>
      <c r="J204" s="16" t="s">
        <v>62</v>
      </c>
      <c r="K204" s="88">
        <f t="shared" si="11"/>
        <v>4</v>
      </c>
      <c r="L204" s="16" t="s">
        <v>905</v>
      </c>
      <c r="M204" s="16" t="s">
        <v>44</v>
      </c>
      <c r="N204" s="96" t="s">
        <v>26</v>
      </c>
    </row>
    <row r="205" spans="1:14" x14ac:dyDescent="0.35">
      <c r="A205" s="90" t="s">
        <v>906</v>
      </c>
      <c r="B205" s="10" t="s">
        <v>13</v>
      </c>
      <c r="C205" s="11" t="s">
        <v>907</v>
      </c>
      <c r="D205" s="11" t="s">
        <v>34</v>
      </c>
      <c r="E205" s="12" t="s">
        <v>23</v>
      </c>
      <c r="F205" s="10">
        <f>+YEAR(Tabla2[[#This Row],[Cosecha]])</f>
        <v>2026</v>
      </c>
      <c r="G205" s="11" t="s">
        <v>70</v>
      </c>
      <c r="H205" s="91">
        <f t="shared" si="10"/>
        <v>4</v>
      </c>
      <c r="I205" s="10" t="s">
        <v>18</v>
      </c>
      <c r="J205" s="11" t="s">
        <v>70</v>
      </c>
      <c r="K205" s="88">
        <f t="shared" si="11"/>
        <v>4</v>
      </c>
      <c r="L205" s="11" t="s">
        <v>908</v>
      </c>
      <c r="M205" s="11" t="s">
        <v>25</v>
      </c>
      <c r="N205" s="92" t="s">
        <v>26</v>
      </c>
    </row>
    <row r="206" spans="1:14" x14ac:dyDescent="0.35">
      <c r="A206" s="94" t="s">
        <v>909</v>
      </c>
      <c r="B206" s="15" t="s">
        <v>13</v>
      </c>
      <c r="C206" s="16" t="s">
        <v>910</v>
      </c>
      <c r="D206" s="16" t="s">
        <v>34</v>
      </c>
      <c r="E206" s="17" t="s">
        <v>47</v>
      </c>
      <c r="F206" s="15">
        <f>+YEAR(Tabla2[[#This Row],[Cosecha]])</f>
        <v>2025</v>
      </c>
      <c r="G206" s="16" t="s">
        <v>62</v>
      </c>
      <c r="H206" s="95">
        <f t="shared" si="10"/>
        <v>4</v>
      </c>
      <c r="I206" s="15" t="s">
        <v>18</v>
      </c>
      <c r="J206" s="16" t="s">
        <v>62</v>
      </c>
      <c r="K206" s="88">
        <f t="shared" si="11"/>
        <v>4</v>
      </c>
      <c r="L206" s="16" t="s">
        <v>911</v>
      </c>
      <c r="M206" s="16" t="s">
        <v>130</v>
      </c>
      <c r="N206" s="96" t="s">
        <v>21</v>
      </c>
    </row>
    <row r="207" spans="1:14" x14ac:dyDescent="0.35">
      <c r="A207" s="90" t="s">
        <v>912</v>
      </c>
      <c r="B207" s="10" t="s">
        <v>13</v>
      </c>
      <c r="C207" s="11" t="s">
        <v>913</v>
      </c>
      <c r="D207" s="11" t="s">
        <v>34</v>
      </c>
      <c r="E207" s="12" t="s">
        <v>29</v>
      </c>
      <c r="F207" s="10">
        <f>+YEAR(Tabla2[[#This Row],[Cosecha]])</f>
        <v>2025</v>
      </c>
      <c r="G207" s="11" t="s">
        <v>70</v>
      </c>
      <c r="H207" s="91">
        <f t="shared" si="10"/>
        <v>11</v>
      </c>
      <c r="I207" s="10" t="s">
        <v>18</v>
      </c>
      <c r="J207" s="11" t="s">
        <v>70</v>
      </c>
      <c r="K207" s="88">
        <f t="shared" si="11"/>
        <v>11</v>
      </c>
      <c r="L207" s="11" t="s">
        <v>914</v>
      </c>
      <c r="M207" s="11" t="s">
        <v>44</v>
      </c>
      <c r="N207" s="92" t="s">
        <v>21</v>
      </c>
    </row>
    <row r="208" spans="1:14" x14ac:dyDescent="0.35">
      <c r="A208" s="94" t="s">
        <v>915</v>
      </c>
      <c r="B208" s="15" t="s">
        <v>13</v>
      </c>
      <c r="C208" s="16" t="s">
        <v>916</v>
      </c>
      <c r="D208" s="16" t="s">
        <v>15</v>
      </c>
      <c r="E208" s="17" t="s">
        <v>453</v>
      </c>
      <c r="F208" s="15">
        <f>+YEAR(Tabla2[[#This Row],[Cosecha]])</f>
        <v>2024</v>
      </c>
      <c r="G208" s="16" t="s">
        <v>66</v>
      </c>
      <c r="H208" s="95">
        <f t="shared" si="10"/>
        <v>9</v>
      </c>
      <c r="I208" s="15" t="s">
        <v>18</v>
      </c>
      <c r="J208" s="16" t="s">
        <v>66</v>
      </c>
      <c r="K208" s="88">
        <f t="shared" si="11"/>
        <v>9</v>
      </c>
      <c r="L208" s="16" t="s">
        <v>917</v>
      </c>
      <c r="M208" s="16" t="s">
        <v>25</v>
      </c>
      <c r="N208" s="96" t="s">
        <v>21</v>
      </c>
    </row>
    <row r="209" spans="1:14" x14ac:dyDescent="0.35">
      <c r="A209" s="90" t="s">
        <v>918</v>
      </c>
      <c r="B209" s="10" t="s">
        <v>13</v>
      </c>
      <c r="C209" s="11" t="s">
        <v>919</v>
      </c>
      <c r="D209" s="11" t="s">
        <v>34</v>
      </c>
      <c r="E209" s="12" t="s">
        <v>29</v>
      </c>
      <c r="F209" s="10">
        <f>+YEAR(Tabla2[[#This Row],[Cosecha]])</f>
        <v>2025</v>
      </c>
      <c r="G209" s="11" t="s">
        <v>17</v>
      </c>
      <c r="H209" s="91">
        <f t="shared" si="10"/>
        <v>10</v>
      </c>
      <c r="I209" s="10" t="s">
        <v>18</v>
      </c>
      <c r="J209" s="11" t="s">
        <v>17</v>
      </c>
      <c r="K209" s="88">
        <f t="shared" si="11"/>
        <v>10</v>
      </c>
      <c r="L209" s="11" t="s">
        <v>920</v>
      </c>
      <c r="M209" s="11" t="s">
        <v>130</v>
      </c>
      <c r="N209" s="92" t="s">
        <v>21</v>
      </c>
    </row>
    <row r="210" spans="1:14" x14ac:dyDescent="0.35">
      <c r="A210" s="94" t="s">
        <v>921</v>
      </c>
      <c r="B210" s="15" t="s">
        <v>13</v>
      </c>
      <c r="C210" s="16" t="s">
        <v>922</v>
      </c>
      <c r="D210" s="16" t="s">
        <v>34</v>
      </c>
      <c r="E210" s="17" t="s">
        <v>457</v>
      </c>
      <c r="F210" s="15">
        <f>+YEAR(Tabla2[[#This Row],[Cosecha]])</f>
        <v>2024</v>
      </c>
      <c r="G210" s="16" t="s">
        <v>51</v>
      </c>
      <c r="H210" s="95">
        <f t="shared" si="10"/>
        <v>8</v>
      </c>
      <c r="I210" s="15" t="s">
        <v>18</v>
      </c>
      <c r="J210" s="16" t="s">
        <v>47</v>
      </c>
      <c r="K210" s="88">
        <f t="shared" si="11"/>
        <v>9</v>
      </c>
      <c r="L210" s="16" t="s">
        <v>923</v>
      </c>
      <c r="M210" s="16" t="s">
        <v>130</v>
      </c>
      <c r="N210" s="96" t="s">
        <v>21</v>
      </c>
    </row>
    <row r="211" spans="1:14" x14ac:dyDescent="0.35">
      <c r="A211" s="90" t="s">
        <v>927</v>
      </c>
      <c r="B211" s="10" t="s">
        <v>13</v>
      </c>
      <c r="C211" s="11" t="s">
        <v>928</v>
      </c>
      <c r="D211" s="11" t="s">
        <v>34</v>
      </c>
      <c r="E211" s="12" t="s">
        <v>497</v>
      </c>
      <c r="F211" s="10">
        <f>+YEAR(Tabla2[[#This Row],[Cosecha]])</f>
        <v>2024</v>
      </c>
      <c r="G211" s="11" t="s">
        <v>97</v>
      </c>
      <c r="H211" s="91">
        <f t="shared" si="10"/>
        <v>12</v>
      </c>
      <c r="I211" s="10" t="s">
        <v>18</v>
      </c>
      <c r="J211" s="11" t="s">
        <v>118</v>
      </c>
      <c r="K211" s="88">
        <f t="shared" si="11"/>
        <v>13</v>
      </c>
      <c r="L211" s="11" t="s">
        <v>929</v>
      </c>
      <c r="M211" s="11" t="s">
        <v>130</v>
      </c>
      <c r="N211" s="92" t="s">
        <v>21</v>
      </c>
    </row>
    <row r="212" spans="1:14" x14ac:dyDescent="0.35">
      <c r="A212" s="94" t="s">
        <v>930</v>
      </c>
      <c r="B212" s="15" t="s">
        <v>13</v>
      </c>
      <c r="C212" s="16" t="s">
        <v>931</v>
      </c>
      <c r="D212" s="16" t="s">
        <v>34</v>
      </c>
      <c r="E212" s="17" t="s">
        <v>97</v>
      </c>
      <c r="F212" s="15">
        <f>+YEAR(Tabla2[[#This Row],[Cosecha]])</f>
        <v>2025</v>
      </c>
      <c r="G212" s="16" t="s">
        <v>52</v>
      </c>
      <c r="H212" s="95">
        <f t="shared" si="10"/>
        <v>6</v>
      </c>
      <c r="I212" s="15" t="s">
        <v>18</v>
      </c>
      <c r="J212" s="16" t="s">
        <v>17</v>
      </c>
      <c r="K212" s="88">
        <f t="shared" si="11"/>
        <v>8</v>
      </c>
      <c r="L212" s="16" t="s">
        <v>932</v>
      </c>
      <c r="M212" s="16" t="s">
        <v>44</v>
      </c>
      <c r="N212" s="96" t="s">
        <v>21</v>
      </c>
    </row>
    <row r="213" spans="1:14" x14ac:dyDescent="0.35">
      <c r="A213" s="90" t="s">
        <v>933</v>
      </c>
      <c r="B213" s="10" t="s">
        <v>13</v>
      </c>
      <c r="C213" s="11" t="s">
        <v>934</v>
      </c>
      <c r="D213" s="11" t="s">
        <v>34</v>
      </c>
      <c r="E213" s="12" t="s">
        <v>453</v>
      </c>
      <c r="F213" s="10">
        <f>+YEAR(Tabla2[[#This Row],[Cosecha]])</f>
        <v>2024</v>
      </c>
      <c r="G213" s="11" t="s">
        <v>52</v>
      </c>
      <c r="H213" s="91">
        <f t="shared" si="10"/>
        <v>22</v>
      </c>
      <c r="I213" s="10" t="s">
        <v>18</v>
      </c>
      <c r="J213" s="11" t="s">
        <v>52</v>
      </c>
      <c r="K213" s="88">
        <f t="shared" si="11"/>
        <v>22</v>
      </c>
      <c r="L213" s="11" t="s">
        <v>935</v>
      </c>
      <c r="M213" s="11" t="s">
        <v>25</v>
      </c>
      <c r="N213" s="92" t="s">
        <v>21</v>
      </c>
    </row>
    <row r="214" spans="1:14" x14ac:dyDescent="0.35">
      <c r="A214" s="94" t="s">
        <v>939</v>
      </c>
      <c r="B214" s="15" t="s">
        <v>13</v>
      </c>
      <c r="C214" s="16" t="s">
        <v>940</v>
      </c>
      <c r="D214" s="16" t="s">
        <v>34</v>
      </c>
      <c r="E214" s="17" t="s">
        <v>62</v>
      </c>
      <c r="F214" s="15">
        <f>+YEAR(Tabla2[[#This Row],[Cosecha]])</f>
        <v>2025</v>
      </c>
      <c r="G214" s="16" t="s">
        <v>23</v>
      </c>
      <c r="H214" s="95">
        <f t="shared" si="10"/>
        <v>6</v>
      </c>
      <c r="I214" s="15" t="s">
        <v>18</v>
      </c>
      <c r="J214" s="16" t="s">
        <v>23</v>
      </c>
      <c r="K214" s="88">
        <f t="shared" si="11"/>
        <v>6</v>
      </c>
      <c r="L214" s="16" t="s">
        <v>941</v>
      </c>
      <c r="M214" s="16" t="s">
        <v>115</v>
      </c>
      <c r="N214" s="96" t="s">
        <v>21</v>
      </c>
    </row>
    <row r="215" spans="1:14" x14ac:dyDescent="0.35">
      <c r="A215" s="90" t="s">
        <v>942</v>
      </c>
      <c r="B215" s="10" t="s">
        <v>13</v>
      </c>
      <c r="C215" s="11" t="s">
        <v>943</v>
      </c>
      <c r="D215" s="11" t="s">
        <v>34</v>
      </c>
      <c r="E215" s="12" t="s">
        <v>108</v>
      </c>
      <c r="F215" s="10">
        <f>+YEAR(Tabla2[[#This Row],[Cosecha]])</f>
        <v>2024</v>
      </c>
      <c r="G215" s="11" t="s">
        <v>52</v>
      </c>
      <c r="H215" s="91">
        <f t="shared" si="10"/>
        <v>25</v>
      </c>
      <c r="I215" s="10" t="s">
        <v>18</v>
      </c>
      <c r="J215" s="11" t="s">
        <v>52</v>
      </c>
      <c r="K215" s="88">
        <f t="shared" si="11"/>
        <v>25</v>
      </c>
      <c r="L215" s="11" t="s">
        <v>944</v>
      </c>
      <c r="M215" s="11" t="s">
        <v>39</v>
      </c>
      <c r="N215" s="92" t="s">
        <v>21</v>
      </c>
    </row>
    <row r="216" spans="1:14" x14ac:dyDescent="0.35">
      <c r="A216" s="94" t="s">
        <v>945</v>
      </c>
      <c r="B216" s="15" t="s">
        <v>13</v>
      </c>
      <c r="C216" s="16" t="s">
        <v>946</v>
      </c>
      <c r="D216" s="16" t="s">
        <v>34</v>
      </c>
      <c r="E216" s="17" t="s">
        <v>62</v>
      </c>
      <c r="F216" s="15">
        <f>+YEAR(Tabla2[[#This Row],[Cosecha]])</f>
        <v>2025</v>
      </c>
      <c r="G216" s="16" t="s">
        <v>118</v>
      </c>
      <c r="H216" s="95">
        <f t="shared" si="10"/>
        <v>2</v>
      </c>
      <c r="I216" s="15" t="s">
        <v>18</v>
      </c>
      <c r="J216" s="16" t="s">
        <v>118</v>
      </c>
      <c r="K216" s="88">
        <f t="shared" si="11"/>
        <v>2</v>
      </c>
      <c r="L216" s="16" t="s">
        <v>947</v>
      </c>
      <c r="M216" s="16" t="s">
        <v>115</v>
      </c>
      <c r="N216" s="96" t="s">
        <v>21</v>
      </c>
    </row>
    <row r="217" spans="1:14" x14ac:dyDescent="0.35">
      <c r="A217" s="90" t="s">
        <v>948</v>
      </c>
      <c r="B217" s="10" t="s">
        <v>13</v>
      </c>
      <c r="C217" s="11" t="s">
        <v>949</v>
      </c>
      <c r="D217" s="11" t="s">
        <v>15</v>
      </c>
      <c r="E217" s="12" t="s">
        <v>37</v>
      </c>
      <c r="F217" s="10">
        <f>+YEAR(Tabla2[[#This Row],[Cosecha]])</f>
        <v>2025</v>
      </c>
      <c r="G217" s="11" t="s">
        <v>52</v>
      </c>
      <c r="H217" s="91">
        <f t="shared" si="10"/>
        <v>3</v>
      </c>
      <c r="I217" s="10" t="s">
        <v>18</v>
      </c>
      <c r="J217" s="11" t="s">
        <v>52</v>
      </c>
      <c r="K217" s="88">
        <f t="shared" si="11"/>
        <v>3</v>
      </c>
      <c r="L217" s="11" t="s">
        <v>950</v>
      </c>
      <c r="M217" s="11" t="s">
        <v>25</v>
      </c>
      <c r="N217" s="92" t="s">
        <v>26</v>
      </c>
    </row>
    <row r="218" spans="1:14" x14ac:dyDescent="0.35">
      <c r="A218" s="94" t="s">
        <v>951</v>
      </c>
      <c r="B218" s="15" t="s">
        <v>13</v>
      </c>
      <c r="C218" s="16" t="s">
        <v>952</v>
      </c>
      <c r="D218" s="16" t="s">
        <v>34</v>
      </c>
      <c r="E218" s="17" t="s">
        <v>118</v>
      </c>
      <c r="F218" s="15">
        <f>+YEAR(Tabla2[[#This Row],[Cosecha]])</f>
        <v>2025</v>
      </c>
      <c r="G218" s="16" t="s">
        <v>70</v>
      </c>
      <c r="H218" s="95">
        <f t="shared" si="10"/>
        <v>8</v>
      </c>
      <c r="I218" s="15" t="s">
        <v>18</v>
      </c>
      <c r="J218" s="16" t="s">
        <v>70</v>
      </c>
      <c r="K218" s="88">
        <f t="shared" si="11"/>
        <v>8</v>
      </c>
      <c r="L218" s="16" t="s">
        <v>953</v>
      </c>
      <c r="M218" s="16" t="s">
        <v>44</v>
      </c>
      <c r="N218" s="96" t="s">
        <v>21</v>
      </c>
    </row>
    <row r="219" spans="1:14" x14ac:dyDescent="0.35">
      <c r="A219" s="90" t="s">
        <v>954</v>
      </c>
      <c r="B219" s="10" t="s">
        <v>13</v>
      </c>
      <c r="C219" s="11" t="s">
        <v>955</v>
      </c>
      <c r="D219" s="11" t="s">
        <v>34</v>
      </c>
      <c r="E219" s="12" t="s">
        <v>252</v>
      </c>
      <c r="F219" s="10">
        <f>+YEAR(Tabla2[[#This Row],[Cosecha]])</f>
        <v>2024</v>
      </c>
      <c r="G219" s="11" t="s">
        <v>66</v>
      </c>
      <c r="H219" s="91">
        <f t="shared" si="10"/>
        <v>6</v>
      </c>
      <c r="I219" s="10" t="s">
        <v>18</v>
      </c>
      <c r="J219" s="11" t="s">
        <v>66</v>
      </c>
      <c r="K219" s="88">
        <f t="shared" si="11"/>
        <v>6</v>
      </c>
      <c r="L219" s="11" t="s">
        <v>911</v>
      </c>
      <c r="M219" s="11" t="s">
        <v>130</v>
      </c>
      <c r="N219" s="92" t="s">
        <v>21</v>
      </c>
    </row>
    <row r="220" spans="1:14" x14ac:dyDescent="0.35">
      <c r="A220" s="94" t="s">
        <v>956</v>
      </c>
      <c r="B220" s="15" t="s">
        <v>13</v>
      </c>
      <c r="C220" s="16" t="s">
        <v>957</v>
      </c>
      <c r="D220" s="16" t="s">
        <v>34</v>
      </c>
      <c r="E220" s="17" t="s">
        <v>252</v>
      </c>
      <c r="F220" s="15">
        <f>+YEAR(Tabla2[[#This Row],[Cosecha]])</f>
        <v>2024</v>
      </c>
      <c r="G220" s="16" t="s">
        <v>47</v>
      </c>
      <c r="H220" s="95">
        <f t="shared" si="10"/>
        <v>8</v>
      </c>
      <c r="I220" s="15" t="s">
        <v>18</v>
      </c>
      <c r="J220" s="16" t="s">
        <v>133</v>
      </c>
      <c r="K220" s="88">
        <f t="shared" si="11"/>
        <v>9</v>
      </c>
      <c r="L220" s="16" t="s">
        <v>958</v>
      </c>
      <c r="M220" s="16" t="s">
        <v>25</v>
      </c>
      <c r="N220" s="96" t="s">
        <v>21</v>
      </c>
    </row>
    <row r="221" spans="1:14" x14ac:dyDescent="0.35">
      <c r="A221" s="90" t="s">
        <v>959</v>
      </c>
      <c r="B221" s="10" t="s">
        <v>13</v>
      </c>
      <c r="C221" s="11" t="s">
        <v>960</v>
      </c>
      <c r="D221" s="11" t="s">
        <v>34</v>
      </c>
      <c r="E221" s="12" t="s">
        <v>82</v>
      </c>
      <c r="F221" s="10">
        <f>+YEAR(Tabla2[[#This Row],[Cosecha]])</f>
        <v>2024</v>
      </c>
      <c r="G221" s="11" t="s">
        <v>47</v>
      </c>
      <c r="H221" s="91">
        <f t="shared" si="10"/>
        <v>3</v>
      </c>
      <c r="I221" s="10" t="s">
        <v>18</v>
      </c>
      <c r="J221" s="11" t="s">
        <v>133</v>
      </c>
      <c r="K221" s="88">
        <f t="shared" si="11"/>
        <v>4</v>
      </c>
      <c r="L221" s="11" t="s">
        <v>961</v>
      </c>
      <c r="M221" s="11" t="s">
        <v>130</v>
      </c>
      <c r="N221" s="92" t="s">
        <v>26</v>
      </c>
    </row>
    <row r="222" spans="1:14" x14ac:dyDescent="0.35">
      <c r="A222" s="94" t="s">
        <v>965</v>
      </c>
      <c r="B222" s="15" t="s">
        <v>13</v>
      </c>
      <c r="C222" s="16" t="s">
        <v>966</v>
      </c>
      <c r="D222" s="16" t="s">
        <v>90</v>
      </c>
      <c r="E222" s="17" t="s">
        <v>113</v>
      </c>
      <c r="F222" s="15">
        <f>+YEAR(Tabla2[[#This Row],[Cosecha]])</f>
        <v>2025</v>
      </c>
      <c r="G222" s="16" t="s">
        <v>17</v>
      </c>
      <c r="H222" s="95">
        <f t="shared" si="10"/>
        <v>4</v>
      </c>
      <c r="I222" s="15" t="s">
        <v>18</v>
      </c>
      <c r="J222" s="16" t="s">
        <v>17</v>
      </c>
      <c r="K222" s="88">
        <f t="shared" si="11"/>
        <v>4</v>
      </c>
      <c r="L222" s="16" t="s">
        <v>967</v>
      </c>
      <c r="M222" s="16" t="s">
        <v>25</v>
      </c>
      <c r="N222" s="96" t="s">
        <v>26</v>
      </c>
    </row>
    <row r="223" spans="1:14" x14ac:dyDescent="0.35">
      <c r="A223" s="90" t="s">
        <v>971</v>
      </c>
      <c r="B223" s="10" t="s">
        <v>13</v>
      </c>
      <c r="C223" s="11" t="s">
        <v>972</v>
      </c>
      <c r="D223" s="11" t="s">
        <v>34</v>
      </c>
      <c r="E223" s="12" t="s">
        <v>82</v>
      </c>
      <c r="F223" s="10">
        <f>+YEAR(Tabla2[[#This Row],[Cosecha]])</f>
        <v>2024</v>
      </c>
      <c r="G223" s="11" t="s">
        <v>104</v>
      </c>
      <c r="H223" s="91">
        <f t="shared" si="10"/>
        <v>5</v>
      </c>
      <c r="I223" s="10" t="s">
        <v>18</v>
      </c>
      <c r="J223" s="11" t="s">
        <v>104</v>
      </c>
      <c r="K223" s="88">
        <f t="shared" si="11"/>
        <v>5</v>
      </c>
      <c r="L223" s="11" t="s">
        <v>973</v>
      </c>
      <c r="M223" s="11" t="s">
        <v>130</v>
      </c>
      <c r="N223" s="92" t="s">
        <v>21</v>
      </c>
    </row>
    <row r="224" spans="1:14" x14ac:dyDescent="0.35">
      <c r="A224" s="94" t="s">
        <v>974</v>
      </c>
      <c r="B224" s="15" t="s">
        <v>13</v>
      </c>
      <c r="C224" s="16" t="s">
        <v>975</v>
      </c>
      <c r="D224" s="16" t="s">
        <v>78</v>
      </c>
      <c r="E224" s="17" t="s">
        <v>392</v>
      </c>
      <c r="F224" s="15">
        <f>+YEAR(Tabla2[[#This Row],[Cosecha]])</f>
        <v>2022</v>
      </c>
      <c r="G224" s="16" t="s">
        <v>29</v>
      </c>
      <c r="H224" s="95">
        <f t="shared" si="10"/>
        <v>33</v>
      </c>
      <c r="I224" s="15" t="s">
        <v>18</v>
      </c>
      <c r="J224" s="16" t="s">
        <v>29</v>
      </c>
      <c r="K224" s="88">
        <f t="shared" si="11"/>
        <v>33</v>
      </c>
      <c r="L224" s="16" t="s">
        <v>976</v>
      </c>
      <c r="M224" s="16" t="s">
        <v>20</v>
      </c>
      <c r="N224" s="96" t="s">
        <v>21</v>
      </c>
    </row>
    <row r="225" spans="1:14" x14ac:dyDescent="0.35">
      <c r="A225" s="90" t="s">
        <v>977</v>
      </c>
      <c r="B225" s="10" t="s">
        <v>13</v>
      </c>
      <c r="C225" s="11" t="s">
        <v>978</v>
      </c>
      <c r="D225" s="11" t="s">
        <v>15</v>
      </c>
      <c r="E225" s="12" t="s">
        <v>104</v>
      </c>
      <c r="F225" s="10">
        <f>+YEAR(Tabla2[[#This Row],[Cosecha]])</f>
        <v>2025</v>
      </c>
      <c r="G225" s="11" t="s">
        <v>29</v>
      </c>
      <c r="H225" s="91">
        <f t="shared" si="10"/>
        <v>1</v>
      </c>
      <c r="I225" s="10" t="s">
        <v>18</v>
      </c>
      <c r="J225" s="11" t="s">
        <v>29</v>
      </c>
      <c r="K225" s="88">
        <f t="shared" si="11"/>
        <v>1</v>
      </c>
      <c r="L225" s="11" t="s">
        <v>979</v>
      </c>
      <c r="M225" s="11" t="s">
        <v>25</v>
      </c>
      <c r="N225" s="92" t="s">
        <v>21</v>
      </c>
    </row>
    <row r="226" spans="1:14" x14ac:dyDescent="0.35">
      <c r="A226" s="94" t="s">
        <v>980</v>
      </c>
      <c r="B226" s="15" t="s">
        <v>13</v>
      </c>
      <c r="C226" s="16" t="s">
        <v>981</v>
      </c>
      <c r="D226" s="16" t="s">
        <v>34</v>
      </c>
      <c r="E226" s="17" t="s">
        <v>29</v>
      </c>
      <c r="F226" s="15">
        <f>+YEAR(Tabla2[[#This Row],[Cosecha]])</f>
        <v>2025</v>
      </c>
      <c r="G226" s="16" t="s">
        <v>30</v>
      </c>
      <c r="H226" s="95">
        <f t="shared" si="10"/>
        <v>9</v>
      </c>
      <c r="I226" s="15" t="s">
        <v>18</v>
      </c>
      <c r="J226" s="16" t="s">
        <v>17</v>
      </c>
      <c r="K226" s="88">
        <f t="shared" si="11"/>
        <v>10</v>
      </c>
      <c r="L226" s="16" t="s">
        <v>982</v>
      </c>
      <c r="M226" s="16" t="s">
        <v>44</v>
      </c>
      <c r="N226" s="96" t="s">
        <v>21</v>
      </c>
    </row>
    <row r="227" spans="1:14" x14ac:dyDescent="0.35">
      <c r="A227" s="90" t="s">
        <v>986</v>
      </c>
      <c r="B227" s="10" t="s">
        <v>13</v>
      </c>
      <c r="C227" s="11" t="s">
        <v>987</v>
      </c>
      <c r="D227" s="11" t="s">
        <v>90</v>
      </c>
      <c r="E227" s="12" t="s">
        <v>37</v>
      </c>
      <c r="F227" s="10">
        <f>+YEAR(Tabla2[[#This Row],[Cosecha]])</f>
        <v>2025</v>
      </c>
      <c r="G227" s="11" t="s">
        <v>52</v>
      </c>
      <c r="H227" s="91">
        <f t="shared" si="10"/>
        <v>3</v>
      </c>
      <c r="I227" s="10" t="s">
        <v>18</v>
      </c>
      <c r="J227" s="11" t="s">
        <v>30</v>
      </c>
      <c r="K227" s="88">
        <f t="shared" si="11"/>
        <v>4</v>
      </c>
      <c r="L227" s="11" t="s">
        <v>988</v>
      </c>
      <c r="M227" s="11" t="s">
        <v>115</v>
      </c>
      <c r="N227" s="92" t="s">
        <v>26</v>
      </c>
    </row>
    <row r="228" spans="1:14" x14ac:dyDescent="0.35">
      <c r="A228" s="94" t="s">
        <v>992</v>
      </c>
      <c r="B228" s="15" t="s">
        <v>13</v>
      </c>
      <c r="C228" s="16" t="s">
        <v>993</v>
      </c>
      <c r="D228" s="16" t="s">
        <v>34</v>
      </c>
      <c r="E228" s="17" t="s">
        <v>66</v>
      </c>
      <c r="F228" s="15">
        <f>+YEAR(Tabla2[[#This Row],[Cosecha]])</f>
        <v>2025</v>
      </c>
      <c r="G228" s="16" t="s">
        <v>30</v>
      </c>
      <c r="H228" s="95">
        <f t="shared" si="10"/>
        <v>14</v>
      </c>
      <c r="I228" s="15" t="s">
        <v>18</v>
      </c>
      <c r="J228" s="16" t="s">
        <v>70</v>
      </c>
      <c r="K228" s="88">
        <f t="shared" si="11"/>
        <v>16</v>
      </c>
      <c r="L228" s="16" t="s">
        <v>994</v>
      </c>
      <c r="M228" s="16" t="s">
        <v>130</v>
      </c>
      <c r="N228" s="96" t="s">
        <v>21</v>
      </c>
    </row>
    <row r="229" spans="1:14" x14ac:dyDescent="0.35">
      <c r="A229" s="90" t="s">
        <v>995</v>
      </c>
      <c r="B229" s="10" t="s">
        <v>13</v>
      </c>
      <c r="C229" s="11" t="s">
        <v>996</v>
      </c>
      <c r="D229" s="11" t="s">
        <v>34</v>
      </c>
      <c r="E229" s="12" t="s">
        <v>178</v>
      </c>
      <c r="F229" s="10">
        <f>+YEAR(Tabla2[[#This Row],[Cosecha]])</f>
        <v>2024</v>
      </c>
      <c r="G229" s="11" t="s">
        <v>70</v>
      </c>
      <c r="H229" s="91">
        <f t="shared" si="10"/>
        <v>18</v>
      </c>
      <c r="I229" s="10" t="s">
        <v>18</v>
      </c>
      <c r="J229" s="11" t="s">
        <v>70</v>
      </c>
      <c r="K229" s="88">
        <f t="shared" si="11"/>
        <v>18</v>
      </c>
      <c r="L229" s="11" t="s">
        <v>997</v>
      </c>
      <c r="M229" s="11" t="s">
        <v>130</v>
      </c>
      <c r="N229" s="92" t="s">
        <v>21</v>
      </c>
    </row>
    <row r="230" spans="1:14" x14ac:dyDescent="0.35">
      <c r="A230" s="94" t="s">
        <v>998</v>
      </c>
      <c r="B230" s="15" t="s">
        <v>13</v>
      </c>
      <c r="C230" s="16" t="s">
        <v>999</v>
      </c>
      <c r="D230" s="16" t="s">
        <v>34</v>
      </c>
      <c r="E230" s="17" t="s">
        <v>165</v>
      </c>
      <c r="F230" s="15">
        <f>+YEAR(Tabla2[[#This Row],[Cosecha]])</f>
        <v>2024</v>
      </c>
      <c r="G230" s="16" t="s">
        <v>70</v>
      </c>
      <c r="H230" s="95">
        <f t="shared" si="10"/>
        <v>27</v>
      </c>
      <c r="I230" s="15" t="s">
        <v>18</v>
      </c>
      <c r="J230" s="16" t="s">
        <v>70</v>
      </c>
      <c r="K230" s="88">
        <f t="shared" si="11"/>
        <v>27</v>
      </c>
      <c r="L230" s="16" t="s">
        <v>1000</v>
      </c>
      <c r="M230" s="16" t="s">
        <v>130</v>
      </c>
      <c r="N230" s="96" t="s">
        <v>21</v>
      </c>
    </row>
    <row r="231" spans="1:14" x14ac:dyDescent="0.35">
      <c r="A231" s="90" t="s">
        <v>1001</v>
      </c>
      <c r="B231" s="10" t="s">
        <v>13</v>
      </c>
      <c r="C231" s="11" t="s">
        <v>1002</v>
      </c>
      <c r="D231" s="11" t="s">
        <v>15</v>
      </c>
      <c r="E231" s="12" t="s">
        <v>36</v>
      </c>
      <c r="F231" s="10">
        <f>+YEAR(Tabla2[[#This Row],[Cosecha]])</f>
        <v>2025</v>
      </c>
      <c r="G231" s="11" t="s">
        <v>17</v>
      </c>
      <c r="H231" s="91">
        <f t="shared" si="10"/>
        <v>6</v>
      </c>
      <c r="I231" s="10" t="s">
        <v>18</v>
      </c>
      <c r="J231" s="11" t="s">
        <v>17</v>
      </c>
      <c r="K231" s="88">
        <f t="shared" si="11"/>
        <v>6</v>
      </c>
      <c r="L231" s="11" t="s">
        <v>1003</v>
      </c>
      <c r="M231" s="11" t="s">
        <v>25</v>
      </c>
      <c r="N231" s="92" t="s">
        <v>26</v>
      </c>
    </row>
    <row r="232" spans="1:14" x14ac:dyDescent="0.35">
      <c r="A232" s="94" t="s">
        <v>1004</v>
      </c>
      <c r="B232" s="15" t="s">
        <v>13</v>
      </c>
      <c r="C232" s="16" t="s">
        <v>1005</v>
      </c>
      <c r="D232" s="16" t="s">
        <v>78</v>
      </c>
      <c r="E232" s="17" t="s">
        <v>113</v>
      </c>
      <c r="F232" s="15">
        <f>+YEAR(Tabla2[[#This Row],[Cosecha]])</f>
        <v>2025</v>
      </c>
      <c r="G232" s="16" t="s">
        <v>30</v>
      </c>
      <c r="H232" s="95">
        <f t="shared" si="10"/>
        <v>3</v>
      </c>
      <c r="I232" s="15" t="s">
        <v>18</v>
      </c>
      <c r="J232" s="16" t="s">
        <v>17</v>
      </c>
      <c r="K232" s="88">
        <f t="shared" si="11"/>
        <v>4</v>
      </c>
      <c r="L232" s="16" t="s">
        <v>1006</v>
      </c>
      <c r="M232" s="16" t="s">
        <v>25</v>
      </c>
      <c r="N232" s="96" t="s">
        <v>26</v>
      </c>
    </row>
    <row r="233" spans="1:14" x14ac:dyDescent="0.35">
      <c r="A233" s="90" t="s">
        <v>1007</v>
      </c>
      <c r="B233" s="10" t="s">
        <v>13</v>
      </c>
      <c r="C233" s="11" t="s">
        <v>1008</v>
      </c>
      <c r="D233" s="11" t="s">
        <v>34</v>
      </c>
      <c r="E233" s="12" t="s">
        <v>29</v>
      </c>
      <c r="F233" s="10">
        <f>+YEAR(Tabla2[[#This Row],[Cosecha]])</f>
        <v>2025</v>
      </c>
      <c r="G233" s="11" t="s">
        <v>70</v>
      </c>
      <c r="H233" s="91">
        <f t="shared" si="10"/>
        <v>11</v>
      </c>
      <c r="I233" s="10" t="s">
        <v>18</v>
      </c>
      <c r="J233" s="11" t="s">
        <v>70</v>
      </c>
      <c r="K233" s="88">
        <f t="shared" si="11"/>
        <v>11</v>
      </c>
      <c r="L233" s="11" t="s">
        <v>1009</v>
      </c>
      <c r="M233" s="11" t="s">
        <v>44</v>
      </c>
      <c r="N233" s="92" t="s">
        <v>21</v>
      </c>
    </row>
    <row r="234" spans="1:14" x14ac:dyDescent="0.35">
      <c r="A234" s="94" t="s">
        <v>1010</v>
      </c>
      <c r="B234" s="15" t="s">
        <v>13</v>
      </c>
      <c r="C234" s="16" t="s">
        <v>1011</v>
      </c>
      <c r="D234" s="16" t="s">
        <v>34</v>
      </c>
      <c r="E234" s="17" t="s">
        <v>104</v>
      </c>
      <c r="F234" s="15">
        <f>+YEAR(Tabla2[[#This Row],[Cosecha]])</f>
        <v>2025</v>
      </c>
      <c r="G234" s="16" t="s">
        <v>23</v>
      </c>
      <c r="H234" s="95">
        <f t="shared" si="10"/>
        <v>8</v>
      </c>
      <c r="I234" s="15" t="s">
        <v>18</v>
      </c>
      <c r="J234" s="16" t="s">
        <v>23</v>
      </c>
      <c r="K234" s="88">
        <f t="shared" si="11"/>
        <v>8</v>
      </c>
      <c r="L234" s="16" t="s">
        <v>1012</v>
      </c>
      <c r="M234" s="16" t="s">
        <v>115</v>
      </c>
      <c r="N234" s="96" t="s">
        <v>21</v>
      </c>
    </row>
    <row r="235" spans="1:14" x14ac:dyDescent="0.35">
      <c r="A235" s="90" t="s">
        <v>1013</v>
      </c>
      <c r="B235" s="10" t="s">
        <v>13</v>
      </c>
      <c r="C235" s="11" t="s">
        <v>1014</v>
      </c>
      <c r="D235" s="11" t="s">
        <v>34</v>
      </c>
      <c r="E235" s="12" t="s">
        <v>23</v>
      </c>
      <c r="F235" s="10">
        <f>+YEAR(Tabla2[[#This Row],[Cosecha]])</f>
        <v>2026</v>
      </c>
      <c r="G235" s="11" t="s">
        <v>30</v>
      </c>
      <c r="H235" s="91">
        <f t="shared" si="10"/>
        <v>2</v>
      </c>
      <c r="I235" s="10" t="s">
        <v>18</v>
      </c>
      <c r="J235" s="11" t="s">
        <v>30</v>
      </c>
      <c r="K235" s="88">
        <f t="shared" si="11"/>
        <v>2</v>
      </c>
      <c r="L235" s="11" t="s">
        <v>1015</v>
      </c>
      <c r="M235" s="11" t="s">
        <v>44</v>
      </c>
      <c r="N235" s="92" t="s">
        <v>21</v>
      </c>
    </row>
    <row r="236" spans="1:14" x14ac:dyDescent="0.35">
      <c r="A236" s="94" t="s">
        <v>1019</v>
      </c>
      <c r="B236" s="15" t="s">
        <v>13</v>
      </c>
      <c r="C236" s="16" t="s">
        <v>1020</v>
      </c>
      <c r="D236" s="16" t="s">
        <v>34</v>
      </c>
      <c r="E236" s="17" t="s">
        <v>118</v>
      </c>
      <c r="F236" s="15">
        <f>+YEAR(Tabla2[[#This Row],[Cosecha]])</f>
        <v>2025</v>
      </c>
      <c r="G236" s="16" t="s">
        <v>23</v>
      </c>
      <c r="H236" s="95">
        <f t="shared" si="10"/>
        <v>4</v>
      </c>
      <c r="I236" s="15" t="s">
        <v>18</v>
      </c>
      <c r="J236" s="16" t="s">
        <v>52</v>
      </c>
      <c r="K236" s="88">
        <f t="shared" si="11"/>
        <v>5</v>
      </c>
      <c r="L236" s="16" t="s">
        <v>1021</v>
      </c>
      <c r="M236" s="16" t="s">
        <v>115</v>
      </c>
      <c r="N236" s="96" t="s">
        <v>26</v>
      </c>
    </row>
    <row r="237" spans="1:14" x14ac:dyDescent="0.35">
      <c r="A237" s="90" t="s">
        <v>1022</v>
      </c>
      <c r="B237" s="10" t="s">
        <v>13</v>
      </c>
      <c r="C237" s="11" t="s">
        <v>1023</v>
      </c>
      <c r="D237" s="11" t="s">
        <v>34</v>
      </c>
      <c r="E237" s="12" t="s">
        <v>97</v>
      </c>
      <c r="F237" s="10">
        <f>+YEAR(Tabla2[[#This Row],[Cosecha]])</f>
        <v>2025</v>
      </c>
      <c r="G237" s="11" t="s">
        <v>37</v>
      </c>
      <c r="H237" s="91">
        <f t="shared" si="10"/>
        <v>3</v>
      </c>
      <c r="I237" s="10" t="s">
        <v>18</v>
      </c>
      <c r="J237" s="11" t="s">
        <v>37</v>
      </c>
      <c r="K237" s="88">
        <f t="shared" si="11"/>
        <v>3</v>
      </c>
      <c r="L237" s="11" t="s">
        <v>1024</v>
      </c>
      <c r="M237" s="11" t="s">
        <v>44</v>
      </c>
      <c r="N237" s="92" t="s">
        <v>21</v>
      </c>
    </row>
    <row r="238" spans="1:14" x14ac:dyDescent="0.35">
      <c r="A238" s="94" t="s">
        <v>1025</v>
      </c>
      <c r="B238" s="15" t="s">
        <v>13</v>
      </c>
      <c r="C238" s="16" t="s">
        <v>1026</v>
      </c>
      <c r="D238" s="16" t="s">
        <v>34</v>
      </c>
      <c r="E238" s="17" t="s">
        <v>29</v>
      </c>
      <c r="F238" s="15">
        <f>+YEAR(Tabla2[[#This Row],[Cosecha]])</f>
        <v>2025</v>
      </c>
      <c r="G238" s="16" t="s">
        <v>118</v>
      </c>
      <c r="H238" s="95">
        <f t="shared" si="10"/>
        <v>3</v>
      </c>
      <c r="I238" s="15" t="s">
        <v>18</v>
      </c>
      <c r="J238" s="16" t="s">
        <v>118</v>
      </c>
      <c r="K238" s="88">
        <f t="shared" si="11"/>
        <v>3</v>
      </c>
      <c r="L238" s="16" t="s">
        <v>1027</v>
      </c>
      <c r="M238" s="16" t="s">
        <v>115</v>
      </c>
      <c r="N238" s="96" t="s">
        <v>26</v>
      </c>
    </row>
    <row r="239" spans="1:14" x14ac:dyDescent="0.35">
      <c r="A239" s="90" t="s">
        <v>1028</v>
      </c>
      <c r="B239" s="10" t="s">
        <v>13</v>
      </c>
      <c r="C239" s="11" t="s">
        <v>1029</v>
      </c>
      <c r="D239" s="11" t="s">
        <v>15</v>
      </c>
      <c r="E239" s="12" t="s">
        <v>37</v>
      </c>
      <c r="F239" s="10">
        <f>+YEAR(Tabla2[[#This Row],[Cosecha]])</f>
        <v>2025</v>
      </c>
      <c r="G239" s="11" t="s">
        <v>30</v>
      </c>
      <c r="H239" s="91">
        <f t="shared" si="10"/>
        <v>4</v>
      </c>
      <c r="I239" s="10" t="s">
        <v>18</v>
      </c>
      <c r="J239" s="11" t="s">
        <v>30</v>
      </c>
      <c r="K239" s="88">
        <f t="shared" si="11"/>
        <v>4</v>
      </c>
      <c r="L239" s="11" t="s">
        <v>1030</v>
      </c>
      <c r="M239" s="11" t="s">
        <v>25</v>
      </c>
      <c r="N239" s="92" t="s">
        <v>21</v>
      </c>
    </row>
    <row r="240" spans="1:14" x14ac:dyDescent="0.35">
      <c r="A240" s="94" t="s">
        <v>1034</v>
      </c>
      <c r="B240" s="15" t="s">
        <v>13</v>
      </c>
      <c r="C240" s="16" t="s">
        <v>1035</v>
      </c>
      <c r="D240" s="16" t="s">
        <v>15</v>
      </c>
      <c r="E240" s="17" t="s">
        <v>118</v>
      </c>
      <c r="F240" s="15">
        <f>+YEAR(Tabla2[[#This Row],[Cosecha]])</f>
        <v>2025</v>
      </c>
      <c r="G240" s="16" t="s">
        <v>52</v>
      </c>
      <c r="H240" s="95">
        <f t="shared" si="10"/>
        <v>5</v>
      </c>
      <c r="I240" s="15" t="s">
        <v>18</v>
      </c>
      <c r="J240" s="16" t="s">
        <v>52</v>
      </c>
      <c r="K240" s="88">
        <f t="shared" si="11"/>
        <v>5</v>
      </c>
      <c r="L240" s="16" t="s">
        <v>1036</v>
      </c>
      <c r="M240" s="16" t="s">
        <v>25</v>
      </c>
      <c r="N240" s="96" t="s">
        <v>26</v>
      </c>
    </row>
    <row r="241" spans="1:14" x14ac:dyDescent="0.35">
      <c r="A241" s="90" t="s">
        <v>1040</v>
      </c>
      <c r="B241" s="10" t="s">
        <v>13</v>
      </c>
      <c r="C241" s="11" t="s">
        <v>1041</v>
      </c>
      <c r="D241" s="11" t="s">
        <v>34</v>
      </c>
      <c r="E241" s="12" t="s">
        <v>104</v>
      </c>
      <c r="F241" s="10">
        <f>+YEAR(Tabla2[[#This Row],[Cosecha]])</f>
        <v>2025</v>
      </c>
      <c r="G241" s="11" t="s">
        <v>97</v>
      </c>
      <c r="H241" s="91">
        <f t="shared" si="10"/>
        <v>3</v>
      </c>
      <c r="I241" s="10" t="s">
        <v>18</v>
      </c>
      <c r="J241" s="11" t="s">
        <v>23</v>
      </c>
      <c r="K241" s="88">
        <f t="shared" si="11"/>
        <v>8</v>
      </c>
      <c r="L241" s="11" t="s">
        <v>1042</v>
      </c>
      <c r="M241" s="11" t="s">
        <v>115</v>
      </c>
      <c r="N241" s="92" t="s">
        <v>21</v>
      </c>
    </row>
    <row r="242" spans="1:14" x14ac:dyDescent="0.35">
      <c r="A242" s="94" t="s">
        <v>1043</v>
      </c>
      <c r="B242" s="15" t="s">
        <v>13</v>
      </c>
      <c r="C242" s="16" t="s">
        <v>1044</v>
      </c>
      <c r="D242" s="16" t="s">
        <v>34</v>
      </c>
      <c r="E242" s="17" t="s">
        <v>51</v>
      </c>
      <c r="F242" s="15">
        <f>+YEAR(Tabla2[[#This Row],[Cosecha]])</f>
        <v>2025</v>
      </c>
      <c r="G242" s="16" t="s">
        <v>70</v>
      </c>
      <c r="H242" s="95">
        <f t="shared" si="10"/>
        <v>15</v>
      </c>
      <c r="I242" s="15" t="s">
        <v>18</v>
      </c>
      <c r="J242" s="16" t="s">
        <v>70</v>
      </c>
      <c r="K242" s="88">
        <f t="shared" si="11"/>
        <v>15</v>
      </c>
      <c r="L242" s="16" t="s">
        <v>1045</v>
      </c>
      <c r="M242" s="16" t="s">
        <v>25</v>
      </c>
      <c r="N242" s="96" t="s">
        <v>21</v>
      </c>
    </row>
    <row r="243" spans="1:14" x14ac:dyDescent="0.35">
      <c r="A243" s="90" t="s">
        <v>1046</v>
      </c>
      <c r="B243" s="10" t="s">
        <v>13</v>
      </c>
      <c r="C243" s="11" t="s">
        <v>1047</v>
      </c>
      <c r="D243" s="11" t="s">
        <v>34</v>
      </c>
      <c r="E243" s="12" t="s">
        <v>546</v>
      </c>
      <c r="F243" s="10">
        <f>+YEAR(Tabla2[[#This Row],[Cosecha]])</f>
        <v>2023</v>
      </c>
      <c r="G243" s="11" t="s">
        <v>113</v>
      </c>
      <c r="H243" s="91">
        <f t="shared" si="10"/>
        <v>29</v>
      </c>
      <c r="I243" s="10" t="s">
        <v>18</v>
      </c>
      <c r="J243" s="11" t="s">
        <v>52</v>
      </c>
      <c r="K243" s="88">
        <f t="shared" si="11"/>
        <v>31</v>
      </c>
      <c r="L243" s="11" t="s">
        <v>1048</v>
      </c>
      <c r="M243" s="11" t="s">
        <v>20</v>
      </c>
      <c r="N243" s="92" t="s">
        <v>21</v>
      </c>
    </row>
    <row r="244" spans="1:14" x14ac:dyDescent="0.35">
      <c r="A244" s="94" t="s">
        <v>1049</v>
      </c>
      <c r="B244" s="15" t="s">
        <v>13</v>
      </c>
      <c r="C244" s="16" t="s">
        <v>1050</v>
      </c>
      <c r="D244" s="16" t="s">
        <v>34</v>
      </c>
      <c r="E244" s="17" t="s">
        <v>47</v>
      </c>
      <c r="F244" s="15">
        <f>+YEAR(Tabla2[[#This Row],[Cosecha]])</f>
        <v>2025</v>
      </c>
      <c r="G244" s="16" t="s">
        <v>97</v>
      </c>
      <c r="H244" s="95">
        <f t="shared" si="10"/>
        <v>5</v>
      </c>
      <c r="I244" s="15" t="s">
        <v>18</v>
      </c>
      <c r="J244" s="16" t="s">
        <v>97</v>
      </c>
      <c r="K244" s="88">
        <f t="shared" si="11"/>
        <v>5</v>
      </c>
      <c r="L244" s="16" t="s">
        <v>1051</v>
      </c>
      <c r="M244" s="16" t="s">
        <v>115</v>
      </c>
      <c r="N244" s="96" t="s">
        <v>21</v>
      </c>
    </row>
    <row r="245" spans="1:14" x14ac:dyDescent="0.35">
      <c r="A245" s="90" t="s">
        <v>1052</v>
      </c>
      <c r="B245" s="10" t="s">
        <v>13</v>
      </c>
      <c r="C245" s="11" t="s">
        <v>1053</v>
      </c>
      <c r="D245" s="11" t="s">
        <v>34</v>
      </c>
      <c r="E245" s="12" t="s">
        <v>122</v>
      </c>
      <c r="F245" s="10">
        <f>+YEAR(Tabla2[[#This Row],[Cosecha]])</f>
        <v>2023</v>
      </c>
      <c r="G245" s="11" t="s">
        <v>133</v>
      </c>
      <c r="H245" s="91">
        <f t="shared" si="10"/>
        <v>19</v>
      </c>
      <c r="I245" s="10" t="s">
        <v>18</v>
      </c>
      <c r="J245" s="11" t="s">
        <v>133</v>
      </c>
      <c r="K245" s="88">
        <f t="shared" si="11"/>
        <v>19</v>
      </c>
      <c r="L245" s="11" t="s">
        <v>1054</v>
      </c>
      <c r="M245" s="11" t="s">
        <v>25</v>
      </c>
      <c r="N245" s="92" t="s">
        <v>21</v>
      </c>
    </row>
    <row r="246" spans="1:14" x14ac:dyDescent="0.35">
      <c r="A246" s="94" t="s">
        <v>1055</v>
      </c>
      <c r="B246" s="15" t="s">
        <v>13</v>
      </c>
      <c r="C246" s="16" t="s">
        <v>1056</v>
      </c>
      <c r="D246" s="16" t="s">
        <v>34</v>
      </c>
      <c r="E246" s="17" t="s">
        <v>29</v>
      </c>
      <c r="F246" s="15">
        <f>+YEAR(Tabla2[[#This Row],[Cosecha]])</f>
        <v>2025</v>
      </c>
      <c r="G246" s="16" t="s">
        <v>97</v>
      </c>
      <c r="H246" s="95">
        <f t="shared" si="10"/>
        <v>2</v>
      </c>
      <c r="I246" s="15" t="s">
        <v>18</v>
      </c>
      <c r="J246" s="16" t="s">
        <v>97</v>
      </c>
      <c r="K246" s="88">
        <f t="shared" si="11"/>
        <v>2</v>
      </c>
      <c r="L246" s="16" t="s">
        <v>1057</v>
      </c>
      <c r="M246" s="16" t="s">
        <v>115</v>
      </c>
      <c r="N246" s="96" t="s">
        <v>26</v>
      </c>
    </row>
    <row r="247" spans="1:14" x14ac:dyDescent="0.35">
      <c r="A247" s="90" t="s">
        <v>1058</v>
      </c>
      <c r="B247" s="10" t="s">
        <v>13</v>
      </c>
      <c r="C247" s="11" t="s">
        <v>1059</v>
      </c>
      <c r="D247" s="11" t="s">
        <v>15</v>
      </c>
      <c r="E247" s="12" t="s">
        <v>62</v>
      </c>
      <c r="F247" s="10">
        <f>+YEAR(Tabla2[[#This Row],[Cosecha]])</f>
        <v>2025</v>
      </c>
      <c r="G247" s="11" t="s">
        <v>17</v>
      </c>
      <c r="H247" s="91">
        <f t="shared" si="10"/>
        <v>9</v>
      </c>
      <c r="I247" s="10" t="s">
        <v>18</v>
      </c>
      <c r="J247" s="11" t="s">
        <v>17</v>
      </c>
      <c r="K247" s="88">
        <f t="shared" si="11"/>
        <v>9</v>
      </c>
      <c r="L247" s="11" t="s">
        <v>1060</v>
      </c>
      <c r="M247" s="11" t="s">
        <v>25</v>
      </c>
      <c r="N247" s="92" t="s">
        <v>26</v>
      </c>
    </row>
    <row r="248" spans="1:14" x14ac:dyDescent="0.35">
      <c r="A248" s="94" t="s">
        <v>1061</v>
      </c>
      <c r="B248" s="15" t="s">
        <v>13</v>
      </c>
      <c r="C248" s="16" t="s">
        <v>1062</v>
      </c>
      <c r="D248" s="16" t="s">
        <v>78</v>
      </c>
      <c r="E248" s="17" t="s">
        <v>47</v>
      </c>
      <c r="F248" s="15">
        <f>+YEAR(Tabla2[[#This Row],[Cosecha]])</f>
        <v>2025</v>
      </c>
      <c r="G248" s="16" t="s">
        <v>52</v>
      </c>
      <c r="H248" s="95">
        <f t="shared" si="10"/>
        <v>11</v>
      </c>
      <c r="I248" s="15" t="s">
        <v>18</v>
      </c>
      <c r="J248" s="16" t="s">
        <v>52</v>
      </c>
      <c r="K248" s="88">
        <f t="shared" si="11"/>
        <v>11</v>
      </c>
      <c r="L248" s="16" t="s">
        <v>1063</v>
      </c>
      <c r="M248" s="16" t="s">
        <v>39</v>
      </c>
      <c r="N248" s="96" t="s">
        <v>21</v>
      </c>
    </row>
    <row r="249" spans="1:14" x14ac:dyDescent="0.35">
      <c r="A249" s="90" t="s">
        <v>1064</v>
      </c>
      <c r="B249" s="10" t="s">
        <v>13</v>
      </c>
      <c r="C249" s="11" t="s">
        <v>1065</v>
      </c>
      <c r="D249" s="11" t="s">
        <v>15</v>
      </c>
      <c r="E249" s="12" t="s">
        <v>37</v>
      </c>
      <c r="F249" s="10">
        <f>+YEAR(Tabla2[[#This Row],[Cosecha]])</f>
        <v>2025</v>
      </c>
      <c r="G249" s="11" t="s">
        <v>30</v>
      </c>
      <c r="H249" s="91">
        <f t="shared" si="10"/>
        <v>4</v>
      </c>
      <c r="I249" s="10" t="s">
        <v>18</v>
      </c>
      <c r="J249" s="11" t="s">
        <v>30</v>
      </c>
      <c r="K249" s="88">
        <f t="shared" si="11"/>
        <v>4</v>
      </c>
      <c r="L249" s="11" t="s">
        <v>1066</v>
      </c>
      <c r="M249" s="11" t="s">
        <v>25</v>
      </c>
      <c r="N249" s="92" t="s">
        <v>26</v>
      </c>
    </row>
    <row r="250" spans="1:14" x14ac:dyDescent="0.35">
      <c r="A250" s="94" t="s">
        <v>1067</v>
      </c>
      <c r="B250" s="15" t="s">
        <v>13</v>
      </c>
      <c r="C250" s="16" t="s">
        <v>1068</v>
      </c>
      <c r="D250" s="16" t="s">
        <v>34</v>
      </c>
      <c r="E250" s="17" t="s">
        <v>36</v>
      </c>
      <c r="F250" s="15">
        <f>+YEAR(Tabla2[[#This Row],[Cosecha]])</f>
        <v>2025</v>
      </c>
      <c r="G250" s="16" t="s">
        <v>30</v>
      </c>
      <c r="H250" s="95">
        <f t="shared" si="10"/>
        <v>5</v>
      </c>
      <c r="I250" s="15" t="s">
        <v>18</v>
      </c>
      <c r="J250" s="16" t="s">
        <v>30</v>
      </c>
      <c r="K250" s="88">
        <f t="shared" si="11"/>
        <v>5</v>
      </c>
      <c r="L250" s="16" t="s">
        <v>1069</v>
      </c>
      <c r="M250" s="16" t="s">
        <v>115</v>
      </c>
      <c r="N250" s="96" t="s">
        <v>26</v>
      </c>
    </row>
    <row r="251" spans="1:14" x14ac:dyDescent="0.35">
      <c r="A251" s="90" t="s">
        <v>1070</v>
      </c>
      <c r="B251" s="10" t="s">
        <v>13</v>
      </c>
      <c r="C251" s="11" t="s">
        <v>1071</v>
      </c>
      <c r="D251" s="11" t="s">
        <v>78</v>
      </c>
      <c r="E251" s="12" t="s">
        <v>82</v>
      </c>
      <c r="F251" s="10">
        <f>+YEAR(Tabla2[[#This Row],[Cosecha]])</f>
        <v>2024</v>
      </c>
      <c r="G251" s="11" t="s">
        <v>17</v>
      </c>
      <c r="H251" s="91">
        <f t="shared" si="10"/>
        <v>16</v>
      </c>
      <c r="I251" s="10" t="s">
        <v>18</v>
      </c>
      <c r="J251" s="11" t="s">
        <v>17</v>
      </c>
      <c r="K251" s="88">
        <f t="shared" si="11"/>
        <v>16</v>
      </c>
      <c r="L251" s="11" t="s">
        <v>1072</v>
      </c>
      <c r="M251" s="11" t="s">
        <v>25</v>
      </c>
      <c r="N251" s="92" t="s">
        <v>21</v>
      </c>
    </row>
    <row r="252" spans="1:14" x14ac:dyDescent="0.35">
      <c r="A252" s="94" t="s">
        <v>1073</v>
      </c>
      <c r="B252" s="15" t="s">
        <v>13</v>
      </c>
      <c r="C252" s="16" t="s">
        <v>1074</v>
      </c>
      <c r="D252" s="16" t="s">
        <v>34</v>
      </c>
      <c r="E252" s="17" t="s">
        <v>178</v>
      </c>
      <c r="F252" s="15">
        <f>+YEAR(Tabla2[[#This Row],[Cosecha]])</f>
        <v>2024</v>
      </c>
      <c r="G252" s="16" t="s">
        <v>37</v>
      </c>
      <c r="H252" s="95">
        <f t="shared" si="10"/>
        <v>12</v>
      </c>
      <c r="I252" s="15" t="s">
        <v>18</v>
      </c>
      <c r="J252" s="16" t="s">
        <v>30</v>
      </c>
      <c r="K252" s="88">
        <f t="shared" si="11"/>
        <v>16</v>
      </c>
      <c r="L252" s="16" t="s">
        <v>1075</v>
      </c>
      <c r="M252" s="16" t="s">
        <v>130</v>
      </c>
      <c r="N252" s="96" t="s">
        <v>21</v>
      </c>
    </row>
    <row r="253" spans="1:14" x14ac:dyDescent="0.35">
      <c r="A253" s="90" t="s">
        <v>1076</v>
      </c>
      <c r="B253" s="10" t="s">
        <v>13</v>
      </c>
      <c r="C253" s="11" t="s">
        <v>1077</v>
      </c>
      <c r="D253" s="11" t="s">
        <v>34</v>
      </c>
      <c r="E253" s="12" t="s">
        <v>36</v>
      </c>
      <c r="F253" s="10">
        <f>+YEAR(Tabla2[[#This Row],[Cosecha]])</f>
        <v>2025</v>
      </c>
      <c r="G253" s="11" t="s">
        <v>70</v>
      </c>
      <c r="H253" s="91">
        <f t="shared" si="10"/>
        <v>7</v>
      </c>
      <c r="I253" s="10" t="s">
        <v>18</v>
      </c>
      <c r="J253" s="11" t="s">
        <v>70</v>
      </c>
      <c r="K253" s="88">
        <f t="shared" si="11"/>
        <v>7</v>
      </c>
      <c r="L253" s="11" t="s">
        <v>1078</v>
      </c>
      <c r="M253" s="11" t="s">
        <v>44</v>
      </c>
      <c r="N253" s="92" t="s">
        <v>21</v>
      </c>
    </row>
    <row r="254" spans="1:14" x14ac:dyDescent="0.35">
      <c r="A254" s="94" t="s">
        <v>1079</v>
      </c>
      <c r="B254" s="15" t="s">
        <v>13</v>
      </c>
      <c r="C254" s="16" t="s">
        <v>1080</v>
      </c>
      <c r="D254" s="16" t="s">
        <v>34</v>
      </c>
      <c r="E254" s="17" t="s">
        <v>178</v>
      </c>
      <c r="F254" s="15">
        <f>+YEAR(Tabla2[[#This Row],[Cosecha]])</f>
        <v>2024</v>
      </c>
      <c r="G254" s="16" t="s">
        <v>47</v>
      </c>
      <c r="H254" s="95">
        <f t="shared" si="10"/>
        <v>4</v>
      </c>
      <c r="I254" s="15" t="s">
        <v>18</v>
      </c>
      <c r="J254" s="16" t="s">
        <v>47</v>
      </c>
      <c r="K254" s="88">
        <f t="shared" si="11"/>
        <v>4</v>
      </c>
      <c r="L254" s="16" t="s">
        <v>210</v>
      </c>
      <c r="M254" s="16" t="s">
        <v>130</v>
      </c>
      <c r="N254" s="96" t="s">
        <v>21</v>
      </c>
    </row>
    <row r="255" spans="1:14" x14ac:dyDescent="0.35">
      <c r="A255" s="90" t="s">
        <v>1084</v>
      </c>
      <c r="B255" s="10" t="s">
        <v>13</v>
      </c>
      <c r="C255" s="11" t="s">
        <v>1085</v>
      </c>
      <c r="D255" s="11" t="s">
        <v>34</v>
      </c>
      <c r="E255" s="12" t="s">
        <v>1086</v>
      </c>
      <c r="F255" s="10">
        <f>+YEAR(Tabla2[[#This Row],[Cosecha]])</f>
        <v>2023</v>
      </c>
      <c r="G255" s="11" t="s">
        <v>118</v>
      </c>
      <c r="H255" s="91">
        <f t="shared" si="10"/>
        <v>25</v>
      </c>
      <c r="I255" s="10" t="s">
        <v>18</v>
      </c>
      <c r="J255" s="11" t="s">
        <v>118</v>
      </c>
      <c r="K255" s="88">
        <f t="shared" si="11"/>
        <v>25</v>
      </c>
      <c r="L255" s="11" t="s">
        <v>1087</v>
      </c>
      <c r="M255" s="11" t="s">
        <v>39</v>
      </c>
      <c r="N255" s="92" t="s">
        <v>21</v>
      </c>
    </row>
    <row r="256" spans="1:14" x14ac:dyDescent="0.35">
      <c r="A256" s="94" t="s">
        <v>1084</v>
      </c>
      <c r="B256" s="15" t="s">
        <v>13</v>
      </c>
      <c r="C256" s="16" t="s">
        <v>1085</v>
      </c>
      <c r="D256" s="16" t="s">
        <v>34</v>
      </c>
      <c r="E256" s="17" t="s">
        <v>1086</v>
      </c>
      <c r="F256" s="15">
        <f>+YEAR(Tabla2[[#This Row],[Cosecha]])</f>
        <v>2023</v>
      </c>
      <c r="G256" s="16" t="s">
        <v>17</v>
      </c>
      <c r="H256" s="95">
        <f t="shared" si="10"/>
        <v>32</v>
      </c>
      <c r="I256" s="15" t="s">
        <v>18</v>
      </c>
      <c r="J256" s="16" t="s">
        <v>70</v>
      </c>
      <c r="K256" s="88">
        <f t="shared" si="11"/>
        <v>33</v>
      </c>
      <c r="L256" s="16" t="s">
        <v>1087</v>
      </c>
      <c r="M256" s="16" t="s">
        <v>39</v>
      </c>
      <c r="N256" s="96" t="s">
        <v>21</v>
      </c>
    </row>
    <row r="257" spans="1:14" x14ac:dyDescent="0.35">
      <c r="A257" s="90" t="s">
        <v>1088</v>
      </c>
      <c r="B257" s="10" t="s">
        <v>13</v>
      </c>
      <c r="C257" s="11" t="s">
        <v>1089</v>
      </c>
      <c r="D257" s="11" t="s">
        <v>34</v>
      </c>
      <c r="E257" s="12" t="s">
        <v>118</v>
      </c>
      <c r="F257" s="10">
        <f>+YEAR(Tabla2[[#This Row],[Cosecha]])</f>
        <v>2025</v>
      </c>
      <c r="G257" s="11" t="s">
        <v>30</v>
      </c>
      <c r="H257" s="91">
        <f t="shared" si="10"/>
        <v>6</v>
      </c>
      <c r="I257" s="10" t="s">
        <v>18</v>
      </c>
      <c r="J257" s="11" t="s">
        <v>30</v>
      </c>
      <c r="K257" s="88">
        <f t="shared" si="11"/>
        <v>6</v>
      </c>
      <c r="L257" s="11" t="s">
        <v>1090</v>
      </c>
      <c r="M257" s="11" t="s">
        <v>115</v>
      </c>
      <c r="N257" s="92" t="s">
        <v>21</v>
      </c>
    </row>
    <row r="258" spans="1:14" x14ac:dyDescent="0.35">
      <c r="A258" s="94" t="s">
        <v>1091</v>
      </c>
      <c r="B258" s="15" t="s">
        <v>13</v>
      </c>
      <c r="C258" s="16" t="s">
        <v>1092</v>
      </c>
      <c r="D258" s="16" t="s">
        <v>90</v>
      </c>
      <c r="E258" s="17" t="s">
        <v>37</v>
      </c>
      <c r="F258" s="15">
        <f>+YEAR(Tabla2[[#This Row],[Cosecha]])</f>
        <v>2025</v>
      </c>
      <c r="G258" s="16" t="s">
        <v>30</v>
      </c>
      <c r="H258" s="95">
        <f t="shared" ref="H258:H321" si="12">(YEAR(G258)-YEAR(E258))*12+(MONTH(G258)-MONTH(E258))</f>
        <v>4</v>
      </c>
      <c r="I258" s="15" t="s">
        <v>18</v>
      </c>
      <c r="J258" s="16" t="s">
        <v>30</v>
      </c>
      <c r="K258" s="88">
        <f t="shared" ref="K258:K321" si="13">(YEAR(J258)-YEAR(E258))*12+(MONTH(J258)-MONTH(E258))</f>
        <v>4</v>
      </c>
      <c r="L258" s="16" t="s">
        <v>1093</v>
      </c>
      <c r="M258" s="16" t="s">
        <v>115</v>
      </c>
      <c r="N258" s="96" t="s">
        <v>26</v>
      </c>
    </row>
    <row r="259" spans="1:14" x14ac:dyDescent="0.35">
      <c r="A259" s="90" t="s">
        <v>1094</v>
      </c>
      <c r="B259" s="10" t="s">
        <v>13</v>
      </c>
      <c r="C259" s="11" t="s">
        <v>1095</v>
      </c>
      <c r="D259" s="11" t="s">
        <v>78</v>
      </c>
      <c r="E259" s="12" t="s">
        <v>302</v>
      </c>
      <c r="F259" s="10">
        <f>+YEAR(Tabla2[[#This Row],[Cosecha]])</f>
        <v>2023</v>
      </c>
      <c r="G259" s="11" t="s">
        <v>113</v>
      </c>
      <c r="H259" s="91">
        <f t="shared" si="12"/>
        <v>26</v>
      </c>
      <c r="I259" s="10" t="s">
        <v>18</v>
      </c>
      <c r="J259" s="11" t="s">
        <v>23</v>
      </c>
      <c r="K259" s="88">
        <f t="shared" si="13"/>
        <v>27</v>
      </c>
      <c r="L259" s="11" t="s">
        <v>1096</v>
      </c>
      <c r="M259" s="11" t="s">
        <v>25</v>
      </c>
      <c r="N259" s="92" t="s">
        <v>21</v>
      </c>
    </row>
    <row r="260" spans="1:14" x14ac:dyDescent="0.35">
      <c r="A260" s="94" t="s">
        <v>1097</v>
      </c>
      <c r="B260" s="15" t="s">
        <v>13</v>
      </c>
      <c r="C260" s="16" t="s">
        <v>1098</v>
      </c>
      <c r="D260" s="16" t="s">
        <v>15</v>
      </c>
      <c r="E260" s="17" t="s">
        <v>497</v>
      </c>
      <c r="F260" s="15">
        <f>+YEAR(Tabla2[[#This Row],[Cosecha]])</f>
        <v>2024</v>
      </c>
      <c r="G260" s="16" t="s">
        <v>29</v>
      </c>
      <c r="H260" s="95">
        <f t="shared" si="12"/>
        <v>10</v>
      </c>
      <c r="I260" s="15" t="s">
        <v>18</v>
      </c>
      <c r="J260" s="16" t="s">
        <v>29</v>
      </c>
      <c r="K260" s="88">
        <f t="shared" si="13"/>
        <v>10</v>
      </c>
      <c r="L260" s="16" t="s">
        <v>1099</v>
      </c>
      <c r="M260" s="16" t="s">
        <v>25</v>
      </c>
      <c r="N260" s="96" t="s">
        <v>21</v>
      </c>
    </row>
    <row r="261" spans="1:14" x14ac:dyDescent="0.35">
      <c r="A261" s="90" t="s">
        <v>1105</v>
      </c>
      <c r="B261" s="10" t="s">
        <v>13</v>
      </c>
      <c r="C261" s="11" t="s">
        <v>1106</v>
      </c>
      <c r="D261" s="11" t="s">
        <v>90</v>
      </c>
      <c r="E261" s="12" t="s">
        <v>104</v>
      </c>
      <c r="F261" s="10">
        <f>+YEAR(Tabla2[[#This Row],[Cosecha]])</f>
        <v>2025</v>
      </c>
      <c r="G261" s="11" t="s">
        <v>52</v>
      </c>
      <c r="H261" s="91">
        <f t="shared" si="12"/>
        <v>9</v>
      </c>
      <c r="I261" s="10" t="s">
        <v>18</v>
      </c>
      <c r="J261" s="11" t="s">
        <v>30</v>
      </c>
      <c r="K261" s="88">
        <f t="shared" si="13"/>
        <v>10</v>
      </c>
      <c r="L261" s="11" t="s">
        <v>1107</v>
      </c>
      <c r="M261" s="11" t="s">
        <v>25</v>
      </c>
      <c r="N261" s="92" t="s">
        <v>26</v>
      </c>
    </row>
    <row r="262" spans="1:14" x14ac:dyDescent="0.35">
      <c r="A262" s="94" t="s">
        <v>1119</v>
      </c>
      <c r="B262" s="15" t="s">
        <v>13</v>
      </c>
      <c r="C262" s="16" t="s">
        <v>1120</v>
      </c>
      <c r="D262" s="16" t="s">
        <v>34</v>
      </c>
      <c r="E262" s="17" t="s">
        <v>51</v>
      </c>
      <c r="F262" s="15">
        <f>+YEAR(Tabla2[[#This Row],[Cosecha]])</f>
        <v>2025</v>
      </c>
      <c r="G262" s="16" t="s">
        <v>17</v>
      </c>
      <c r="H262" s="95">
        <f t="shared" si="12"/>
        <v>14</v>
      </c>
      <c r="I262" s="15" t="s">
        <v>18</v>
      </c>
      <c r="J262" s="16" t="s">
        <v>17</v>
      </c>
      <c r="K262" s="88">
        <f t="shared" si="13"/>
        <v>14</v>
      </c>
      <c r="L262" s="16" t="s">
        <v>1121</v>
      </c>
      <c r="M262" s="16" t="s">
        <v>44</v>
      </c>
      <c r="N262" s="96" t="s">
        <v>21</v>
      </c>
    </row>
    <row r="263" spans="1:14" x14ac:dyDescent="0.35">
      <c r="A263" s="90" t="s">
        <v>1122</v>
      </c>
      <c r="B263" s="10" t="s">
        <v>13</v>
      </c>
      <c r="C263" s="11" t="s">
        <v>1123</v>
      </c>
      <c r="D263" s="11" t="s">
        <v>34</v>
      </c>
      <c r="E263" s="12" t="s">
        <v>149</v>
      </c>
      <c r="F263" s="10">
        <f>+YEAR(Tabla2[[#This Row],[Cosecha]])</f>
        <v>2024</v>
      </c>
      <c r="G263" s="11" t="s">
        <v>104</v>
      </c>
      <c r="H263" s="91">
        <f t="shared" si="12"/>
        <v>8</v>
      </c>
      <c r="I263" s="10" t="s">
        <v>18</v>
      </c>
      <c r="J263" s="11" t="s">
        <v>29</v>
      </c>
      <c r="K263" s="88">
        <f t="shared" si="13"/>
        <v>9</v>
      </c>
      <c r="L263" s="11" t="s">
        <v>1124</v>
      </c>
      <c r="M263" s="11" t="s">
        <v>115</v>
      </c>
      <c r="N263" s="92" t="s">
        <v>26</v>
      </c>
    </row>
    <row r="264" spans="1:14" x14ac:dyDescent="0.35">
      <c r="A264" s="94" t="s">
        <v>1128</v>
      </c>
      <c r="B264" s="15" t="s">
        <v>13</v>
      </c>
      <c r="C264" s="16" t="s">
        <v>1129</v>
      </c>
      <c r="D264" s="16" t="s">
        <v>34</v>
      </c>
      <c r="E264" s="17" t="s">
        <v>118</v>
      </c>
      <c r="F264" s="15">
        <f>+YEAR(Tabla2[[#This Row],[Cosecha]])</f>
        <v>2025</v>
      </c>
      <c r="G264" s="16" t="s">
        <v>17</v>
      </c>
      <c r="H264" s="95">
        <f t="shared" si="12"/>
        <v>7</v>
      </c>
      <c r="I264" s="15" t="s">
        <v>18</v>
      </c>
      <c r="J264" s="16" t="s">
        <v>70</v>
      </c>
      <c r="K264" s="88">
        <f t="shared" si="13"/>
        <v>8</v>
      </c>
      <c r="L264" s="16" t="s">
        <v>1130</v>
      </c>
      <c r="M264" s="16" t="s">
        <v>44</v>
      </c>
      <c r="N264" s="96" t="s">
        <v>26</v>
      </c>
    </row>
    <row r="265" spans="1:14" x14ac:dyDescent="0.35">
      <c r="A265" s="90" t="s">
        <v>1134</v>
      </c>
      <c r="B265" s="10" t="s">
        <v>13</v>
      </c>
      <c r="C265" s="11" t="s">
        <v>1135</v>
      </c>
      <c r="D265" s="11" t="s">
        <v>15</v>
      </c>
      <c r="E265" s="12" t="s">
        <v>113</v>
      </c>
      <c r="F265" s="10">
        <f>+YEAR(Tabla2[[#This Row],[Cosecha]])</f>
        <v>2025</v>
      </c>
      <c r="G265" s="11" t="s">
        <v>17</v>
      </c>
      <c r="H265" s="91">
        <f t="shared" si="12"/>
        <v>4</v>
      </c>
      <c r="I265" s="10" t="s">
        <v>18</v>
      </c>
      <c r="J265" s="11" t="s">
        <v>17</v>
      </c>
      <c r="K265" s="88">
        <f t="shared" si="13"/>
        <v>4</v>
      </c>
      <c r="L265" s="11" t="s">
        <v>1136</v>
      </c>
      <c r="M265" s="11" t="s">
        <v>25</v>
      </c>
      <c r="N265" s="92" t="s">
        <v>21</v>
      </c>
    </row>
    <row r="266" spans="1:14" x14ac:dyDescent="0.35">
      <c r="A266" s="94" t="s">
        <v>1137</v>
      </c>
      <c r="B266" s="15" t="s">
        <v>13</v>
      </c>
      <c r="C266" s="16" t="s">
        <v>1138</v>
      </c>
      <c r="D266" s="16" t="s">
        <v>34</v>
      </c>
      <c r="E266" s="17" t="s">
        <v>82</v>
      </c>
      <c r="F266" s="15">
        <f>+YEAR(Tabla2[[#This Row],[Cosecha]])</f>
        <v>2024</v>
      </c>
      <c r="G266" s="16" t="s">
        <v>47</v>
      </c>
      <c r="H266" s="95">
        <f t="shared" si="12"/>
        <v>3</v>
      </c>
      <c r="I266" s="15" t="s">
        <v>18</v>
      </c>
      <c r="J266" s="16" t="s">
        <v>133</v>
      </c>
      <c r="K266" s="88">
        <f t="shared" si="13"/>
        <v>4</v>
      </c>
      <c r="L266" s="16" t="s">
        <v>1139</v>
      </c>
      <c r="M266" s="16" t="s">
        <v>130</v>
      </c>
      <c r="N266" s="96" t="s">
        <v>21</v>
      </c>
    </row>
    <row r="267" spans="1:14" x14ac:dyDescent="0.35">
      <c r="A267" s="90" t="s">
        <v>1140</v>
      </c>
      <c r="B267" s="10" t="s">
        <v>13</v>
      </c>
      <c r="C267" s="11" t="s">
        <v>1141</v>
      </c>
      <c r="D267" s="11" t="s">
        <v>90</v>
      </c>
      <c r="E267" s="12" t="s">
        <v>37</v>
      </c>
      <c r="F267" s="10">
        <f>+YEAR(Tabla2[[#This Row],[Cosecha]])</f>
        <v>2025</v>
      </c>
      <c r="G267" s="11" t="s">
        <v>17</v>
      </c>
      <c r="H267" s="91">
        <f t="shared" si="12"/>
        <v>5</v>
      </c>
      <c r="I267" s="10" t="s">
        <v>18</v>
      </c>
      <c r="J267" s="11" t="s">
        <v>17</v>
      </c>
      <c r="K267" s="88">
        <f t="shared" si="13"/>
        <v>5</v>
      </c>
      <c r="L267" s="11" t="s">
        <v>1142</v>
      </c>
      <c r="M267" s="11" t="s">
        <v>115</v>
      </c>
      <c r="N267" s="92" t="s">
        <v>26</v>
      </c>
    </row>
    <row r="268" spans="1:14" x14ac:dyDescent="0.35">
      <c r="A268" s="94" t="s">
        <v>1143</v>
      </c>
      <c r="B268" s="15" t="s">
        <v>13</v>
      </c>
      <c r="C268" s="16" t="s">
        <v>1144</v>
      </c>
      <c r="D268" s="16" t="s">
        <v>34</v>
      </c>
      <c r="E268" s="17" t="s">
        <v>118</v>
      </c>
      <c r="F268" s="15">
        <f>+YEAR(Tabla2[[#This Row],[Cosecha]])</f>
        <v>2025</v>
      </c>
      <c r="G268" s="16" t="s">
        <v>37</v>
      </c>
      <c r="H268" s="95">
        <f t="shared" si="12"/>
        <v>2</v>
      </c>
      <c r="I268" s="15" t="s">
        <v>18</v>
      </c>
      <c r="J268" s="16" t="s">
        <v>113</v>
      </c>
      <c r="K268" s="88">
        <f t="shared" si="13"/>
        <v>3</v>
      </c>
      <c r="L268" s="16" t="s">
        <v>1145</v>
      </c>
      <c r="M268" s="16" t="s">
        <v>130</v>
      </c>
      <c r="N268" s="96" t="s">
        <v>26</v>
      </c>
    </row>
    <row r="269" spans="1:14" x14ac:dyDescent="0.35">
      <c r="A269" s="90" t="s">
        <v>1146</v>
      </c>
      <c r="B269" s="10" t="s">
        <v>13</v>
      </c>
      <c r="C269" s="11" t="s">
        <v>1147</v>
      </c>
      <c r="D269" s="11" t="s">
        <v>34</v>
      </c>
      <c r="E269" s="12" t="s">
        <v>97</v>
      </c>
      <c r="F269" s="10">
        <f>+YEAR(Tabla2[[#This Row],[Cosecha]])</f>
        <v>2025</v>
      </c>
      <c r="G269" s="11" t="s">
        <v>52</v>
      </c>
      <c r="H269" s="91">
        <f t="shared" si="12"/>
        <v>6</v>
      </c>
      <c r="I269" s="10" t="s">
        <v>18</v>
      </c>
      <c r="J269" s="11" t="s">
        <v>30</v>
      </c>
      <c r="K269" s="88">
        <f t="shared" si="13"/>
        <v>7</v>
      </c>
      <c r="L269" s="11" t="s">
        <v>1148</v>
      </c>
      <c r="M269" s="11" t="s">
        <v>130</v>
      </c>
      <c r="N269" s="92" t="s">
        <v>21</v>
      </c>
    </row>
    <row r="270" spans="1:14" x14ac:dyDescent="0.35">
      <c r="A270" s="94" t="s">
        <v>1149</v>
      </c>
      <c r="B270" s="15" t="s">
        <v>13</v>
      </c>
      <c r="C270" s="16" t="s">
        <v>1150</v>
      </c>
      <c r="D270" s="16" t="s">
        <v>34</v>
      </c>
      <c r="E270" s="17" t="s">
        <v>104</v>
      </c>
      <c r="F270" s="15">
        <f>+YEAR(Tabla2[[#This Row],[Cosecha]])</f>
        <v>2025</v>
      </c>
      <c r="G270" s="16" t="s">
        <v>97</v>
      </c>
      <c r="H270" s="95">
        <f t="shared" si="12"/>
        <v>3</v>
      </c>
      <c r="I270" s="15" t="s">
        <v>18</v>
      </c>
      <c r="J270" s="16" t="s">
        <v>97</v>
      </c>
      <c r="K270" s="88">
        <f t="shared" si="13"/>
        <v>3</v>
      </c>
      <c r="L270" s="16" t="s">
        <v>1151</v>
      </c>
      <c r="M270" s="16" t="s">
        <v>44</v>
      </c>
      <c r="N270" s="96" t="s">
        <v>21</v>
      </c>
    </row>
    <row r="271" spans="1:14" x14ac:dyDescent="0.35">
      <c r="A271" s="90" t="s">
        <v>1152</v>
      </c>
      <c r="B271" s="10" t="s">
        <v>13</v>
      </c>
      <c r="C271" s="11" t="s">
        <v>1153</v>
      </c>
      <c r="D271" s="11" t="s">
        <v>15</v>
      </c>
      <c r="E271" s="12" t="s">
        <v>118</v>
      </c>
      <c r="F271" s="10">
        <f>+YEAR(Tabla2[[#This Row],[Cosecha]])</f>
        <v>2025</v>
      </c>
      <c r="G271" s="11" t="s">
        <v>30</v>
      </c>
      <c r="H271" s="91">
        <f t="shared" si="12"/>
        <v>6</v>
      </c>
      <c r="I271" s="10" t="s">
        <v>18</v>
      </c>
      <c r="J271" s="11" t="s">
        <v>30</v>
      </c>
      <c r="K271" s="88">
        <f t="shared" si="13"/>
        <v>6</v>
      </c>
      <c r="L271" s="11" t="s">
        <v>1154</v>
      </c>
      <c r="M271" s="11" t="s">
        <v>25</v>
      </c>
      <c r="N271" s="92" t="s">
        <v>21</v>
      </c>
    </row>
    <row r="272" spans="1:14" x14ac:dyDescent="0.35">
      <c r="A272" s="94" t="s">
        <v>1158</v>
      </c>
      <c r="B272" s="15" t="s">
        <v>13</v>
      </c>
      <c r="C272" s="16" t="s">
        <v>1159</v>
      </c>
      <c r="D272" s="16" t="s">
        <v>34</v>
      </c>
      <c r="E272" s="17" t="s">
        <v>113</v>
      </c>
      <c r="F272" s="15">
        <f>+YEAR(Tabla2[[#This Row],[Cosecha]])</f>
        <v>2025</v>
      </c>
      <c r="G272" s="16" t="s">
        <v>17</v>
      </c>
      <c r="H272" s="95">
        <f t="shared" si="12"/>
        <v>4</v>
      </c>
      <c r="I272" s="15" t="s">
        <v>18</v>
      </c>
      <c r="J272" s="16" t="s">
        <v>17</v>
      </c>
      <c r="K272" s="88">
        <f t="shared" si="13"/>
        <v>4</v>
      </c>
      <c r="L272" s="16" t="s">
        <v>1160</v>
      </c>
      <c r="M272" s="16" t="s">
        <v>115</v>
      </c>
      <c r="N272" s="96" t="s">
        <v>26</v>
      </c>
    </row>
    <row r="273" spans="1:14" x14ac:dyDescent="0.35">
      <c r="A273" s="90" t="s">
        <v>1161</v>
      </c>
      <c r="B273" s="10" t="s">
        <v>13</v>
      </c>
      <c r="C273" s="11" t="s">
        <v>1162</v>
      </c>
      <c r="D273" s="11" t="s">
        <v>34</v>
      </c>
      <c r="E273" s="12" t="s">
        <v>133</v>
      </c>
      <c r="F273" s="10">
        <f>+YEAR(Tabla2[[#This Row],[Cosecha]])</f>
        <v>2025</v>
      </c>
      <c r="G273" s="11" t="s">
        <v>23</v>
      </c>
      <c r="H273" s="91">
        <f t="shared" si="12"/>
        <v>9</v>
      </c>
      <c r="I273" s="10" t="s">
        <v>18</v>
      </c>
      <c r="J273" s="11" t="s">
        <v>23</v>
      </c>
      <c r="K273" s="88">
        <f t="shared" si="13"/>
        <v>9</v>
      </c>
      <c r="L273" s="11" t="s">
        <v>1163</v>
      </c>
      <c r="M273" s="11" t="s">
        <v>44</v>
      </c>
      <c r="N273" s="92" t="s">
        <v>21</v>
      </c>
    </row>
    <row r="274" spans="1:14" x14ac:dyDescent="0.35">
      <c r="A274" s="94" t="s">
        <v>1167</v>
      </c>
      <c r="B274" s="15" t="s">
        <v>13</v>
      </c>
      <c r="C274" s="16" t="s">
        <v>1168</v>
      </c>
      <c r="D274" s="16" t="s">
        <v>34</v>
      </c>
      <c r="E274" s="17" t="s">
        <v>97</v>
      </c>
      <c r="F274" s="15">
        <f>+YEAR(Tabla2[[#This Row],[Cosecha]])</f>
        <v>2025</v>
      </c>
      <c r="G274" s="16" t="s">
        <v>30</v>
      </c>
      <c r="H274" s="95">
        <f t="shared" si="12"/>
        <v>7</v>
      </c>
      <c r="I274" s="15" t="s">
        <v>18</v>
      </c>
      <c r="J274" s="16" t="s">
        <v>17</v>
      </c>
      <c r="K274" s="88">
        <f t="shared" si="13"/>
        <v>8</v>
      </c>
      <c r="L274" s="16" t="s">
        <v>1169</v>
      </c>
      <c r="M274" s="16" t="s">
        <v>44</v>
      </c>
      <c r="N274" s="96" t="s">
        <v>21</v>
      </c>
    </row>
    <row r="275" spans="1:14" x14ac:dyDescent="0.35">
      <c r="A275" s="90" t="s">
        <v>1170</v>
      </c>
      <c r="B275" s="10" t="s">
        <v>13</v>
      </c>
      <c r="C275" s="11" t="s">
        <v>1171</v>
      </c>
      <c r="D275" s="11" t="s">
        <v>34</v>
      </c>
      <c r="E275" s="12" t="s">
        <v>51</v>
      </c>
      <c r="F275" s="10">
        <f>+YEAR(Tabla2[[#This Row],[Cosecha]])</f>
        <v>2025</v>
      </c>
      <c r="G275" s="11" t="s">
        <v>17</v>
      </c>
      <c r="H275" s="91">
        <f t="shared" si="12"/>
        <v>14</v>
      </c>
      <c r="I275" s="10" t="s">
        <v>18</v>
      </c>
      <c r="J275" s="11" t="s">
        <v>17</v>
      </c>
      <c r="K275" s="88">
        <f t="shared" si="13"/>
        <v>14</v>
      </c>
      <c r="L275" s="11" t="s">
        <v>1172</v>
      </c>
      <c r="M275" s="11" t="s">
        <v>25</v>
      </c>
      <c r="N275" s="92" t="s">
        <v>21</v>
      </c>
    </row>
    <row r="276" spans="1:14" x14ac:dyDescent="0.35">
      <c r="A276" s="94" t="s">
        <v>1173</v>
      </c>
      <c r="B276" s="15" t="s">
        <v>13</v>
      </c>
      <c r="C276" s="16" t="s">
        <v>1174</v>
      </c>
      <c r="D276" s="16" t="s">
        <v>15</v>
      </c>
      <c r="E276" s="17" t="s">
        <v>149</v>
      </c>
      <c r="F276" s="15">
        <f>+YEAR(Tabla2[[#This Row],[Cosecha]])</f>
        <v>2024</v>
      </c>
      <c r="G276" s="16" t="s">
        <v>36</v>
      </c>
      <c r="H276" s="95">
        <f t="shared" si="12"/>
        <v>13</v>
      </c>
      <c r="I276" s="15" t="s">
        <v>18</v>
      </c>
      <c r="J276" s="16" t="s">
        <v>36</v>
      </c>
      <c r="K276" s="88">
        <f t="shared" si="13"/>
        <v>13</v>
      </c>
      <c r="L276" s="16" t="s">
        <v>1175</v>
      </c>
      <c r="M276" s="16" t="s">
        <v>25</v>
      </c>
      <c r="N276" s="96" t="s">
        <v>21</v>
      </c>
    </row>
    <row r="277" spans="1:14" x14ac:dyDescent="0.35">
      <c r="A277" s="90" t="s">
        <v>1176</v>
      </c>
      <c r="B277" s="10" t="s">
        <v>13</v>
      </c>
      <c r="C277" s="11" t="s">
        <v>1177</v>
      </c>
      <c r="D277" s="11" t="s">
        <v>15</v>
      </c>
      <c r="E277" s="12" t="s">
        <v>97</v>
      </c>
      <c r="F277" s="10">
        <f>+YEAR(Tabla2[[#This Row],[Cosecha]])</f>
        <v>2025</v>
      </c>
      <c r="G277" s="11" t="s">
        <v>30</v>
      </c>
      <c r="H277" s="91">
        <f t="shared" si="12"/>
        <v>7</v>
      </c>
      <c r="I277" s="10" t="s">
        <v>18</v>
      </c>
      <c r="J277" s="11" t="s">
        <v>30</v>
      </c>
      <c r="K277" s="88">
        <f t="shared" si="13"/>
        <v>7</v>
      </c>
      <c r="L277" s="11" t="s">
        <v>1178</v>
      </c>
      <c r="M277" s="11" t="s">
        <v>25</v>
      </c>
      <c r="N277" s="92" t="s">
        <v>21</v>
      </c>
    </row>
    <row r="278" spans="1:14" x14ac:dyDescent="0.35">
      <c r="A278" s="94" t="s">
        <v>1179</v>
      </c>
      <c r="B278" s="15" t="s">
        <v>13</v>
      </c>
      <c r="C278" s="16" t="s">
        <v>1180</v>
      </c>
      <c r="D278" s="16" t="s">
        <v>34</v>
      </c>
      <c r="E278" s="17" t="s">
        <v>118</v>
      </c>
      <c r="F278" s="15">
        <f>+YEAR(Tabla2[[#This Row],[Cosecha]])</f>
        <v>2025</v>
      </c>
      <c r="G278" s="16" t="s">
        <v>37</v>
      </c>
      <c r="H278" s="95">
        <f t="shared" si="12"/>
        <v>2</v>
      </c>
      <c r="I278" s="15" t="s">
        <v>18</v>
      </c>
      <c r="J278" s="16" t="s">
        <v>23</v>
      </c>
      <c r="K278" s="88">
        <f t="shared" si="13"/>
        <v>4</v>
      </c>
      <c r="L278" s="16" t="s">
        <v>1181</v>
      </c>
      <c r="M278" s="16" t="s">
        <v>44</v>
      </c>
      <c r="N278" s="96" t="s">
        <v>21</v>
      </c>
    </row>
    <row r="279" spans="1:14" x14ac:dyDescent="0.35">
      <c r="A279" s="90" t="s">
        <v>1182</v>
      </c>
      <c r="B279" s="10" t="s">
        <v>13</v>
      </c>
      <c r="C279" s="11" t="s">
        <v>1183</v>
      </c>
      <c r="D279" s="11" t="s">
        <v>34</v>
      </c>
      <c r="E279" s="12" t="s">
        <v>118</v>
      </c>
      <c r="F279" s="10">
        <f>+YEAR(Tabla2[[#This Row],[Cosecha]])</f>
        <v>2025</v>
      </c>
      <c r="G279" s="11" t="s">
        <v>113</v>
      </c>
      <c r="H279" s="91">
        <f t="shared" si="12"/>
        <v>3</v>
      </c>
      <c r="I279" s="10" t="s">
        <v>18</v>
      </c>
      <c r="J279" s="11" t="s">
        <v>52</v>
      </c>
      <c r="K279" s="88">
        <f t="shared" si="13"/>
        <v>5</v>
      </c>
      <c r="L279" s="11" t="s">
        <v>1184</v>
      </c>
      <c r="M279" s="11" t="s">
        <v>44</v>
      </c>
      <c r="N279" s="92" t="s">
        <v>21</v>
      </c>
    </row>
    <row r="280" spans="1:14" x14ac:dyDescent="0.35">
      <c r="A280" s="94" t="s">
        <v>1185</v>
      </c>
      <c r="B280" s="15" t="s">
        <v>13</v>
      </c>
      <c r="C280" s="16" t="s">
        <v>1186</v>
      </c>
      <c r="D280" s="16" t="s">
        <v>34</v>
      </c>
      <c r="E280" s="17" t="s">
        <v>29</v>
      </c>
      <c r="F280" s="15">
        <f>+YEAR(Tabla2[[#This Row],[Cosecha]])</f>
        <v>2025</v>
      </c>
      <c r="G280" s="16" t="s">
        <v>118</v>
      </c>
      <c r="H280" s="95">
        <f t="shared" si="12"/>
        <v>3</v>
      </c>
      <c r="I280" s="15" t="s">
        <v>18</v>
      </c>
      <c r="J280" s="16" t="s">
        <v>118</v>
      </c>
      <c r="K280" s="88">
        <f t="shared" si="13"/>
        <v>3</v>
      </c>
      <c r="L280" s="16" t="s">
        <v>1187</v>
      </c>
      <c r="M280" s="16" t="s">
        <v>115</v>
      </c>
      <c r="N280" s="96" t="s">
        <v>21</v>
      </c>
    </row>
    <row r="281" spans="1:14" x14ac:dyDescent="0.35">
      <c r="A281" s="90" t="s">
        <v>1188</v>
      </c>
      <c r="B281" s="10" t="s">
        <v>13</v>
      </c>
      <c r="C281" s="11" t="s">
        <v>1189</v>
      </c>
      <c r="D281" s="11" t="s">
        <v>34</v>
      </c>
      <c r="E281" s="12" t="s">
        <v>122</v>
      </c>
      <c r="F281" s="10">
        <f>+YEAR(Tabla2[[#This Row],[Cosecha]])</f>
        <v>2023</v>
      </c>
      <c r="G281" s="11" t="s">
        <v>29</v>
      </c>
      <c r="H281" s="91">
        <f t="shared" si="12"/>
        <v>21</v>
      </c>
      <c r="I281" s="10" t="s">
        <v>18</v>
      </c>
      <c r="J281" s="11" t="s">
        <v>62</v>
      </c>
      <c r="K281" s="88">
        <f t="shared" si="13"/>
        <v>22</v>
      </c>
      <c r="L281" s="11" t="s">
        <v>1190</v>
      </c>
      <c r="M281" s="11" t="s">
        <v>25</v>
      </c>
      <c r="N281" s="92" t="s">
        <v>21</v>
      </c>
    </row>
    <row r="282" spans="1:14" x14ac:dyDescent="0.35">
      <c r="A282" s="94" t="s">
        <v>1191</v>
      </c>
      <c r="B282" s="15" t="s">
        <v>13</v>
      </c>
      <c r="C282" s="16" t="s">
        <v>1192</v>
      </c>
      <c r="D282" s="16" t="s">
        <v>34</v>
      </c>
      <c r="E282" s="17" t="s">
        <v>133</v>
      </c>
      <c r="F282" s="15">
        <f>+YEAR(Tabla2[[#This Row],[Cosecha]])</f>
        <v>2025</v>
      </c>
      <c r="G282" s="16" t="s">
        <v>29</v>
      </c>
      <c r="H282" s="95">
        <f t="shared" si="12"/>
        <v>2</v>
      </c>
      <c r="I282" s="15" t="s">
        <v>18</v>
      </c>
      <c r="J282" s="16" t="s">
        <v>29</v>
      </c>
      <c r="K282" s="88">
        <f t="shared" si="13"/>
        <v>2</v>
      </c>
      <c r="L282" s="16" t="s">
        <v>402</v>
      </c>
      <c r="M282" s="16" t="s">
        <v>115</v>
      </c>
      <c r="N282" s="96" t="s">
        <v>26</v>
      </c>
    </row>
    <row r="283" spans="1:14" x14ac:dyDescent="0.35">
      <c r="A283" s="90" t="s">
        <v>1193</v>
      </c>
      <c r="B283" s="10" t="s">
        <v>13</v>
      </c>
      <c r="C283" s="11" t="s">
        <v>1194</v>
      </c>
      <c r="D283" s="11" t="s">
        <v>34</v>
      </c>
      <c r="E283" s="12" t="s">
        <v>133</v>
      </c>
      <c r="F283" s="10">
        <f>+YEAR(Tabla2[[#This Row],[Cosecha]])</f>
        <v>2025</v>
      </c>
      <c r="G283" s="11" t="s">
        <v>97</v>
      </c>
      <c r="H283" s="91">
        <f t="shared" si="12"/>
        <v>4</v>
      </c>
      <c r="I283" s="10" t="s">
        <v>18</v>
      </c>
      <c r="J283" s="11" t="s">
        <v>97</v>
      </c>
      <c r="K283" s="88">
        <f t="shared" si="13"/>
        <v>4</v>
      </c>
      <c r="L283" s="11" t="s">
        <v>1195</v>
      </c>
      <c r="M283" s="11" t="s">
        <v>44</v>
      </c>
      <c r="N283" s="92" t="s">
        <v>21</v>
      </c>
    </row>
    <row r="284" spans="1:14" x14ac:dyDescent="0.35">
      <c r="A284" s="94" t="s">
        <v>1196</v>
      </c>
      <c r="B284" s="15" t="s">
        <v>13</v>
      </c>
      <c r="C284" s="16" t="s">
        <v>1197</v>
      </c>
      <c r="D284" s="16" t="s">
        <v>34</v>
      </c>
      <c r="E284" s="17" t="s">
        <v>104</v>
      </c>
      <c r="F284" s="15">
        <f>+YEAR(Tabla2[[#This Row],[Cosecha]])</f>
        <v>2025</v>
      </c>
      <c r="G284" s="16" t="s">
        <v>17</v>
      </c>
      <c r="H284" s="95">
        <f t="shared" si="12"/>
        <v>11</v>
      </c>
      <c r="I284" s="15" t="s">
        <v>18</v>
      </c>
      <c r="J284" s="16" t="s">
        <v>17</v>
      </c>
      <c r="K284" s="88">
        <f t="shared" si="13"/>
        <v>11</v>
      </c>
      <c r="L284" s="16" t="s">
        <v>1198</v>
      </c>
      <c r="M284" s="16" t="s">
        <v>25</v>
      </c>
      <c r="N284" s="96" t="s">
        <v>21</v>
      </c>
    </row>
    <row r="285" spans="1:14" x14ac:dyDescent="0.35">
      <c r="A285" s="90" t="s">
        <v>1202</v>
      </c>
      <c r="B285" s="10" t="s">
        <v>85</v>
      </c>
      <c r="C285" s="11" t="s">
        <v>1203</v>
      </c>
      <c r="D285" s="11" t="s">
        <v>90</v>
      </c>
      <c r="E285" s="12" t="s">
        <v>118</v>
      </c>
      <c r="F285" s="10">
        <f>+YEAR(Tabla2[[#This Row],[Cosecha]])</f>
        <v>2025</v>
      </c>
      <c r="G285" s="11" t="s">
        <v>52</v>
      </c>
      <c r="H285" s="91">
        <f t="shared" si="12"/>
        <v>5</v>
      </c>
      <c r="I285" s="10" t="s">
        <v>18</v>
      </c>
      <c r="J285" s="11" t="s">
        <v>30</v>
      </c>
      <c r="K285" s="88">
        <f t="shared" si="13"/>
        <v>6</v>
      </c>
      <c r="L285" s="11" t="s">
        <v>1204</v>
      </c>
      <c r="M285" s="11" t="s">
        <v>25</v>
      </c>
      <c r="N285" s="92" t="s">
        <v>21</v>
      </c>
    </row>
    <row r="286" spans="1:14" x14ac:dyDescent="0.35">
      <c r="A286" s="94" t="s">
        <v>1205</v>
      </c>
      <c r="B286" s="15" t="s">
        <v>13</v>
      </c>
      <c r="C286" s="16" t="s">
        <v>1206</v>
      </c>
      <c r="D286" s="16" t="s">
        <v>90</v>
      </c>
      <c r="E286" s="17" t="s">
        <v>178</v>
      </c>
      <c r="F286" s="15">
        <f>+YEAR(Tabla2[[#This Row],[Cosecha]])</f>
        <v>2024</v>
      </c>
      <c r="G286" s="16" t="s">
        <v>104</v>
      </c>
      <c r="H286" s="95">
        <f t="shared" si="12"/>
        <v>6</v>
      </c>
      <c r="I286" s="15" t="s">
        <v>18</v>
      </c>
      <c r="J286" s="16" t="s">
        <v>104</v>
      </c>
      <c r="K286" s="88">
        <f t="shared" si="13"/>
        <v>6</v>
      </c>
      <c r="L286" s="16" t="s">
        <v>1207</v>
      </c>
      <c r="M286" s="16" t="s">
        <v>25</v>
      </c>
      <c r="N286" s="96" t="s">
        <v>21</v>
      </c>
    </row>
    <row r="287" spans="1:14" x14ac:dyDescent="0.35">
      <c r="A287" s="90" t="s">
        <v>1208</v>
      </c>
      <c r="B287" s="10" t="s">
        <v>13</v>
      </c>
      <c r="C287" s="11" t="s">
        <v>1209</v>
      </c>
      <c r="D287" s="11" t="s">
        <v>15</v>
      </c>
      <c r="E287" s="12" t="s">
        <v>37</v>
      </c>
      <c r="F287" s="10">
        <f>+YEAR(Tabla2[[#This Row],[Cosecha]])</f>
        <v>2025</v>
      </c>
      <c r="G287" s="11" t="s">
        <v>30</v>
      </c>
      <c r="H287" s="91">
        <f t="shared" si="12"/>
        <v>4</v>
      </c>
      <c r="I287" s="10" t="s">
        <v>18</v>
      </c>
      <c r="J287" s="11" t="s">
        <v>30</v>
      </c>
      <c r="K287" s="88">
        <f t="shared" si="13"/>
        <v>4</v>
      </c>
      <c r="L287" s="11" t="s">
        <v>1210</v>
      </c>
      <c r="M287" s="11" t="s">
        <v>25</v>
      </c>
      <c r="N287" s="92" t="s">
        <v>26</v>
      </c>
    </row>
    <row r="288" spans="1:14" x14ac:dyDescent="0.35">
      <c r="A288" s="94" t="s">
        <v>1217</v>
      </c>
      <c r="B288" s="15" t="s">
        <v>13</v>
      </c>
      <c r="C288" s="16" t="s">
        <v>1218</v>
      </c>
      <c r="D288" s="16" t="s">
        <v>34</v>
      </c>
      <c r="E288" s="17" t="s">
        <v>104</v>
      </c>
      <c r="F288" s="15">
        <f>+YEAR(Tabla2[[#This Row],[Cosecha]])</f>
        <v>2025</v>
      </c>
      <c r="G288" s="16" t="s">
        <v>30</v>
      </c>
      <c r="H288" s="95">
        <f t="shared" si="12"/>
        <v>10</v>
      </c>
      <c r="I288" s="15" t="s">
        <v>18</v>
      </c>
      <c r="J288" s="16" t="s">
        <v>17</v>
      </c>
      <c r="K288" s="88">
        <f t="shared" si="13"/>
        <v>11</v>
      </c>
      <c r="L288" s="16" t="s">
        <v>1219</v>
      </c>
      <c r="M288" s="16" t="s">
        <v>115</v>
      </c>
      <c r="N288" s="96" t="s">
        <v>26</v>
      </c>
    </row>
    <row r="289" spans="1:14" x14ac:dyDescent="0.35">
      <c r="A289" s="90" t="s">
        <v>1224</v>
      </c>
      <c r="B289" s="10" t="s">
        <v>13</v>
      </c>
      <c r="C289" s="11" t="s">
        <v>1225</v>
      </c>
      <c r="D289" s="11" t="s">
        <v>90</v>
      </c>
      <c r="E289" s="12" t="s">
        <v>30</v>
      </c>
      <c r="F289" s="10">
        <f>+YEAR(Tabla2[[#This Row],[Cosecha]])</f>
        <v>2026</v>
      </c>
      <c r="G289" s="11" t="s">
        <v>17</v>
      </c>
      <c r="H289" s="91">
        <f t="shared" si="12"/>
        <v>1</v>
      </c>
      <c r="I289" s="10" t="s">
        <v>18</v>
      </c>
      <c r="J289" s="11" t="s">
        <v>17</v>
      </c>
      <c r="K289" s="88">
        <f t="shared" si="13"/>
        <v>1</v>
      </c>
      <c r="L289" s="11" t="s">
        <v>1226</v>
      </c>
      <c r="M289" s="11" t="s">
        <v>25</v>
      </c>
      <c r="N289" s="92" t="s">
        <v>26</v>
      </c>
    </row>
    <row r="290" spans="1:14" x14ac:dyDescent="0.35">
      <c r="A290" s="94" t="s">
        <v>1227</v>
      </c>
      <c r="B290" s="15" t="s">
        <v>13</v>
      </c>
      <c r="C290" s="16" t="s">
        <v>1228</v>
      </c>
      <c r="D290" s="16" t="s">
        <v>34</v>
      </c>
      <c r="E290" s="17" t="s">
        <v>178</v>
      </c>
      <c r="F290" s="15">
        <f>+YEAR(Tabla2[[#This Row],[Cosecha]])</f>
        <v>2024</v>
      </c>
      <c r="G290" s="16" t="s">
        <v>47</v>
      </c>
      <c r="H290" s="95">
        <f t="shared" si="12"/>
        <v>4</v>
      </c>
      <c r="I290" s="15" t="s">
        <v>18</v>
      </c>
      <c r="J290" s="16" t="s">
        <v>133</v>
      </c>
      <c r="K290" s="88">
        <f t="shared" si="13"/>
        <v>5</v>
      </c>
      <c r="L290" s="16" t="s">
        <v>1229</v>
      </c>
      <c r="M290" s="16" t="s">
        <v>130</v>
      </c>
      <c r="N290" s="96" t="s">
        <v>26</v>
      </c>
    </row>
    <row r="291" spans="1:14" x14ac:dyDescent="0.35">
      <c r="A291" s="90" t="s">
        <v>1233</v>
      </c>
      <c r="B291" s="10" t="s">
        <v>13</v>
      </c>
      <c r="C291" s="11" t="s">
        <v>1234</v>
      </c>
      <c r="D291" s="11" t="s">
        <v>34</v>
      </c>
      <c r="E291" s="12" t="s">
        <v>252</v>
      </c>
      <c r="F291" s="10">
        <f>+YEAR(Tabla2[[#This Row],[Cosecha]])</f>
        <v>2024</v>
      </c>
      <c r="G291" s="11" t="s">
        <v>104</v>
      </c>
      <c r="H291" s="91">
        <f t="shared" si="12"/>
        <v>10</v>
      </c>
      <c r="I291" s="10" t="s">
        <v>18</v>
      </c>
      <c r="J291" s="11" t="s">
        <v>104</v>
      </c>
      <c r="K291" s="88">
        <f t="shared" si="13"/>
        <v>10</v>
      </c>
      <c r="L291" s="11" t="s">
        <v>1235</v>
      </c>
      <c r="M291" s="11" t="s">
        <v>20</v>
      </c>
      <c r="N291" s="92" t="s">
        <v>21</v>
      </c>
    </row>
    <row r="292" spans="1:14" x14ac:dyDescent="0.35">
      <c r="A292" s="94" t="s">
        <v>1236</v>
      </c>
      <c r="B292" s="15" t="s">
        <v>13</v>
      </c>
      <c r="C292" s="16" t="s">
        <v>1237</v>
      </c>
      <c r="D292" s="16" t="s">
        <v>78</v>
      </c>
      <c r="E292" s="17" t="s">
        <v>178</v>
      </c>
      <c r="F292" s="15">
        <f>+YEAR(Tabla2[[#This Row],[Cosecha]])</f>
        <v>2024</v>
      </c>
      <c r="G292" s="16" t="s">
        <v>51</v>
      </c>
      <c r="H292" s="95">
        <f t="shared" si="12"/>
        <v>3</v>
      </c>
      <c r="I292" s="15" t="s">
        <v>18</v>
      </c>
      <c r="J292" s="16" t="s">
        <v>51</v>
      </c>
      <c r="K292" s="88">
        <f t="shared" si="13"/>
        <v>3</v>
      </c>
      <c r="L292" s="16" t="s">
        <v>1238</v>
      </c>
      <c r="M292" s="16" t="s">
        <v>25</v>
      </c>
      <c r="N292" s="96" t="s">
        <v>21</v>
      </c>
    </row>
    <row r="293" spans="1:14" x14ac:dyDescent="0.35">
      <c r="A293" s="90" t="s">
        <v>1239</v>
      </c>
      <c r="B293" s="10" t="s">
        <v>13</v>
      </c>
      <c r="C293" s="11" t="s">
        <v>1240</v>
      </c>
      <c r="D293" s="11" t="s">
        <v>15</v>
      </c>
      <c r="E293" s="12" t="s">
        <v>62</v>
      </c>
      <c r="F293" s="10">
        <f>+YEAR(Tabla2[[#This Row],[Cosecha]])</f>
        <v>2025</v>
      </c>
      <c r="G293" s="11" t="s">
        <v>23</v>
      </c>
      <c r="H293" s="91">
        <f t="shared" si="12"/>
        <v>6</v>
      </c>
      <c r="I293" s="10" t="s">
        <v>18</v>
      </c>
      <c r="J293" s="11" t="s">
        <v>23</v>
      </c>
      <c r="K293" s="88">
        <f t="shared" si="13"/>
        <v>6</v>
      </c>
      <c r="L293" s="11" t="s">
        <v>1241</v>
      </c>
      <c r="M293" s="11" t="s">
        <v>25</v>
      </c>
      <c r="N293" s="92" t="s">
        <v>21</v>
      </c>
    </row>
    <row r="294" spans="1:14" x14ac:dyDescent="0.35">
      <c r="A294" s="94" t="s">
        <v>1242</v>
      </c>
      <c r="B294" s="15" t="s">
        <v>13</v>
      </c>
      <c r="C294" s="16" t="s">
        <v>1243</v>
      </c>
      <c r="D294" s="16" t="s">
        <v>34</v>
      </c>
      <c r="E294" s="17" t="s">
        <v>29</v>
      </c>
      <c r="F294" s="15">
        <f>+YEAR(Tabla2[[#This Row],[Cosecha]])</f>
        <v>2025</v>
      </c>
      <c r="G294" s="16" t="s">
        <v>118</v>
      </c>
      <c r="H294" s="95">
        <f t="shared" si="12"/>
        <v>3</v>
      </c>
      <c r="I294" s="15" t="s">
        <v>18</v>
      </c>
      <c r="J294" s="16" t="s">
        <v>36</v>
      </c>
      <c r="K294" s="88">
        <f t="shared" si="13"/>
        <v>4</v>
      </c>
      <c r="L294" s="16" t="s">
        <v>1244</v>
      </c>
      <c r="M294" s="16" t="s">
        <v>115</v>
      </c>
      <c r="N294" s="96" t="s">
        <v>21</v>
      </c>
    </row>
    <row r="295" spans="1:14" x14ac:dyDescent="0.35">
      <c r="A295" s="90" t="s">
        <v>1245</v>
      </c>
      <c r="B295" s="10" t="s">
        <v>13</v>
      </c>
      <c r="C295" s="11" t="s">
        <v>1246</v>
      </c>
      <c r="D295" s="11" t="s">
        <v>34</v>
      </c>
      <c r="E295" s="12" t="s">
        <v>133</v>
      </c>
      <c r="F295" s="10">
        <f>+YEAR(Tabla2[[#This Row],[Cosecha]])</f>
        <v>2025</v>
      </c>
      <c r="G295" s="11" t="s">
        <v>113</v>
      </c>
      <c r="H295" s="91">
        <f t="shared" si="12"/>
        <v>8</v>
      </c>
      <c r="I295" s="10" t="s">
        <v>18</v>
      </c>
      <c r="J295" s="11" t="s">
        <v>113</v>
      </c>
      <c r="K295" s="88">
        <f t="shared" si="13"/>
        <v>8</v>
      </c>
      <c r="L295" s="11" t="s">
        <v>1247</v>
      </c>
      <c r="M295" s="11" t="s">
        <v>115</v>
      </c>
      <c r="N295" s="92" t="s">
        <v>26</v>
      </c>
    </row>
    <row r="296" spans="1:14" x14ac:dyDescent="0.35">
      <c r="A296" s="94" t="s">
        <v>1255</v>
      </c>
      <c r="B296" s="15" t="s">
        <v>13</v>
      </c>
      <c r="C296" s="16" t="s">
        <v>1256</v>
      </c>
      <c r="D296" s="16" t="s">
        <v>78</v>
      </c>
      <c r="E296" s="17" t="s">
        <v>35</v>
      </c>
      <c r="F296" s="15">
        <f>+YEAR(Tabla2[[#This Row],[Cosecha]])</f>
        <v>2024</v>
      </c>
      <c r="G296" s="16" t="s">
        <v>113</v>
      </c>
      <c r="H296" s="95">
        <f t="shared" si="12"/>
        <v>14</v>
      </c>
      <c r="I296" s="15" t="s">
        <v>18</v>
      </c>
      <c r="J296" s="16" t="s">
        <v>23</v>
      </c>
      <c r="K296" s="88">
        <f t="shared" si="13"/>
        <v>15</v>
      </c>
      <c r="L296" s="16" t="s">
        <v>1257</v>
      </c>
      <c r="M296" s="16" t="s">
        <v>195</v>
      </c>
      <c r="N296" s="96" t="s">
        <v>21</v>
      </c>
    </row>
    <row r="297" spans="1:14" x14ac:dyDescent="0.35">
      <c r="A297" s="90" t="s">
        <v>1258</v>
      </c>
      <c r="B297" s="10" t="s">
        <v>13</v>
      </c>
      <c r="C297" s="11" t="s">
        <v>1259</v>
      </c>
      <c r="D297" s="11" t="s">
        <v>34</v>
      </c>
      <c r="E297" s="12" t="s">
        <v>97</v>
      </c>
      <c r="F297" s="10">
        <f>+YEAR(Tabla2[[#This Row],[Cosecha]])</f>
        <v>2025</v>
      </c>
      <c r="G297" s="11" t="s">
        <v>23</v>
      </c>
      <c r="H297" s="91">
        <f t="shared" si="12"/>
        <v>5</v>
      </c>
      <c r="I297" s="10" t="s">
        <v>18</v>
      </c>
      <c r="J297" s="11" t="s">
        <v>23</v>
      </c>
      <c r="K297" s="88">
        <f t="shared" si="13"/>
        <v>5</v>
      </c>
      <c r="L297" s="11" t="s">
        <v>1260</v>
      </c>
      <c r="M297" s="11" t="s">
        <v>115</v>
      </c>
      <c r="N297" s="92" t="s">
        <v>26</v>
      </c>
    </row>
    <row r="298" spans="1:14" x14ac:dyDescent="0.35">
      <c r="A298" s="94" t="s">
        <v>1261</v>
      </c>
      <c r="B298" s="15" t="s">
        <v>13</v>
      </c>
      <c r="C298" s="16" t="s">
        <v>1262</v>
      </c>
      <c r="D298" s="16" t="s">
        <v>34</v>
      </c>
      <c r="E298" s="17" t="s">
        <v>35</v>
      </c>
      <c r="F298" s="15">
        <f>+YEAR(Tabla2[[#This Row],[Cosecha]])</f>
        <v>2024</v>
      </c>
      <c r="G298" s="16" t="s">
        <v>30</v>
      </c>
      <c r="H298" s="95">
        <f t="shared" si="12"/>
        <v>17</v>
      </c>
      <c r="I298" s="15" t="s">
        <v>18</v>
      </c>
      <c r="J298" s="16" t="s">
        <v>30</v>
      </c>
      <c r="K298" s="88">
        <f t="shared" si="13"/>
        <v>17</v>
      </c>
      <c r="L298" s="16" t="s">
        <v>1263</v>
      </c>
      <c r="M298" s="16" t="s">
        <v>241</v>
      </c>
      <c r="N298" s="96" t="s">
        <v>21</v>
      </c>
    </row>
    <row r="299" spans="1:14" x14ac:dyDescent="0.35">
      <c r="A299" s="90" t="s">
        <v>1267</v>
      </c>
      <c r="B299" s="10" t="s">
        <v>85</v>
      </c>
      <c r="C299" s="11" t="s">
        <v>1268</v>
      </c>
      <c r="D299" s="11" t="s">
        <v>34</v>
      </c>
      <c r="E299" s="12" t="s">
        <v>51</v>
      </c>
      <c r="F299" s="10">
        <f>+YEAR(Tabla2[[#This Row],[Cosecha]])</f>
        <v>2025</v>
      </c>
      <c r="G299" s="11" t="s">
        <v>29</v>
      </c>
      <c r="H299" s="91">
        <f t="shared" si="12"/>
        <v>4</v>
      </c>
      <c r="I299" s="10" t="s">
        <v>18</v>
      </c>
      <c r="J299" s="11" t="s">
        <v>29</v>
      </c>
      <c r="K299" s="88">
        <f t="shared" si="13"/>
        <v>4</v>
      </c>
      <c r="L299" s="11" t="s">
        <v>1269</v>
      </c>
      <c r="M299" s="11" t="s">
        <v>44</v>
      </c>
      <c r="N299" s="92" t="s">
        <v>26</v>
      </c>
    </row>
    <row r="300" spans="1:14" x14ac:dyDescent="0.35">
      <c r="A300" s="94" t="s">
        <v>1273</v>
      </c>
      <c r="B300" s="15" t="s">
        <v>13</v>
      </c>
      <c r="C300" s="16" t="s">
        <v>1274</v>
      </c>
      <c r="D300" s="16" t="s">
        <v>34</v>
      </c>
      <c r="E300" s="17" t="s">
        <v>104</v>
      </c>
      <c r="F300" s="15">
        <f>+YEAR(Tabla2[[#This Row],[Cosecha]])</f>
        <v>2025</v>
      </c>
      <c r="G300" s="16" t="s">
        <v>97</v>
      </c>
      <c r="H300" s="95">
        <f t="shared" si="12"/>
        <v>3</v>
      </c>
      <c r="I300" s="15" t="s">
        <v>18</v>
      </c>
      <c r="J300" s="16" t="s">
        <v>97</v>
      </c>
      <c r="K300" s="88">
        <f t="shared" si="13"/>
        <v>3</v>
      </c>
      <c r="L300" s="16" t="s">
        <v>1275</v>
      </c>
      <c r="M300" s="16" t="s">
        <v>115</v>
      </c>
      <c r="N300" s="96" t="s">
        <v>26</v>
      </c>
    </row>
    <row r="301" spans="1:14" x14ac:dyDescent="0.35">
      <c r="A301" s="90" t="s">
        <v>1276</v>
      </c>
      <c r="B301" s="10" t="s">
        <v>13</v>
      </c>
      <c r="C301" s="11" t="s">
        <v>1277</v>
      </c>
      <c r="D301" s="11" t="s">
        <v>34</v>
      </c>
      <c r="E301" s="12" t="s">
        <v>118</v>
      </c>
      <c r="F301" s="10">
        <f>+YEAR(Tabla2[[#This Row],[Cosecha]])</f>
        <v>2025</v>
      </c>
      <c r="G301" s="11" t="s">
        <v>113</v>
      </c>
      <c r="H301" s="91">
        <f t="shared" si="12"/>
        <v>3</v>
      </c>
      <c r="I301" s="10" t="s">
        <v>18</v>
      </c>
      <c r="J301" s="11" t="s">
        <v>52</v>
      </c>
      <c r="K301" s="88">
        <f t="shared" si="13"/>
        <v>5</v>
      </c>
      <c r="L301" s="11" t="s">
        <v>1278</v>
      </c>
      <c r="M301" s="11" t="s">
        <v>44</v>
      </c>
      <c r="N301" s="92" t="s">
        <v>26</v>
      </c>
    </row>
    <row r="302" spans="1:14" x14ac:dyDescent="0.35">
      <c r="A302" s="94" t="s">
        <v>1279</v>
      </c>
      <c r="B302" s="15" t="s">
        <v>13</v>
      </c>
      <c r="C302" s="16" t="s">
        <v>1280</v>
      </c>
      <c r="D302" s="16" t="s">
        <v>34</v>
      </c>
      <c r="E302" s="17" t="s">
        <v>62</v>
      </c>
      <c r="F302" s="15">
        <f>+YEAR(Tabla2[[#This Row],[Cosecha]])</f>
        <v>2025</v>
      </c>
      <c r="G302" s="16" t="s">
        <v>23</v>
      </c>
      <c r="H302" s="95">
        <f t="shared" si="12"/>
        <v>6</v>
      </c>
      <c r="I302" s="15" t="s">
        <v>18</v>
      </c>
      <c r="J302" s="16" t="s">
        <v>23</v>
      </c>
      <c r="K302" s="88">
        <f t="shared" si="13"/>
        <v>6</v>
      </c>
      <c r="L302" s="16" t="s">
        <v>1281</v>
      </c>
      <c r="M302" s="16" t="s">
        <v>44</v>
      </c>
      <c r="N302" s="96" t="s">
        <v>21</v>
      </c>
    </row>
    <row r="303" spans="1:14" x14ac:dyDescent="0.35">
      <c r="A303" s="90" t="s">
        <v>1285</v>
      </c>
      <c r="B303" s="10" t="s">
        <v>13</v>
      </c>
      <c r="C303" s="11" t="s">
        <v>1286</v>
      </c>
      <c r="D303" s="11" t="s">
        <v>34</v>
      </c>
      <c r="E303" s="12" t="s">
        <v>66</v>
      </c>
      <c r="F303" s="10">
        <f>+YEAR(Tabla2[[#This Row],[Cosecha]])</f>
        <v>2025</v>
      </c>
      <c r="G303" s="11" t="s">
        <v>47</v>
      </c>
      <c r="H303" s="91">
        <f t="shared" si="12"/>
        <v>2</v>
      </c>
      <c r="I303" s="10" t="s">
        <v>18</v>
      </c>
      <c r="J303" s="11" t="s">
        <v>47</v>
      </c>
      <c r="K303" s="88">
        <f t="shared" si="13"/>
        <v>2</v>
      </c>
      <c r="L303" s="11" t="s">
        <v>1287</v>
      </c>
      <c r="M303" s="11" t="s">
        <v>44</v>
      </c>
      <c r="N303" s="92" t="s">
        <v>21</v>
      </c>
    </row>
    <row r="304" spans="1:14" x14ac:dyDescent="0.35">
      <c r="A304" s="94" t="s">
        <v>1288</v>
      </c>
      <c r="B304" s="15" t="s">
        <v>13</v>
      </c>
      <c r="C304" s="16" t="s">
        <v>1289</v>
      </c>
      <c r="D304" s="16" t="s">
        <v>34</v>
      </c>
      <c r="E304" s="17" t="s">
        <v>82</v>
      </c>
      <c r="F304" s="15">
        <f>+YEAR(Tabla2[[#This Row],[Cosecha]])</f>
        <v>2024</v>
      </c>
      <c r="G304" s="16" t="s">
        <v>47</v>
      </c>
      <c r="H304" s="95">
        <f t="shared" si="12"/>
        <v>3</v>
      </c>
      <c r="I304" s="15" t="s">
        <v>18</v>
      </c>
      <c r="J304" s="16" t="s">
        <v>47</v>
      </c>
      <c r="K304" s="88">
        <f t="shared" si="13"/>
        <v>3</v>
      </c>
      <c r="L304" s="16" t="s">
        <v>1290</v>
      </c>
      <c r="M304" s="16" t="s">
        <v>130</v>
      </c>
      <c r="N304" s="96" t="s">
        <v>21</v>
      </c>
    </row>
    <row r="305" spans="1:14" x14ac:dyDescent="0.35">
      <c r="A305" s="90" t="s">
        <v>1291</v>
      </c>
      <c r="B305" s="10" t="s">
        <v>13</v>
      </c>
      <c r="C305" s="11" t="s">
        <v>1292</v>
      </c>
      <c r="D305" s="11" t="s">
        <v>34</v>
      </c>
      <c r="E305" s="12" t="s">
        <v>51</v>
      </c>
      <c r="F305" s="10">
        <f>+YEAR(Tabla2[[#This Row],[Cosecha]])</f>
        <v>2025</v>
      </c>
      <c r="G305" s="11" t="s">
        <v>118</v>
      </c>
      <c r="H305" s="91">
        <f t="shared" si="12"/>
        <v>7</v>
      </c>
      <c r="I305" s="10" t="s">
        <v>18</v>
      </c>
      <c r="J305" s="11" t="s">
        <v>118</v>
      </c>
      <c r="K305" s="88">
        <f t="shared" si="13"/>
        <v>7</v>
      </c>
      <c r="L305" s="11" t="s">
        <v>1293</v>
      </c>
      <c r="M305" s="11" t="s">
        <v>44</v>
      </c>
      <c r="N305" s="92" t="s">
        <v>26</v>
      </c>
    </row>
    <row r="306" spans="1:14" x14ac:dyDescent="0.35">
      <c r="A306" s="94" t="s">
        <v>1294</v>
      </c>
      <c r="B306" s="15" t="s">
        <v>13</v>
      </c>
      <c r="C306" s="16" t="s">
        <v>1295</v>
      </c>
      <c r="D306" s="16" t="s">
        <v>15</v>
      </c>
      <c r="E306" s="17" t="s">
        <v>1296</v>
      </c>
      <c r="F306" s="15">
        <f>+YEAR(Tabla2[[#This Row],[Cosecha]])</f>
        <v>2023</v>
      </c>
      <c r="G306" s="16" t="s">
        <v>47</v>
      </c>
      <c r="H306" s="95">
        <f t="shared" si="12"/>
        <v>22</v>
      </c>
      <c r="I306" s="15" t="s">
        <v>18</v>
      </c>
      <c r="J306" s="16" t="s">
        <v>47</v>
      </c>
      <c r="K306" s="88">
        <f t="shared" si="13"/>
        <v>22</v>
      </c>
      <c r="L306" s="16" t="s">
        <v>1297</v>
      </c>
      <c r="M306" s="16" t="s">
        <v>25</v>
      </c>
      <c r="N306" s="96" t="s">
        <v>21</v>
      </c>
    </row>
    <row r="307" spans="1:14" x14ac:dyDescent="0.35">
      <c r="A307" s="90" t="s">
        <v>1298</v>
      </c>
      <c r="B307" s="10" t="s">
        <v>13</v>
      </c>
      <c r="C307" s="11" t="s">
        <v>1299</v>
      </c>
      <c r="D307" s="11" t="s">
        <v>34</v>
      </c>
      <c r="E307" s="12" t="s">
        <v>36</v>
      </c>
      <c r="F307" s="10">
        <f>+YEAR(Tabla2[[#This Row],[Cosecha]])</f>
        <v>2025</v>
      </c>
      <c r="G307" s="11" t="s">
        <v>23</v>
      </c>
      <c r="H307" s="91">
        <f t="shared" si="12"/>
        <v>3</v>
      </c>
      <c r="I307" s="10" t="s">
        <v>18</v>
      </c>
      <c r="J307" s="11" t="s">
        <v>52</v>
      </c>
      <c r="K307" s="88">
        <f t="shared" si="13"/>
        <v>4</v>
      </c>
      <c r="L307" s="11" t="s">
        <v>1300</v>
      </c>
      <c r="M307" s="11" t="s">
        <v>72</v>
      </c>
      <c r="N307" s="92" t="s">
        <v>21</v>
      </c>
    </row>
    <row r="308" spans="1:14" x14ac:dyDescent="0.35">
      <c r="A308" s="94" t="s">
        <v>1304</v>
      </c>
      <c r="B308" s="15" t="s">
        <v>13</v>
      </c>
      <c r="C308" s="16" t="s">
        <v>1305</v>
      </c>
      <c r="D308" s="16" t="s">
        <v>34</v>
      </c>
      <c r="E308" s="17" t="s">
        <v>35</v>
      </c>
      <c r="F308" s="15">
        <f>+YEAR(Tabla2[[#This Row],[Cosecha]])</f>
        <v>2024</v>
      </c>
      <c r="G308" s="16" t="s">
        <v>133</v>
      </c>
      <c r="H308" s="95">
        <f t="shared" si="12"/>
        <v>6</v>
      </c>
      <c r="I308" s="15" t="s">
        <v>18</v>
      </c>
      <c r="J308" s="16" t="s">
        <v>104</v>
      </c>
      <c r="K308" s="88">
        <f t="shared" si="13"/>
        <v>7</v>
      </c>
      <c r="L308" s="16" t="s">
        <v>1306</v>
      </c>
      <c r="M308" s="16" t="s">
        <v>130</v>
      </c>
      <c r="N308" s="96" t="s">
        <v>26</v>
      </c>
    </row>
    <row r="309" spans="1:14" x14ac:dyDescent="0.35">
      <c r="A309" s="90" t="s">
        <v>1307</v>
      </c>
      <c r="B309" s="10" t="s">
        <v>13</v>
      </c>
      <c r="C309" s="11" t="s">
        <v>1308</v>
      </c>
      <c r="D309" s="11" t="s">
        <v>34</v>
      </c>
      <c r="E309" s="12" t="s">
        <v>82</v>
      </c>
      <c r="F309" s="10">
        <f>+YEAR(Tabla2[[#This Row],[Cosecha]])</f>
        <v>2024</v>
      </c>
      <c r="G309" s="11" t="s">
        <v>104</v>
      </c>
      <c r="H309" s="91">
        <f t="shared" si="12"/>
        <v>5</v>
      </c>
      <c r="I309" s="10" t="s">
        <v>18</v>
      </c>
      <c r="J309" s="11" t="s">
        <v>29</v>
      </c>
      <c r="K309" s="88">
        <f t="shared" si="13"/>
        <v>6</v>
      </c>
      <c r="L309" s="11" t="s">
        <v>1309</v>
      </c>
      <c r="M309" s="11" t="s">
        <v>130</v>
      </c>
      <c r="N309" s="92" t="s">
        <v>21</v>
      </c>
    </row>
    <row r="310" spans="1:14" x14ac:dyDescent="0.35">
      <c r="A310" s="94" t="s">
        <v>1310</v>
      </c>
      <c r="B310" s="15" t="s">
        <v>13</v>
      </c>
      <c r="C310" s="16" t="s">
        <v>1311</v>
      </c>
      <c r="D310" s="16" t="s">
        <v>90</v>
      </c>
      <c r="E310" s="17" t="s">
        <v>47</v>
      </c>
      <c r="F310" s="15">
        <f>+YEAR(Tabla2[[#This Row],[Cosecha]])</f>
        <v>2025</v>
      </c>
      <c r="G310" s="16" t="s">
        <v>97</v>
      </c>
      <c r="H310" s="95">
        <f t="shared" si="12"/>
        <v>5</v>
      </c>
      <c r="I310" s="15" t="s">
        <v>18</v>
      </c>
      <c r="J310" s="16" t="s">
        <v>118</v>
      </c>
      <c r="K310" s="88">
        <f t="shared" si="13"/>
        <v>6</v>
      </c>
      <c r="L310" s="16" t="s">
        <v>1312</v>
      </c>
      <c r="M310" s="16" t="s">
        <v>39</v>
      </c>
      <c r="N310" s="96" t="s">
        <v>21</v>
      </c>
    </row>
    <row r="311" spans="1:14" x14ac:dyDescent="0.35">
      <c r="A311" s="90" t="s">
        <v>1313</v>
      </c>
      <c r="B311" s="10" t="s">
        <v>13</v>
      </c>
      <c r="C311" s="11" t="s">
        <v>1314</v>
      </c>
      <c r="D311" s="11" t="s">
        <v>34</v>
      </c>
      <c r="E311" s="12" t="s">
        <v>118</v>
      </c>
      <c r="F311" s="10">
        <f>+YEAR(Tabla2[[#This Row],[Cosecha]])</f>
        <v>2025</v>
      </c>
      <c r="G311" s="11" t="s">
        <v>52</v>
      </c>
      <c r="H311" s="91">
        <f t="shared" si="12"/>
        <v>5</v>
      </c>
      <c r="I311" s="10" t="s">
        <v>18</v>
      </c>
      <c r="J311" s="11" t="s">
        <v>70</v>
      </c>
      <c r="K311" s="88">
        <f t="shared" si="13"/>
        <v>8</v>
      </c>
      <c r="L311" s="11" t="s">
        <v>1315</v>
      </c>
      <c r="M311" s="11" t="s">
        <v>44</v>
      </c>
      <c r="N311" s="92" t="s">
        <v>21</v>
      </c>
    </row>
    <row r="312" spans="1:14" x14ac:dyDescent="0.35">
      <c r="A312" s="94" t="s">
        <v>1322</v>
      </c>
      <c r="B312" s="15" t="s">
        <v>13</v>
      </c>
      <c r="C312" s="16" t="s">
        <v>1323</v>
      </c>
      <c r="D312" s="16" t="s">
        <v>34</v>
      </c>
      <c r="E312" s="17" t="s">
        <v>36</v>
      </c>
      <c r="F312" s="15">
        <f>+YEAR(Tabla2[[#This Row],[Cosecha]])</f>
        <v>2025</v>
      </c>
      <c r="G312" s="16" t="s">
        <v>23</v>
      </c>
      <c r="H312" s="95">
        <f t="shared" si="12"/>
        <v>3</v>
      </c>
      <c r="I312" s="15" t="s">
        <v>18</v>
      </c>
      <c r="J312" s="16" t="s">
        <v>52</v>
      </c>
      <c r="K312" s="88">
        <f t="shared" si="13"/>
        <v>4</v>
      </c>
      <c r="L312" s="16" t="s">
        <v>1324</v>
      </c>
      <c r="M312" s="16" t="s">
        <v>115</v>
      </c>
      <c r="N312" s="96" t="s">
        <v>26</v>
      </c>
    </row>
    <row r="313" spans="1:14" x14ac:dyDescent="0.35">
      <c r="A313" s="90" t="s">
        <v>1325</v>
      </c>
      <c r="B313" s="10" t="s">
        <v>13</v>
      </c>
      <c r="C313" s="11" t="s">
        <v>1326</v>
      </c>
      <c r="D313" s="11" t="s">
        <v>34</v>
      </c>
      <c r="E313" s="12" t="s">
        <v>118</v>
      </c>
      <c r="F313" s="10">
        <f>+YEAR(Tabla2[[#This Row],[Cosecha]])</f>
        <v>2025</v>
      </c>
      <c r="G313" s="11" t="s">
        <v>30</v>
      </c>
      <c r="H313" s="91">
        <f t="shared" si="12"/>
        <v>6</v>
      </c>
      <c r="I313" s="10" t="s">
        <v>18</v>
      </c>
      <c r="J313" s="11" t="s">
        <v>17</v>
      </c>
      <c r="K313" s="88">
        <f t="shared" si="13"/>
        <v>7</v>
      </c>
      <c r="L313" s="11" t="s">
        <v>1327</v>
      </c>
      <c r="M313" s="11" t="s">
        <v>115</v>
      </c>
      <c r="N313" s="92" t="s">
        <v>21</v>
      </c>
    </row>
    <row r="314" spans="1:14" x14ac:dyDescent="0.35">
      <c r="A314" s="94" t="s">
        <v>1334</v>
      </c>
      <c r="B314" s="15" t="s">
        <v>13</v>
      </c>
      <c r="C314" s="16" t="s">
        <v>1335</v>
      </c>
      <c r="D314" s="16" t="s">
        <v>34</v>
      </c>
      <c r="E314" s="17" t="s">
        <v>66</v>
      </c>
      <c r="F314" s="15">
        <f>+YEAR(Tabla2[[#This Row],[Cosecha]])</f>
        <v>2025</v>
      </c>
      <c r="G314" s="16" t="s">
        <v>97</v>
      </c>
      <c r="H314" s="95">
        <f t="shared" si="12"/>
        <v>7</v>
      </c>
      <c r="I314" s="15" t="s">
        <v>18</v>
      </c>
      <c r="J314" s="16" t="s">
        <v>97</v>
      </c>
      <c r="K314" s="88">
        <f t="shared" si="13"/>
        <v>7</v>
      </c>
      <c r="L314" s="16" t="s">
        <v>1336</v>
      </c>
      <c r="M314" s="16" t="s">
        <v>130</v>
      </c>
      <c r="N314" s="96" t="s">
        <v>26</v>
      </c>
    </row>
    <row r="315" spans="1:14" x14ac:dyDescent="0.35">
      <c r="A315" s="90" t="s">
        <v>1337</v>
      </c>
      <c r="B315" s="10" t="s">
        <v>13</v>
      </c>
      <c r="C315" s="11" t="s">
        <v>1338</v>
      </c>
      <c r="D315" s="11" t="s">
        <v>34</v>
      </c>
      <c r="E315" s="12" t="s">
        <v>47</v>
      </c>
      <c r="F315" s="10">
        <f>+YEAR(Tabla2[[#This Row],[Cosecha]])</f>
        <v>2025</v>
      </c>
      <c r="G315" s="11" t="s">
        <v>70</v>
      </c>
      <c r="H315" s="91">
        <f t="shared" si="12"/>
        <v>14</v>
      </c>
      <c r="I315" s="10" t="s">
        <v>18</v>
      </c>
      <c r="J315" s="11" t="s">
        <v>70</v>
      </c>
      <c r="K315" s="88">
        <f t="shared" si="13"/>
        <v>14</v>
      </c>
      <c r="L315" s="11" t="s">
        <v>1339</v>
      </c>
      <c r="M315" s="11" t="s">
        <v>115</v>
      </c>
      <c r="N315" s="92" t="s">
        <v>21</v>
      </c>
    </row>
    <row r="316" spans="1:14" x14ac:dyDescent="0.35">
      <c r="A316" s="94" t="s">
        <v>1340</v>
      </c>
      <c r="B316" s="15" t="s">
        <v>13</v>
      </c>
      <c r="C316" s="16" t="s">
        <v>1341</v>
      </c>
      <c r="D316" s="16" t="s">
        <v>34</v>
      </c>
      <c r="E316" s="17" t="s">
        <v>104</v>
      </c>
      <c r="F316" s="15">
        <f>+YEAR(Tabla2[[#This Row],[Cosecha]])</f>
        <v>2025</v>
      </c>
      <c r="G316" s="16" t="s">
        <v>17</v>
      </c>
      <c r="H316" s="95">
        <f t="shared" si="12"/>
        <v>11</v>
      </c>
      <c r="I316" s="15" t="s">
        <v>18</v>
      </c>
      <c r="J316" s="16" t="s">
        <v>17</v>
      </c>
      <c r="K316" s="88">
        <f t="shared" si="13"/>
        <v>11</v>
      </c>
      <c r="L316" s="16" t="s">
        <v>1342</v>
      </c>
      <c r="M316" s="16" t="s">
        <v>130</v>
      </c>
      <c r="N316" s="96" t="s">
        <v>21</v>
      </c>
    </row>
    <row r="317" spans="1:14" x14ac:dyDescent="0.35">
      <c r="A317" s="90" t="s">
        <v>1346</v>
      </c>
      <c r="B317" s="10" t="s">
        <v>13</v>
      </c>
      <c r="C317" s="11" t="s">
        <v>1347</v>
      </c>
      <c r="D317" s="11" t="s">
        <v>34</v>
      </c>
      <c r="E317" s="12" t="s">
        <v>62</v>
      </c>
      <c r="F317" s="10">
        <f>+YEAR(Tabla2[[#This Row],[Cosecha]])</f>
        <v>2025</v>
      </c>
      <c r="G317" s="11" t="s">
        <v>17</v>
      </c>
      <c r="H317" s="91">
        <f t="shared" si="12"/>
        <v>9</v>
      </c>
      <c r="I317" s="10" t="s">
        <v>18</v>
      </c>
      <c r="J317" s="11" t="s">
        <v>17</v>
      </c>
      <c r="K317" s="88">
        <f t="shared" si="13"/>
        <v>9</v>
      </c>
      <c r="L317" s="11" t="s">
        <v>1348</v>
      </c>
      <c r="M317" s="11" t="s">
        <v>115</v>
      </c>
      <c r="N317" s="92" t="s">
        <v>26</v>
      </c>
    </row>
    <row r="318" spans="1:14" x14ac:dyDescent="0.35">
      <c r="A318" s="94" t="s">
        <v>1349</v>
      </c>
      <c r="B318" s="15" t="s">
        <v>13</v>
      </c>
      <c r="C318" s="16" t="s">
        <v>1350</v>
      </c>
      <c r="D318" s="16" t="s">
        <v>34</v>
      </c>
      <c r="E318" s="17" t="s">
        <v>47</v>
      </c>
      <c r="F318" s="15">
        <f>+YEAR(Tabla2[[#This Row],[Cosecha]])</f>
        <v>2025</v>
      </c>
      <c r="G318" s="16" t="s">
        <v>118</v>
      </c>
      <c r="H318" s="95">
        <f t="shared" si="12"/>
        <v>6</v>
      </c>
      <c r="I318" s="15" t="s">
        <v>18</v>
      </c>
      <c r="J318" s="16" t="s">
        <v>118</v>
      </c>
      <c r="K318" s="88">
        <f t="shared" si="13"/>
        <v>6</v>
      </c>
      <c r="L318" s="16" t="s">
        <v>1351</v>
      </c>
      <c r="M318" s="16" t="s">
        <v>44</v>
      </c>
      <c r="N318" s="96" t="s">
        <v>21</v>
      </c>
    </row>
    <row r="319" spans="1:14" x14ac:dyDescent="0.35">
      <c r="A319" s="90" t="s">
        <v>1352</v>
      </c>
      <c r="B319" s="10" t="s">
        <v>13</v>
      </c>
      <c r="C319" s="11" t="s">
        <v>1353</v>
      </c>
      <c r="D319" s="11" t="s">
        <v>90</v>
      </c>
      <c r="E319" s="12" t="s">
        <v>252</v>
      </c>
      <c r="F319" s="10">
        <f>+YEAR(Tabla2[[#This Row],[Cosecha]])</f>
        <v>2024</v>
      </c>
      <c r="G319" s="11" t="s">
        <v>62</v>
      </c>
      <c r="H319" s="91">
        <f t="shared" si="12"/>
        <v>12</v>
      </c>
      <c r="I319" s="10" t="s">
        <v>18</v>
      </c>
      <c r="J319" s="11" t="s">
        <v>62</v>
      </c>
      <c r="K319" s="88">
        <f t="shared" si="13"/>
        <v>12</v>
      </c>
      <c r="L319" s="11" t="s">
        <v>1354</v>
      </c>
      <c r="M319" s="11" t="s">
        <v>195</v>
      </c>
      <c r="N319" s="92" t="s">
        <v>21</v>
      </c>
    </row>
    <row r="320" spans="1:14" x14ac:dyDescent="0.35">
      <c r="A320" s="94" t="s">
        <v>1355</v>
      </c>
      <c r="B320" s="15" t="s">
        <v>13</v>
      </c>
      <c r="C320" s="16" t="s">
        <v>1356</v>
      </c>
      <c r="D320" s="16" t="s">
        <v>90</v>
      </c>
      <c r="E320" s="17" t="s">
        <v>37</v>
      </c>
      <c r="F320" s="15">
        <f>+YEAR(Tabla2[[#This Row],[Cosecha]])</f>
        <v>2025</v>
      </c>
      <c r="G320" s="16" t="s">
        <v>17</v>
      </c>
      <c r="H320" s="95">
        <f t="shared" si="12"/>
        <v>5</v>
      </c>
      <c r="I320" s="15" t="s">
        <v>18</v>
      </c>
      <c r="J320" s="16" t="s">
        <v>17</v>
      </c>
      <c r="K320" s="88">
        <f t="shared" si="13"/>
        <v>5</v>
      </c>
      <c r="L320" s="16" t="s">
        <v>1357</v>
      </c>
      <c r="M320" s="16" t="s">
        <v>25</v>
      </c>
      <c r="N320" s="96" t="s">
        <v>26</v>
      </c>
    </row>
    <row r="321" spans="1:14" x14ac:dyDescent="0.35">
      <c r="A321" s="90" t="s">
        <v>1358</v>
      </c>
      <c r="B321" s="10" t="s">
        <v>13</v>
      </c>
      <c r="C321" s="11" t="s">
        <v>1359</v>
      </c>
      <c r="D321" s="11" t="s">
        <v>15</v>
      </c>
      <c r="E321" s="12" t="s">
        <v>104</v>
      </c>
      <c r="F321" s="10">
        <f>+YEAR(Tabla2[[#This Row],[Cosecha]])</f>
        <v>2025</v>
      </c>
      <c r="G321" s="11" t="s">
        <v>62</v>
      </c>
      <c r="H321" s="91">
        <f t="shared" si="12"/>
        <v>2</v>
      </c>
      <c r="I321" s="10" t="s">
        <v>18</v>
      </c>
      <c r="J321" s="11" t="s">
        <v>62</v>
      </c>
      <c r="K321" s="88">
        <f t="shared" si="13"/>
        <v>2</v>
      </c>
      <c r="L321" s="11" t="s">
        <v>1360</v>
      </c>
      <c r="M321" s="11" t="s">
        <v>25</v>
      </c>
      <c r="N321" s="92" t="s">
        <v>26</v>
      </c>
    </row>
    <row r="322" spans="1:14" x14ac:dyDescent="0.35">
      <c r="A322" s="94" t="s">
        <v>1361</v>
      </c>
      <c r="B322" s="15" t="s">
        <v>13</v>
      </c>
      <c r="C322" s="16" t="s">
        <v>1362</v>
      </c>
      <c r="D322" s="16" t="s">
        <v>34</v>
      </c>
      <c r="E322" s="17" t="s">
        <v>97</v>
      </c>
      <c r="F322" s="15">
        <f>+YEAR(Tabla2[[#This Row],[Cosecha]])</f>
        <v>2025</v>
      </c>
      <c r="G322" s="16" t="s">
        <v>52</v>
      </c>
      <c r="H322" s="95">
        <f t="shared" ref="H322:H385" si="14">(YEAR(G322)-YEAR(E322))*12+(MONTH(G322)-MONTH(E322))</f>
        <v>6</v>
      </c>
      <c r="I322" s="15" t="s">
        <v>18</v>
      </c>
      <c r="J322" s="16" t="s">
        <v>30</v>
      </c>
      <c r="K322" s="88">
        <f t="shared" ref="K322:K385" si="15">(YEAR(J322)-YEAR(E322))*12+(MONTH(J322)-MONTH(E322))</f>
        <v>7</v>
      </c>
      <c r="L322" s="16" t="s">
        <v>1363</v>
      </c>
      <c r="M322" s="16" t="s">
        <v>115</v>
      </c>
      <c r="N322" s="96" t="s">
        <v>21</v>
      </c>
    </row>
    <row r="323" spans="1:14" x14ac:dyDescent="0.35">
      <c r="A323" s="90" t="s">
        <v>1364</v>
      </c>
      <c r="B323" s="10" t="s">
        <v>13</v>
      </c>
      <c r="C323" s="11" t="s">
        <v>1365</v>
      </c>
      <c r="D323" s="11" t="s">
        <v>34</v>
      </c>
      <c r="E323" s="12" t="s">
        <v>275</v>
      </c>
      <c r="F323" s="10">
        <f>+YEAR(Tabla2[[#This Row],[Cosecha]])</f>
        <v>2024</v>
      </c>
      <c r="G323" s="11" t="s">
        <v>29</v>
      </c>
      <c r="H323" s="91">
        <f t="shared" si="14"/>
        <v>15</v>
      </c>
      <c r="I323" s="10" t="s">
        <v>18</v>
      </c>
      <c r="J323" s="11" t="s">
        <v>62</v>
      </c>
      <c r="K323" s="88">
        <f t="shared" si="15"/>
        <v>16</v>
      </c>
      <c r="L323" s="11" t="s">
        <v>1366</v>
      </c>
      <c r="M323" s="11" t="s">
        <v>25</v>
      </c>
      <c r="N323" s="92" t="s">
        <v>21</v>
      </c>
    </row>
    <row r="324" spans="1:14" x14ac:dyDescent="0.35">
      <c r="A324" s="94" t="s">
        <v>1367</v>
      </c>
      <c r="B324" s="15" t="s">
        <v>13</v>
      </c>
      <c r="C324" s="16" t="s">
        <v>1368</v>
      </c>
      <c r="D324" s="16" t="s">
        <v>34</v>
      </c>
      <c r="E324" s="17" t="s">
        <v>36</v>
      </c>
      <c r="F324" s="15">
        <f>+YEAR(Tabla2[[#This Row],[Cosecha]])</f>
        <v>2025</v>
      </c>
      <c r="G324" s="16" t="s">
        <v>30</v>
      </c>
      <c r="H324" s="95">
        <f t="shared" si="14"/>
        <v>5</v>
      </c>
      <c r="I324" s="15" t="s">
        <v>18</v>
      </c>
      <c r="J324" s="16" t="s">
        <v>30</v>
      </c>
      <c r="K324" s="88">
        <f t="shared" si="15"/>
        <v>5</v>
      </c>
      <c r="L324" s="16" t="s">
        <v>1369</v>
      </c>
      <c r="M324" s="16" t="s">
        <v>44</v>
      </c>
      <c r="N324" s="96" t="s">
        <v>21</v>
      </c>
    </row>
    <row r="325" spans="1:14" x14ac:dyDescent="0.35">
      <c r="A325" s="90" t="s">
        <v>1370</v>
      </c>
      <c r="B325" s="10" t="s">
        <v>13</v>
      </c>
      <c r="C325" s="11" t="s">
        <v>1371</v>
      </c>
      <c r="D325" s="11" t="s">
        <v>15</v>
      </c>
      <c r="E325" s="12" t="s">
        <v>29</v>
      </c>
      <c r="F325" s="10">
        <f>+YEAR(Tabla2[[#This Row],[Cosecha]])</f>
        <v>2025</v>
      </c>
      <c r="G325" s="11" t="s">
        <v>30</v>
      </c>
      <c r="H325" s="91">
        <f t="shared" si="14"/>
        <v>9</v>
      </c>
      <c r="I325" s="10" t="s">
        <v>18</v>
      </c>
      <c r="J325" s="11" t="s">
        <v>30</v>
      </c>
      <c r="K325" s="88">
        <f t="shared" si="15"/>
        <v>9</v>
      </c>
      <c r="L325" s="11" t="s">
        <v>1372</v>
      </c>
      <c r="M325" s="11" t="s">
        <v>25</v>
      </c>
      <c r="N325" s="92" t="s">
        <v>21</v>
      </c>
    </row>
    <row r="326" spans="1:14" x14ac:dyDescent="0.35">
      <c r="A326" s="94" t="s">
        <v>1373</v>
      </c>
      <c r="B326" s="15" t="s">
        <v>13</v>
      </c>
      <c r="C326" s="16" t="s">
        <v>1374</v>
      </c>
      <c r="D326" s="16" t="s">
        <v>34</v>
      </c>
      <c r="E326" s="17" t="s">
        <v>35</v>
      </c>
      <c r="F326" s="15">
        <f>+YEAR(Tabla2[[#This Row],[Cosecha]])</f>
        <v>2024</v>
      </c>
      <c r="G326" s="16" t="s">
        <v>52</v>
      </c>
      <c r="H326" s="95">
        <f t="shared" si="14"/>
        <v>16</v>
      </c>
      <c r="I326" s="15" t="s">
        <v>18</v>
      </c>
      <c r="J326" s="16" t="s">
        <v>52</v>
      </c>
      <c r="K326" s="88">
        <f t="shared" si="15"/>
        <v>16</v>
      </c>
      <c r="L326" s="16" t="s">
        <v>1375</v>
      </c>
      <c r="M326" s="16" t="s">
        <v>39</v>
      </c>
      <c r="N326" s="96" t="s">
        <v>21</v>
      </c>
    </row>
    <row r="327" spans="1:14" x14ac:dyDescent="0.35">
      <c r="A327" s="90" t="s">
        <v>1376</v>
      </c>
      <c r="B327" s="10" t="s">
        <v>13</v>
      </c>
      <c r="C327" s="11" t="s">
        <v>1377</v>
      </c>
      <c r="D327" s="11" t="s">
        <v>34</v>
      </c>
      <c r="E327" s="12" t="s">
        <v>165</v>
      </c>
      <c r="F327" s="10">
        <f>+YEAR(Tabla2[[#This Row],[Cosecha]])</f>
        <v>2024</v>
      </c>
      <c r="G327" s="11" t="s">
        <v>29</v>
      </c>
      <c r="H327" s="91">
        <f t="shared" si="14"/>
        <v>16</v>
      </c>
      <c r="I327" s="10" t="s">
        <v>18</v>
      </c>
      <c r="J327" s="11" t="s">
        <v>104</v>
      </c>
      <c r="K327" s="88">
        <f t="shared" si="15"/>
        <v>15</v>
      </c>
      <c r="L327" s="11" t="s">
        <v>1378</v>
      </c>
      <c r="M327" s="11" t="s">
        <v>130</v>
      </c>
      <c r="N327" s="92" t="s">
        <v>21</v>
      </c>
    </row>
    <row r="328" spans="1:14" x14ac:dyDescent="0.35">
      <c r="A328" s="94" t="s">
        <v>1379</v>
      </c>
      <c r="B328" s="15" t="s">
        <v>13</v>
      </c>
      <c r="C328" s="16" t="s">
        <v>1380</v>
      </c>
      <c r="D328" s="16" t="s">
        <v>34</v>
      </c>
      <c r="E328" s="17" t="s">
        <v>97</v>
      </c>
      <c r="F328" s="15">
        <f>+YEAR(Tabla2[[#This Row],[Cosecha]])</f>
        <v>2025</v>
      </c>
      <c r="G328" s="16" t="s">
        <v>52</v>
      </c>
      <c r="H328" s="95">
        <f t="shared" si="14"/>
        <v>6</v>
      </c>
      <c r="I328" s="15" t="s">
        <v>18</v>
      </c>
      <c r="J328" s="16" t="s">
        <v>17</v>
      </c>
      <c r="K328" s="88">
        <f t="shared" si="15"/>
        <v>8</v>
      </c>
      <c r="L328" s="16" t="s">
        <v>1381</v>
      </c>
      <c r="M328" s="16" t="s">
        <v>44</v>
      </c>
      <c r="N328" s="96" t="s">
        <v>21</v>
      </c>
    </row>
    <row r="329" spans="1:14" x14ac:dyDescent="0.35">
      <c r="A329" s="90" t="s">
        <v>1382</v>
      </c>
      <c r="B329" s="10" t="s">
        <v>13</v>
      </c>
      <c r="C329" s="11" t="s">
        <v>1383</v>
      </c>
      <c r="D329" s="11" t="s">
        <v>34</v>
      </c>
      <c r="E329" s="12" t="s">
        <v>51</v>
      </c>
      <c r="F329" s="10">
        <f>+YEAR(Tabla2[[#This Row],[Cosecha]])</f>
        <v>2025</v>
      </c>
      <c r="G329" s="11" t="s">
        <v>29</v>
      </c>
      <c r="H329" s="91">
        <f t="shared" si="14"/>
        <v>4</v>
      </c>
      <c r="I329" s="10" t="s">
        <v>18</v>
      </c>
      <c r="J329" s="11" t="s">
        <v>62</v>
      </c>
      <c r="K329" s="88">
        <f t="shared" si="15"/>
        <v>5</v>
      </c>
      <c r="L329" s="11" t="s">
        <v>1384</v>
      </c>
      <c r="M329" s="11" t="s">
        <v>130</v>
      </c>
      <c r="N329" s="92" t="s">
        <v>21</v>
      </c>
    </row>
    <row r="330" spans="1:14" x14ac:dyDescent="0.35">
      <c r="A330" s="94" t="s">
        <v>1385</v>
      </c>
      <c r="B330" s="15" t="s">
        <v>13</v>
      </c>
      <c r="C330" s="16" t="s">
        <v>1386</v>
      </c>
      <c r="D330" s="16" t="s">
        <v>34</v>
      </c>
      <c r="E330" s="17" t="s">
        <v>457</v>
      </c>
      <c r="F330" s="15">
        <f>+YEAR(Tabla2[[#This Row],[Cosecha]])</f>
        <v>2024</v>
      </c>
      <c r="G330" s="16" t="s">
        <v>37</v>
      </c>
      <c r="H330" s="95">
        <f t="shared" si="14"/>
        <v>17</v>
      </c>
      <c r="I330" s="15" t="s">
        <v>18</v>
      </c>
      <c r="J330" s="16" t="s">
        <v>113</v>
      </c>
      <c r="K330" s="88">
        <f t="shared" si="15"/>
        <v>18</v>
      </c>
      <c r="L330" s="16" t="s">
        <v>1387</v>
      </c>
      <c r="M330" s="16" t="s">
        <v>25</v>
      </c>
      <c r="N330" s="96" t="s">
        <v>21</v>
      </c>
    </row>
    <row r="331" spans="1:14" x14ac:dyDescent="0.35">
      <c r="A331" s="90" t="s">
        <v>1388</v>
      </c>
      <c r="B331" s="10" t="s">
        <v>13</v>
      </c>
      <c r="C331" s="11" t="s">
        <v>1389</v>
      </c>
      <c r="D331" s="11" t="s">
        <v>15</v>
      </c>
      <c r="E331" s="12" t="s">
        <v>97</v>
      </c>
      <c r="F331" s="10">
        <f>+YEAR(Tabla2[[#This Row],[Cosecha]])</f>
        <v>2025</v>
      </c>
      <c r="G331" s="11" t="s">
        <v>23</v>
      </c>
      <c r="H331" s="91">
        <f t="shared" si="14"/>
        <v>5</v>
      </c>
      <c r="I331" s="10" t="s">
        <v>18</v>
      </c>
      <c r="J331" s="11" t="s">
        <v>23</v>
      </c>
      <c r="K331" s="88">
        <f t="shared" si="15"/>
        <v>5</v>
      </c>
      <c r="L331" s="11" t="s">
        <v>1390</v>
      </c>
      <c r="M331" s="11" t="s">
        <v>25</v>
      </c>
      <c r="N331" s="92" t="s">
        <v>21</v>
      </c>
    </row>
    <row r="332" spans="1:14" x14ac:dyDescent="0.35">
      <c r="A332" s="94" t="s">
        <v>1391</v>
      </c>
      <c r="B332" s="15" t="s">
        <v>13</v>
      </c>
      <c r="C332" s="16" t="s">
        <v>1392</v>
      </c>
      <c r="D332" s="16" t="s">
        <v>15</v>
      </c>
      <c r="E332" s="17" t="s">
        <v>37</v>
      </c>
      <c r="F332" s="15">
        <f>+YEAR(Tabla2[[#This Row],[Cosecha]])</f>
        <v>2025</v>
      </c>
      <c r="G332" s="16" t="s">
        <v>30</v>
      </c>
      <c r="H332" s="95">
        <f t="shared" si="14"/>
        <v>4</v>
      </c>
      <c r="I332" s="15" t="s">
        <v>18</v>
      </c>
      <c r="J332" s="16" t="s">
        <v>30</v>
      </c>
      <c r="K332" s="88">
        <f t="shared" si="15"/>
        <v>4</v>
      </c>
      <c r="L332" s="16" t="s">
        <v>1393</v>
      </c>
      <c r="M332" s="16" t="s">
        <v>25</v>
      </c>
      <c r="N332" s="96" t="s">
        <v>26</v>
      </c>
    </row>
    <row r="333" spans="1:14" x14ac:dyDescent="0.35">
      <c r="A333" s="90" t="s">
        <v>1394</v>
      </c>
      <c r="B333" s="10" t="s">
        <v>13</v>
      </c>
      <c r="C333" s="11" t="s">
        <v>1395</v>
      </c>
      <c r="D333" s="11" t="s">
        <v>34</v>
      </c>
      <c r="E333" s="12" t="s">
        <v>275</v>
      </c>
      <c r="F333" s="10">
        <f>+YEAR(Tabla2[[#This Row],[Cosecha]])</f>
        <v>2024</v>
      </c>
      <c r="G333" s="11" t="s">
        <v>30</v>
      </c>
      <c r="H333" s="91">
        <f t="shared" si="14"/>
        <v>24</v>
      </c>
      <c r="I333" s="10" t="s">
        <v>18</v>
      </c>
      <c r="J333" s="11" t="s">
        <v>30</v>
      </c>
      <c r="K333" s="88">
        <f t="shared" si="15"/>
        <v>24</v>
      </c>
      <c r="L333" s="11" t="s">
        <v>1396</v>
      </c>
      <c r="M333" s="11" t="s">
        <v>39</v>
      </c>
      <c r="N333" s="92" t="s">
        <v>21</v>
      </c>
    </row>
    <row r="334" spans="1:14" x14ac:dyDescent="0.35">
      <c r="A334" s="94" t="s">
        <v>1397</v>
      </c>
      <c r="B334" s="15" t="s">
        <v>13</v>
      </c>
      <c r="C334" s="16" t="s">
        <v>1398</v>
      </c>
      <c r="D334" s="16" t="s">
        <v>34</v>
      </c>
      <c r="E334" s="17" t="s">
        <v>47</v>
      </c>
      <c r="F334" s="15">
        <f>+YEAR(Tabla2[[#This Row],[Cosecha]])</f>
        <v>2025</v>
      </c>
      <c r="G334" s="16" t="s">
        <v>29</v>
      </c>
      <c r="H334" s="95">
        <f t="shared" si="14"/>
        <v>3</v>
      </c>
      <c r="I334" s="15" t="s">
        <v>18</v>
      </c>
      <c r="J334" s="16" t="s">
        <v>29</v>
      </c>
      <c r="K334" s="88">
        <f t="shared" si="15"/>
        <v>3</v>
      </c>
      <c r="L334" s="16" t="s">
        <v>1399</v>
      </c>
      <c r="M334" s="16" t="s">
        <v>130</v>
      </c>
      <c r="N334" s="96" t="s">
        <v>21</v>
      </c>
    </row>
    <row r="335" spans="1:14" x14ac:dyDescent="0.35">
      <c r="A335" s="90" t="s">
        <v>1400</v>
      </c>
      <c r="B335" s="10" t="s">
        <v>13</v>
      </c>
      <c r="C335" s="11" t="s">
        <v>1401</v>
      </c>
      <c r="D335" s="11" t="s">
        <v>34</v>
      </c>
      <c r="E335" s="12" t="s">
        <v>37</v>
      </c>
      <c r="F335" s="10">
        <f>+YEAR(Tabla2[[#This Row],[Cosecha]])</f>
        <v>2025</v>
      </c>
      <c r="G335" s="11" t="s">
        <v>17</v>
      </c>
      <c r="H335" s="91">
        <f t="shared" si="14"/>
        <v>5</v>
      </c>
      <c r="I335" s="10" t="s">
        <v>18</v>
      </c>
      <c r="J335" s="11" t="s">
        <v>17</v>
      </c>
      <c r="K335" s="88">
        <f t="shared" si="15"/>
        <v>5</v>
      </c>
      <c r="L335" s="11" t="s">
        <v>1402</v>
      </c>
      <c r="M335" s="11" t="s">
        <v>72</v>
      </c>
      <c r="N335" s="92" t="s">
        <v>21</v>
      </c>
    </row>
    <row r="336" spans="1:14" x14ac:dyDescent="0.35">
      <c r="A336" s="94" t="s">
        <v>1409</v>
      </c>
      <c r="B336" s="15" t="s">
        <v>13</v>
      </c>
      <c r="C336" s="16" t="s">
        <v>1410</v>
      </c>
      <c r="D336" s="16" t="s">
        <v>34</v>
      </c>
      <c r="E336" s="17" t="s">
        <v>51</v>
      </c>
      <c r="F336" s="15">
        <f>+YEAR(Tabla2[[#This Row],[Cosecha]])</f>
        <v>2025</v>
      </c>
      <c r="G336" s="16" t="s">
        <v>133</v>
      </c>
      <c r="H336" s="95">
        <f t="shared" si="14"/>
        <v>2</v>
      </c>
      <c r="I336" s="15" t="s">
        <v>18</v>
      </c>
      <c r="J336" s="16" t="s">
        <v>104</v>
      </c>
      <c r="K336" s="88">
        <f t="shared" si="15"/>
        <v>3</v>
      </c>
      <c r="L336" s="16" t="s">
        <v>1411</v>
      </c>
      <c r="M336" s="16" t="s">
        <v>44</v>
      </c>
      <c r="N336" s="96" t="s">
        <v>26</v>
      </c>
    </row>
    <row r="337" spans="1:14" x14ac:dyDescent="0.35">
      <c r="A337" s="90" t="s">
        <v>1412</v>
      </c>
      <c r="B337" s="10" t="s">
        <v>13</v>
      </c>
      <c r="C337" s="11" t="s">
        <v>1413</v>
      </c>
      <c r="D337" s="11" t="s">
        <v>34</v>
      </c>
      <c r="E337" s="12" t="s">
        <v>178</v>
      </c>
      <c r="F337" s="10">
        <f>+YEAR(Tabla2[[#This Row],[Cosecha]])</f>
        <v>2024</v>
      </c>
      <c r="G337" s="11" t="s">
        <v>97</v>
      </c>
      <c r="H337" s="91">
        <f t="shared" si="14"/>
        <v>9</v>
      </c>
      <c r="I337" s="10" t="s">
        <v>18</v>
      </c>
      <c r="J337" s="11" t="s">
        <v>118</v>
      </c>
      <c r="K337" s="88">
        <f t="shared" si="15"/>
        <v>10</v>
      </c>
      <c r="L337" s="11" t="s">
        <v>1414</v>
      </c>
      <c r="M337" s="11" t="s">
        <v>130</v>
      </c>
      <c r="N337" s="92" t="s">
        <v>21</v>
      </c>
    </row>
    <row r="338" spans="1:14" x14ac:dyDescent="0.35">
      <c r="A338" s="94" t="s">
        <v>1415</v>
      </c>
      <c r="B338" s="15" t="s">
        <v>13</v>
      </c>
      <c r="C338" s="16" t="s">
        <v>1416</v>
      </c>
      <c r="D338" s="16" t="s">
        <v>34</v>
      </c>
      <c r="E338" s="17" t="s">
        <v>35</v>
      </c>
      <c r="F338" s="15">
        <f>+YEAR(Tabla2[[#This Row],[Cosecha]])</f>
        <v>2024</v>
      </c>
      <c r="G338" s="16" t="s">
        <v>17</v>
      </c>
      <c r="H338" s="95">
        <f t="shared" si="14"/>
        <v>18</v>
      </c>
      <c r="I338" s="15" t="s">
        <v>18</v>
      </c>
      <c r="J338" s="16" t="s">
        <v>17</v>
      </c>
      <c r="K338" s="88">
        <f t="shared" si="15"/>
        <v>18</v>
      </c>
      <c r="L338" s="16" t="s">
        <v>1417</v>
      </c>
      <c r="M338" s="16" t="s">
        <v>39</v>
      </c>
      <c r="N338" s="96" t="s">
        <v>21</v>
      </c>
    </row>
    <row r="339" spans="1:14" x14ac:dyDescent="0.35">
      <c r="A339" s="90" t="s">
        <v>1418</v>
      </c>
      <c r="B339" s="10" t="s">
        <v>13</v>
      </c>
      <c r="C339" s="11" t="s">
        <v>1419</v>
      </c>
      <c r="D339" s="11" t="s">
        <v>363</v>
      </c>
      <c r="E339" s="12" t="s">
        <v>793</v>
      </c>
      <c r="F339" s="10">
        <f>+YEAR(Tabla2[[#This Row],[Cosecha]])</f>
        <v>2023</v>
      </c>
      <c r="G339" s="11" t="s">
        <v>104</v>
      </c>
      <c r="H339" s="91">
        <f t="shared" si="14"/>
        <v>26</v>
      </c>
      <c r="I339" s="10" t="s">
        <v>18</v>
      </c>
      <c r="J339" s="11" t="s">
        <v>104</v>
      </c>
      <c r="K339" s="88">
        <f t="shared" si="15"/>
        <v>26</v>
      </c>
      <c r="L339" s="11" t="s">
        <v>1420</v>
      </c>
      <c r="M339" s="11" t="s">
        <v>20</v>
      </c>
      <c r="N339" s="92" t="s">
        <v>21</v>
      </c>
    </row>
    <row r="340" spans="1:14" x14ac:dyDescent="0.35">
      <c r="A340" s="94" t="s">
        <v>1424</v>
      </c>
      <c r="B340" s="15" t="s">
        <v>13</v>
      </c>
      <c r="C340" s="16" t="s">
        <v>1425</v>
      </c>
      <c r="D340" s="16" t="s">
        <v>15</v>
      </c>
      <c r="E340" s="17" t="s">
        <v>104</v>
      </c>
      <c r="F340" s="15">
        <f>+YEAR(Tabla2[[#This Row],[Cosecha]])</f>
        <v>2025</v>
      </c>
      <c r="G340" s="16" t="s">
        <v>30</v>
      </c>
      <c r="H340" s="95">
        <f t="shared" si="14"/>
        <v>10</v>
      </c>
      <c r="I340" s="15" t="s">
        <v>18</v>
      </c>
      <c r="J340" s="16" t="s">
        <v>30</v>
      </c>
      <c r="K340" s="88">
        <f t="shared" si="15"/>
        <v>10</v>
      </c>
      <c r="L340" s="16" t="s">
        <v>1426</v>
      </c>
      <c r="M340" s="16" t="s">
        <v>25</v>
      </c>
      <c r="N340" s="96" t="s">
        <v>21</v>
      </c>
    </row>
    <row r="341" spans="1:14" x14ac:dyDescent="0.35">
      <c r="A341" s="90" t="s">
        <v>1427</v>
      </c>
      <c r="B341" s="10" t="s">
        <v>13</v>
      </c>
      <c r="C341" s="11" t="s">
        <v>1428</v>
      </c>
      <c r="D341" s="11" t="s">
        <v>15</v>
      </c>
      <c r="E341" s="12" t="s">
        <v>133</v>
      </c>
      <c r="F341" s="10">
        <f>+YEAR(Tabla2[[#This Row],[Cosecha]])</f>
        <v>2025</v>
      </c>
      <c r="G341" s="11" t="s">
        <v>52</v>
      </c>
      <c r="H341" s="91">
        <f t="shared" si="14"/>
        <v>10</v>
      </c>
      <c r="I341" s="10" t="s">
        <v>18</v>
      </c>
      <c r="J341" s="11" t="s">
        <v>52</v>
      </c>
      <c r="K341" s="88">
        <f t="shared" si="15"/>
        <v>10</v>
      </c>
      <c r="L341" s="11" t="s">
        <v>1429</v>
      </c>
      <c r="M341" s="11" t="s">
        <v>25</v>
      </c>
      <c r="N341" s="92" t="s">
        <v>21</v>
      </c>
    </row>
    <row r="342" spans="1:14" x14ac:dyDescent="0.35">
      <c r="A342" s="94" t="s">
        <v>1433</v>
      </c>
      <c r="B342" s="15" t="s">
        <v>13</v>
      </c>
      <c r="C342" s="16" t="s">
        <v>1434</v>
      </c>
      <c r="D342" s="16" t="s">
        <v>78</v>
      </c>
      <c r="E342" s="17" t="s">
        <v>497</v>
      </c>
      <c r="F342" s="15">
        <f>+YEAR(Tabla2[[#This Row],[Cosecha]])</f>
        <v>2024</v>
      </c>
      <c r="G342" s="16" t="s">
        <v>23</v>
      </c>
      <c r="H342" s="95">
        <f t="shared" si="14"/>
        <v>17</v>
      </c>
      <c r="I342" s="15" t="s">
        <v>18</v>
      </c>
      <c r="J342" s="16" t="s">
        <v>30</v>
      </c>
      <c r="K342" s="88">
        <f t="shared" si="15"/>
        <v>19</v>
      </c>
      <c r="L342" s="16" t="s">
        <v>1435</v>
      </c>
      <c r="M342" s="16" t="s">
        <v>25</v>
      </c>
      <c r="N342" s="96" t="s">
        <v>21</v>
      </c>
    </row>
    <row r="343" spans="1:14" x14ac:dyDescent="0.35">
      <c r="A343" s="90" t="s">
        <v>1436</v>
      </c>
      <c r="B343" s="10" t="s">
        <v>13</v>
      </c>
      <c r="C343" s="11" t="s">
        <v>1437</v>
      </c>
      <c r="D343" s="11" t="s">
        <v>34</v>
      </c>
      <c r="E343" s="12" t="s">
        <v>97</v>
      </c>
      <c r="F343" s="10">
        <f>+YEAR(Tabla2[[#This Row],[Cosecha]])</f>
        <v>2025</v>
      </c>
      <c r="G343" s="11" t="s">
        <v>36</v>
      </c>
      <c r="H343" s="91">
        <f t="shared" si="14"/>
        <v>2</v>
      </c>
      <c r="I343" s="10" t="s">
        <v>18</v>
      </c>
      <c r="J343" s="11" t="s">
        <v>36</v>
      </c>
      <c r="K343" s="88">
        <f t="shared" si="15"/>
        <v>2</v>
      </c>
      <c r="L343" s="11" t="s">
        <v>1438</v>
      </c>
      <c r="M343" s="11" t="s">
        <v>44</v>
      </c>
      <c r="N343" s="92" t="s">
        <v>21</v>
      </c>
    </row>
    <row r="344" spans="1:14" x14ac:dyDescent="0.35">
      <c r="A344" s="94" t="s">
        <v>1439</v>
      </c>
      <c r="B344" s="15" t="s">
        <v>13</v>
      </c>
      <c r="C344" s="16" t="s">
        <v>1440</v>
      </c>
      <c r="D344" s="16" t="s">
        <v>34</v>
      </c>
      <c r="E344" s="17" t="s">
        <v>497</v>
      </c>
      <c r="F344" s="15">
        <f>+YEAR(Tabla2[[#This Row],[Cosecha]])</f>
        <v>2024</v>
      </c>
      <c r="G344" s="16" t="s">
        <v>66</v>
      </c>
      <c r="H344" s="95">
        <f t="shared" si="14"/>
        <v>5</v>
      </c>
      <c r="I344" s="15" t="s">
        <v>18</v>
      </c>
      <c r="J344" s="16" t="s">
        <v>66</v>
      </c>
      <c r="K344" s="88">
        <f t="shared" si="15"/>
        <v>5</v>
      </c>
      <c r="L344" s="16" t="s">
        <v>1441</v>
      </c>
      <c r="M344" s="16" t="s">
        <v>130</v>
      </c>
      <c r="N344" s="96" t="s">
        <v>26</v>
      </c>
    </row>
    <row r="345" spans="1:14" x14ac:dyDescent="0.35">
      <c r="A345" s="90" t="s">
        <v>1442</v>
      </c>
      <c r="B345" s="10" t="s">
        <v>13</v>
      </c>
      <c r="C345" s="11" t="s">
        <v>1443</v>
      </c>
      <c r="D345" s="11" t="s">
        <v>34</v>
      </c>
      <c r="E345" s="12" t="s">
        <v>133</v>
      </c>
      <c r="F345" s="10">
        <f>+YEAR(Tabla2[[#This Row],[Cosecha]])</f>
        <v>2025</v>
      </c>
      <c r="G345" s="11" t="s">
        <v>97</v>
      </c>
      <c r="H345" s="91">
        <f t="shared" si="14"/>
        <v>4</v>
      </c>
      <c r="I345" s="10" t="s">
        <v>18</v>
      </c>
      <c r="J345" s="11" t="s">
        <v>97</v>
      </c>
      <c r="K345" s="88">
        <f t="shared" si="15"/>
        <v>4</v>
      </c>
      <c r="L345" s="11" t="s">
        <v>1444</v>
      </c>
      <c r="M345" s="11" t="s">
        <v>44</v>
      </c>
      <c r="N345" s="92" t="s">
        <v>26</v>
      </c>
    </row>
    <row r="346" spans="1:14" x14ac:dyDescent="0.35">
      <c r="A346" s="94" t="s">
        <v>1445</v>
      </c>
      <c r="B346" s="15" t="s">
        <v>13</v>
      </c>
      <c r="C346" s="16" t="s">
        <v>1446</v>
      </c>
      <c r="D346" s="16" t="s">
        <v>34</v>
      </c>
      <c r="E346" s="17" t="s">
        <v>252</v>
      </c>
      <c r="F346" s="15">
        <f>+YEAR(Tabla2[[#This Row],[Cosecha]])</f>
        <v>2024</v>
      </c>
      <c r="G346" s="16" t="s">
        <v>133</v>
      </c>
      <c r="H346" s="95">
        <f t="shared" si="14"/>
        <v>9</v>
      </c>
      <c r="I346" s="15" t="s">
        <v>18</v>
      </c>
      <c r="J346" s="16" t="s">
        <v>104</v>
      </c>
      <c r="K346" s="88">
        <f t="shared" si="15"/>
        <v>10</v>
      </c>
      <c r="L346" s="16" t="s">
        <v>1447</v>
      </c>
      <c r="M346" s="16" t="s">
        <v>25</v>
      </c>
      <c r="N346" s="96" t="s">
        <v>21</v>
      </c>
    </row>
    <row r="347" spans="1:14" x14ac:dyDescent="0.35">
      <c r="A347" s="90" t="s">
        <v>1448</v>
      </c>
      <c r="B347" s="10" t="s">
        <v>13</v>
      </c>
      <c r="C347" s="11" t="s">
        <v>1449</v>
      </c>
      <c r="D347" s="11" t="s">
        <v>34</v>
      </c>
      <c r="E347" s="12" t="s">
        <v>497</v>
      </c>
      <c r="F347" s="10">
        <f>+YEAR(Tabla2[[#This Row],[Cosecha]])</f>
        <v>2024</v>
      </c>
      <c r="G347" s="11" t="s">
        <v>47</v>
      </c>
      <c r="H347" s="91">
        <f t="shared" si="14"/>
        <v>7</v>
      </c>
      <c r="I347" s="10" t="s">
        <v>18</v>
      </c>
      <c r="J347" s="11" t="s">
        <v>47</v>
      </c>
      <c r="K347" s="88">
        <f t="shared" si="15"/>
        <v>7</v>
      </c>
      <c r="L347" s="11" t="s">
        <v>1450</v>
      </c>
      <c r="M347" s="11" t="s">
        <v>25</v>
      </c>
      <c r="N347" s="92" t="s">
        <v>21</v>
      </c>
    </row>
    <row r="348" spans="1:14" x14ac:dyDescent="0.35">
      <c r="A348" s="94" t="s">
        <v>1451</v>
      </c>
      <c r="B348" s="15" t="s">
        <v>13</v>
      </c>
      <c r="C348" s="16" t="s">
        <v>1452</v>
      </c>
      <c r="D348" s="16" t="s">
        <v>34</v>
      </c>
      <c r="E348" s="17" t="s">
        <v>97</v>
      </c>
      <c r="F348" s="15">
        <f>+YEAR(Tabla2[[#This Row],[Cosecha]])</f>
        <v>2025</v>
      </c>
      <c r="G348" s="16" t="s">
        <v>23</v>
      </c>
      <c r="H348" s="95">
        <f t="shared" si="14"/>
        <v>5</v>
      </c>
      <c r="I348" s="15" t="s">
        <v>18</v>
      </c>
      <c r="J348" s="16" t="s">
        <v>52</v>
      </c>
      <c r="K348" s="88">
        <f t="shared" si="15"/>
        <v>6</v>
      </c>
      <c r="L348" s="16" t="s">
        <v>1453</v>
      </c>
      <c r="M348" s="16" t="s">
        <v>115</v>
      </c>
      <c r="N348" s="96" t="s">
        <v>26</v>
      </c>
    </row>
    <row r="349" spans="1:14" x14ac:dyDescent="0.35">
      <c r="A349" s="90" t="s">
        <v>1454</v>
      </c>
      <c r="B349" s="10" t="s">
        <v>13</v>
      </c>
      <c r="C349" s="11" t="s">
        <v>1455</v>
      </c>
      <c r="D349" s="11" t="s">
        <v>78</v>
      </c>
      <c r="E349" s="12" t="s">
        <v>252</v>
      </c>
      <c r="F349" s="10">
        <f>+YEAR(Tabla2[[#This Row],[Cosecha]])</f>
        <v>2024</v>
      </c>
      <c r="G349" s="11" t="s">
        <v>17</v>
      </c>
      <c r="H349" s="91">
        <f t="shared" si="14"/>
        <v>21</v>
      </c>
      <c r="I349" s="10" t="s">
        <v>18</v>
      </c>
      <c r="J349" s="11" t="s">
        <v>17</v>
      </c>
      <c r="K349" s="88">
        <f t="shared" si="15"/>
        <v>21</v>
      </c>
      <c r="L349" s="11" t="s">
        <v>1456</v>
      </c>
      <c r="M349" s="11" t="s">
        <v>39</v>
      </c>
      <c r="N349" s="92" t="s">
        <v>21</v>
      </c>
    </row>
    <row r="350" spans="1:14" x14ac:dyDescent="0.35">
      <c r="A350" s="94" t="s">
        <v>1460</v>
      </c>
      <c r="B350" s="15" t="s">
        <v>13</v>
      </c>
      <c r="C350" s="16" t="s">
        <v>1461</v>
      </c>
      <c r="D350" s="16" t="s">
        <v>34</v>
      </c>
      <c r="E350" s="17" t="s">
        <v>497</v>
      </c>
      <c r="F350" s="15">
        <f>+YEAR(Tabla2[[#This Row],[Cosecha]])</f>
        <v>2024</v>
      </c>
      <c r="G350" s="16" t="s">
        <v>104</v>
      </c>
      <c r="H350" s="95">
        <f t="shared" si="14"/>
        <v>9</v>
      </c>
      <c r="I350" s="15" t="s">
        <v>18</v>
      </c>
      <c r="J350" s="16" t="s">
        <v>29</v>
      </c>
      <c r="K350" s="88">
        <f t="shared" si="15"/>
        <v>10</v>
      </c>
      <c r="L350" s="16" t="s">
        <v>1462</v>
      </c>
      <c r="M350" s="16" t="s">
        <v>25</v>
      </c>
      <c r="N350" s="96" t="s">
        <v>21</v>
      </c>
    </row>
    <row r="351" spans="1:14" x14ac:dyDescent="0.35">
      <c r="A351" s="90" t="s">
        <v>1463</v>
      </c>
      <c r="B351" s="10" t="s">
        <v>13</v>
      </c>
      <c r="C351" s="11" t="s">
        <v>1464</v>
      </c>
      <c r="D351" s="11" t="s">
        <v>34</v>
      </c>
      <c r="E351" s="12" t="s">
        <v>35</v>
      </c>
      <c r="F351" s="10">
        <f>+YEAR(Tabla2[[#This Row],[Cosecha]])</f>
        <v>2024</v>
      </c>
      <c r="G351" s="11" t="s">
        <v>29</v>
      </c>
      <c r="H351" s="91">
        <f t="shared" si="14"/>
        <v>8</v>
      </c>
      <c r="I351" s="10" t="s">
        <v>18</v>
      </c>
      <c r="J351" s="11" t="s">
        <v>29</v>
      </c>
      <c r="K351" s="88">
        <f t="shared" si="15"/>
        <v>8</v>
      </c>
      <c r="L351" s="11" t="s">
        <v>1465</v>
      </c>
      <c r="M351" s="11" t="s">
        <v>130</v>
      </c>
      <c r="N351" s="92" t="s">
        <v>26</v>
      </c>
    </row>
    <row r="352" spans="1:14" x14ac:dyDescent="0.35">
      <c r="A352" s="94" t="s">
        <v>1466</v>
      </c>
      <c r="B352" s="15" t="s">
        <v>13</v>
      </c>
      <c r="C352" s="16" t="s">
        <v>1467</v>
      </c>
      <c r="D352" s="16" t="s">
        <v>34</v>
      </c>
      <c r="E352" s="17" t="s">
        <v>244</v>
      </c>
      <c r="F352" s="15">
        <f>+YEAR(Tabla2[[#This Row],[Cosecha]])</f>
        <v>2024</v>
      </c>
      <c r="G352" s="16" t="s">
        <v>23</v>
      </c>
      <c r="H352" s="95">
        <f t="shared" si="14"/>
        <v>20</v>
      </c>
      <c r="I352" s="15" t="s">
        <v>18</v>
      </c>
      <c r="J352" s="16" t="s">
        <v>23</v>
      </c>
      <c r="K352" s="88">
        <f t="shared" si="15"/>
        <v>20</v>
      </c>
      <c r="L352" s="16" t="s">
        <v>1468</v>
      </c>
      <c r="M352" s="16" t="s">
        <v>25</v>
      </c>
      <c r="N352" s="96" t="s">
        <v>21</v>
      </c>
    </row>
    <row r="353" spans="1:14" x14ac:dyDescent="0.35">
      <c r="A353" s="90" t="s">
        <v>1469</v>
      </c>
      <c r="B353" s="10" t="s">
        <v>13</v>
      </c>
      <c r="C353" s="11" t="s">
        <v>1470</v>
      </c>
      <c r="D353" s="11" t="s">
        <v>34</v>
      </c>
      <c r="E353" s="12" t="s">
        <v>118</v>
      </c>
      <c r="F353" s="10">
        <f>+YEAR(Tabla2[[#This Row],[Cosecha]])</f>
        <v>2025</v>
      </c>
      <c r="G353" s="11" t="s">
        <v>113</v>
      </c>
      <c r="H353" s="91">
        <f t="shared" si="14"/>
        <v>3</v>
      </c>
      <c r="I353" s="10" t="s">
        <v>18</v>
      </c>
      <c r="J353" s="11" t="s">
        <v>52</v>
      </c>
      <c r="K353" s="88">
        <f t="shared" si="15"/>
        <v>5</v>
      </c>
      <c r="L353" s="11" t="s">
        <v>1471</v>
      </c>
      <c r="M353" s="11" t="s">
        <v>115</v>
      </c>
      <c r="N353" s="92" t="s">
        <v>21</v>
      </c>
    </row>
    <row r="354" spans="1:14" x14ac:dyDescent="0.35">
      <c r="A354" s="94" t="s">
        <v>1472</v>
      </c>
      <c r="B354" s="15" t="s">
        <v>13</v>
      </c>
      <c r="C354" s="16" t="s">
        <v>1473</v>
      </c>
      <c r="D354" s="16" t="s">
        <v>34</v>
      </c>
      <c r="E354" s="17" t="s">
        <v>62</v>
      </c>
      <c r="F354" s="15">
        <f>+YEAR(Tabla2[[#This Row],[Cosecha]])</f>
        <v>2025</v>
      </c>
      <c r="G354" s="16" t="s">
        <v>23</v>
      </c>
      <c r="H354" s="95">
        <f t="shared" si="14"/>
        <v>6</v>
      </c>
      <c r="I354" s="15" t="s">
        <v>18</v>
      </c>
      <c r="J354" s="16" t="s">
        <v>23</v>
      </c>
      <c r="K354" s="88">
        <f t="shared" si="15"/>
        <v>6</v>
      </c>
      <c r="L354" s="16" t="s">
        <v>1124</v>
      </c>
      <c r="M354" s="16" t="s">
        <v>115</v>
      </c>
      <c r="N354" s="96" t="s">
        <v>26</v>
      </c>
    </row>
    <row r="355" spans="1:14" x14ac:dyDescent="0.35">
      <c r="A355" s="90" t="s">
        <v>1474</v>
      </c>
      <c r="B355" s="10" t="s">
        <v>13</v>
      </c>
      <c r="C355" s="11" t="s">
        <v>1475</v>
      </c>
      <c r="D355" s="11" t="s">
        <v>34</v>
      </c>
      <c r="E355" s="12" t="s">
        <v>29</v>
      </c>
      <c r="F355" s="10">
        <f>+YEAR(Tabla2[[#This Row],[Cosecha]])</f>
        <v>2025</v>
      </c>
      <c r="G355" s="11" t="s">
        <v>30</v>
      </c>
      <c r="H355" s="91">
        <f t="shared" si="14"/>
        <v>9</v>
      </c>
      <c r="I355" s="10" t="s">
        <v>18</v>
      </c>
      <c r="J355" s="11" t="s">
        <v>30</v>
      </c>
      <c r="K355" s="88">
        <f t="shared" si="15"/>
        <v>9</v>
      </c>
      <c r="L355" s="11" t="s">
        <v>1476</v>
      </c>
      <c r="M355" s="11" t="s">
        <v>44</v>
      </c>
      <c r="N355" s="92" t="s">
        <v>21</v>
      </c>
    </row>
    <row r="356" spans="1:14" x14ac:dyDescent="0.35">
      <c r="A356" s="94" t="s">
        <v>1477</v>
      </c>
      <c r="B356" s="15" t="s">
        <v>13</v>
      </c>
      <c r="C356" s="16" t="s">
        <v>1478</v>
      </c>
      <c r="D356" s="16" t="s">
        <v>34</v>
      </c>
      <c r="E356" s="17" t="s">
        <v>457</v>
      </c>
      <c r="F356" s="15">
        <f>+YEAR(Tabla2[[#This Row],[Cosecha]])</f>
        <v>2024</v>
      </c>
      <c r="G356" s="16" t="s">
        <v>133</v>
      </c>
      <c r="H356" s="95">
        <f t="shared" si="14"/>
        <v>10</v>
      </c>
      <c r="I356" s="15" t="s">
        <v>18</v>
      </c>
      <c r="J356" s="16" t="s">
        <v>133</v>
      </c>
      <c r="K356" s="88">
        <f t="shared" si="15"/>
        <v>10</v>
      </c>
      <c r="L356" s="16" t="s">
        <v>1479</v>
      </c>
      <c r="M356" s="16" t="s">
        <v>25</v>
      </c>
      <c r="N356" s="96" t="s">
        <v>21</v>
      </c>
    </row>
    <row r="357" spans="1:14" x14ac:dyDescent="0.35">
      <c r="A357" s="90" t="s">
        <v>1480</v>
      </c>
      <c r="B357" s="10" t="s">
        <v>13</v>
      </c>
      <c r="C357" s="11" t="s">
        <v>1481</v>
      </c>
      <c r="D357" s="11" t="s">
        <v>34</v>
      </c>
      <c r="E357" s="12" t="s">
        <v>62</v>
      </c>
      <c r="F357" s="10">
        <f>+YEAR(Tabla2[[#This Row],[Cosecha]])</f>
        <v>2025</v>
      </c>
      <c r="G357" s="11" t="s">
        <v>118</v>
      </c>
      <c r="H357" s="91">
        <f t="shared" si="14"/>
        <v>2</v>
      </c>
      <c r="I357" s="10" t="s">
        <v>18</v>
      </c>
      <c r="J357" s="11" t="s">
        <v>118</v>
      </c>
      <c r="K357" s="88">
        <f t="shared" si="15"/>
        <v>2</v>
      </c>
      <c r="L357" s="11" t="s">
        <v>1399</v>
      </c>
      <c r="M357" s="11" t="s">
        <v>130</v>
      </c>
      <c r="N357" s="92" t="s">
        <v>21</v>
      </c>
    </row>
    <row r="358" spans="1:14" x14ac:dyDescent="0.35">
      <c r="A358" s="94" t="s">
        <v>1482</v>
      </c>
      <c r="B358" s="15" t="s">
        <v>13</v>
      </c>
      <c r="C358" s="16" t="s">
        <v>1483</v>
      </c>
      <c r="D358" s="16" t="s">
        <v>34</v>
      </c>
      <c r="E358" s="17" t="s">
        <v>47</v>
      </c>
      <c r="F358" s="15">
        <f>+YEAR(Tabla2[[#This Row],[Cosecha]])</f>
        <v>2025</v>
      </c>
      <c r="G358" s="16" t="s">
        <v>29</v>
      </c>
      <c r="H358" s="95">
        <f t="shared" si="14"/>
        <v>3</v>
      </c>
      <c r="I358" s="15" t="s">
        <v>18</v>
      </c>
      <c r="J358" s="16" t="s">
        <v>62</v>
      </c>
      <c r="K358" s="88">
        <f t="shared" si="15"/>
        <v>4</v>
      </c>
      <c r="L358" s="16" t="s">
        <v>1484</v>
      </c>
      <c r="M358" s="16" t="s">
        <v>130</v>
      </c>
      <c r="N358" s="96" t="s">
        <v>21</v>
      </c>
    </row>
    <row r="359" spans="1:14" x14ac:dyDescent="0.35">
      <c r="A359" s="90" t="s">
        <v>1488</v>
      </c>
      <c r="B359" s="10" t="s">
        <v>13</v>
      </c>
      <c r="C359" s="11" t="s">
        <v>1489</v>
      </c>
      <c r="D359" s="11" t="s">
        <v>34</v>
      </c>
      <c r="E359" s="12" t="s">
        <v>47</v>
      </c>
      <c r="F359" s="10">
        <f>+YEAR(Tabla2[[#This Row],[Cosecha]])</f>
        <v>2025</v>
      </c>
      <c r="G359" s="11" t="s">
        <v>70</v>
      </c>
      <c r="H359" s="91">
        <f t="shared" si="14"/>
        <v>14</v>
      </c>
      <c r="I359" s="10" t="s">
        <v>18</v>
      </c>
      <c r="J359" s="11" t="s">
        <v>70</v>
      </c>
      <c r="K359" s="88">
        <f t="shared" si="15"/>
        <v>14</v>
      </c>
      <c r="L359" s="11" t="s">
        <v>1490</v>
      </c>
      <c r="M359" s="11" t="s">
        <v>130</v>
      </c>
      <c r="N359" s="92" t="s">
        <v>21</v>
      </c>
    </row>
    <row r="360" spans="1:14" x14ac:dyDescent="0.35">
      <c r="A360" s="94" t="s">
        <v>1491</v>
      </c>
      <c r="B360" s="15" t="s">
        <v>13</v>
      </c>
      <c r="C360" s="16" t="s">
        <v>1492</v>
      </c>
      <c r="D360" s="16" t="s">
        <v>78</v>
      </c>
      <c r="E360" s="17" t="s">
        <v>453</v>
      </c>
      <c r="F360" s="15">
        <f>+YEAR(Tabla2[[#This Row],[Cosecha]])</f>
        <v>2024</v>
      </c>
      <c r="G360" s="16" t="s">
        <v>51</v>
      </c>
      <c r="H360" s="95">
        <f t="shared" si="14"/>
        <v>10</v>
      </c>
      <c r="I360" s="15" t="s">
        <v>18</v>
      </c>
      <c r="J360" s="16" t="s">
        <v>51</v>
      </c>
      <c r="K360" s="88">
        <f t="shared" si="15"/>
        <v>10</v>
      </c>
      <c r="L360" s="16" t="s">
        <v>1493</v>
      </c>
      <c r="M360" s="16" t="s">
        <v>25</v>
      </c>
      <c r="N360" s="96" t="s">
        <v>21</v>
      </c>
    </row>
    <row r="361" spans="1:14" x14ac:dyDescent="0.35">
      <c r="A361" s="90" t="s">
        <v>1494</v>
      </c>
      <c r="B361" s="10" t="s">
        <v>13</v>
      </c>
      <c r="C361" s="11" t="s">
        <v>1495</v>
      </c>
      <c r="D361" s="11" t="s">
        <v>34</v>
      </c>
      <c r="E361" s="12" t="s">
        <v>47</v>
      </c>
      <c r="F361" s="10">
        <f>+YEAR(Tabla2[[#This Row],[Cosecha]])</f>
        <v>2025</v>
      </c>
      <c r="G361" s="11" t="s">
        <v>97</v>
      </c>
      <c r="H361" s="91">
        <f t="shared" si="14"/>
        <v>5</v>
      </c>
      <c r="I361" s="10" t="s">
        <v>18</v>
      </c>
      <c r="J361" s="11" t="s">
        <v>97</v>
      </c>
      <c r="K361" s="88">
        <f t="shared" si="15"/>
        <v>5</v>
      </c>
      <c r="L361" s="11" t="s">
        <v>1496</v>
      </c>
      <c r="M361" s="11" t="s">
        <v>115</v>
      </c>
      <c r="N361" s="92" t="s">
        <v>21</v>
      </c>
    </row>
    <row r="362" spans="1:14" x14ac:dyDescent="0.35">
      <c r="A362" s="94" t="s">
        <v>1497</v>
      </c>
      <c r="B362" s="15" t="s">
        <v>13</v>
      </c>
      <c r="C362" s="16" t="s">
        <v>1498</v>
      </c>
      <c r="D362" s="16" t="s">
        <v>15</v>
      </c>
      <c r="E362" s="17" t="s">
        <v>37</v>
      </c>
      <c r="F362" s="15">
        <f>+YEAR(Tabla2[[#This Row],[Cosecha]])</f>
        <v>2025</v>
      </c>
      <c r="G362" s="16" t="s">
        <v>30</v>
      </c>
      <c r="H362" s="95">
        <f t="shared" si="14"/>
        <v>4</v>
      </c>
      <c r="I362" s="15" t="s">
        <v>18</v>
      </c>
      <c r="J362" s="16" t="s">
        <v>30</v>
      </c>
      <c r="K362" s="88">
        <f t="shared" si="15"/>
        <v>4</v>
      </c>
      <c r="L362" s="16" t="s">
        <v>1499</v>
      </c>
      <c r="M362" s="16" t="s">
        <v>25</v>
      </c>
      <c r="N362" s="96" t="s">
        <v>26</v>
      </c>
    </row>
    <row r="363" spans="1:14" x14ac:dyDescent="0.35">
      <c r="A363" s="90" t="s">
        <v>1500</v>
      </c>
      <c r="B363" s="10" t="s">
        <v>13</v>
      </c>
      <c r="C363" s="11" t="s">
        <v>1501</v>
      </c>
      <c r="D363" s="11" t="s">
        <v>15</v>
      </c>
      <c r="E363" s="12" t="s">
        <v>36</v>
      </c>
      <c r="F363" s="10">
        <f>+YEAR(Tabla2[[#This Row],[Cosecha]])</f>
        <v>2025</v>
      </c>
      <c r="G363" s="11" t="s">
        <v>23</v>
      </c>
      <c r="H363" s="91">
        <f t="shared" si="14"/>
        <v>3</v>
      </c>
      <c r="I363" s="10" t="s">
        <v>18</v>
      </c>
      <c r="J363" s="11" t="s">
        <v>23</v>
      </c>
      <c r="K363" s="88">
        <f t="shared" si="15"/>
        <v>3</v>
      </c>
      <c r="L363" s="11" t="s">
        <v>1502</v>
      </c>
      <c r="M363" s="11" t="s">
        <v>25</v>
      </c>
      <c r="N363" s="92" t="s">
        <v>21</v>
      </c>
    </row>
    <row r="364" spans="1:14" x14ac:dyDescent="0.35">
      <c r="A364" s="94" t="s">
        <v>1506</v>
      </c>
      <c r="B364" s="15" t="s">
        <v>13</v>
      </c>
      <c r="C364" s="16" t="s">
        <v>1507</v>
      </c>
      <c r="D364" s="16" t="s">
        <v>34</v>
      </c>
      <c r="E364" s="17" t="s">
        <v>1086</v>
      </c>
      <c r="F364" s="15">
        <f>+YEAR(Tabla2[[#This Row],[Cosecha]])</f>
        <v>2023</v>
      </c>
      <c r="G364" s="16" t="s">
        <v>104</v>
      </c>
      <c r="H364" s="95">
        <f t="shared" si="14"/>
        <v>21</v>
      </c>
      <c r="I364" s="15" t="s">
        <v>18</v>
      </c>
      <c r="J364" s="16" t="s">
        <v>104</v>
      </c>
      <c r="K364" s="88">
        <f t="shared" si="15"/>
        <v>21</v>
      </c>
      <c r="L364" s="16" t="s">
        <v>1508</v>
      </c>
      <c r="M364" s="16" t="s">
        <v>241</v>
      </c>
      <c r="N364" s="96" t="s">
        <v>21</v>
      </c>
    </row>
    <row r="365" spans="1:14" x14ac:dyDescent="0.35">
      <c r="A365" s="90" t="s">
        <v>1509</v>
      </c>
      <c r="B365" s="10" t="s">
        <v>13</v>
      </c>
      <c r="C365" s="11" t="s">
        <v>1510</v>
      </c>
      <c r="D365" s="11" t="s">
        <v>78</v>
      </c>
      <c r="E365" s="12" t="s">
        <v>1511</v>
      </c>
      <c r="F365" s="10">
        <f>+YEAR(Tabla2[[#This Row],[Cosecha]])</f>
        <v>2022</v>
      </c>
      <c r="G365" s="11" t="s">
        <v>66</v>
      </c>
      <c r="H365" s="91">
        <f t="shared" si="14"/>
        <v>35</v>
      </c>
      <c r="I365" s="10" t="s">
        <v>18</v>
      </c>
      <c r="J365" s="11" t="s">
        <v>51</v>
      </c>
      <c r="K365" s="88">
        <f t="shared" si="15"/>
        <v>36</v>
      </c>
      <c r="L365" s="11" t="s">
        <v>1512</v>
      </c>
      <c r="M365" s="11" t="s">
        <v>25</v>
      </c>
      <c r="N365" s="92" t="s">
        <v>21</v>
      </c>
    </row>
    <row r="366" spans="1:14" x14ac:dyDescent="0.35">
      <c r="A366" s="94" t="s">
        <v>1513</v>
      </c>
      <c r="B366" s="15" t="s">
        <v>13</v>
      </c>
      <c r="C366" s="16" t="s">
        <v>1514</v>
      </c>
      <c r="D366" s="16" t="s">
        <v>34</v>
      </c>
      <c r="E366" s="17" t="s">
        <v>497</v>
      </c>
      <c r="F366" s="15">
        <f>+YEAR(Tabla2[[#This Row],[Cosecha]])</f>
        <v>2024</v>
      </c>
      <c r="G366" s="16" t="s">
        <v>133</v>
      </c>
      <c r="H366" s="95">
        <f t="shared" si="14"/>
        <v>8</v>
      </c>
      <c r="I366" s="15" t="s">
        <v>18</v>
      </c>
      <c r="J366" s="16" t="s">
        <v>133</v>
      </c>
      <c r="K366" s="88">
        <f t="shared" si="15"/>
        <v>8</v>
      </c>
      <c r="L366" s="16" t="s">
        <v>1515</v>
      </c>
      <c r="M366" s="16" t="s">
        <v>241</v>
      </c>
      <c r="N366" s="96" t="s">
        <v>21</v>
      </c>
    </row>
    <row r="367" spans="1:14" x14ac:dyDescent="0.35">
      <c r="A367" s="90" t="s">
        <v>1516</v>
      </c>
      <c r="B367" s="10" t="s">
        <v>13</v>
      </c>
      <c r="C367" s="11" t="s">
        <v>1517</v>
      </c>
      <c r="D367" s="11" t="s">
        <v>34</v>
      </c>
      <c r="E367" s="12" t="s">
        <v>62</v>
      </c>
      <c r="F367" s="10">
        <f>+YEAR(Tabla2[[#This Row],[Cosecha]])</f>
        <v>2025</v>
      </c>
      <c r="G367" s="11" t="s">
        <v>30</v>
      </c>
      <c r="H367" s="91">
        <f t="shared" si="14"/>
        <v>8</v>
      </c>
      <c r="I367" s="10" t="s">
        <v>18</v>
      </c>
      <c r="J367" s="11" t="s">
        <v>30</v>
      </c>
      <c r="K367" s="88">
        <f t="shared" si="15"/>
        <v>8</v>
      </c>
      <c r="L367" s="11" t="s">
        <v>1518</v>
      </c>
      <c r="M367" s="11" t="s">
        <v>44</v>
      </c>
      <c r="N367" s="92" t="s">
        <v>21</v>
      </c>
    </row>
    <row r="368" spans="1:14" x14ac:dyDescent="0.35">
      <c r="A368" s="94" t="s">
        <v>1519</v>
      </c>
      <c r="B368" s="15" t="s">
        <v>13</v>
      </c>
      <c r="C368" s="16" t="s">
        <v>1520</v>
      </c>
      <c r="D368" s="16" t="s">
        <v>34</v>
      </c>
      <c r="E368" s="17" t="s">
        <v>36</v>
      </c>
      <c r="F368" s="15">
        <f>+YEAR(Tabla2[[#This Row],[Cosecha]])</f>
        <v>2025</v>
      </c>
      <c r="G368" s="16" t="s">
        <v>30</v>
      </c>
      <c r="H368" s="95">
        <f t="shared" si="14"/>
        <v>5</v>
      </c>
      <c r="I368" s="15" t="s">
        <v>18</v>
      </c>
      <c r="J368" s="16" t="s">
        <v>17</v>
      </c>
      <c r="K368" s="88">
        <f t="shared" si="15"/>
        <v>6</v>
      </c>
      <c r="L368" s="16" t="s">
        <v>1521</v>
      </c>
      <c r="M368" s="16" t="s">
        <v>115</v>
      </c>
      <c r="N368" s="96" t="s">
        <v>26</v>
      </c>
    </row>
    <row r="369" spans="1:14" x14ac:dyDescent="0.35">
      <c r="A369" s="90" t="s">
        <v>1525</v>
      </c>
      <c r="B369" s="10" t="s">
        <v>13</v>
      </c>
      <c r="C369" s="11" t="s">
        <v>1526</v>
      </c>
      <c r="D369" s="11" t="s">
        <v>34</v>
      </c>
      <c r="E369" s="12" t="s">
        <v>113</v>
      </c>
      <c r="F369" s="10">
        <f>+YEAR(Tabla2[[#This Row],[Cosecha]])</f>
        <v>2025</v>
      </c>
      <c r="G369" s="11" t="s">
        <v>17</v>
      </c>
      <c r="H369" s="91">
        <f t="shared" si="14"/>
        <v>4</v>
      </c>
      <c r="I369" s="10" t="s">
        <v>18</v>
      </c>
      <c r="J369" s="11" t="s">
        <v>70</v>
      </c>
      <c r="K369" s="88">
        <f t="shared" si="15"/>
        <v>5</v>
      </c>
      <c r="L369" s="11" t="s">
        <v>1527</v>
      </c>
      <c r="M369" s="11" t="s">
        <v>25</v>
      </c>
      <c r="N369" s="92" t="s">
        <v>21</v>
      </c>
    </row>
    <row r="370" spans="1:14" x14ac:dyDescent="0.35">
      <c r="A370" s="94" t="s">
        <v>1531</v>
      </c>
      <c r="B370" s="15" t="s">
        <v>13</v>
      </c>
      <c r="C370" s="16" t="s">
        <v>1532</v>
      </c>
      <c r="D370" s="16" t="s">
        <v>34</v>
      </c>
      <c r="E370" s="17" t="s">
        <v>47</v>
      </c>
      <c r="F370" s="15">
        <f>+YEAR(Tabla2[[#This Row],[Cosecha]])</f>
        <v>2025</v>
      </c>
      <c r="G370" s="16" t="s">
        <v>104</v>
      </c>
      <c r="H370" s="95">
        <f t="shared" si="14"/>
        <v>2</v>
      </c>
      <c r="I370" s="15" t="s">
        <v>18</v>
      </c>
      <c r="J370" s="16" t="s">
        <v>104</v>
      </c>
      <c r="K370" s="88">
        <f t="shared" si="15"/>
        <v>2</v>
      </c>
      <c r="L370" s="16" t="s">
        <v>1533</v>
      </c>
      <c r="M370" s="16" t="s">
        <v>130</v>
      </c>
      <c r="N370" s="96" t="s">
        <v>26</v>
      </c>
    </row>
    <row r="371" spans="1:14" x14ac:dyDescent="0.35">
      <c r="A371" s="90" t="s">
        <v>1537</v>
      </c>
      <c r="B371" s="10" t="s">
        <v>13</v>
      </c>
      <c r="C371" s="11" t="s">
        <v>1538</v>
      </c>
      <c r="D371" s="11" t="s">
        <v>34</v>
      </c>
      <c r="E371" s="12" t="s">
        <v>35</v>
      </c>
      <c r="F371" s="10">
        <f>+YEAR(Tabla2[[#This Row],[Cosecha]])</f>
        <v>2024</v>
      </c>
      <c r="G371" s="11" t="s">
        <v>23</v>
      </c>
      <c r="H371" s="91">
        <f t="shared" si="14"/>
        <v>15</v>
      </c>
      <c r="I371" s="10" t="s">
        <v>18</v>
      </c>
      <c r="J371" s="11" t="s">
        <v>52</v>
      </c>
      <c r="K371" s="88">
        <f t="shared" si="15"/>
        <v>16</v>
      </c>
      <c r="L371" s="11" t="s">
        <v>1539</v>
      </c>
      <c r="M371" s="11" t="s">
        <v>25</v>
      </c>
      <c r="N371" s="92" t="s">
        <v>21</v>
      </c>
    </row>
    <row r="372" spans="1:14" x14ac:dyDescent="0.35">
      <c r="A372" s="94" t="s">
        <v>1540</v>
      </c>
      <c r="B372" s="15" t="s">
        <v>13</v>
      </c>
      <c r="C372" s="16" t="s">
        <v>1541</v>
      </c>
      <c r="D372" s="16" t="s">
        <v>34</v>
      </c>
      <c r="E372" s="17" t="s">
        <v>178</v>
      </c>
      <c r="F372" s="15">
        <f>+YEAR(Tabla2[[#This Row],[Cosecha]])</f>
        <v>2024</v>
      </c>
      <c r="G372" s="16" t="s">
        <v>47</v>
      </c>
      <c r="H372" s="95">
        <f t="shared" si="14"/>
        <v>4</v>
      </c>
      <c r="I372" s="15" t="s">
        <v>18</v>
      </c>
      <c r="J372" s="16" t="s">
        <v>47</v>
      </c>
      <c r="K372" s="88">
        <f t="shared" si="15"/>
        <v>4</v>
      </c>
      <c r="L372" s="16" t="s">
        <v>1542</v>
      </c>
      <c r="M372" s="16" t="s">
        <v>130</v>
      </c>
      <c r="N372" s="96" t="s">
        <v>26</v>
      </c>
    </row>
    <row r="373" spans="1:14" x14ac:dyDescent="0.35">
      <c r="A373" s="90" t="s">
        <v>1543</v>
      </c>
      <c r="B373" s="10" t="s">
        <v>13</v>
      </c>
      <c r="C373" s="11" t="s">
        <v>1544</v>
      </c>
      <c r="D373" s="11" t="s">
        <v>34</v>
      </c>
      <c r="E373" s="12" t="s">
        <v>36</v>
      </c>
      <c r="F373" s="10">
        <f>+YEAR(Tabla2[[#This Row],[Cosecha]])</f>
        <v>2025</v>
      </c>
      <c r="G373" s="11" t="s">
        <v>70</v>
      </c>
      <c r="H373" s="91">
        <f t="shared" si="14"/>
        <v>7</v>
      </c>
      <c r="I373" s="10" t="s">
        <v>18</v>
      </c>
      <c r="J373" s="11" t="s">
        <v>70</v>
      </c>
      <c r="K373" s="88">
        <f t="shared" si="15"/>
        <v>7</v>
      </c>
      <c r="L373" s="11" t="s">
        <v>1545</v>
      </c>
      <c r="M373" s="11" t="s">
        <v>115</v>
      </c>
      <c r="N373" s="92" t="s">
        <v>21</v>
      </c>
    </row>
    <row r="374" spans="1:14" x14ac:dyDescent="0.35">
      <c r="A374" s="94" t="s">
        <v>1546</v>
      </c>
      <c r="B374" s="15" t="s">
        <v>13</v>
      </c>
      <c r="C374" s="16" t="s">
        <v>1547</v>
      </c>
      <c r="D374" s="16" t="s">
        <v>34</v>
      </c>
      <c r="E374" s="17" t="s">
        <v>51</v>
      </c>
      <c r="F374" s="15">
        <f>+YEAR(Tabla2[[#This Row],[Cosecha]])</f>
        <v>2025</v>
      </c>
      <c r="G374" s="16" t="s">
        <v>133</v>
      </c>
      <c r="H374" s="95">
        <f t="shared" si="14"/>
        <v>2</v>
      </c>
      <c r="I374" s="15" t="s">
        <v>18</v>
      </c>
      <c r="J374" s="16" t="s">
        <v>104</v>
      </c>
      <c r="K374" s="88">
        <f t="shared" si="15"/>
        <v>3</v>
      </c>
      <c r="L374" s="16" t="s">
        <v>1110</v>
      </c>
      <c r="M374" s="16" t="s">
        <v>44</v>
      </c>
      <c r="N374" s="96" t="s">
        <v>26</v>
      </c>
    </row>
    <row r="375" spans="1:14" x14ac:dyDescent="0.35">
      <c r="A375" s="90" t="s">
        <v>1548</v>
      </c>
      <c r="B375" s="10" t="s">
        <v>13</v>
      </c>
      <c r="C375" s="11" t="s">
        <v>1549</v>
      </c>
      <c r="D375" s="11" t="s">
        <v>34</v>
      </c>
      <c r="E375" s="12" t="s">
        <v>793</v>
      </c>
      <c r="F375" s="10">
        <f>+YEAR(Tabla2[[#This Row],[Cosecha]])</f>
        <v>2023</v>
      </c>
      <c r="G375" s="11" t="s">
        <v>133</v>
      </c>
      <c r="H375" s="91">
        <f t="shared" si="14"/>
        <v>25</v>
      </c>
      <c r="I375" s="10" t="s">
        <v>18</v>
      </c>
      <c r="J375" s="11" t="s">
        <v>133</v>
      </c>
      <c r="K375" s="88">
        <f t="shared" si="15"/>
        <v>25</v>
      </c>
      <c r="L375" s="11" t="s">
        <v>1550</v>
      </c>
      <c r="M375" s="11" t="s">
        <v>20</v>
      </c>
      <c r="N375" s="92" t="s">
        <v>21</v>
      </c>
    </row>
    <row r="376" spans="1:14" x14ac:dyDescent="0.35">
      <c r="A376" s="94" t="s">
        <v>1554</v>
      </c>
      <c r="B376" s="15" t="s">
        <v>13</v>
      </c>
      <c r="C376" s="16" t="s">
        <v>1555</v>
      </c>
      <c r="D376" s="16" t="s">
        <v>34</v>
      </c>
      <c r="E376" s="17" t="s">
        <v>82</v>
      </c>
      <c r="F376" s="15">
        <f>+YEAR(Tabla2[[#This Row],[Cosecha]])</f>
        <v>2024</v>
      </c>
      <c r="G376" s="16" t="s">
        <v>97</v>
      </c>
      <c r="H376" s="95">
        <f t="shared" si="14"/>
        <v>8</v>
      </c>
      <c r="I376" s="15" t="s">
        <v>18</v>
      </c>
      <c r="J376" s="16" t="s">
        <v>97</v>
      </c>
      <c r="K376" s="88">
        <f t="shared" si="15"/>
        <v>8</v>
      </c>
      <c r="L376" s="16" t="s">
        <v>1556</v>
      </c>
      <c r="M376" s="16" t="s">
        <v>130</v>
      </c>
      <c r="N376" s="96" t="s">
        <v>21</v>
      </c>
    </row>
    <row r="377" spans="1:14" x14ac:dyDescent="0.35">
      <c r="A377" s="90" t="s">
        <v>1557</v>
      </c>
      <c r="B377" s="10" t="s">
        <v>13</v>
      </c>
      <c r="C377" s="11" t="s">
        <v>1558</v>
      </c>
      <c r="D377" s="11" t="s">
        <v>34</v>
      </c>
      <c r="E377" s="12" t="s">
        <v>66</v>
      </c>
      <c r="F377" s="10">
        <f>+YEAR(Tabla2[[#This Row],[Cosecha]])</f>
        <v>2025</v>
      </c>
      <c r="G377" s="11" t="s">
        <v>47</v>
      </c>
      <c r="H377" s="91">
        <f t="shared" si="14"/>
        <v>2</v>
      </c>
      <c r="I377" s="10" t="s">
        <v>18</v>
      </c>
      <c r="J377" s="11" t="s">
        <v>47</v>
      </c>
      <c r="K377" s="88">
        <f t="shared" si="15"/>
        <v>2</v>
      </c>
      <c r="L377" s="11" t="s">
        <v>1559</v>
      </c>
      <c r="M377" s="11" t="s">
        <v>130</v>
      </c>
      <c r="N377" s="92" t="s">
        <v>26</v>
      </c>
    </row>
    <row r="378" spans="1:14" x14ac:dyDescent="0.35">
      <c r="A378" s="94" t="s">
        <v>1560</v>
      </c>
      <c r="B378" s="15" t="s">
        <v>13</v>
      </c>
      <c r="C378" s="16" t="s">
        <v>1561</v>
      </c>
      <c r="D378" s="16" t="s">
        <v>34</v>
      </c>
      <c r="E378" s="17" t="s">
        <v>47</v>
      </c>
      <c r="F378" s="15">
        <f>+YEAR(Tabla2[[#This Row],[Cosecha]])</f>
        <v>2025</v>
      </c>
      <c r="G378" s="16" t="s">
        <v>29</v>
      </c>
      <c r="H378" s="95">
        <f t="shared" si="14"/>
        <v>3</v>
      </c>
      <c r="I378" s="15" t="s">
        <v>18</v>
      </c>
      <c r="J378" s="16" t="s">
        <v>29</v>
      </c>
      <c r="K378" s="88">
        <f t="shared" si="15"/>
        <v>3</v>
      </c>
      <c r="L378" s="16" t="s">
        <v>1562</v>
      </c>
      <c r="M378" s="16" t="s">
        <v>44</v>
      </c>
      <c r="N378" s="96" t="s">
        <v>26</v>
      </c>
    </row>
    <row r="379" spans="1:14" x14ac:dyDescent="0.35">
      <c r="A379" s="90" t="s">
        <v>1563</v>
      </c>
      <c r="B379" s="10" t="s">
        <v>13</v>
      </c>
      <c r="C379" s="11" t="s">
        <v>1564</v>
      </c>
      <c r="D379" s="11" t="s">
        <v>363</v>
      </c>
      <c r="E379" s="12" t="s">
        <v>1086</v>
      </c>
      <c r="F379" s="10">
        <f>+YEAR(Tabla2[[#This Row],[Cosecha]])</f>
        <v>2023</v>
      </c>
      <c r="G379" s="11" t="s">
        <v>104</v>
      </c>
      <c r="H379" s="91">
        <f t="shared" si="14"/>
        <v>21</v>
      </c>
      <c r="I379" s="10" t="s">
        <v>18</v>
      </c>
      <c r="J379" s="11" t="s">
        <v>29</v>
      </c>
      <c r="K379" s="88">
        <f t="shared" si="15"/>
        <v>22</v>
      </c>
      <c r="L379" s="11" t="s">
        <v>1565</v>
      </c>
      <c r="M379" s="11" t="s">
        <v>25</v>
      </c>
      <c r="N379" s="92" t="s">
        <v>21</v>
      </c>
    </row>
    <row r="380" spans="1:14" x14ac:dyDescent="0.35">
      <c r="A380" s="94" t="s">
        <v>1566</v>
      </c>
      <c r="B380" s="15" t="s">
        <v>13</v>
      </c>
      <c r="C380" s="16" t="s">
        <v>1567</v>
      </c>
      <c r="D380" s="16" t="s">
        <v>34</v>
      </c>
      <c r="E380" s="17" t="s">
        <v>51</v>
      </c>
      <c r="F380" s="15">
        <f>+YEAR(Tabla2[[#This Row],[Cosecha]])</f>
        <v>2025</v>
      </c>
      <c r="G380" s="16" t="s">
        <v>104</v>
      </c>
      <c r="H380" s="95">
        <f t="shared" si="14"/>
        <v>3</v>
      </c>
      <c r="I380" s="15" t="s">
        <v>18</v>
      </c>
      <c r="J380" s="16" t="s">
        <v>29</v>
      </c>
      <c r="K380" s="88">
        <f t="shared" si="15"/>
        <v>4</v>
      </c>
      <c r="L380" s="16" t="s">
        <v>288</v>
      </c>
      <c r="M380" s="16" t="s">
        <v>130</v>
      </c>
      <c r="N380" s="96" t="s">
        <v>26</v>
      </c>
    </row>
    <row r="381" spans="1:14" x14ac:dyDescent="0.35">
      <c r="A381" s="90" t="s">
        <v>1571</v>
      </c>
      <c r="B381" s="10" t="s">
        <v>13</v>
      </c>
      <c r="C381" s="11" t="s">
        <v>1572</v>
      </c>
      <c r="D381" s="11" t="s">
        <v>34</v>
      </c>
      <c r="E381" s="12" t="s">
        <v>29</v>
      </c>
      <c r="F381" s="10">
        <f>+YEAR(Tabla2[[#This Row],[Cosecha]])</f>
        <v>2025</v>
      </c>
      <c r="G381" s="11" t="s">
        <v>97</v>
      </c>
      <c r="H381" s="91">
        <f t="shared" si="14"/>
        <v>2</v>
      </c>
      <c r="I381" s="10" t="s">
        <v>18</v>
      </c>
      <c r="J381" s="11" t="s">
        <v>118</v>
      </c>
      <c r="K381" s="88">
        <f t="shared" si="15"/>
        <v>3</v>
      </c>
      <c r="L381" s="11" t="s">
        <v>1573</v>
      </c>
      <c r="M381" s="11" t="s">
        <v>115</v>
      </c>
      <c r="N381" s="92" t="s">
        <v>26</v>
      </c>
    </row>
    <row r="382" spans="1:14" x14ac:dyDescent="0.35">
      <c r="A382" s="94" t="s">
        <v>1574</v>
      </c>
      <c r="B382" s="15" t="s">
        <v>13</v>
      </c>
      <c r="C382" s="16" t="s">
        <v>1575</v>
      </c>
      <c r="D382" s="16" t="s">
        <v>15</v>
      </c>
      <c r="E382" s="17" t="s">
        <v>36</v>
      </c>
      <c r="F382" s="15">
        <f>+YEAR(Tabla2[[#This Row],[Cosecha]])</f>
        <v>2025</v>
      </c>
      <c r="G382" s="16" t="s">
        <v>17</v>
      </c>
      <c r="H382" s="95">
        <f t="shared" si="14"/>
        <v>6</v>
      </c>
      <c r="I382" s="15" t="s">
        <v>18</v>
      </c>
      <c r="J382" s="16" t="s">
        <v>17</v>
      </c>
      <c r="K382" s="88">
        <f t="shared" si="15"/>
        <v>6</v>
      </c>
      <c r="L382" s="16" t="s">
        <v>1576</v>
      </c>
      <c r="M382" s="16" t="s">
        <v>25</v>
      </c>
      <c r="N382" s="96" t="s">
        <v>21</v>
      </c>
    </row>
    <row r="383" spans="1:14" x14ac:dyDescent="0.35">
      <c r="A383" s="90" t="s">
        <v>1577</v>
      </c>
      <c r="B383" s="10" t="s">
        <v>13</v>
      </c>
      <c r="C383" s="11" t="s">
        <v>1578</v>
      </c>
      <c r="D383" s="11" t="s">
        <v>78</v>
      </c>
      <c r="E383" s="12" t="s">
        <v>275</v>
      </c>
      <c r="F383" s="10">
        <f>+YEAR(Tabla2[[#This Row],[Cosecha]])</f>
        <v>2024</v>
      </c>
      <c r="G383" s="11" t="s">
        <v>113</v>
      </c>
      <c r="H383" s="91">
        <f t="shared" si="14"/>
        <v>21</v>
      </c>
      <c r="I383" s="10" t="s">
        <v>18</v>
      </c>
      <c r="J383" s="11" t="s">
        <v>23</v>
      </c>
      <c r="K383" s="88">
        <f t="shared" si="15"/>
        <v>22</v>
      </c>
      <c r="L383" s="11" t="s">
        <v>1579</v>
      </c>
      <c r="M383" s="11" t="s">
        <v>25</v>
      </c>
      <c r="N383" s="92" t="s">
        <v>21</v>
      </c>
    </row>
    <row r="384" spans="1:14" x14ac:dyDescent="0.35">
      <c r="A384" s="94" t="s">
        <v>1580</v>
      </c>
      <c r="B384" s="15" t="s">
        <v>13</v>
      </c>
      <c r="C384" s="16" t="s">
        <v>1581</v>
      </c>
      <c r="D384" s="16" t="s">
        <v>34</v>
      </c>
      <c r="E384" s="17" t="s">
        <v>37</v>
      </c>
      <c r="F384" s="15">
        <f>+YEAR(Tabla2[[#This Row],[Cosecha]])</f>
        <v>2025</v>
      </c>
      <c r="G384" s="16" t="s">
        <v>52</v>
      </c>
      <c r="H384" s="95">
        <f t="shared" si="14"/>
        <v>3</v>
      </c>
      <c r="I384" s="15" t="s">
        <v>18</v>
      </c>
      <c r="J384" s="16" t="s">
        <v>52</v>
      </c>
      <c r="K384" s="88">
        <f t="shared" si="15"/>
        <v>3</v>
      </c>
      <c r="L384" s="16" t="s">
        <v>1582</v>
      </c>
      <c r="M384" s="16" t="s">
        <v>44</v>
      </c>
      <c r="N384" s="96" t="s">
        <v>21</v>
      </c>
    </row>
    <row r="385" spans="1:14" x14ac:dyDescent="0.35">
      <c r="A385" s="90" t="s">
        <v>1583</v>
      </c>
      <c r="B385" s="10" t="s">
        <v>13</v>
      </c>
      <c r="C385" s="11" t="s">
        <v>1584</v>
      </c>
      <c r="D385" s="11" t="s">
        <v>15</v>
      </c>
      <c r="E385" s="12" t="s">
        <v>780</v>
      </c>
      <c r="F385" s="10">
        <f>+YEAR(Tabla2[[#This Row],[Cosecha]])</f>
        <v>2023</v>
      </c>
      <c r="G385" s="11" t="s">
        <v>47</v>
      </c>
      <c r="H385" s="91">
        <f t="shared" si="14"/>
        <v>15</v>
      </c>
      <c r="I385" s="10" t="s">
        <v>18</v>
      </c>
      <c r="J385" s="11" t="s">
        <v>47</v>
      </c>
      <c r="K385" s="88">
        <f t="shared" si="15"/>
        <v>15</v>
      </c>
      <c r="L385" s="11" t="s">
        <v>1585</v>
      </c>
      <c r="M385" s="11" t="s">
        <v>25</v>
      </c>
      <c r="N385" s="92" t="s">
        <v>21</v>
      </c>
    </row>
    <row r="386" spans="1:14" x14ac:dyDescent="0.35">
      <c r="A386" s="94" t="s">
        <v>1586</v>
      </c>
      <c r="B386" s="15" t="s">
        <v>13</v>
      </c>
      <c r="C386" s="16" t="s">
        <v>1587</v>
      </c>
      <c r="D386" s="16" t="s">
        <v>34</v>
      </c>
      <c r="E386" s="17" t="s">
        <v>66</v>
      </c>
      <c r="F386" s="15">
        <f>+YEAR(Tabla2[[#This Row],[Cosecha]])</f>
        <v>2025</v>
      </c>
      <c r="G386" s="16" t="s">
        <v>29</v>
      </c>
      <c r="H386" s="95">
        <f t="shared" ref="H386:H449" si="16">(YEAR(G386)-YEAR(E386))*12+(MONTH(G386)-MONTH(E386))</f>
        <v>5</v>
      </c>
      <c r="I386" s="15" t="s">
        <v>18</v>
      </c>
      <c r="J386" s="16" t="s">
        <v>29</v>
      </c>
      <c r="K386" s="88">
        <f t="shared" ref="K386:K449" si="17">(YEAR(J386)-YEAR(E386))*12+(MONTH(J386)-MONTH(E386))</f>
        <v>5</v>
      </c>
      <c r="L386" s="16" t="s">
        <v>1588</v>
      </c>
      <c r="M386" s="16" t="s">
        <v>44</v>
      </c>
      <c r="N386" s="96" t="s">
        <v>26</v>
      </c>
    </row>
    <row r="387" spans="1:14" x14ac:dyDescent="0.35">
      <c r="A387" s="90" t="s">
        <v>1589</v>
      </c>
      <c r="B387" s="10" t="s">
        <v>13</v>
      </c>
      <c r="C387" s="11" t="s">
        <v>1590</v>
      </c>
      <c r="D387" s="11" t="s">
        <v>15</v>
      </c>
      <c r="E387" s="12" t="s">
        <v>118</v>
      </c>
      <c r="F387" s="10">
        <f>+YEAR(Tabla2[[#This Row],[Cosecha]])</f>
        <v>2025</v>
      </c>
      <c r="G387" s="11" t="s">
        <v>30</v>
      </c>
      <c r="H387" s="91">
        <f t="shared" si="16"/>
        <v>6</v>
      </c>
      <c r="I387" s="10" t="s">
        <v>18</v>
      </c>
      <c r="J387" s="11" t="s">
        <v>30</v>
      </c>
      <c r="K387" s="88">
        <f t="shared" si="17"/>
        <v>6</v>
      </c>
      <c r="L387" s="11" t="s">
        <v>1591</v>
      </c>
      <c r="M387" s="11" t="s">
        <v>25</v>
      </c>
      <c r="N387" s="92" t="s">
        <v>26</v>
      </c>
    </row>
    <row r="388" spans="1:14" x14ac:dyDescent="0.35">
      <c r="A388" s="94" t="s">
        <v>1592</v>
      </c>
      <c r="B388" s="15" t="s">
        <v>13</v>
      </c>
      <c r="C388" s="16" t="s">
        <v>1593</v>
      </c>
      <c r="D388" s="16" t="s">
        <v>34</v>
      </c>
      <c r="E388" s="17" t="s">
        <v>178</v>
      </c>
      <c r="F388" s="15">
        <f>+YEAR(Tabla2[[#This Row],[Cosecha]])</f>
        <v>2024</v>
      </c>
      <c r="G388" s="16" t="s">
        <v>29</v>
      </c>
      <c r="H388" s="95">
        <f t="shared" si="16"/>
        <v>7</v>
      </c>
      <c r="I388" s="15" t="s">
        <v>18</v>
      </c>
      <c r="J388" s="16" t="s">
        <v>29</v>
      </c>
      <c r="K388" s="88">
        <f t="shared" si="17"/>
        <v>7</v>
      </c>
      <c r="L388" s="16" t="s">
        <v>1594</v>
      </c>
      <c r="M388" s="16" t="s">
        <v>130</v>
      </c>
      <c r="N388" s="96" t="s">
        <v>21</v>
      </c>
    </row>
    <row r="389" spans="1:14" x14ac:dyDescent="0.35">
      <c r="A389" s="90" t="s">
        <v>1598</v>
      </c>
      <c r="B389" s="10" t="s">
        <v>13</v>
      </c>
      <c r="C389" s="11" t="s">
        <v>1599</v>
      </c>
      <c r="D389" s="11" t="s">
        <v>34</v>
      </c>
      <c r="E389" s="12" t="s">
        <v>113</v>
      </c>
      <c r="F389" s="10">
        <f>+YEAR(Tabla2[[#This Row],[Cosecha]])</f>
        <v>2025</v>
      </c>
      <c r="G389" s="11" t="s">
        <v>17</v>
      </c>
      <c r="H389" s="91">
        <f t="shared" si="16"/>
        <v>4</v>
      </c>
      <c r="I389" s="10" t="s">
        <v>18</v>
      </c>
      <c r="J389" s="11" t="s">
        <v>17</v>
      </c>
      <c r="K389" s="88">
        <f t="shared" si="17"/>
        <v>4</v>
      </c>
      <c r="L389" s="11" t="s">
        <v>1600</v>
      </c>
      <c r="M389" s="11" t="s">
        <v>25</v>
      </c>
      <c r="N389" s="92" t="s">
        <v>26</v>
      </c>
    </row>
    <row r="390" spans="1:14" x14ac:dyDescent="0.35">
      <c r="A390" s="94" t="s">
        <v>1601</v>
      </c>
      <c r="B390" s="15" t="s">
        <v>13</v>
      </c>
      <c r="C390" s="16" t="s">
        <v>1602</v>
      </c>
      <c r="D390" s="16" t="s">
        <v>78</v>
      </c>
      <c r="E390" s="17" t="s">
        <v>1603</v>
      </c>
      <c r="F390" s="15">
        <f>+YEAR(Tabla2[[#This Row],[Cosecha]])</f>
        <v>2022</v>
      </c>
      <c r="G390" s="16" t="s">
        <v>37</v>
      </c>
      <c r="H390" s="95">
        <f t="shared" si="16"/>
        <v>36</v>
      </c>
      <c r="I390" s="15" t="s">
        <v>18</v>
      </c>
      <c r="J390" s="16" t="s">
        <v>23</v>
      </c>
      <c r="K390" s="88">
        <f t="shared" si="17"/>
        <v>38</v>
      </c>
      <c r="L390" s="16" t="s">
        <v>1604</v>
      </c>
      <c r="M390" s="16" t="s">
        <v>727</v>
      </c>
      <c r="N390" s="96" t="s">
        <v>21</v>
      </c>
    </row>
    <row r="391" spans="1:14" x14ac:dyDescent="0.35">
      <c r="A391" s="90" t="s">
        <v>1605</v>
      </c>
      <c r="B391" s="10" t="s">
        <v>13</v>
      </c>
      <c r="C391" s="11" t="s">
        <v>1606</v>
      </c>
      <c r="D391" s="11" t="s">
        <v>90</v>
      </c>
      <c r="E391" s="12" t="s">
        <v>36</v>
      </c>
      <c r="F391" s="10">
        <f>+YEAR(Tabla2[[#This Row],[Cosecha]])</f>
        <v>2025</v>
      </c>
      <c r="G391" s="11" t="s">
        <v>113</v>
      </c>
      <c r="H391" s="91">
        <f t="shared" si="16"/>
        <v>2</v>
      </c>
      <c r="I391" s="10" t="s">
        <v>18</v>
      </c>
      <c r="J391" s="11" t="s">
        <v>52</v>
      </c>
      <c r="K391" s="88">
        <f t="shared" si="17"/>
        <v>4</v>
      </c>
      <c r="L391" s="11" t="s">
        <v>1607</v>
      </c>
      <c r="M391" s="11" t="s">
        <v>39</v>
      </c>
      <c r="N391" s="92" t="s">
        <v>21</v>
      </c>
    </row>
    <row r="392" spans="1:14" x14ac:dyDescent="0.35">
      <c r="A392" s="94" t="s">
        <v>1608</v>
      </c>
      <c r="B392" s="15" t="s">
        <v>13</v>
      </c>
      <c r="C392" s="16" t="s">
        <v>1609</v>
      </c>
      <c r="D392" s="16" t="s">
        <v>34</v>
      </c>
      <c r="E392" s="17" t="s">
        <v>133</v>
      </c>
      <c r="F392" s="15">
        <f>+YEAR(Tabla2[[#This Row],[Cosecha]])</f>
        <v>2025</v>
      </c>
      <c r="G392" s="16" t="s">
        <v>30</v>
      </c>
      <c r="H392" s="95">
        <f t="shared" si="16"/>
        <v>11</v>
      </c>
      <c r="I392" s="15" t="s">
        <v>18</v>
      </c>
      <c r="J392" s="16" t="s">
        <v>70</v>
      </c>
      <c r="K392" s="88">
        <f t="shared" si="17"/>
        <v>13</v>
      </c>
      <c r="L392" s="16" t="s">
        <v>1610</v>
      </c>
      <c r="M392" s="16" t="s">
        <v>44</v>
      </c>
      <c r="N392" s="96" t="s">
        <v>21</v>
      </c>
    </row>
    <row r="393" spans="1:14" x14ac:dyDescent="0.35">
      <c r="A393" s="90" t="s">
        <v>1614</v>
      </c>
      <c r="B393" s="10" t="s">
        <v>13</v>
      </c>
      <c r="C393" s="11" t="s">
        <v>1615</v>
      </c>
      <c r="D393" s="11" t="s">
        <v>34</v>
      </c>
      <c r="E393" s="12" t="s">
        <v>47</v>
      </c>
      <c r="F393" s="10">
        <f>+YEAR(Tabla2[[#This Row],[Cosecha]])</f>
        <v>2025</v>
      </c>
      <c r="G393" s="11" t="s">
        <v>30</v>
      </c>
      <c r="H393" s="91">
        <f t="shared" si="16"/>
        <v>12</v>
      </c>
      <c r="I393" s="10" t="s">
        <v>18</v>
      </c>
      <c r="J393" s="11" t="s">
        <v>30</v>
      </c>
      <c r="K393" s="88">
        <f t="shared" si="17"/>
        <v>12</v>
      </c>
      <c r="L393" s="11" t="s">
        <v>1616</v>
      </c>
      <c r="M393" s="11" t="s">
        <v>130</v>
      </c>
      <c r="N393" s="92" t="s">
        <v>21</v>
      </c>
    </row>
    <row r="394" spans="1:14" x14ac:dyDescent="0.35">
      <c r="A394" s="94" t="s">
        <v>1617</v>
      </c>
      <c r="B394" s="15" t="s">
        <v>13</v>
      </c>
      <c r="C394" s="16" t="s">
        <v>1618</v>
      </c>
      <c r="D394" s="16" t="s">
        <v>15</v>
      </c>
      <c r="E394" s="17" t="s">
        <v>118</v>
      </c>
      <c r="F394" s="15">
        <f>+YEAR(Tabla2[[#This Row],[Cosecha]])</f>
        <v>2025</v>
      </c>
      <c r="G394" s="16" t="s">
        <v>30</v>
      </c>
      <c r="H394" s="95">
        <f t="shared" si="16"/>
        <v>6</v>
      </c>
      <c r="I394" s="15" t="s">
        <v>18</v>
      </c>
      <c r="J394" s="16" t="s">
        <v>30</v>
      </c>
      <c r="K394" s="88">
        <f t="shared" si="17"/>
        <v>6</v>
      </c>
      <c r="L394" s="16" t="s">
        <v>1619</v>
      </c>
      <c r="M394" s="16" t="s">
        <v>25</v>
      </c>
      <c r="N394" s="96" t="s">
        <v>26</v>
      </c>
    </row>
    <row r="395" spans="1:14" x14ac:dyDescent="0.35">
      <c r="A395" s="90" t="s">
        <v>1626</v>
      </c>
      <c r="B395" s="10" t="s">
        <v>13</v>
      </c>
      <c r="C395" s="11" t="s">
        <v>1627</v>
      </c>
      <c r="D395" s="11" t="s">
        <v>34</v>
      </c>
      <c r="E395" s="12" t="s">
        <v>66</v>
      </c>
      <c r="F395" s="10">
        <f>+YEAR(Tabla2[[#This Row],[Cosecha]])</f>
        <v>2025</v>
      </c>
      <c r="G395" s="11" t="s">
        <v>118</v>
      </c>
      <c r="H395" s="91">
        <f t="shared" si="16"/>
        <v>8</v>
      </c>
      <c r="I395" s="10" t="s">
        <v>18</v>
      </c>
      <c r="J395" s="11" t="s">
        <v>118</v>
      </c>
      <c r="K395" s="88">
        <f t="shared" si="17"/>
        <v>8</v>
      </c>
      <c r="L395" s="11" t="s">
        <v>1628</v>
      </c>
      <c r="M395" s="11" t="s">
        <v>25</v>
      </c>
      <c r="N395" s="92" t="s">
        <v>21</v>
      </c>
    </row>
    <row r="396" spans="1:14" x14ac:dyDescent="0.35">
      <c r="A396" s="94" t="s">
        <v>1629</v>
      </c>
      <c r="B396" s="15" t="s">
        <v>13</v>
      </c>
      <c r="C396" s="16" t="s">
        <v>1630</v>
      </c>
      <c r="D396" s="16" t="s">
        <v>34</v>
      </c>
      <c r="E396" s="17" t="s">
        <v>36</v>
      </c>
      <c r="F396" s="15">
        <f>+YEAR(Tabla2[[#This Row],[Cosecha]])</f>
        <v>2025</v>
      </c>
      <c r="G396" s="16" t="s">
        <v>30</v>
      </c>
      <c r="H396" s="95">
        <f t="shared" si="16"/>
        <v>5</v>
      </c>
      <c r="I396" s="15" t="s">
        <v>18</v>
      </c>
      <c r="J396" s="16" t="s">
        <v>30</v>
      </c>
      <c r="K396" s="88">
        <f t="shared" si="17"/>
        <v>5</v>
      </c>
      <c r="L396" s="16" t="s">
        <v>1631</v>
      </c>
      <c r="M396" s="16" t="s">
        <v>115</v>
      </c>
      <c r="N396" s="96" t="s">
        <v>21</v>
      </c>
    </row>
    <row r="397" spans="1:14" x14ac:dyDescent="0.35">
      <c r="A397" s="90" t="s">
        <v>1635</v>
      </c>
      <c r="B397" s="10" t="s">
        <v>13</v>
      </c>
      <c r="C397" s="11" t="s">
        <v>1636</v>
      </c>
      <c r="D397" s="11" t="s">
        <v>15</v>
      </c>
      <c r="E397" s="12" t="s">
        <v>248</v>
      </c>
      <c r="F397" s="10">
        <f>+YEAR(Tabla2[[#This Row],[Cosecha]])</f>
        <v>2023</v>
      </c>
      <c r="G397" s="11" t="s">
        <v>30</v>
      </c>
      <c r="H397" s="91">
        <f t="shared" si="16"/>
        <v>28</v>
      </c>
      <c r="I397" s="10" t="s">
        <v>18</v>
      </c>
      <c r="J397" s="11" t="s">
        <v>30</v>
      </c>
      <c r="K397" s="88">
        <f t="shared" si="17"/>
        <v>28</v>
      </c>
      <c r="L397" s="11" t="s">
        <v>1637</v>
      </c>
      <c r="M397" s="11" t="s">
        <v>25</v>
      </c>
      <c r="N397" s="92" t="s">
        <v>21</v>
      </c>
    </row>
    <row r="398" spans="1:14" x14ac:dyDescent="0.35">
      <c r="A398" s="94" t="s">
        <v>1638</v>
      </c>
      <c r="B398" s="15" t="s">
        <v>13</v>
      </c>
      <c r="C398" s="16" t="s">
        <v>1639</v>
      </c>
      <c r="D398" s="16" t="s">
        <v>34</v>
      </c>
      <c r="E398" s="17" t="s">
        <v>37</v>
      </c>
      <c r="F398" s="15">
        <f>+YEAR(Tabla2[[#This Row],[Cosecha]])</f>
        <v>2025</v>
      </c>
      <c r="G398" s="16" t="s">
        <v>30</v>
      </c>
      <c r="H398" s="95">
        <f t="shared" si="16"/>
        <v>4</v>
      </c>
      <c r="I398" s="15" t="s">
        <v>18</v>
      </c>
      <c r="J398" s="16" t="s">
        <v>70</v>
      </c>
      <c r="K398" s="88">
        <f t="shared" si="17"/>
        <v>6</v>
      </c>
      <c r="L398" s="16" t="s">
        <v>1640</v>
      </c>
      <c r="M398" s="16" t="s">
        <v>72</v>
      </c>
      <c r="N398" s="96" t="s">
        <v>21</v>
      </c>
    </row>
    <row r="399" spans="1:14" x14ac:dyDescent="0.35">
      <c r="A399" s="90" t="s">
        <v>1641</v>
      </c>
      <c r="B399" s="10" t="s">
        <v>13</v>
      </c>
      <c r="C399" s="11" t="s">
        <v>1642</v>
      </c>
      <c r="D399" s="11" t="s">
        <v>34</v>
      </c>
      <c r="E399" s="12" t="s">
        <v>29</v>
      </c>
      <c r="F399" s="10">
        <f>+YEAR(Tabla2[[#This Row],[Cosecha]])</f>
        <v>2025</v>
      </c>
      <c r="G399" s="11" t="s">
        <v>30</v>
      </c>
      <c r="H399" s="91">
        <f t="shared" si="16"/>
        <v>9</v>
      </c>
      <c r="I399" s="10" t="s">
        <v>18</v>
      </c>
      <c r="J399" s="11" t="s">
        <v>30</v>
      </c>
      <c r="K399" s="88">
        <f t="shared" si="17"/>
        <v>9</v>
      </c>
      <c r="L399" s="11" t="s">
        <v>1643</v>
      </c>
      <c r="M399" s="11" t="s">
        <v>25</v>
      </c>
      <c r="N399" s="92" t="s">
        <v>21</v>
      </c>
    </row>
    <row r="400" spans="1:14" x14ac:dyDescent="0.35">
      <c r="A400" s="94" t="s">
        <v>1644</v>
      </c>
      <c r="B400" s="15" t="s">
        <v>13</v>
      </c>
      <c r="C400" s="16" t="s">
        <v>1645</v>
      </c>
      <c r="D400" s="16" t="s">
        <v>34</v>
      </c>
      <c r="E400" s="17" t="s">
        <v>149</v>
      </c>
      <c r="F400" s="15">
        <f>+YEAR(Tabla2[[#This Row],[Cosecha]])</f>
        <v>2024</v>
      </c>
      <c r="G400" s="16" t="s">
        <v>37</v>
      </c>
      <c r="H400" s="95">
        <f t="shared" si="16"/>
        <v>14</v>
      </c>
      <c r="I400" s="15" t="s">
        <v>18</v>
      </c>
      <c r="J400" s="16" t="s">
        <v>23</v>
      </c>
      <c r="K400" s="88">
        <f t="shared" si="17"/>
        <v>16</v>
      </c>
      <c r="L400" s="16" t="s">
        <v>1646</v>
      </c>
      <c r="M400" s="16" t="s">
        <v>115</v>
      </c>
      <c r="N400" s="96" t="s">
        <v>26</v>
      </c>
    </row>
    <row r="401" spans="1:14" x14ac:dyDescent="0.35">
      <c r="A401" s="90" t="s">
        <v>1647</v>
      </c>
      <c r="B401" s="10" t="s">
        <v>13</v>
      </c>
      <c r="C401" s="11" t="s">
        <v>1648</v>
      </c>
      <c r="D401" s="11" t="s">
        <v>34</v>
      </c>
      <c r="E401" s="12" t="s">
        <v>35</v>
      </c>
      <c r="F401" s="10">
        <f>+YEAR(Tabla2[[#This Row],[Cosecha]])</f>
        <v>2024</v>
      </c>
      <c r="G401" s="11" t="s">
        <v>52</v>
      </c>
      <c r="H401" s="91">
        <f t="shared" si="16"/>
        <v>16</v>
      </c>
      <c r="I401" s="10" t="s">
        <v>18</v>
      </c>
      <c r="J401" s="11" t="s">
        <v>52</v>
      </c>
      <c r="K401" s="88">
        <f t="shared" si="17"/>
        <v>16</v>
      </c>
      <c r="L401" s="11" t="s">
        <v>1649</v>
      </c>
      <c r="M401" s="11" t="s">
        <v>130</v>
      </c>
      <c r="N401" s="92" t="s">
        <v>21</v>
      </c>
    </row>
    <row r="402" spans="1:14" x14ac:dyDescent="0.35">
      <c r="A402" s="94" t="s">
        <v>1650</v>
      </c>
      <c r="B402" s="15" t="s">
        <v>13</v>
      </c>
      <c r="C402" s="16" t="s">
        <v>1651</v>
      </c>
      <c r="D402" s="16" t="s">
        <v>34</v>
      </c>
      <c r="E402" s="17" t="s">
        <v>97</v>
      </c>
      <c r="F402" s="15">
        <f>+YEAR(Tabla2[[#This Row],[Cosecha]])</f>
        <v>2025</v>
      </c>
      <c r="G402" s="16" t="s">
        <v>23</v>
      </c>
      <c r="H402" s="95">
        <f t="shared" si="16"/>
        <v>5</v>
      </c>
      <c r="I402" s="15" t="s">
        <v>18</v>
      </c>
      <c r="J402" s="16" t="s">
        <v>23</v>
      </c>
      <c r="K402" s="88">
        <f t="shared" si="17"/>
        <v>5</v>
      </c>
      <c r="L402" s="16" t="s">
        <v>1652</v>
      </c>
      <c r="M402" s="16" t="s">
        <v>44</v>
      </c>
      <c r="N402" s="96" t="s">
        <v>21</v>
      </c>
    </row>
    <row r="403" spans="1:14" x14ac:dyDescent="0.35">
      <c r="A403" s="90" t="s">
        <v>1653</v>
      </c>
      <c r="B403" s="10" t="s">
        <v>13</v>
      </c>
      <c r="C403" s="11" t="s">
        <v>1654</v>
      </c>
      <c r="D403" s="11" t="s">
        <v>34</v>
      </c>
      <c r="E403" s="12" t="s">
        <v>51</v>
      </c>
      <c r="F403" s="10">
        <f>+YEAR(Tabla2[[#This Row],[Cosecha]])</f>
        <v>2025</v>
      </c>
      <c r="G403" s="11" t="s">
        <v>133</v>
      </c>
      <c r="H403" s="91">
        <f t="shared" si="16"/>
        <v>2</v>
      </c>
      <c r="I403" s="10" t="s">
        <v>18</v>
      </c>
      <c r="J403" s="11" t="s">
        <v>104</v>
      </c>
      <c r="K403" s="88">
        <f t="shared" si="17"/>
        <v>3</v>
      </c>
      <c r="L403" s="11" t="s">
        <v>269</v>
      </c>
      <c r="M403" s="11" t="s">
        <v>44</v>
      </c>
      <c r="N403" s="92" t="s">
        <v>26</v>
      </c>
    </row>
    <row r="404" spans="1:14" x14ac:dyDescent="0.35">
      <c r="A404" s="94" t="s">
        <v>1655</v>
      </c>
      <c r="B404" s="15" t="s">
        <v>13</v>
      </c>
      <c r="C404" s="16" t="s">
        <v>1656</v>
      </c>
      <c r="D404" s="16" t="s">
        <v>90</v>
      </c>
      <c r="E404" s="17" t="s">
        <v>122</v>
      </c>
      <c r="F404" s="15">
        <f>+YEAR(Tabla2[[#This Row],[Cosecha]])</f>
        <v>2023</v>
      </c>
      <c r="G404" s="16" t="s">
        <v>52</v>
      </c>
      <c r="H404" s="95">
        <f t="shared" si="16"/>
        <v>29</v>
      </c>
      <c r="I404" s="15" t="s">
        <v>18</v>
      </c>
      <c r="J404" s="16" t="s">
        <v>52</v>
      </c>
      <c r="K404" s="88">
        <f t="shared" si="17"/>
        <v>29</v>
      </c>
      <c r="L404" s="16" t="s">
        <v>1657</v>
      </c>
      <c r="M404" s="16" t="s">
        <v>25</v>
      </c>
      <c r="N404" s="96" t="s">
        <v>21</v>
      </c>
    </row>
    <row r="405" spans="1:14" x14ac:dyDescent="0.35">
      <c r="A405" s="90" t="s">
        <v>1658</v>
      </c>
      <c r="B405" s="10" t="s">
        <v>13</v>
      </c>
      <c r="C405" s="11" t="s">
        <v>1659</v>
      </c>
      <c r="D405" s="11" t="s">
        <v>34</v>
      </c>
      <c r="E405" s="12" t="s">
        <v>62</v>
      </c>
      <c r="F405" s="10">
        <f>+YEAR(Tabla2[[#This Row],[Cosecha]])</f>
        <v>2025</v>
      </c>
      <c r="G405" s="11" t="s">
        <v>52</v>
      </c>
      <c r="H405" s="91">
        <f t="shared" si="16"/>
        <v>7</v>
      </c>
      <c r="I405" s="10" t="s">
        <v>18</v>
      </c>
      <c r="J405" s="11" t="s">
        <v>70</v>
      </c>
      <c r="K405" s="88">
        <f t="shared" si="17"/>
        <v>10</v>
      </c>
      <c r="L405" s="11" t="s">
        <v>1660</v>
      </c>
      <c r="M405" s="11" t="s">
        <v>130</v>
      </c>
      <c r="N405" s="92" t="s">
        <v>21</v>
      </c>
    </row>
    <row r="406" spans="1:14" x14ac:dyDescent="0.35">
      <c r="A406" s="94" t="s">
        <v>1670</v>
      </c>
      <c r="B406" s="15" t="s">
        <v>13</v>
      </c>
      <c r="C406" s="16" t="s">
        <v>1671</v>
      </c>
      <c r="D406" s="16" t="s">
        <v>34</v>
      </c>
      <c r="E406" s="17" t="s">
        <v>51</v>
      </c>
      <c r="F406" s="15">
        <f>+YEAR(Tabla2[[#This Row],[Cosecha]])</f>
        <v>2025</v>
      </c>
      <c r="G406" s="16" t="s">
        <v>70</v>
      </c>
      <c r="H406" s="95">
        <f t="shared" si="16"/>
        <v>15</v>
      </c>
      <c r="I406" s="15" t="s">
        <v>18</v>
      </c>
      <c r="J406" s="16" t="s">
        <v>70</v>
      </c>
      <c r="K406" s="88">
        <f t="shared" si="17"/>
        <v>15</v>
      </c>
      <c r="L406" s="16" t="s">
        <v>1672</v>
      </c>
      <c r="M406" s="16" t="s">
        <v>44</v>
      </c>
      <c r="N406" s="96" t="s">
        <v>21</v>
      </c>
    </row>
    <row r="407" spans="1:14" x14ac:dyDescent="0.35">
      <c r="A407" s="90" t="s">
        <v>1673</v>
      </c>
      <c r="B407" s="10" t="s">
        <v>13</v>
      </c>
      <c r="C407" s="11" t="s">
        <v>1674</v>
      </c>
      <c r="D407" s="11" t="s">
        <v>15</v>
      </c>
      <c r="E407" s="12" t="s">
        <v>82</v>
      </c>
      <c r="F407" s="10">
        <f>+YEAR(Tabla2[[#This Row],[Cosecha]])</f>
        <v>2024</v>
      </c>
      <c r="G407" s="11" t="s">
        <v>52</v>
      </c>
      <c r="H407" s="91">
        <f t="shared" si="16"/>
        <v>14</v>
      </c>
      <c r="I407" s="10" t="s">
        <v>18</v>
      </c>
      <c r="J407" s="11" t="s">
        <v>52</v>
      </c>
      <c r="K407" s="88">
        <f t="shared" si="17"/>
        <v>14</v>
      </c>
      <c r="L407" s="11" t="s">
        <v>1675</v>
      </c>
      <c r="M407" s="11" t="s">
        <v>25</v>
      </c>
      <c r="N407" s="92" t="s">
        <v>21</v>
      </c>
    </row>
    <row r="408" spans="1:14" x14ac:dyDescent="0.35">
      <c r="A408" s="94" t="s">
        <v>1676</v>
      </c>
      <c r="B408" s="15" t="s">
        <v>13</v>
      </c>
      <c r="C408" s="16" t="s">
        <v>1677</v>
      </c>
      <c r="D408" s="16" t="s">
        <v>34</v>
      </c>
      <c r="E408" s="17" t="s">
        <v>104</v>
      </c>
      <c r="F408" s="15">
        <f>+YEAR(Tabla2[[#This Row],[Cosecha]])</f>
        <v>2025</v>
      </c>
      <c r="G408" s="16" t="s">
        <v>17</v>
      </c>
      <c r="H408" s="95">
        <f t="shared" si="16"/>
        <v>11</v>
      </c>
      <c r="I408" s="15" t="s">
        <v>18</v>
      </c>
      <c r="J408" s="16" t="s">
        <v>17</v>
      </c>
      <c r="K408" s="88">
        <f t="shared" si="17"/>
        <v>11</v>
      </c>
      <c r="L408" s="16" t="s">
        <v>1678</v>
      </c>
      <c r="M408" s="16" t="s">
        <v>130</v>
      </c>
      <c r="N408" s="96" t="s">
        <v>21</v>
      </c>
    </row>
    <row r="409" spans="1:14" x14ac:dyDescent="0.35">
      <c r="A409" s="90" t="s">
        <v>1679</v>
      </c>
      <c r="B409" s="10" t="s">
        <v>13</v>
      </c>
      <c r="C409" s="11" t="s">
        <v>1680</v>
      </c>
      <c r="D409" s="11" t="s">
        <v>34</v>
      </c>
      <c r="E409" s="12" t="s">
        <v>36</v>
      </c>
      <c r="F409" s="10">
        <f>+YEAR(Tabla2[[#This Row],[Cosecha]])</f>
        <v>2025</v>
      </c>
      <c r="G409" s="11" t="s">
        <v>113</v>
      </c>
      <c r="H409" s="91">
        <f t="shared" si="16"/>
        <v>2</v>
      </c>
      <c r="I409" s="10" t="s">
        <v>18</v>
      </c>
      <c r="J409" s="11" t="s">
        <v>23</v>
      </c>
      <c r="K409" s="88">
        <f t="shared" si="17"/>
        <v>3</v>
      </c>
      <c r="L409" s="11" t="s">
        <v>1681</v>
      </c>
      <c r="M409" s="11" t="s">
        <v>44</v>
      </c>
      <c r="N409" s="92" t="s">
        <v>21</v>
      </c>
    </row>
    <row r="410" spans="1:14" x14ac:dyDescent="0.35">
      <c r="A410" s="94" t="s">
        <v>1691</v>
      </c>
      <c r="B410" s="15" t="s">
        <v>13</v>
      </c>
      <c r="C410" s="16" t="s">
        <v>1692</v>
      </c>
      <c r="D410" s="16" t="s">
        <v>34</v>
      </c>
      <c r="E410" s="17" t="s">
        <v>244</v>
      </c>
      <c r="F410" s="15">
        <f>+YEAR(Tabla2[[#This Row],[Cosecha]])</f>
        <v>2024</v>
      </c>
      <c r="G410" s="16" t="s">
        <v>30</v>
      </c>
      <c r="H410" s="95">
        <f t="shared" si="16"/>
        <v>22</v>
      </c>
      <c r="I410" s="15" t="s">
        <v>18</v>
      </c>
      <c r="J410" s="16" t="s">
        <v>30</v>
      </c>
      <c r="K410" s="88">
        <f t="shared" si="17"/>
        <v>22</v>
      </c>
      <c r="L410" s="16" t="s">
        <v>1693</v>
      </c>
      <c r="M410" s="16" t="s">
        <v>130</v>
      </c>
      <c r="N410" s="96" t="s">
        <v>21</v>
      </c>
    </row>
    <row r="411" spans="1:14" x14ac:dyDescent="0.35">
      <c r="A411" s="90" t="s">
        <v>1694</v>
      </c>
      <c r="B411" s="10" t="s">
        <v>13</v>
      </c>
      <c r="C411" s="11" t="s">
        <v>1695</v>
      </c>
      <c r="D411" s="11" t="s">
        <v>34</v>
      </c>
      <c r="E411" s="12" t="s">
        <v>149</v>
      </c>
      <c r="F411" s="10">
        <f>+YEAR(Tabla2[[#This Row],[Cosecha]])</f>
        <v>2024</v>
      </c>
      <c r="G411" s="11" t="s">
        <v>30</v>
      </c>
      <c r="H411" s="91">
        <f t="shared" si="16"/>
        <v>18</v>
      </c>
      <c r="I411" s="10" t="s">
        <v>18</v>
      </c>
      <c r="J411" s="11" t="s">
        <v>30</v>
      </c>
      <c r="K411" s="88">
        <f t="shared" si="17"/>
        <v>18</v>
      </c>
      <c r="L411" s="11" t="s">
        <v>1696</v>
      </c>
      <c r="M411" s="11" t="s">
        <v>39</v>
      </c>
      <c r="N411" s="92" t="s">
        <v>21</v>
      </c>
    </row>
    <row r="412" spans="1:14" x14ac:dyDescent="0.35">
      <c r="A412" s="94" t="s">
        <v>1697</v>
      </c>
      <c r="B412" s="15" t="s">
        <v>13</v>
      </c>
      <c r="C412" s="16" t="s">
        <v>1698</v>
      </c>
      <c r="D412" s="16" t="s">
        <v>34</v>
      </c>
      <c r="E412" s="17" t="s">
        <v>62</v>
      </c>
      <c r="F412" s="15">
        <f>+YEAR(Tabla2[[#This Row],[Cosecha]])</f>
        <v>2025</v>
      </c>
      <c r="G412" s="16" t="s">
        <v>37</v>
      </c>
      <c r="H412" s="95">
        <f t="shared" si="16"/>
        <v>4</v>
      </c>
      <c r="I412" s="15" t="s">
        <v>18</v>
      </c>
      <c r="J412" s="16" t="s">
        <v>37</v>
      </c>
      <c r="K412" s="88">
        <f t="shared" si="17"/>
        <v>4</v>
      </c>
      <c r="L412" s="16" t="s">
        <v>87</v>
      </c>
      <c r="M412" s="16" t="s">
        <v>44</v>
      </c>
      <c r="N412" s="96" t="s">
        <v>21</v>
      </c>
    </row>
    <row r="413" spans="1:14" x14ac:dyDescent="0.35">
      <c r="A413" s="90" t="s">
        <v>1699</v>
      </c>
      <c r="B413" s="10" t="s">
        <v>13</v>
      </c>
      <c r="C413" s="11" t="s">
        <v>1700</v>
      </c>
      <c r="D413" s="11" t="s">
        <v>34</v>
      </c>
      <c r="E413" s="12" t="s">
        <v>104</v>
      </c>
      <c r="F413" s="10">
        <f>+YEAR(Tabla2[[#This Row],[Cosecha]])</f>
        <v>2025</v>
      </c>
      <c r="G413" s="11" t="s">
        <v>30</v>
      </c>
      <c r="H413" s="91">
        <f t="shared" si="16"/>
        <v>10</v>
      </c>
      <c r="I413" s="10" t="s">
        <v>18</v>
      </c>
      <c r="J413" s="11" t="s">
        <v>30</v>
      </c>
      <c r="K413" s="88">
        <f t="shared" si="17"/>
        <v>10</v>
      </c>
      <c r="L413" s="11" t="s">
        <v>1701</v>
      </c>
      <c r="M413" s="11" t="s">
        <v>25</v>
      </c>
      <c r="N413" s="92" t="s">
        <v>26</v>
      </c>
    </row>
    <row r="414" spans="1:14" x14ac:dyDescent="0.35">
      <c r="A414" s="94" t="s">
        <v>1702</v>
      </c>
      <c r="B414" s="15" t="s">
        <v>13</v>
      </c>
      <c r="C414" s="16" t="s">
        <v>1703</v>
      </c>
      <c r="D414" s="16" t="s">
        <v>34</v>
      </c>
      <c r="E414" s="17" t="s">
        <v>165</v>
      </c>
      <c r="F414" s="15">
        <f>+YEAR(Tabla2[[#This Row],[Cosecha]])</f>
        <v>2024</v>
      </c>
      <c r="G414" s="16" t="s">
        <v>118</v>
      </c>
      <c r="H414" s="95">
        <f t="shared" si="16"/>
        <v>19</v>
      </c>
      <c r="I414" s="15" t="s">
        <v>18</v>
      </c>
      <c r="J414" s="16" t="s">
        <v>36</v>
      </c>
      <c r="K414" s="88">
        <f t="shared" si="17"/>
        <v>20</v>
      </c>
      <c r="L414" s="16" t="s">
        <v>1704</v>
      </c>
      <c r="M414" s="16" t="s">
        <v>130</v>
      </c>
      <c r="N414" s="96" t="s">
        <v>21</v>
      </c>
    </row>
    <row r="415" spans="1:14" x14ac:dyDescent="0.35">
      <c r="A415" s="90" t="s">
        <v>1705</v>
      </c>
      <c r="B415" s="10" t="s">
        <v>13</v>
      </c>
      <c r="C415" s="11" t="s">
        <v>1706</v>
      </c>
      <c r="D415" s="11" t="s">
        <v>34</v>
      </c>
      <c r="E415" s="12" t="s">
        <v>66</v>
      </c>
      <c r="F415" s="10">
        <f>+YEAR(Tabla2[[#This Row],[Cosecha]])</f>
        <v>2025</v>
      </c>
      <c r="G415" s="11" t="s">
        <v>29</v>
      </c>
      <c r="H415" s="91">
        <f t="shared" si="16"/>
        <v>5</v>
      </c>
      <c r="I415" s="10" t="s">
        <v>18</v>
      </c>
      <c r="J415" s="11" t="s">
        <v>62</v>
      </c>
      <c r="K415" s="88">
        <f t="shared" si="17"/>
        <v>6</v>
      </c>
      <c r="L415" s="11" t="s">
        <v>1707</v>
      </c>
      <c r="M415" s="11" t="s">
        <v>130</v>
      </c>
      <c r="N415" s="92" t="s">
        <v>26</v>
      </c>
    </row>
    <row r="416" spans="1:14" x14ac:dyDescent="0.35">
      <c r="A416" s="94" t="s">
        <v>1708</v>
      </c>
      <c r="B416" s="15" t="s">
        <v>13</v>
      </c>
      <c r="C416" s="16" t="s">
        <v>1709</v>
      </c>
      <c r="D416" s="16" t="s">
        <v>34</v>
      </c>
      <c r="E416" s="17" t="s">
        <v>149</v>
      </c>
      <c r="F416" s="15">
        <f>+YEAR(Tabla2[[#This Row],[Cosecha]])</f>
        <v>2024</v>
      </c>
      <c r="G416" s="16" t="s">
        <v>29</v>
      </c>
      <c r="H416" s="95">
        <f t="shared" si="16"/>
        <v>9</v>
      </c>
      <c r="I416" s="15" t="s">
        <v>18</v>
      </c>
      <c r="J416" s="16" t="s">
        <v>62</v>
      </c>
      <c r="K416" s="88">
        <f t="shared" si="17"/>
        <v>10</v>
      </c>
      <c r="L416" s="16" t="s">
        <v>1710</v>
      </c>
      <c r="M416" s="16" t="s">
        <v>115</v>
      </c>
      <c r="N416" s="96" t="s">
        <v>26</v>
      </c>
    </row>
    <row r="417" spans="1:14" x14ac:dyDescent="0.35">
      <c r="A417" s="90" t="s">
        <v>1714</v>
      </c>
      <c r="B417" s="10" t="s">
        <v>13</v>
      </c>
      <c r="C417" s="11" t="s">
        <v>1715</v>
      </c>
      <c r="D417" s="11" t="s">
        <v>90</v>
      </c>
      <c r="E417" s="12" t="s">
        <v>118</v>
      </c>
      <c r="F417" s="10">
        <f>+YEAR(Tabla2[[#This Row],[Cosecha]])</f>
        <v>2025</v>
      </c>
      <c r="G417" s="11" t="s">
        <v>23</v>
      </c>
      <c r="H417" s="91">
        <f t="shared" si="16"/>
        <v>4</v>
      </c>
      <c r="I417" s="10" t="s">
        <v>18</v>
      </c>
      <c r="J417" s="11" t="s">
        <v>23</v>
      </c>
      <c r="K417" s="88">
        <f t="shared" si="17"/>
        <v>4</v>
      </c>
      <c r="L417" s="11" t="s">
        <v>1716</v>
      </c>
      <c r="M417" s="11" t="s">
        <v>39</v>
      </c>
      <c r="N417" s="92" t="s">
        <v>26</v>
      </c>
    </row>
    <row r="418" spans="1:14" x14ac:dyDescent="0.35">
      <c r="A418" s="94" t="s">
        <v>1720</v>
      </c>
      <c r="B418" s="15" t="s">
        <v>13</v>
      </c>
      <c r="C418" s="16" t="s">
        <v>1721</v>
      </c>
      <c r="D418" s="16" t="s">
        <v>34</v>
      </c>
      <c r="E418" s="17" t="s">
        <v>29</v>
      </c>
      <c r="F418" s="15">
        <f>+YEAR(Tabla2[[#This Row],[Cosecha]])</f>
        <v>2025</v>
      </c>
      <c r="G418" s="16" t="s">
        <v>52</v>
      </c>
      <c r="H418" s="95">
        <f t="shared" si="16"/>
        <v>8</v>
      </c>
      <c r="I418" s="15" t="s">
        <v>18</v>
      </c>
      <c r="J418" s="16" t="s">
        <v>52</v>
      </c>
      <c r="K418" s="88">
        <f t="shared" si="17"/>
        <v>8</v>
      </c>
      <c r="L418" s="16" t="s">
        <v>1722</v>
      </c>
      <c r="M418" s="16" t="s">
        <v>115</v>
      </c>
      <c r="N418" s="96" t="s">
        <v>26</v>
      </c>
    </row>
    <row r="419" spans="1:14" x14ac:dyDescent="0.35">
      <c r="A419" s="90" t="s">
        <v>1723</v>
      </c>
      <c r="B419" s="10" t="s">
        <v>13</v>
      </c>
      <c r="C419" s="11" t="s">
        <v>1724</v>
      </c>
      <c r="D419" s="11" t="s">
        <v>34</v>
      </c>
      <c r="E419" s="12" t="s">
        <v>118</v>
      </c>
      <c r="F419" s="10">
        <f>+YEAR(Tabla2[[#This Row],[Cosecha]])</f>
        <v>2025</v>
      </c>
      <c r="G419" s="11" t="s">
        <v>30</v>
      </c>
      <c r="H419" s="91">
        <f t="shared" si="16"/>
        <v>6</v>
      </c>
      <c r="I419" s="10" t="s">
        <v>18</v>
      </c>
      <c r="J419" s="11" t="s">
        <v>30</v>
      </c>
      <c r="K419" s="88">
        <f t="shared" si="17"/>
        <v>6</v>
      </c>
      <c r="L419" s="11" t="s">
        <v>1725</v>
      </c>
      <c r="M419" s="11" t="s">
        <v>44</v>
      </c>
      <c r="N419" s="92" t="s">
        <v>21</v>
      </c>
    </row>
    <row r="420" spans="1:14" x14ac:dyDescent="0.35">
      <c r="A420" s="94" t="s">
        <v>1726</v>
      </c>
      <c r="B420" s="15" t="s">
        <v>13</v>
      </c>
      <c r="C420" s="16" t="s">
        <v>1727</v>
      </c>
      <c r="D420" s="16" t="s">
        <v>34</v>
      </c>
      <c r="E420" s="17" t="s">
        <v>37</v>
      </c>
      <c r="F420" s="15">
        <f>+YEAR(Tabla2[[#This Row],[Cosecha]])</f>
        <v>2025</v>
      </c>
      <c r="G420" s="16" t="s">
        <v>70</v>
      </c>
      <c r="H420" s="95">
        <f t="shared" si="16"/>
        <v>6</v>
      </c>
      <c r="I420" s="15" t="s">
        <v>18</v>
      </c>
      <c r="J420" s="16" t="s">
        <v>70</v>
      </c>
      <c r="K420" s="88">
        <f t="shared" si="17"/>
        <v>6</v>
      </c>
      <c r="L420" s="16" t="s">
        <v>1728</v>
      </c>
      <c r="M420" s="16" t="s">
        <v>44</v>
      </c>
      <c r="N420" s="96" t="s">
        <v>21</v>
      </c>
    </row>
    <row r="421" spans="1:14" x14ac:dyDescent="0.35">
      <c r="A421" s="90" t="s">
        <v>1729</v>
      </c>
      <c r="B421" s="10" t="s">
        <v>13</v>
      </c>
      <c r="C421" s="11" t="s">
        <v>1730</v>
      </c>
      <c r="D421" s="11" t="s">
        <v>34</v>
      </c>
      <c r="E421" s="12" t="s">
        <v>36</v>
      </c>
      <c r="F421" s="10">
        <f>+YEAR(Tabla2[[#This Row],[Cosecha]])</f>
        <v>2025</v>
      </c>
      <c r="G421" s="11" t="s">
        <v>113</v>
      </c>
      <c r="H421" s="91">
        <f t="shared" si="16"/>
        <v>2</v>
      </c>
      <c r="I421" s="10" t="s">
        <v>18</v>
      </c>
      <c r="J421" s="11" t="s">
        <v>23</v>
      </c>
      <c r="K421" s="88">
        <f t="shared" si="17"/>
        <v>3</v>
      </c>
      <c r="L421" s="11" t="s">
        <v>1731</v>
      </c>
      <c r="M421" s="11" t="s">
        <v>72</v>
      </c>
      <c r="N421" s="92" t="s">
        <v>21</v>
      </c>
    </row>
    <row r="422" spans="1:14" x14ac:dyDescent="0.35">
      <c r="A422" s="94" t="s">
        <v>1735</v>
      </c>
      <c r="B422" s="15" t="s">
        <v>13</v>
      </c>
      <c r="C422" s="16" t="s">
        <v>1736</v>
      </c>
      <c r="D422" s="16" t="s">
        <v>34</v>
      </c>
      <c r="E422" s="17" t="s">
        <v>248</v>
      </c>
      <c r="F422" s="15">
        <f>+YEAR(Tabla2[[#This Row],[Cosecha]])</f>
        <v>2023</v>
      </c>
      <c r="G422" s="16" t="s">
        <v>70</v>
      </c>
      <c r="H422" s="95">
        <f t="shared" si="16"/>
        <v>30</v>
      </c>
      <c r="I422" s="15" t="s">
        <v>18</v>
      </c>
      <c r="J422" s="16" t="s">
        <v>70</v>
      </c>
      <c r="K422" s="88">
        <f t="shared" si="17"/>
        <v>30</v>
      </c>
      <c r="L422" s="16" t="s">
        <v>1737</v>
      </c>
      <c r="M422" s="16" t="s">
        <v>25</v>
      </c>
      <c r="N422" s="96" t="s">
        <v>21</v>
      </c>
    </row>
    <row r="423" spans="1:14" x14ac:dyDescent="0.35">
      <c r="A423" s="90" t="s">
        <v>1738</v>
      </c>
      <c r="B423" s="10" t="s">
        <v>13</v>
      </c>
      <c r="C423" s="11" t="s">
        <v>1739</v>
      </c>
      <c r="D423" s="11" t="s">
        <v>90</v>
      </c>
      <c r="E423" s="12" t="s">
        <v>51</v>
      </c>
      <c r="F423" s="10">
        <f>+YEAR(Tabla2[[#This Row],[Cosecha]])</f>
        <v>2025</v>
      </c>
      <c r="G423" s="11" t="s">
        <v>118</v>
      </c>
      <c r="H423" s="91">
        <f t="shared" si="16"/>
        <v>7</v>
      </c>
      <c r="I423" s="10" t="s">
        <v>18</v>
      </c>
      <c r="J423" s="11" t="s">
        <v>36</v>
      </c>
      <c r="K423" s="88">
        <f t="shared" si="17"/>
        <v>8</v>
      </c>
      <c r="L423" s="11" t="s">
        <v>1740</v>
      </c>
      <c r="M423" s="11" t="s">
        <v>25</v>
      </c>
      <c r="N423" s="92" t="s">
        <v>21</v>
      </c>
    </row>
    <row r="424" spans="1:14" x14ac:dyDescent="0.35">
      <c r="A424" s="94" t="s">
        <v>1741</v>
      </c>
      <c r="B424" s="15" t="s">
        <v>13</v>
      </c>
      <c r="C424" s="16" t="s">
        <v>1742</v>
      </c>
      <c r="D424" s="16" t="s">
        <v>34</v>
      </c>
      <c r="E424" s="17" t="s">
        <v>37</v>
      </c>
      <c r="F424" s="15">
        <f>+YEAR(Tabla2[[#This Row],[Cosecha]])</f>
        <v>2025</v>
      </c>
      <c r="G424" s="16" t="s">
        <v>30</v>
      </c>
      <c r="H424" s="95">
        <f t="shared" si="16"/>
        <v>4</v>
      </c>
      <c r="I424" s="15" t="s">
        <v>18</v>
      </c>
      <c r="J424" s="16" t="s">
        <v>17</v>
      </c>
      <c r="K424" s="88">
        <f t="shared" si="17"/>
        <v>5</v>
      </c>
      <c r="L424" s="16" t="s">
        <v>1743</v>
      </c>
      <c r="M424" s="16" t="s">
        <v>72</v>
      </c>
      <c r="N424" s="96" t="s">
        <v>21</v>
      </c>
    </row>
    <row r="425" spans="1:14" x14ac:dyDescent="0.35">
      <c r="A425" s="90" t="s">
        <v>1747</v>
      </c>
      <c r="B425" s="10" t="s">
        <v>13</v>
      </c>
      <c r="C425" s="11" t="s">
        <v>1748</v>
      </c>
      <c r="D425" s="11" t="s">
        <v>34</v>
      </c>
      <c r="E425" s="12" t="s">
        <v>118</v>
      </c>
      <c r="F425" s="10">
        <f>+YEAR(Tabla2[[#This Row],[Cosecha]])</f>
        <v>2025</v>
      </c>
      <c r="G425" s="11" t="s">
        <v>113</v>
      </c>
      <c r="H425" s="91">
        <f t="shared" si="16"/>
        <v>3</v>
      </c>
      <c r="I425" s="10" t="s">
        <v>18</v>
      </c>
      <c r="J425" s="11" t="s">
        <v>17</v>
      </c>
      <c r="K425" s="88">
        <f t="shared" si="17"/>
        <v>7</v>
      </c>
      <c r="L425" s="11" t="s">
        <v>1749</v>
      </c>
      <c r="M425" s="11" t="s">
        <v>44</v>
      </c>
      <c r="N425" s="92" t="s">
        <v>21</v>
      </c>
    </row>
    <row r="426" spans="1:14" x14ac:dyDescent="0.35">
      <c r="A426" s="94" t="s">
        <v>1750</v>
      </c>
      <c r="B426" s="15" t="s">
        <v>13</v>
      </c>
      <c r="C426" s="16" t="s">
        <v>1751</v>
      </c>
      <c r="D426" s="16" t="s">
        <v>15</v>
      </c>
      <c r="E426" s="17" t="s">
        <v>29</v>
      </c>
      <c r="F426" s="15">
        <f>+YEAR(Tabla2[[#This Row],[Cosecha]])</f>
        <v>2025</v>
      </c>
      <c r="G426" s="16" t="s">
        <v>113</v>
      </c>
      <c r="H426" s="95">
        <f t="shared" si="16"/>
        <v>6</v>
      </c>
      <c r="I426" s="15" t="s">
        <v>18</v>
      </c>
      <c r="J426" s="16" t="s">
        <v>23</v>
      </c>
      <c r="K426" s="88">
        <f t="shared" si="17"/>
        <v>7</v>
      </c>
      <c r="L426" s="16" t="s">
        <v>1752</v>
      </c>
      <c r="M426" s="16" t="s">
        <v>25</v>
      </c>
      <c r="N426" s="96" t="s">
        <v>21</v>
      </c>
    </row>
    <row r="427" spans="1:14" x14ac:dyDescent="0.35">
      <c r="A427" s="90" t="s">
        <v>1756</v>
      </c>
      <c r="B427" s="10" t="s">
        <v>13</v>
      </c>
      <c r="C427" s="11" t="s">
        <v>1757</v>
      </c>
      <c r="D427" s="11" t="s">
        <v>34</v>
      </c>
      <c r="E427" s="12" t="s">
        <v>51</v>
      </c>
      <c r="F427" s="10">
        <f>+YEAR(Tabla2[[#This Row],[Cosecha]])</f>
        <v>2025</v>
      </c>
      <c r="G427" s="11" t="s">
        <v>29</v>
      </c>
      <c r="H427" s="91">
        <f t="shared" si="16"/>
        <v>4</v>
      </c>
      <c r="I427" s="10" t="s">
        <v>18</v>
      </c>
      <c r="J427" s="11" t="s">
        <v>62</v>
      </c>
      <c r="K427" s="88">
        <f t="shared" si="17"/>
        <v>5</v>
      </c>
      <c r="L427" s="11" t="s">
        <v>1321</v>
      </c>
      <c r="M427" s="11" t="s">
        <v>44</v>
      </c>
      <c r="N427" s="92" t="s">
        <v>26</v>
      </c>
    </row>
    <row r="428" spans="1:14" x14ac:dyDescent="0.35">
      <c r="A428" s="94" t="s">
        <v>1758</v>
      </c>
      <c r="B428" s="15" t="s">
        <v>13</v>
      </c>
      <c r="C428" s="16" t="s">
        <v>1759</v>
      </c>
      <c r="D428" s="16" t="s">
        <v>34</v>
      </c>
      <c r="E428" s="17" t="s">
        <v>66</v>
      </c>
      <c r="F428" s="15">
        <f>+YEAR(Tabla2[[#This Row],[Cosecha]])</f>
        <v>2025</v>
      </c>
      <c r="G428" s="16" t="s">
        <v>118</v>
      </c>
      <c r="H428" s="95">
        <f t="shared" si="16"/>
        <v>8</v>
      </c>
      <c r="I428" s="15" t="s">
        <v>18</v>
      </c>
      <c r="J428" s="16" t="s">
        <v>36</v>
      </c>
      <c r="K428" s="88">
        <f t="shared" si="17"/>
        <v>9</v>
      </c>
      <c r="L428" s="16" t="s">
        <v>1760</v>
      </c>
      <c r="M428" s="16" t="s">
        <v>44</v>
      </c>
      <c r="N428" s="96" t="s">
        <v>26</v>
      </c>
    </row>
    <row r="429" spans="1:14" x14ac:dyDescent="0.35">
      <c r="A429" s="90" t="s">
        <v>1761</v>
      </c>
      <c r="B429" s="10" t="s">
        <v>13</v>
      </c>
      <c r="C429" s="11" t="s">
        <v>1762</v>
      </c>
      <c r="D429" s="11" t="s">
        <v>34</v>
      </c>
      <c r="E429" s="12" t="s">
        <v>497</v>
      </c>
      <c r="F429" s="10">
        <f>+YEAR(Tabla2[[#This Row],[Cosecha]])</f>
        <v>2024</v>
      </c>
      <c r="G429" s="11" t="s">
        <v>133</v>
      </c>
      <c r="H429" s="91">
        <f t="shared" si="16"/>
        <v>8</v>
      </c>
      <c r="I429" s="10" t="s">
        <v>18</v>
      </c>
      <c r="J429" s="11" t="s">
        <v>133</v>
      </c>
      <c r="K429" s="88">
        <f t="shared" si="17"/>
        <v>8</v>
      </c>
      <c r="L429" s="11" t="s">
        <v>1763</v>
      </c>
      <c r="M429" s="11" t="s">
        <v>241</v>
      </c>
      <c r="N429" s="92" t="s">
        <v>21</v>
      </c>
    </row>
    <row r="430" spans="1:14" x14ac:dyDescent="0.35">
      <c r="A430" s="94" t="s">
        <v>1767</v>
      </c>
      <c r="B430" s="15" t="s">
        <v>13</v>
      </c>
      <c r="C430" s="16" t="s">
        <v>1768</v>
      </c>
      <c r="D430" s="16" t="s">
        <v>90</v>
      </c>
      <c r="E430" s="17" t="s">
        <v>275</v>
      </c>
      <c r="F430" s="15">
        <f>+YEAR(Tabla2[[#This Row],[Cosecha]])</f>
        <v>2024</v>
      </c>
      <c r="G430" s="16" t="s">
        <v>113</v>
      </c>
      <c r="H430" s="95">
        <f t="shared" si="16"/>
        <v>21</v>
      </c>
      <c r="I430" s="15" t="s">
        <v>18</v>
      </c>
      <c r="J430" s="16" t="s">
        <v>23</v>
      </c>
      <c r="K430" s="88">
        <f t="shared" si="17"/>
        <v>22</v>
      </c>
      <c r="L430" s="16" t="s">
        <v>1769</v>
      </c>
      <c r="M430" s="16" t="s">
        <v>25</v>
      </c>
      <c r="N430" s="96" t="s">
        <v>21</v>
      </c>
    </row>
    <row r="431" spans="1:14" x14ac:dyDescent="0.35">
      <c r="A431" s="90" t="s">
        <v>1770</v>
      </c>
      <c r="B431" s="10" t="s">
        <v>13</v>
      </c>
      <c r="C431" s="11" t="s">
        <v>1771</v>
      </c>
      <c r="D431" s="11" t="s">
        <v>34</v>
      </c>
      <c r="E431" s="12" t="s">
        <v>23</v>
      </c>
      <c r="F431" s="10">
        <f>+YEAR(Tabla2[[#This Row],[Cosecha]])</f>
        <v>2026</v>
      </c>
      <c r="G431" s="11" t="s">
        <v>70</v>
      </c>
      <c r="H431" s="91">
        <f t="shared" si="16"/>
        <v>4</v>
      </c>
      <c r="I431" s="10" t="s">
        <v>18</v>
      </c>
      <c r="J431" s="11" t="s">
        <v>70</v>
      </c>
      <c r="K431" s="88">
        <f t="shared" si="17"/>
        <v>4</v>
      </c>
      <c r="L431" s="11" t="s">
        <v>1772</v>
      </c>
      <c r="M431" s="11" t="s">
        <v>25</v>
      </c>
      <c r="N431" s="92" t="s">
        <v>21</v>
      </c>
    </row>
    <row r="432" spans="1:14" x14ac:dyDescent="0.35">
      <c r="A432" s="94" t="s">
        <v>1773</v>
      </c>
      <c r="B432" s="15" t="s">
        <v>13</v>
      </c>
      <c r="C432" s="16" t="s">
        <v>1774</v>
      </c>
      <c r="D432" s="16" t="s">
        <v>34</v>
      </c>
      <c r="E432" s="17" t="s">
        <v>97</v>
      </c>
      <c r="F432" s="15">
        <f>+YEAR(Tabla2[[#This Row],[Cosecha]])</f>
        <v>2025</v>
      </c>
      <c r="G432" s="16" t="s">
        <v>17</v>
      </c>
      <c r="H432" s="95">
        <f t="shared" si="16"/>
        <v>8</v>
      </c>
      <c r="I432" s="15" t="s">
        <v>18</v>
      </c>
      <c r="J432" s="16" t="s">
        <v>17</v>
      </c>
      <c r="K432" s="88">
        <f t="shared" si="17"/>
        <v>8</v>
      </c>
      <c r="L432" s="16" t="s">
        <v>1775</v>
      </c>
      <c r="M432" s="16" t="s">
        <v>44</v>
      </c>
      <c r="N432" s="96" t="s">
        <v>21</v>
      </c>
    </row>
    <row r="433" spans="1:14" x14ac:dyDescent="0.35">
      <c r="A433" s="90" t="s">
        <v>1776</v>
      </c>
      <c r="B433" s="10" t="s">
        <v>13</v>
      </c>
      <c r="C433" s="11" t="s">
        <v>1777</v>
      </c>
      <c r="D433" s="11" t="s">
        <v>34</v>
      </c>
      <c r="E433" s="12" t="s">
        <v>275</v>
      </c>
      <c r="F433" s="10">
        <f>+YEAR(Tabla2[[#This Row],[Cosecha]])</f>
        <v>2024</v>
      </c>
      <c r="G433" s="11" t="s">
        <v>133</v>
      </c>
      <c r="H433" s="91">
        <f t="shared" si="16"/>
        <v>13</v>
      </c>
      <c r="I433" s="10" t="s">
        <v>18</v>
      </c>
      <c r="J433" s="11" t="s">
        <v>133</v>
      </c>
      <c r="K433" s="88">
        <f t="shared" si="17"/>
        <v>13</v>
      </c>
      <c r="L433" s="11" t="s">
        <v>1266</v>
      </c>
      <c r="M433" s="11" t="s">
        <v>130</v>
      </c>
      <c r="N433" s="92" t="s">
        <v>21</v>
      </c>
    </row>
    <row r="434" spans="1:14" x14ac:dyDescent="0.35">
      <c r="A434" s="94" t="s">
        <v>1778</v>
      </c>
      <c r="B434" s="15" t="s">
        <v>13</v>
      </c>
      <c r="C434" s="16" t="s">
        <v>1779</v>
      </c>
      <c r="D434" s="16" t="s">
        <v>34</v>
      </c>
      <c r="E434" s="17" t="s">
        <v>118</v>
      </c>
      <c r="F434" s="15">
        <f>+YEAR(Tabla2[[#This Row],[Cosecha]])</f>
        <v>2025</v>
      </c>
      <c r="G434" s="16" t="s">
        <v>23</v>
      </c>
      <c r="H434" s="95">
        <f t="shared" si="16"/>
        <v>4</v>
      </c>
      <c r="I434" s="15" t="s">
        <v>18</v>
      </c>
      <c r="J434" s="16" t="s">
        <v>52</v>
      </c>
      <c r="K434" s="88">
        <f t="shared" si="17"/>
        <v>5</v>
      </c>
      <c r="L434" s="16" t="s">
        <v>1780</v>
      </c>
      <c r="M434" s="16" t="s">
        <v>44</v>
      </c>
      <c r="N434" s="96" t="s">
        <v>21</v>
      </c>
    </row>
    <row r="435" spans="1:14" x14ac:dyDescent="0.35">
      <c r="A435" s="90" t="s">
        <v>1781</v>
      </c>
      <c r="B435" s="10" t="s">
        <v>13</v>
      </c>
      <c r="C435" s="11" t="s">
        <v>1782</v>
      </c>
      <c r="D435" s="11" t="s">
        <v>34</v>
      </c>
      <c r="E435" s="12" t="s">
        <v>133</v>
      </c>
      <c r="F435" s="10">
        <f>+YEAR(Tabla2[[#This Row],[Cosecha]])</f>
        <v>2025</v>
      </c>
      <c r="G435" s="11" t="s">
        <v>97</v>
      </c>
      <c r="H435" s="91">
        <f t="shared" si="16"/>
        <v>4</v>
      </c>
      <c r="I435" s="10" t="s">
        <v>18</v>
      </c>
      <c r="J435" s="11" t="s">
        <v>118</v>
      </c>
      <c r="K435" s="88">
        <f t="shared" si="17"/>
        <v>5</v>
      </c>
      <c r="L435" s="11" t="s">
        <v>1783</v>
      </c>
      <c r="M435" s="11" t="s">
        <v>115</v>
      </c>
      <c r="N435" s="92" t="s">
        <v>21</v>
      </c>
    </row>
    <row r="436" spans="1:14" x14ac:dyDescent="0.35">
      <c r="A436" s="94" t="s">
        <v>1784</v>
      </c>
      <c r="B436" s="15" t="s">
        <v>13</v>
      </c>
      <c r="C436" s="16" t="s">
        <v>1785</v>
      </c>
      <c r="D436" s="16" t="s">
        <v>34</v>
      </c>
      <c r="E436" s="17" t="s">
        <v>178</v>
      </c>
      <c r="F436" s="15">
        <f>+YEAR(Tabla2[[#This Row],[Cosecha]])</f>
        <v>2024</v>
      </c>
      <c r="G436" s="16" t="s">
        <v>133</v>
      </c>
      <c r="H436" s="95">
        <f t="shared" si="16"/>
        <v>5</v>
      </c>
      <c r="I436" s="15" t="s">
        <v>18</v>
      </c>
      <c r="J436" s="16" t="s">
        <v>133</v>
      </c>
      <c r="K436" s="88">
        <f t="shared" si="17"/>
        <v>5</v>
      </c>
      <c r="L436" s="16" t="s">
        <v>1660</v>
      </c>
      <c r="M436" s="16" t="s">
        <v>130</v>
      </c>
      <c r="N436" s="96" t="s">
        <v>26</v>
      </c>
    </row>
    <row r="437" spans="1:14" x14ac:dyDescent="0.35">
      <c r="A437" s="90" t="s">
        <v>1786</v>
      </c>
      <c r="B437" s="10" t="s">
        <v>13</v>
      </c>
      <c r="C437" s="11" t="s">
        <v>1787</v>
      </c>
      <c r="D437" s="11" t="s">
        <v>34</v>
      </c>
      <c r="E437" s="12" t="s">
        <v>149</v>
      </c>
      <c r="F437" s="10">
        <f>+YEAR(Tabla2[[#This Row],[Cosecha]])</f>
        <v>2024</v>
      </c>
      <c r="G437" s="11" t="s">
        <v>97</v>
      </c>
      <c r="H437" s="91">
        <f t="shared" si="16"/>
        <v>11</v>
      </c>
      <c r="I437" s="10" t="s">
        <v>18</v>
      </c>
      <c r="J437" s="11" t="s">
        <v>118</v>
      </c>
      <c r="K437" s="88">
        <f t="shared" si="17"/>
        <v>12</v>
      </c>
      <c r="L437" s="11" t="s">
        <v>1788</v>
      </c>
      <c r="M437" s="11" t="s">
        <v>130</v>
      </c>
      <c r="N437" s="92" t="s">
        <v>21</v>
      </c>
    </row>
    <row r="438" spans="1:14" x14ac:dyDescent="0.35">
      <c r="A438" s="94" t="s">
        <v>1789</v>
      </c>
      <c r="B438" s="15" t="s">
        <v>13</v>
      </c>
      <c r="C438" s="16" t="s">
        <v>1790</v>
      </c>
      <c r="D438" s="16" t="s">
        <v>34</v>
      </c>
      <c r="E438" s="17" t="s">
        <v>35</v>
      </c>
      <c r="F438" s="15">
        <f>+YEAR(Tabla2[[#This Row],[Cosecha]])</f>
        <v>2024</v>
      </c>
      <c r="G438" s="16" t="s">
        <v>66</v>
      </c>
      <c r="H438" s="95">
        <f t="shared" si="16"/>
        <v>3</v>
      </c>
      <c r="I438" s="15" t="s">
        <v>18</v>
      </c>
      <c r="J438" s="16" t="s">
        <v>51</v>
      </c>
      <c r="K438" s="88">
        <f t="shared" si="17"/>
        <v>4</v>
      </c>
      <c r="L438" s="16" t="s">
        <v>1791</v>
      </c>
      <c r="M438" s="16" t="s">
        <v>130</v>
      </c>
      <c r="N438" s="96" t="s">
        <v>21</v>
      </c>
    </row>
    <row r="439" spans="1:14" x14ac:dyDescent="0.35">
      <c r="A439" s="90" t="s">
        <v>1792</v>
      </c>
      <c r="B439" s="10" t="s">
        <v>13</v>
      </c>
      <c r="C439" s="11" t="s">
        <v>1793</v>
      </c>
      <c r="D439" s="11" t="s">
        <v>34</v>
      </c>
      <c r="E439" s="12" t="s">
        <v>118</v>
      </c>
      <c r="F439" s="10">
        <f>+YEAR(Tabla2[[#This Row],[Cosecha]])</f>
        <v>2025</v>
      </c>
      <c r="G439" s="11" t="s">
        <v>23</v>
      </c>
      <c r="H439" s="91">
        <f t="shared" si="16"/>
        <v>4</v>
      </c>
      <c r="I439" s="10" t="s">
        <v>18</v>
      </c>
      <c r="J439" s="11" t="s">
        <v>23</v>
      </c>
      <c r="K439" s="88">
        <f t="shared" si="17"/>
        <v>4</v>
      </c>
      <c r="L439" s="11" t="s">
        <v>1794</v>
      </c>
      <c r="M439" s="11" t="s">
        <v>115</v>
      </c>
      <c r="N439" s="92" t="s">
        <v>26</v>
      </c>
    </row>
    <row r="440" spans="1:14" x14ac:dyDescent="0.35">
      <c r="A440" s="94" t="s">
        <v>1795</v>
      </c>
      <c r="B440" s="15" t="s">
        <v>13</v>
      </c>
      <c r="C440" s="16" t="s">
        <v>1796</v>
      </c>
      <c r="D440" s="16" t="s">
        <v>34</v>
      </c>
      <c r="E440" s="17" t="s">
        <v>178</v>
      </c>
      <c r="F440" s="15">
        <f>+YEAR(Tabla2[[#This Row],[Cosecha]])</f>
        <v>2024</v>
      </c>
      <c r="G440" s="16" t="s">
        <v>51</v>
      </c>
      <c r="H440" s="95">
        <f t="shared" si="16"/>
        <v>3</v>
      </c>
      <c r="I440" s="15" t="s">
        <v>18</v>
      </c>
      <c r="J440" s="16" t="s">
        <v>47</v>
      </c>
      <c r="K440" s="88">
        <f t="shared" si="17"/>
        <v>4</v>
      </c>
      <c r="L440" s="16" t="s">
        <v>1145</v>
      </c>
      <c r="M440" s="16" t="s">
        <v>130</v>
      </c>
      <c r="N440" s="96" t="s">
        <v>21</v>
      </c>
    </row>
    <row r="441" spans="1:14" x14ac:dyDescent="0.35">
      <c r="A441" s="90" t="s">
        <v>1797</v>
      </c>
      <c r="B441" s="10" t="s">
        <v>13</v>
      </c>
      <c r="C441" s="11" t="s">
        <v>1798</v>
      </c>
      <c r="D441" s="11" t="s">
        <v>34</v>
      </c>
      <c r="E441" s="12" t="s">
        <v>133</v>
      </c>
      <c r="F441" s="10">
        <f>+YEAR(Tabla2[[#This Row],[Cosecha]])</f>
        <v>2025</v>
      </c>
      <c r="G441" s="11" t="s">
        <v>97</v>
      </c>
      <c r="H441" s="91">
        <f t="shared" si="16"/>
        <v>4</v>
      </c>
      <c r="I441" s="10" t="s">
        <v>18</v>
      </c>
      <c r="J441" s="11" t="s">
        <v>97</v>
      </c>
      <c r="K441" s="88">
        <f t="shared" si="17"/>
        <v>4</v>
      </c>
      <c r="L441" s="11" t="s">
        <v>1799</v>
      </c>
      <c r="M441" s="11" t="s">
        <v>44</v>
      </c>
      <c r="N441" s="92" t="s">
        <v>21</v>
      </c>
    </row>
    <row r="442" spans="1:14" x14ac:dyDescent="0.35">
      <c r="A442" s="94" t="s">
        <v>1800</v>
      </c>
      <c r="B442" s="15" t="s">
        <v>13</v>
      </c>
      <c r="C442" s="16" t="s">
        <v>1801</v>
      </c>
      <c r="D442" s="16" t="s">
        <v>34</v>
      </c>
      <c r="E442" s="17" t="s">
        <v>82</v>
      </c>
      <c r="F442" s="15">
        <f>+YEAR(Tabla2[[#This Row],[Cosecha]])</f>
        <v>2024</v>
      </c>
      <c r="G442" s="16" t="s">
        <v>17</v>
      </c>
      <c r="H442" s="95">
        <f t="shared" si="16"/>
        <v>16</v>
      </c>
      <c r="I442" s="15" t="s">
        <v>18</v>
      </c>
      <c r="J442" s="16" t="s">
        <v>70</v>
      </c>
      <c r="K442" s="88">
        <f t="shared" si="17"/>
        <v>17</v>
      </c>
      <c r="L442" s="16" t="s">
        <v>1802</v>
      </c>
      <c r="M442" s="16" t="s">
        <v>20</v>
      </c>
      <c r="N442" s="96" t="s">
        <v>21</v>
      </c>
    </row>
    <row r="443" spans="1:14" x14ac:dyDescent="0.35">
      <c r="A443" s="90" t="s">
        <v>1803</v>
      </c>
      <c r="B443" s="10" t="s">
        <v>13</v>
      </c>
      <c r="C443" s="11" t="s">
        <v>1804</v>
      </c>
      <c r="D443" s="11" t="s">
        <v>78</v>
      </c>
      <c r="E443" s="12" t="s">
        <v>165</v>
      </c>
      <c r="F443" s="10">
        <f>+YEAR(Tabla2[[#This Row],[Cosecha]])</f>
        <v>2024</v>
      </c>
      <c r="G443" s="11" t="s">
        <v>47</v>
      </c>
      <c r="H443" s="91">
        <f t="shared" si="16"/>
        <v>13</v>
      </c>
      <c r="I443" s="10" t="s">
        <v>18</v>
      </c>
      <c r="J443" s="11" t="s">
        <v>47</v>
      </c>
      <c r="K443" s="88">
        <f t="shared" si="17"/>
        <v>13</v>
      </c>
      <c r="L443" s="11" t="s">
        <v>1805</v>
      </c>
      <c r="M443" s="11" t="s">
        <v>25</v>
      </c>
      <c r="N443" s="92" t="s">
        <v>21</v>
      </c>
    </row>
    <row r="444" spans="1:14" x14ac:dyDescent="0.35">
      <c r="A444" s="94" t="s">
        <v>1809</v>
      </c>
      <c r="B444" s="15" t="s">
        <v>13</v>
      </c>
      <c r="C444" s="16" t="s">
        <v>1810</v>
      </c>
      <c r="D444" s="16" t="s">
        <v>34</v>
      </c>
      <c r="E444" s="17" t="s">
        <v>51</v>
      </c>
      <c r="F444" s="15">
        <f>+YEAR(Tabla2[[#This Row],[Cosecha]])</f>
        <v>2025</v>
      </c>
      <c r="G444" s="16" t="s">
        <v>118</v>
      </c>
      <c r="H444" s="95">
        <f t="shared" si="16"/>
        <v>7</v>
      </c>
      <c r="I444" s="15" t="s">
        <v>18</v>
      </c>
      <c r="J444" s="16" t="s">
        <v>118</v>
      </c>
      <c r="K444" s="88">
        <f t="shared" si="17"/>
        <v>7</v>
      </c>
      <c r="L444" s="16" t="s">
        <v>1728</v>
      </c>
      <c r="M444" s="16" t="s">
        <v>44</v>
      </c>
      <c r="N444" s="96" t="s">
        <v>26</v>
      </c>
    </row>
    <row r="445" spans="1:14" x14ac:dyDescent="0.35">
      <c r="A445" s="90" t="s">
        <v>1811</v>
      </c>
      <c r="B445" s="10" t="s">
        <v>13</v>
      </c>
      <c r="C445" s="11" t="s">
        <v>1812</v>
      </c>
      <c r="D445" s="11" t="s">
        <v>34</v>
      </c>
      <c r="E445" s="12" t="s">
        <v>66</v>
      </c>
      <c r="F445" s="10">
        <f>+YEAR(Tabla2[[#This Row],[Cosecha]])</f>
        <v>2025</v>
      </c>
      <c r="G445" s="11" t="s">
        <v>29</v>
      </c>
      <c r="H445" s="91">
        <f t="shared" si="16"/>
        <v>5</v>
      </c>
      <c r="I445" s="10" t="s">
        <v>18</v>
      </c>
      <c r="J445" s="11" t="s">
        <v>62</v>
      </c>
      <c r="K445" s="88">
        <f t="shared" si="17"/>
        <v>6</v>
      </c>
      <c r="L445" s="11" t="s">
        <v>1813</v>
      </c>
      <c r="M445" s="11" t="s">
        <v>130</v>
      </c>
      <c r="N445" s="92" t="s">
        <v>21</v>
      </c>
    </row>
    <row r="446" spans="1:14" x14ac:dyDescent="0.35">
      <c r="A446" s="94" t="s">
        <v>1815</v>
      </c>
      <c r="B446" s="15" t="s">
        <v>13</v>
      </c>
      <c r="C446" s="16" t="s">
        <v>1816</v>
      </c>
      <c r="D446" s="16" t="s">
        <v>90</v>
      </c>
      <c r="E446" s="17" t="s">
        <v>23</v>
      </c>
      <c r="F446" s="15">
        <f>+YEAR(Tabla2[[#This Row],[Cosecha]])</f>
        <v>2026</v>
      </c>
      <c r="G446" s="16" t="s">
        <v>52</v>
      </c>
      <c r="H446" s="95">
        <f t="shared" si="16"/>
        <v>1</v>
      </c>
      <c r="I446" s="15" t="s">
        <v>18</v>
      </c>
      <c r="J446" s="16" t="s">
        <v>52</v>
      </c>
      <c r="K446" s="88">
        <f t="shared" si="17"/>
        <v>1</v>
      </c>
      <c r="L446" s="16" t="s">
        <v>1817</v>
      </c>
      <c r="M446" s="16" t="s">
        <v>25</v>
      </c>
      <c r="N446" s="96" t="s">
        <v>21</v>
      </c>
    </row>
    <row r="447" spans="1:14" x14ac:dyDescent="0.35">
      <c r="A447" s="90" t="s">
        <v>1818</v>
      </c>
      <c r="B447" s="10" t="s">
        <v>13</v>
      </c>
      <c r="C447" s="11" t="s">
        <v>1819</v>
      </c>
      <c r="D447" s="11" t="s">
        <v>34</v>
      </c>
      <c r="E447" s="12" t="s">
        <v>35</v>
      </c>
      <c r="F447" s="10">
        <f>+YEAR(Tabla2[[#This Row],[Cosecha]])</f>
        <v>2024</v>
      </c>
      <c r="G447" s="11" t="s">
        <v>23</v>
      </c>
      <c r="H447" s="91">
        <f t="shared" si="16"/>
        <v>15</v>
      </c>
      <c r="I447" s="10" t="s">
        <v>18</v>
      </c>
      <c r="J447" s="11" t="s">
        <v>52</v>
      </c>
      <c r="K447" s="88">
        <f t="shared" si="17"/>
        <v>16</v>
      </c>
      <c r="L447" s="11" t="s">
        <v>1820</v>
      </c>
      <c r="M447" s="11" t="s">
        <v>39</v>
      </c>
      <c r="N447" s="92" t="s">
        <v>21</v>
      </c>
    </row>
    <row r="448" spans="1:14" x14ac:dyDescent="0.35">
      <c r="A448" s="94" t="s">
        <v>1821</v>
      </c>
      <c r="B448" s="15" t="s">
        <v>13</v>
      </c>
      <c r="C448" s="16" t="s">
        <v>1822</v>
      </c>
      <c r="D448" s="16" t="s">
        <v>34</v>
      </c>
      <c r="E448" s="17" t="s">
        <v>133</v>
      </c>
      <c r="F448" s="15">
        <f>+YEAR(Tabla2[[#This Row],[Cosecha]])</f>
        <v>2025</v>
      </c>
      <c r="G448" s="16" t="s">
        <v>17</v>
      </c>
      <c r="H448" s="95">
        <f t="shared" si="16"/>
        <v>12</v>
      </c>
      <c r="I448" s="15" t="s">
        <v>18</v>
      </c>
      <c r="J448" s="16" t="s">
        <v>70</v>
      </c>
      <c r="K448" s="88">
        <f t="shared" si="17"/>
        <v>13</v>
      </c>
      <c r="L448" s="16" t="s">
        <v>1823</v>
      </c>
      <c r="M448" s="16" t="s">
        <v>115</v>
      </c>
      <c r="N448" s="96" t="s">
        <v>26</v>
      </c>
    </row>
    <row r="449" spans="1:14" x14ac:dyDescent="0.35">
      <c r="A449" s="90" t="s">
        <v>1824</v>
      </c>
      <c r="B449" s="10" t="s">
        <v>13</v>
      </c>
      <c r="C449" s="11" t="s">
        <v>1825</v>
      </c>
      <c r="D449" s="11" t="s">
        <v>34</v>
      </c>
      <c r="E449" s="12" t="s">
        <v>118</v>
      </c>
      <c r="F449" s="10">
        <f>+YEAR(Tabla2[[#This Row],[Cosecha]])</f>
        <v>2025</v>
      </c>
      <c r="G449" s="11" t="s">
        <v>23</v>
      </c>
      <c r="H449" s="91">
        <f t="shared" si="16"/>
        <v>4</v>
      </c>
      <c r="I449" s="10" t="s">
        <v>18</v>
      </c>
      <c r="J449" s="11" t="s">
        <v>52</v>
      </c>
      <c r="K449" s="88">
        <f t="shared" si="17"/>
        <v>5</v>
      </c>
      <c r="L449" s="11" t="s">
        <v>1826</v>
      </c>
      <c r="M449" s="11" t="s">
        <v>44</v>
      </c>
      <c r="N449" s="92" t="s">
        <v>21</v>
      </c>
    </row>
    <row r="450" spans="1:14" x14ac:dyDescent="0.35">
      <c r="A450" s="94" t="s">
        <v>1827</v>
      </c>
      <c r="B450" s="15" t="s">
        <v>13</v>
      </c>
      <c r="C450" s="16" t="s">
        <v>1828</v>
      </c>
      <c r="D450" s="16" t="s">
        <v>34</v>
      </c>
      <c r="E450" s="17" t="s">
        <v>82</v>
      </c>
      <c r="F450" s="15">
        <f>+YEAR(Tabla2[[#This Row],[Cosecha]])</f>
        <v>2024</v>
      </c>
      <c r="G450" s="16" t="s">
        <v>17</v>
      </c>
      <c r="H450" s="95">
        <f t="shared" ref="H450:H513" si="18">(YEAR(G450)-YEAR(E450))*12+(MONTH(G450)-MONTH(E450))</f>
        <v>16</v>
      </c>
      <c r="I450" s="15" t="s">
        <v>18</v>
      </c>
      <c r="J450" s="16" t="s">
        <v>17</v>
      </c>
      <c r="K450" s="88">
        <f t="shared" ref="K450:K513" si="19">(YEAR(J450)-YEAR(E450))*12+(MONTH(J450)-MONTH(E450))</f>
        <v>16</v>
      </c>
      <c r="L450" s="16" t="s">
        <v>1829</v>
      </c>
      <c r="M450" s="16" t="s">
        <v>130</v>
      </c>
      <c r="N450" s="96" t="s">
        <v>21</v>
      </c>
    </row>
    <row r="451" spans="1:14" x14ac:dyDescent="0.35">
      <c r="A451" s="90" t="s">
        <v>1830</v>
      </c>
      <c r="B451" s="10" t="s">
        <v>13</v>
      </c>
      <c r="C451" s="11" t="s">
        <v>1831</v>
      </c>
      <c r="D451" s="11" t="s">
        <v>34</v>
      </c>
      <c r="E451" s="12" t="s">
        <v>37</v>
      </c>
      <c r="F451" s="10">
        <f>+YEAR(Tabla2[[#This Row],[Cosecha]])</f>
        <v>2025</v>
      </c>
      <c r="G451" s="11" t="s">
        <v>30</v>
      </c>
      <c r="H451" s="91">
        <f t="shared" si="18"/>
        <v>4</v>
      </c>
      <c r="I451" s="10" t="s">
        <v>18</v>
      </c>
      <c r="J451" s="11" t="s">
        <v>30</v>
      </c>
      <c r="K451" s="88">
        <f t="shared" si="19"/>
        <v>4</v>
      </c>
      <c r="L451" s="11" t="s">
        <v>1832</v>
      </c>
      <c r="M451" s="11" t="s">
        <v>115</v>
      </c>
      <c r="N451" s="92" t="s">
        <v>21</v>
      </c>
    </row>
    <row r="452" spans="1:14" x14ac:dyDescent="0.35">
      <c r="A452" s="94" t="s">
        <v>1833</v>
      </c>
      <c r="B452" s="15" t="s">
        <v>13</v>
      </c>
      <c r="C452" s="16" t="s">
        <v>1834</v>
      </c>
      <c r="D452" s="16" t="s">
        <v>15</v>
      </c>
      <c r="E452" s="17" t="s">
        <v>66</v>
      </c>
      <c r="F452" s="15">
        <f>+YEAR(Tabla2[[#This Row],[Cosecha]])</f>
        <v>2025</v>
      </c>
      <c r="G452" s="16" t="s">
        <v>133</v>
      </c>
      <c r="H452" s="95">
        <f t="shared" si="18"/>
        <v>3</v>
      </c>
      <c r="I452" s="15" t="s">
        <v>18</v>
      </c>
      <c r="J452" s="16" t="s">
        <v>29</v>
      </c>
      <c r="K452" s="88">
        <f t="shared" si="19"/>
        <v>5</v>
      </c>
      <c r="L452" s="16" t="s">
        <v>1835</v>
      </c>
      <c r="M452" s="16" t="s">
        <v>25</v>
      </c>
      <c r="N452" s="96" t="s">
        <v>21</v>
      </c>
    </row>
    <row r="453" spans="1:14" x14ac:dyDescent="0.35">
      <c r="A453" s="90" t="s">
        <v>1836</v>
      </c>
      <c r="B453" s="10" t="s">
        <v>13</v>
      </c>
      <c r="C453" s="11" t="s">
        <v>1837</v>
      </c>
      <c r="D453" s="11" t="s">
        <v>34</v>
      </c>
      <c r="E453" s="12" t="s">
        <v>29</v>
      </c>
      <c r="F453" s="10">
        <f>+YEAR(Tabla2[[#This Row],[Cosecha]])</f>
        <v>2025</v>
      </c>
      <c r="G453" s="11" t="s">
        <v>52</v>
      </c>
      <c r="H453" s="91">
        <f t="shared" si="18"/>
        <v>8</v>
      </c>
      <c r="I453" s="10" t="s">
        <v>18</v>
      </c>
      <c r="J453" s="11" t="s">
        <v>30</v>
      </c>
      <c r="K453" s="88">
        <f t="shared" si="19"/>
        <v>9</v>
      </c>
      <c r="L453" s="11" t="s">
        <v>1838</v>
      </c>
      <c r="M453" s="11" t="s">
        <v>44</v>
      </c>
      <c r="N453" s="92" t="s">
        <v>21</v>
      </c>
    </row>
    <row r="454" spans="1:14" x14ac:dyDescent="0.35">
      <c r="A454" s="94" t="s">
        <v>1839</v>
      </c>
      <c r="B454" s="15" t="s">
        <v>13</v>
      </c>
      <c r="C454" s="16" t="s">
        <v>1840</v>
      </c>
      <c r="D454" s="16" t="s">
        <v>34</v>
      </c>
      <c r="E454" s="17" t="s">
        <v>252</v>
      </c>
      <c r="F454" s="15">
        <f>+YEAR(Tabla2[[#This Row],[Cosecha]])</f>
        <v>2024</v>
      </c>
      <c r="G454" s="16" t="s">
        <v>62</v>
      </c>
      <c r="H454" s="95">
        <f t="shared" si="18"/>
        <v>12</v>
      </c>
      <c r="I454" s="15" t="s">
        <v>18</v>
      </c>
      <c r="J454" s="16" t="s">
        <v>62</v>
      </c>
      <c r="K454" s="88">
        <f t="shared" si="19"/>
        <v>12</v>
      </c>
      <c r="L454" s="16" t="s">
        <v>1841</v>
      </c>
      <c r="M454" s="16" t="s">
        <v>130</v>
      </c>
      <c r="N454" s="96" t="s">
        <v>21</v>
      </c>
    </row>
    <row r="455" spans="1:14" x14ac:dyDescent="0.35">
      <c r="A455" s="90" t="s">
        <v>1845</v>
      </c>
      <c r="B455" s="10" t="s">
        <v>13</v>
      </c>
      <c r="C455" s="11" t="s">
        <v>1846</v>
      </c>
      <c r="D455" s="11" t="s">
        <v>34</v>
      </c>
      <c r="E455" s="12" t="s">
        <v>66</v>
      </c>
      <c r="F455" s="10">
        <f>+YEAR(Tabla2[[#This Row],[Cosecha]])</f>
        <v>2025</v>
      </c>
      <c r="G455" s="11" t="s">
        <v>29</v>
      </c>
      <c r="H455" s="91">
        <f t="shared" si="18"/>
        <v>5</v>
      </c>
      <c r="I455" s="10" t="s">
        <v>18</v>
      </c>
      <c r="J455" s="11" t="s">
        <v>29</v>
      </c>
      <c r="K455" s="88">
        <f t="shared" si="19"/>
        <v>5</v>
      </c>
      <c r="L455" s="11" t="s">
        <v>1847</v>
      </c>
      <c r="M455" s="11" t="s">
        <v>115</v>
      </c>
      <c r="N455" s="92" t="s">
        <v>21</v>
      </c>
    </row>
    <row r="456" spans="1:14" x14ac:dyDescent="0.35">
      <c r="A456" s="94" t="s">
        <v>1851</v>
      </c>
      <c r="B456" s="15" t="s">
        <v>13</v>
      </c>
      <c r="C456" s="16" t="s">
        <v>1852</v>
      </c>
      <c r="D456" s="16" t="s">
        <v>34</v>
      </c>
      <c r="E456" s="17" t="s">
        <v>291</v>
      </c>
      <c r="F456" s="15">
        <f>+YEAR(Tabla2[[#This Row],[Cosecha]])</f>
        <v>2022</v>
      </c>
      <c r="G456" s="16" t="s">
        <v>47</v>
      </c>
      <c r="H456" s="95">
        <f t="shared" si="18"/>
        <v>31</v>
      </c>
      <c r="I456" s="15" t="s">
        <v>18</v>
      </c>
      <c r="J456" s="16" t="s">
        <v>47</v>
      </c>
      <c r="K456" s="88">
        <f t="shared" si="19"/>
        <v>31</v>
      </c>
      <c r="L456" s="16" t="s">
        <v>1853</v>
      </c>
      <c r="M456" s="16" t="s">
        <v>293</v>
      </c>
      <c r="N456" s="96" t="s">
        <v>21</v>
      </c>
    </row>
    <row r="457" spans="1:14" x14ac:dyDescent="0.35">
      <c r="A457" s="90" t="s">
        <v>1854</v>
      </c>
      <c r="B457" s="10" t="s">
        <v>13</v>
      </c>
      <c r="C457" s="11" t="s">
        <v>1855</v>
      </c>
      <c r="D457" s="11" t="s">
        <v>34</v>
      </c>
      <c r="E457" s="12" t="s">
        <v>35</v>
      </c>
      <c r="F457" s="10">
        <f>+YEAR(Tabla2[[#This Row],[Cosecha]])</f>
        <v>2024</v>
      </c>
      <c r="G457" s="11" t="s">
        <v>133</v>
      </c>
      <c r="H457" s="91">
        <f t="shared" si="18"/>
        <v>6</v>
      </c>
      <c r="I457" s="10" t="s">
        <v>18</v>
      </c>
      <c r="J457" s="11" t="s">
        <v>104</v>
      </c>
      <c r="K457" s="88">
        <f t="shared" si="19"/>
        <v>7</v>
      </c>
      <c r="L457" s="11" t="s">
        <v>1856</v>
      </c>
      <c r="M457" s="11" t="s">
        <v>130</v>
      </c>
      <c r="N457" s="92" t="s">
        <v>26</v>
      </c>
    </row>
    <row r="458" spans="1:14" x14ac:dyDescent="0.35">
      <c r="A458" s="94" t="s">
        <v>1857</v>
      </c>
      <c r="B458" s="15" t="s">
        <v>13</v>
      </c>
      <c r="C458" s="16" t="s">
        <v>1858</v>
      </c>
      <c r="D458" s="16" t="s">
        <v>34</v>
      </c>
      <c r="E458" s="17" t="s">
        <v>29</v>
      </c>
      <c r="F458" s="15">
        <f>+YEAR(Tabla2[[#This Row],[Cosecha]])</f>
        <v>2025</v>
      </c>
      <c r="G458" s="16" t="s">
        <v>30</v>
      </c>
      <c r="H458" s="95">
        <f t="shared" si="18"/>
        <v>9</v>
      </c>
      <c r="I458" s="15" t="s">
        <v>18</v>
      </c>
      <c r="J458" s="16" t="s">
        <v>17</v>
      </c>
      <c r="K458" s="88">
        <f t="shared" si="19"/>
        <v>10</v>
      </c>
      <c r="L458" s="16" t="s">
        <v>1859</v>
      </c>
      <c r="M458" s="16" t="s">
        <v>44</v>
      </c>
      <c r="N458" s="96" t="s">
        <v>21</v>
      </c>
    </row>
    <row r="459" spans="1:14" x14ac:dyDescent="0.35">
      <c r="A459" s="90" t="s">
        <v>1860</v>
      </c>
      <c r="B459" s="10" t="s">
        <v>13</v>
      </c>
      <c r="C459" s="11" t="s">
        <v>1861</v>
      </c>
      <c r="D459" s="11" t="s">
        <v>34</v>
      </c>
      <c r="E459" s="12" t="s">
        <v>23</v>
      </c>
      <c r="F459" s="10">
        <f>+YEAR(Tabla2[[#This Row],[Cosecha]])</f>
        <v>2026</v>
      </c>
      <c r="G459" s="11" t="s">
        <v>30</v>
      </c>
      <c r="H459" s="91">
        <f t="shared" si="18"/>
        <v>2</v>
      </c>
      <c r="I459" s="10" t="s">
        <v>18</v>
      </c>
      <c r="J459" s="11" t="s">
        <v>17</v>
      </c>
      <c r="K459" s="88">
        <f t="shared" si="19"/>
        <v>3</v>
      </c>
      <c r="L459" s="11" t="s">
        <v>1862</v>
      </c>
      <c r="M459" s="11" t="s">
        <v>72</v>
      </c>
      <c r="N459" s="92" t="s">
        <v>21</v>
      </c>
    </row>
    <row r="460" spans="1:14" x14ac:dyDescent="0.35">
      <c r="A460" s="94" t="s">
        <v>1863</v>
      </c>
      <c r="B460" s="15" t="s">
        <v>13</v>
      </c>
      <c r="C460" s="16" t="s">
        <v>1864</v>
      </c>
      <c r="D460" s="16" t="s">
        <v>15</v>
      </c>
      <c r="E460" s="17" t="s">
        <v>133</v>
      </c>
      <c r="F460" s="15">
        <f>+YEAR(Tabla2[[#This Row],[Cosecha]])</f>
        <v>2025</v>
      </c>
      <c r="G460" s="16" t="s">
        <v>37</v>
      </c>
      <c r="H460" s="95">
        <f t="shared" si="18"/>
        <v>7</v>
      </c>
      <c r="I460" s="15" t="s">
        <v>18</v>
      </c>
      <c r="J460" s="16" t="s">
        <v>113</v>
      </c>
      <c r="K460" s="88">
        <f t="shared" si="19"/>
        <v>8</v>
      </c>
      <c r="L460" s="16" t="s">
        <v>1865</v>
      </c>
      <c r="M460" s="16" t="s">
        <v>25</v>
      </c>
      <c r="N460" s="96" t="s">
        <v>21</v>
      </c>
    </row>
    <row r="461" spans="1:14" x14ac:dyDescent="0.35">
      <c r="A461" s="90" t="s">
        <v>1866</v>
      </c>
      <c r="B461" s="10" t="s">
        <v>13</v>
      </c>
      <c r="C461" s="11" t="s">
        <v>1867</v>
      </c>
      <c r="D461" s="11" t="s">
        <v>34</v>
      </c>
      <c r="E461" s="12" t="s">
        <v>47</v>
      </c>
      <c r="F461" s="10">
        <f>+YEAR(Tabla2[[#This Row],[Cosecha]])</f>
        <v>2025</v>
      </c>
      <c r="G461" s="11" t="s">
        <v>118</v>
      </c>
      <c r="H461" s="91">
        <f t="shared" si="18"/>
        <v>6</v>
      </c>
      <c r="I461" s="10" t="s">
        <v>18</v>
      </c>
      <c r="J461" s="11" t="s">
        <v>36</v>
      </c>
      <c r="K461" s="88">
        <f t="shared" si="19"/>
        <v>7</v>
      </c>
      <c r="L461" s="11" t="s">
        <v>1868</v>
      </c>
      <c r="M461" s="11" t="s">
        <v>115</v>
      </c>
      <c r="N461" s="92" t="s">
        <v>21</v>
      </c>
    </row>
    <row r="462" spans="1:14" x14ac:dyDescent="0.35">
      <c r="A462" s="94" t="s">
        <v>1869</v>
      </c>
      <c r="B462" s="15" t="s">
        <v>13</v>
      </c>
      <c r="C462" s="16" t="s">
        <v>1870</v>
      </c>
      <c r="D462" s="16" t="s">
        <v>34</v>
      </c>
      <c r="E462" s="17" t="s">
        <v>62</v>
      </c>
      <c r="F462" s="15">
        <f>+YEAR(Tabla2[[#This Row],[Cosecha]])</f>
        <v>2025</v>
      </c>
      <c r="G462" s="16" t="s">
        <v>118</v>
      </c>
      <c r="H462" s="95">
        <f t="shared" si="18"/>
        <v>2</v>
      </c>
      <c r="I462" s="15" t="s">
        <v>18</v>
      </c>
      <c r="J462" s="16" t="s">
        <v>97</v>
      </c>
      <c r="K462" s="88">
        <f t="shared" si="19"/>
        <v>1</v>
      </c>
      <c r="L462" s="16" t="s">
        <v>1871</v>
      </c>
      <c r="M462" s="16" t="s">
        <v>130</v>
      </c>
      <c r="N462" s="96" t="s">
        <v>26</v>
      </c>
    </row>
    <row r="463" spans="1:14" x14ac:dyDescent="0.35">
      <c r="A463" s="90" t="s">
        <v>1872</v>
      </c>
      <c r="B463" s="10" t="s">
        <v>13</v>
      </c>
      <c r="C463" s="11" t="s">
        <v>1873</v>
      </c>
      <c r="D463" s="11" t="s">
        <v>34</v>
      </c>
      <c r="E463" s="12" t="s">
        <v>29</v>
      </c>
      <c r="F463" s="10">
        <f>+YEAR(Tabla2[[#This Row],[Cosecha]])</f>
        <v>2025</v>
      </c>
      <c r="G463" s="11" t="s">
        <v>23</v>
      </c>
      <c r="H463" s="91">
        <f t="shared" si="18"/>
        <v>7</v>
      </c>
      <c r="I463" s="10" t="s">
        <v>18</v>
      </c>
      <c r="J463" s="11" t="s">
        <v>23</v>
      </c>
      <c r="K463" s="88">
        <f t="shared" si="19"/>
        <v>7</v>
      </c>
      <c r="L463" s="11" t="s">
        <v>150</v>
      </c>
      <c r="M463" s="11" t="s">
        <v>130</v>
      </c>
      <c r="N463" s="92" t="s">
        <v>21</v>
      </c>
    </row>
    <row r="464" spans="1:14" x14ac:dyDescent="0.35">
      <c r="A464" s="94" t="s">
        <v>1874</v>
      </c>
      <c r="B464" s="15" t="s">
        <v>13</v>
      </c>
      <c r="C464" s="16" t="s">
        <v>1875</v>
      </c>
      <c r="D464" s="16" t="s">
        <v>78</v>
      </c>
      <c r="E464" s="17" t="s">
        <v>66</v>
      </c>
      <c r="F464" s="15">
        <f>+YEAR(Tabla2[[#This Row],[Cosecha]])</f>
        <v>2025</v>
      </c>
      <c r="G464" s="16" t="s">
        <v>104</v>
      </c>
      <c r="H464" s="95">
        <f t="shared" si="18"/>
        <v>4</v>
      </c>
      <c r="I464" s="15" t="s">
        <v>18</v>
      </c>
      <c r="J464" s="16" t="s">
        <v>104</v>
      </c>
      <c r="K464" s="88">
        <f t="shared" si="19"/>
        <v>4</v>
      </c>
      <c r="L464" s="16" t="s">
        <v>1876</v>
      </c>
      <c r="M464" s="16" t="s">
        <v>25</v>
      </c>
      <c r="N464" s="96" t="s">
        <v>21</v>
      </c>
    </row>
    <row r="465" spans="1:14" x14ac:dyDescent="0.35">
      <c r="A465" s="90" t="s">
        <v>1877</v>
      </c>
      <c r="B465" s="10" t="s">
        <v>13</v>
      </c>
      <c r="C465" s="11" t="s">
        <v>1878</v>
      </c>
      <c r="D465" s="11" t="s">
        <v>15</v>
      </c>
      <c r="E465" s="12" t="s">
        <v>252</v>
      </c>
      <c r="F465" s="10">
        <f>+YEAR(Tabla2[[#This Row],[Cosecha]])</f>
        <v>2024</v>
      </c>
      <c r="G465" s="11" t="s">
        <v>52</v>
      </c>
      <c r="H465" s="91">
        <f t="shared" si="18"/>
        <v>19</v>
      </c>
      <c r="I465" s="10" t="s">
        <v>18</v>
      </c>
      <c r="J465" s="11" t="s">
        <v>30</v>
      </c>
      <c r="K465" s="88">
        <f t="shared" si="19"/>
        <v>20</v>
      </c>
      <c r="L465" s="11" t="s">
        <v>1879</v>
      </c>
      <c r="M465" s="11" t="s">
        <v>39</v>
      </c>
      <c r="N465" s="92" t="s">
        <v>21</v>
      </c>
    </row>
    <row r="466" spans="1:14" x14ac:dyDescent="0.35">
      <c r="A466" s="94" t="s">
        <v>1880</v>
      </c>
      <c r="B466" s="15" t="s">
        <v>13</v>
      </c>
      <c r="C466" s="16" t="s">
        <v>1881</v>
      </c>
      <c r="D466" s="16" t="s">
        <v>90</v>
      </c>
      <c r="E466" s="17" t="s">
        <v>51</v>
      </c>
      <c r="F466" s="15">
        <f>+YEAR(Tabla2[[#This Row],[Cosecha]])</f>
        <v>2025</v>
      </c>
      <c r="G466" s="16" t="s">
        <v>52</v>
      </c>
      <c r="H466" s="95">
        <f t="shared" si="18"/>
        <v>12</v>
      </c>
      <c r="I466" s="15" t="s">
        <v>18</v>
      </c>
      <c r="J466" s="16" t="s">
        <v>30</v>
      </c>
      <c r="K466" s="88">
        <f t="shared" si="19"/>
        <v>13</v>
      </c>
      <c r="L466" s="16" t="s">
        <v>1882</v>
      </c>
      <c r="M466" s="16" t="s">
        <v>25</v>
      </c>
      <c r="N466" s="96" t="s">
        <v>26</v>
      </c>
    </row>
    <row r="467" spans="1:14" x14ac:dyDescent="0.35">
      <c r="A467" s="90" t="s">
        <v>1883</v>
      </c>
      <c r="B467" s="10" t="s">
        <v>13</v>
      </c>
      <c r="C467" s="11" t="s">
        <v>1884</v>
      </c>
      <c r="D467" s="11" t="s">
        <v>78</v>
      </c>
      <c r="E467" s="12" t="s">
        <v>104</v>
      </c>
      <c r="F467" s="10">
        <f>+YEAR(Tabla2[[#This Row],[Cosecha]])</f>
        <v>2025</v>
      </c>
      <c r="G467" s="11" t="s">
        <v>52</v>
      </c>
      <c r="H467" s="91">
        <f t="shared" si="18"/>
        <v>9</v>
      </c>
      <c r="I467" s="10" t="s">
        <v>18</v>
      </c>
      <c r="J467" s="11" t="s">
        <v>30</v>
      </c>
      <c r="K467" s="88">
        <f t="shared" si="19"/>
        <v>10</v>
      </c>
      <c r="L467" s="11" t="s">
        <v>1885</v>
      </c>
      <c r="M467" s="11" t="s">
        <v>39</v>
      </c>
      <c r="N467" s="92" t="s">
        <v>26</v>
      </c>
    </row>
    <row r="468" spans="1:14" x14ac:dyDescent="0.35">
      <c r="A468" s="94" t="s">
        <v>1886</v>
      </c>
      <c r="B468" s="15" t="s">
        <v>13</v>
      </c>
      <c r="C468" s="16" t="s">
        <v>1887</v>
      </c>
      <c r="D468" s="16" t="s">
        <v>34</v>
      </c>
      <c r="E468" s="17" t="s">
        <v>497</v>
      </c>
      <c r="F468" s="15">
        <f>+YEAR(Tabla2[[#This Row],[Cosecha]])</f>
        <v>2024</v>
      </c>
      <c r="G468" s="16" t="s">
        <v>133</v>
      </c>
      <c r="H468" s="95">
        <f t="shared" si="18"/>
        <v>8</v>
      </c>
      <c r="I468" s="15" t="s">
        <v>18</v>
      </c>
      <c r="J468" s="16" t="s">
        <v>133</v>
      </c>
      <c r="K468" s="88">
        <f t="shared" si="19"/>
        <v>8</v>
      </c>
      <c r="L468" s="16" t="s">
        <v>1505</v>
      </c>
      <c r="M468" s="16" t="s">
        <v>130</v>
      </c>
      <c r="N468" s="96" t="s">
        <v>26</v>
      </c>
    </row>
    <row r="469" spans="1:14" x14ac:dyDescent="0.35">
      <c r="A469" s="90" t="s">
        <v>1888</v>
      </c>
      <c r="B469" s="10" t="s">
        <v>13</v>
      </c>
      <c r="C469" s="11" t="s">
        <v>1889</v>
      </c>
      <c r="D469" s="11" t="s">
        <v>34</v>
      </c>
      <c r="E469" s="12" t="s">
        <v>47</v>
      </c>
      <c r="F469" s="10">
        <f>+YEAR(Tabla2[[#This Row],[Cosecha]])</f>
        <v>2025</v>
      </c>
      <c r="G469" s="11" t="s">
        <v>118</v>
      </c>
      <c r="H469" s="91">
        <f t="shared" si="18"/>
        <v>6</v>
      </c>
      <c r="I469" s="10" t="s">
        <v>18</v>
      </c>
      <c r="J469" s="11" t="s">
        <v>118</v>
      </c>
      <c r="K469" s="88">
        <f t="shared" si="19"/>
        <v>6</v>
      </c>
      <c r="L469" s="11" t="s">
        <v>1890</v>
      </c>
      <c r="M469" s="11" t="s">
        <v>130</v>
      </c>
      <c r="N469" s="92" t="s">
        <v>21</v>
      </c>
    </row>
    <row r="470" spans="1:14" x14ac:dyDescent="0.35">
      <c r="A470" s="94" t="s">
        <v>1891</v>
      </c>
      <c r="B470" s="15" t="s">
        <v>13</v>
      </c>
      <c r="C470" s="16" t="s">
        <v>1892</v>
      </c>
      <c r="D470" s="16" t="s">
        <v>34</v>
      </c>
      <c r="E470" s="17" t="s">
        <v>66</v>
      </c>
      <c r="F470" s="15">
        <f>+YEAR(Tabla2[[#This Row],[Cosecha]])</f>
        <v>2025</v>
      </c>
      <c r="G470" s="16" t="s">
        <v>104</v>
      </c>
      <c r="H470" s="95">
        <f t="shared" si="18"/>
        <v>4</v>
      </c>
      <c r="I470" s="15" t="s">
        <v>18</v>
      </c>
      <c r="J470" s="16" t="s">
        <v>104</v>
      </c>
      <c r="K470" s="88">
        <f t="shared" si="19"/>
        <v>4</v>
      </c>
      <c r="L470" s="16" t="s">
        <v>1893</v>
      </c>
      <c r="M470" s="16" t="s">
        <v>44</v>
      </c>
      <c r="N470" s="96" t="s">
        <v>26</v>
      </c>
    </row>
    <row r="471" spans="1:14" x14ac:dyDescent="0.35">
      <c r="A471" s="90" t="s">
        <v>1894</v>
      </c>
      <c r="B471" s="10" t="s">
        <v>13</v>
      </c>
      <c r="C471" s="11" t="s">
        <v>1895</v>
      </c>
      <c r="D471" s="11" t="s">
        <v>15</v>
      </c>
      <c r="E471" s="12" t="s">
        <v>35</v>
      </c>
      <c r="F471" s="10">
        <f>+YEAR(Tabla2[[#This Row],[Cosecha]])</f>
        <v>2024</v>
      </c>
      <c r="G471" s="11" t="s">
        <v>66</v>
      </c>
      <c r="H471" s="91">
        <f t="shared" si="18"/>
        <v>3</v>
      </c>
      <c r="I471" s="10" t="s">
        <v>18</v>
      </c>
      <c r="J471" s="11" t="s">
        <v>66</v>
      </c>
      <c r="K471" s="88">
        <f t="shared" si="19"/>
        <v>3</v>
      </c>
      <c r="L471" s="11" t="s">
        <v>1896</v>
      </c>
      <c r="M471" s="11" t="s">
        <v>25</v>
      </c>
      <c r="N471" s="92" t="s">
        <v>21</v>
      </c>
    </row>
    <row r="472" spans="1:14" x14ac:dyDescent="0.35">
      <c r="A472" s="94" t="s">
        <v>1897</v>
      </c>
      <c r="B472" s="15" t="s">
        <v>13</v>
      </c>
      <c r="C472" s="16" t="s">
        <v>1898</v>
      </c>
      <c r="D472" s="16" t="s">
        <v>34</v>
      </c>
      <c r="E472" s="17" t="s">
        <v>453</v>
      </c>
      <c r="F472" s="15">
        <f>+YEAR(Tabla2[[#This Row],[Cosecha]])</f>
        <v>2024</v>
      </c>
      <c r="G472" s="16" t="s">
        <v>62</v>
      </c>
      <c r="H472" s="95">
        <f t="shared" si="18"/>
        <v>15</v>
      </c>
      <c r="I472" s="15" t="s">
        <v>18</v>
      </c>
      <c r="J472" s="16" t="s">
        <v>62</v>
      </c>
      <c r="K472" s="88">
        <f t="shared" si="19"/>
        <v>15</v>
      </c>
      <c r="L472" s="16" t="s">
        <v>1899</v>
      </c>
      <c r="M472" s="16" t="s">
        <v>25</v>
      </c>
      <c r="N472" s="96" t="s">
        <v>21</v>
      </c>
    </row>
    <row r="473" spans="1:14" x14ac:dyDescent="0.35">
      <c r="A473" s="90" t="s">
        <v>1903</v>
      </c>
      <c r="B473" s="10" t="s">
        <v>13</v>
      </c>
      <c r="C473" s="11" t="s">
        <v>1904</v>
      </c>
      <c r="D473" s="11" t="s">
        <v>90</v>
      </c>
      <c r="E473" s="12" t="s">
        <v>62</v>
      </c>
      <c r="F473" s="10">
        <f>+YEAR(Tabla2[[#This Row],[Cosecha]])</f>
        <v>2025</v>
      </c>
      <c r="G473" s="11" t="s">
        <v>23</v>
      </c>
      <c r="H473" s="91">
        <f t="shared" si="18"/>
        <v>6</v>
      </c>
      <c r="I473" s="10" t="s">
        <v>18</v>
      </c>
      <c r="J473" s="11" t="s">
        <v>23</v>
      </c>
      <c r="K473" s="88">
        <f t="shared" si="19"/>
        <v>6</v>
      </c>
      <c r="L473" s="11" t="s">
        <v>1905</v>
      </c>
      <c r="M473" s="11" t="s">
        <v>25</v>
      </c>
      <c r="N473" s="92" t="s">
        <v>26</v>
      </c>
    </row>
    <row r="474" spans="1:14" x14ac:dyDescent="0.35">
      <c r="A474" s="94" t="s">
        <v>1906</v>
      </c>
      <c r="B474" s="15" t="s">
        <v>13</v>
      </c>
      <c r="C474" s="16" t="s">
        <v>1907</v>
      </c>
      <c r="D474" s="16" t="s">
        <v>15</v>
      </c>
      <c r="E474" s="17" t="s">
        <v>29</v>
      </c>
      <c r="F474" s="15">
        <f>+YEAR(Tabla2[[#This Row],[Cosecha]])</f>
        <v>2025</v>
      </c>
      <c r="G474" s="16" t="s">
        <v>97</v>
      </c>
      <c r="H474" s="95">
        <f t="shared" si="18"/>
        <v>2</v>
      </c>
      <c r="I474" s="15" t="s">
        <v>18</v>
      </c>
      <c r="J474" s="16" t="s">
        <v>97</v>
      </c>
      <c r="K474" s="88">
        <f t="shared" si="19"/>
        <v>2</v>
      </c>
      <c r="L474" s="16" t="s">
        <v>1066</v>
      </c>
      <c r="M474" s="16" t="s">
        <v>25</v>
      </c>
      <c r="N474" s="96" t="s">
        <v>26</v>
      </c>
    </row>
    <row r="475" spans="1:14" x14ac:dyDescent="0.35">
      <c r="A475" s="90" t="s">
        <v>1908</v>
      </c>
      <c r="B475" s="10" t="s">
        <v>13</v>
      </c>
      <c r="C475" s="11" t="s">
        <v>1909</v>
      </c>
      <c r="D475" s="11" t="s">
        <v>15</v>
      </c>
      <c r="E475" s="12" t="s">
        <v>104</v>
      </c>
      <c r="F475" s="10">
        <f>+YEAR(Tabla2[[#This Row],[Cosecha]])</f>
        <v>2025</v>
      </c>
      <c r="G475" s="11" t="s">
        <v>30</v>
      </c>
      <c r="H475" s="91">
        <f t="shared" si="18"/>
        <v>10</v>
      </c>
      <c r="I475" s="10" t="s">
        <v>18</v>
      </c>
      <c r="J475" s="11" t="s">
        <v>30</v>
      </c>
      <c r="K475" s="88">
        <f t="shared" si="19"/>
        <v>10</v>
      </c>
      <c r="L475" s="11" t="s">
        <v>1910</v>
      </c>
      <c r="M475" s="11" t="s">
        <v>25</v>
      </c>
      <c r="N475" s="92" t="s">
        <v>21</v>
      </c>
    </row>
    <row r="476" spans="1:14" x14ac:dyDescent="0.35">
      <c r="A476" s="94" t="s">
        <v>1911</v>
      </c>
      <c r="B476" s="15" t="s">
        <v>13</v>
      </c>
      <c r="C476" s="16" t="s">
        <v>1912</v>
      </c>
      <c r="D476" s="16" t="s">
        <v>34</v>
      </c>
      <c r="E476" s="17" t="s">
        <v>133</v>
      </c>
      <c r="F476" s="15">
        <f>+YEAR(Tabla2[[#This Row],[Cosecha]])</f>
        <v>2025</v>
      </c>
      <c r="G476" s="16" t="s">
        <v>30</v>
      </c>
      <c r="H476" s="95">
        <f t="shared" si="18"/>
        <v>11</v>
      </c>
      <c r="I476" s="15" t="s">
        <v>18</v>
      </c>
      <c r="J476" s="16" t="s">
        <v>17</v>
      </c>
      <c r="K476" s="88">
        <f t="shared" si="19"/>
        <v>12</v>
      </c>
      <c r="L476" s="16" t="s">
        <v>1913</v>
      </c>
      <c r="M476" s="16" t="s">
        <v>44</v>
      </c>
      <c r="N476" s="96" t="s">
        <v>26</v>
      </c>
    </row>
    <row r="477" spans="1:14" x14ac:dyDescent="0.35">
      <c r="A477" s="90" t="s">
        <v>1917</v>
      </c>
      <c r="B477" s="10" t="s">
        <v>13</v>
      </c>
      <c r="C477" s="11" t="s">
        <v>1918</v>
      </c>
      <c r="D477" s="11" t="s">
        <v>34</v>
      </c>
      <c r="E477" s="12" t="s">
        <v>178</v>
      </c>
      <c r="F477" s="10">
        <f>+YEAR(Tabla2[[#This Row],[Cosecha]])</f>
        <v>2024</v>
      </c>
      <c r="G477" s="11" t="s">
        <v>133</v>
      </c>
      <c r="H477" s="91">
        <f t="shared" si="18"/>
        <v>5</v>
      </c>
      <c r="I477" s="10" t="s">
        <v>18</v>
      </c>
      <c r="J477" s="11" t="s">
        <v>133</v>
      </c>
      <c r="K477" s="88">
        <f t="shared" si="19"/>
        <v>5</v>
      </c>
      <c r="L477" s="11" t="s">
        <v>1919</v>
      </c>
      <c r="M477" s="11" t="s">
        <v>130</v>
      </c>
      <c r="N477" s="92" t="s">
        <v>21</v>
      </c>
    </row>
    <row r="478" spans="1:14" x14ac:dyDescent="0.35">
      <c r="A478" s="94" t="s">
        <v>1920</v>
      </c>
      <c r="B478" s="15" t="s">
        <v>13</v>
      </c>
      <c r="C478" s="16" t="s">
        <v>1921</v>
      </c>
      <c r="D478" s="16" t="s">
        <v>15</v>
      </c>
      <c r="E478" s="17" t="s">
        <v>252</v>
      </c>
      <c r="F478" s="15">
        <f>+YEAR(Tabla2[[#This Row],[Cosecha]])</f>
        <v>2024</v>
      </c>
      <c r="G478" s="16" t="s">
        <v>62</v>
      </c>
      <c r="H478" s="95">
        <f t="shared" si="18"/>
        <v>12</v>
      </c>
      <c r="I478" s="15" t="s">
        <v>18</v>
      </c>
      <c r="J478" s="16" t="s">
        <v>62</v>
      </c>
      <c r="K478" s="88">
        <f t="shared" si="19"/>
        <v>12</v>
      </c>
      <c r="L478" s="16" t="s">
        <v>1922</v>
      </c>
      <c r="M478" s="16" t="s">
        <v>25</v>
      </c>
      <c r="N478" s="96" t="s">
        <v>21</v>
      </c>
    </row>
    <row r="479" spans="1:14" x14ac:dyDescent="0.35">
      <c r="A479" s="90" t="s">
        <v>1923</v>
      </c>
      <c r="B479" s="10" t="s">
        <v>13</v>
      </c>
      <c r="C479" s="11" t="s">
        <v>1924</v>
      </c>
      <c r="D479" s="11" t="s">
        <v>34</v>
      </c>
      <c r="E479" s="12" t="s">
        <v>275</v>
      </c>
      <c r="F479" s="10">
        <f>+YEAR(Tabla2[[#This Row],[Cosecha]])</f>
        <v>2024</v>
      </c>
      <c r="G479" s="11" t="s">
        <v>23</v>
      </c>
      <c r="H479" s="91">
        <f t="shared" si="18"/>
        <v>22</v>
      </c>
      <c r="I479" s="10" t="s">
        <v>18</v>
      </c>
      <c r="J479" s="11" t="s">
        <v>23</v>
      </c>
      <c r="K479" s="88">
        <f t="shared" si="19"/>
        <v>22</v>
      </c>
      <c r="L479" s="11" t="s">
        <v>1925</v>
      </c>
      <c r="M479" s="11" t="s">
        <v>130</v>
      </c>
      <c r="N479" s="92" t="s">
        <v>21</v>
      </c>
    </row>
    <row r="480" spans="1:14" x14ac:dyDescent="0.35">
      <c r="A480" s="94" t="s">
        <v>1926</v>
      </c>
      <c r="B480" s="15" t="s">
        <v>13</v>
      </c>
      <c r="C480" s="16" t="s">
        <v>1927</v>
      </c>
      <c r="D480" s="16" t="s">
        <v>34</v>
      </c>
      <c r="E480" s="17" t="s">
        <v>252</v>
      </c>
      <c r="F480" s="15">
        <f>+YEAR(Tabla2[[#This Row],[Cosecha]])</f>
        <v>2024</v>
      </c>
      <c r="G480" s="16" t="s">
        <v>29</v>
      </c>
      <c r="H480" s="95">
        <f t="shared" si="18"/>
        <v>11</v>
      </c>
      <c r="I480" s="15" t="s">
        <v>18</v>
      </c>
      <c r="J480" s="16" t="s">
        <v>29</v>
      </c>
      <c r="K480" s="88">
        <f t="shared" si="19"/>
        <v>11</v>
      </c>
      <c r="L480" s="16" t="s">
        <v>1928</v>
      </c>
      <c r="M480" s="16" t="s">
        <v>130</v>
      </c>
      <c r="N480" s="96" t="s">
        <v>21</v>
      </c>
    </row>
    <row r="481" spans="1:14" x14ac:dyDescent="0.35">
      <c r="A481" s="90" t="s">
        <v>1929</v>
      </c>
      <c r="B481" s="10" t="s">
        <v>13</v>
      </c>
      <c r="C481" s="11" t="s">
        <v>1930</v>
      </c>
      <c r="D481" s="11" t="s">
        <v>34</v>
      </c>
      <c r="E481" s="12" t="s">
        <v>36</v>
      </c>
      <c r="F481" s="10">
        <f>+YEAR(Tabla2[[#This Row],[Cosecha]])</f>
        <v>2025</v>
      </c>
      <c r="G481" s="11" t="s">
        <v>30</v>
      </c>
      <c r="H481" s="91">
        <f t="shared" si="18"/>
        <v>5</v>
      </c>
      <c r="I481" s="10" t="s">
        <v>18</v>
      </c>
      <c r="J481" s="11" t="s">
        <v>30</v>
      </c>
      <c r="K481" s="88">
        <f t="shared" si="19"/>
        <v>5</v>
      </c>
      <c r="L481" s="11" t="s">
        <v>1931</v>
      </c>
      <c r="M481" s="11" t="s">
        <v>115</v>
      </c>
      <c r="N481" s="92" t="s">
        <v>21</v>
      </c>
    </row>
    <row r="482" spans="1:14" x14ac:dyDescent="0.35">
      <c r="A482" s="94" t="s">
        <v>1932</v>
      </c>
      <c r="B482" s="15" t="s">
        <v>13</v>
      </c>
      <c r="C482" s="16" t="s">
        <v>1933</v>
      </c>
      <c r="D482" s="16" t="s">
        <v>34</v>
      </c>
      <c r="E482" s="17" t="s">
        <v>66</v>
      </c>
      <c r="F482" s="15">
        <f>+YEAR(Tabla2[[#This Row],[Cosecha]])</f>
        <v>2025</v>
      </c>
      <c r="G482" s="16" t="s">
        <v>133</v>
      </c>
      <c r="H482" s="95">
        <f t="shared" si="18"/>
        <v>3</v>
      </c>
      <c r="I482" s="15" t="s">
        <v>18</v>
      </c>
      <c r="J482" s="16" t="s">
        <v>133</v>
      </c>
      <c r="K482" s="88">
        <f t="shared" si="19"/>
        <v>3</v>
      </c>
      <c r="L482" s="16" t="s">
        <v>1934</v>
      </c>
      <c r="M482" s="16" t="s">
        <v>44</v>
      </c>
      <c r="N482" s="96" t="s">
        <v>26</v>
      </c>
    </row>
    <row r="483" spans="1:14" x14ac:dyDescent="0.35">
      <c r="A483" s="90" t="s">
        <v>1935</v>
      </c>
      <c r="B483" s="10" t="s">
        <v>13</v>
      </c>
      <c r="C483" s="11" t="s">
        <v>1936</v>
      </c>
      <c r="D483" s="11" t="s">
        <v>34</v>
      </c>
      <c r="E483" s="12" t="s">
        <v>23</v>
      </c>
      <c r="F483" s="10">
        <f>+YEAR(Tabla2[[#This Row],[Cosecha]])</f>
        <v>2026</v>
      </c>
      <c r="G483" s="11" t="s">
        <v>52</v>
      </c>
      <c r="H483" s="91">
        <f t="shared" si="18"/>
        <v>1</v>
      </c>
      <c r="I483" s="10" t="s">
        <v>18</v>
      </c>
      <c r="J483" s="11" t="s">
        <v>52</v>
      </c>
      <c r="K483" s="88">
        <f t="shared" si="19"/>
        <v>1</v>
      </c>
      <c r="L483" s="11" t="s">
        <v>1937</v>
      </c>
      <c r="M483" s="11" t="s">
        <v>25</v>
      </c>
      <c r="N483" s="92" t="s">
        <v>21</v>
      </c>
    </row>
    <row r="484" spans="1:14" x14ac:dyDescent="0.35">
      <c r="A484" s="94" t="s">
        <v>1938</v>
      </c>
      <c r="B484" s="15" t="s">
        <v>13</v>
      </c>
      <c r="C484" s="16" t="s">
        <v>1939</v>
      </c>
      <c r="D484" s="16" t="s">
        <v>34</v>
      </c>
      <c r="E484" s="17" t="s">
        <v>149</v>
      </c>
      <c r="F484" s="15">
        <f>+YEAR(Tabla2[[#This Row],[Cosecha]])</f>
        <v>2024</v>
      </c>
      <c r="G484" s="16" t="s">
        <v>23</v>
      </c>
      <c r="H484" s="95">
        <f t="shared" si="18"/>
        <v>16</v>
      </c>
      <c r="I484" s="15" t="s">
        <v>18</v>
      </c>
      <c r="J484" s="16" t="s">
        <v>23</v>
      </c>
      <c r="K484" s="88">
        <f t="shared" si="19"/>
        <v>16</v>
      </c>
      <c r="L484" s="16" t="s">
        <v>1940</v>
      </c>
      <c r="M484" s="16" t="s">
        <v>115</v>
      </c>
      <c r="N484" s="96" t="s">
        <v>21</v>
      </c>
    </row>
    <row r="485" spans="1:14" x14ac:dyDescent="0.35">
      <c r="A485" s="90" t="s">
        <v>1941</v>
      </c>
      <c r="B485" s="10" t="s">
        <v>13</v>
      </c>
      <c r="C485" s="11" t="s">
        <v>1942</v>
      </c>
      <c r="D485" s="11" t="s">
        <v>34</v>
      </c>
      <c r="E485" s="12" t="s">
        <v>66</v>
      </c>
      <c r="F485" s="10">
        <f>+YEAR(Tabla2[[#This Row],[Cosecha]])</f>
        <v>2025</v>
      </c>
      <c r="G485" s="11" t="s">
        <v>133</v>
      </c>
      <c r="H485" s="91">
        <f t="shared" si="18"/>
        <v>3</v>
      </c>
      <c r="I485" s="10" t="s">
        <v>18</v>
      </c>
      <c r="J485" s="11" t="s">
        <v>133</v>
      </c>
      <c r="K485" s="88">
        <f t="shared" si="19"/>
        <v>3</v>
      </c>
      <c r="L485" s="11" t="s">
        <v>1943</v>
      </c>
      <c r="M485" s="11" t="s">
        <v>44</v>
      </c>
      <c r="N485" s="92" t="s">
        <v>21</v>
      </c>
    </row>
    <row r="486" spans="1:14" x14ac:dyDescent="0.35">
      <c r="A486" s="94" t="s">
        <v>1944</v>
      </c>
      <c r="B486" s="15" t="s">
        <v>13</v>
      </c>
      <c r="C486" s="16" t="s">
        <v>1945</v>
      </c>
      <c r="D486" s="16" t="s">
        <v>90</v>
      </c>
      <c r="E486" s="17" t="s">
        <v>62</v>
      </c>
      <c r="F486" s="15">
        <f>+YEAR(Tabla2[[#This Row],[Cosecha]])</f>
        <v>2025</v>
      </c>
      <c r="G486" s="16" t="s">
        <v>37</v>
      </c>
      <c r="H486" s="95">
        <f t="shared" si="18"/>
        <v>4</v>
      </c>
      <c r="I486" s="15" t="s">
        <v>18</v>
      </c>
      <c r="J486" s="16" t="s">
        <v>113</v>
      </c>
      <c r="K486" s="88">
        <f t="shared" si="19"/>
        <v>5</v>
      </c>
      <c r="L486" s="16" t="s">
        <v>1946</v>
      </c>
      <c r="M486" s="16" t="s">
        <v>39</v>
      </c>
      <c r="N486" s="96" t="s">
        <v>21</v>
      </c>
    </row>
    <row r="487" spans="1:14" x14ac:dyDescent="0.35">
      <c r="A487" s="90" t="s">
        <v>1947</v>
      </c>
      <c r="B487" s="10" t="s">
        <v>13</v>
      </c>
      <c r="C487" s="11" t="s">
        <v>1948</v>
      </c>
      <c r="D487" s="11" t="s">
        <v>34</v>
      </c>
      <c r="E487" s="12" t="s">
        <v>51</v>
      </c>
      <c r="F487" s="10">
        <f>+YEAR(Tabla2[[#This Row],[Cosecha]])</f>
        <v>2025</v>
      </c>
      <c r="G487" s="11" t="s">
        <v>29</v>
      </c>
      <c r="H487" s="91">
        <f t="shared" si="18"/>
        <v>4</v>
      </c>
      <c r="I487" s="10" t="s">
        <v>18</v>
      </c>
      <c r="J487" s="11" t="s">
        <v>97</v>
      </c>
      <c r="K487" s="88">
        <f t="shared" si="19"/>
        <v>6</v>
      </c>
      <c r="L487" s="11" t="s">
        <v>1949</v>
      </c>
      <c r="M487" s="11" t="s">
        <v>44</v>
      </c>
      <c r="N487" s="92" t="s">
        <v>26</v>
      </c>
    </row>
    <row r="488" spans="1:14" x14ac:dyDescent="0.35">
      <c r="A488" s="94" t="s">
        <v>1950</v>
      </c>
      <c r="B488" s="15" t="s">
        <v>13</v>
      </c>
      <c r="C488" s="16" t="s">
        <v>1951</v>
      </c>
      <c r="D488" s="16" t="s">
        <v>34</v>
      </c>
      <c r="E488" s="17" t="s">
        <v>51</v>
      </c>
      <c r="F488" s="15">
        <f>+YEAR(Tabla2[[#This Row],[Cosecha]])</f>
        <v>2025</v>
      </c>
      <c r="G488" s="16" t="s">
        <v>29</v>
      </c>
      <c r="H488" s="95">
        <f t="shared" si="18"/>
        <v>4</v>
      </c>
      <c r="I488" s="15" t="s">
        <v>18</v>
      </c>
      <c r="J488" s="16" t="s">
        <v>29</v>
      </c>
      <c r="K488" s="88">
        <f t="shared" si="19"/>
        <v>4</v>
      </c>
      <c r="L488" s="16" t="s">
        <v>1952</v>
      </c>
      <c r="M488" s="16" t="s">
        <v>44</v>
      </c>
      <c r="N488" s="96" t="s">
        <v>26</v>
      </c>
    </row>
    <row r="489" spans="1:14" x14ac:dyDescent="0.35">
      <c r="A489" s="90" t="s">
        <v>1953</v>
      </c>
      <c r="B489" s="10" t="s">
        <v>13</v>
      </c>
      <c r="C489" s="11" t="s">
        <v>1954</v>
      </c>
      <c r="D489" s="11" t="s">
        <v>34</v>
      </c>
      <c r="E489" s="12" t="s">
        <v>51</v>
      </c>
      <c r="F489" s="10">
        <f>+YEAR(Tabla2[[#This Row],[Cosecha]])</f>
        <v>2025</v>
      </c>
      <c r="G489" s="11" t="s">
        <v>29</v>
      </c>
      <c r="H489" s="91">
        <f t="shared" si="18"/>
        <v>4</v>
      </c>
      <c r="I489" s="10" t="s">
        <v>18</v>
      </c>
      <c r="J489" s="11" t="s">
        <v>29</v>
      </c>
      <c r="K489" s="88">
        <f t="shared" si="19"/>
        <v>4</v>
      </c>
      <c r="L489" s="11" t="s">
        <v>1955</v>
      </c>
      <c r="M489" s="11" t="s">
        <v>130</v>
      </c>
      <c r="N489" s="92" t="s">
        <v>21</v>
      </c>
    </row>
    <row r="490" spans="1:14" x14ac:dyDescent="0.35">
      <c r="A490" s="94" t="s">
        <v>1956</v>
      </c>
      <c r="B490" s="15" t="s">
        <v>13</v>
      </c>
      <c r="C490" s="16" t="s">
        <v>1957</v>
      </c>
      <c r="D490" s="16" t="s">
        <v>34</v>
      </c>
      <c r="E490" s="17" t="s">
        <v>118</v>
      </c>
      <c r="F490" s="15">
        <f>+YEAR(Tabla2[[#This Row],[Cosecha]])</f>
        <v>2025</v>
      </c>
      <c r="G490" s="16" t="s">
        <v>52</v>
      </c>
      <c r="H490" s="95">
        <f t="shared" si="18"/>
        <v>5</v>
      </c>
      <c r="I490" s="15" t="s">
        <v>18</v>
      </c>
      <c r="J490" s="16" t="s">
        <v>70</v>
      </c>
      <c r="K490" s="88">
        <f t="shared" si="19"/>
        <v>8</v>
      </c>
      <c r="L490" s="16" t="s">
        <v>1958</v>
      </c>
      <c r="M490" s="16" t="s">
        <v>44</v>
      </c>
      <c r="N490" s="96" t="s">
        <v>21</v>
      </c>
    </row>
    <row r="491" spans="1:14" x14ac:dyDescent="0.35">
      <c r="A491" s="90" t="s">
        <v>1959</v>
      </c>
      <c r="B491" s="10" t="s">
        <v>13</v>
      </c>
      <c r="C491" s="11" t="s">
        <v>1960</v>
      </c>
      <c r="D491" s="11" t="s">
        <v>15</v>
      </c>
      <c r="E491" s="12" t="s">
        <v>37</v>
      </c>
      <c r="F491" s="10">
        <f>+YEAR(Tabla2[[#This Row],[Cosecha]])</f>
        <v>2025</v>
      </c>
      <c r="G491" s="11" t="s">
        <v>52</v>
      </c>
      <c r="H491" s="91">
        <f t="shared" si="18"/>
        <v>3</v>
      </c>
      <c r="I491" s="10" t="s">
        <v>18</v>
      </c>
      <c r="J491" s="11" t="s">
        <v>30</v>
      </c>
      <c r="K491" s="88">
        <f t="shared" si="19"/>
        <v>4</v>
      </c>
      <c r="L491" s="11" t="s">
        <v>1961</v>
      </c>
      <c r="M491" s="11" t="s">
        <v>25</v>
      </c>
      <c r="N491" s="92" t="s">
        <v>26</v>
      </c>
    </row>
    <row r="492" spans="1:14" x14ac:dyDescent="0.35">
      <c r="A492" s="94" t="s">
        <v>1962</v>
      </c>
      <c r="B492" s="15" t="s">
        <v>13</v>
      </c>
      <c r="C492" s="16" t="s">
        <v>1963</v>
      </c>
      <c r="D492" s="16" t="s">
        <v>34</v>
      </c>
      <c r="E492" s="17" t="s">
        <v>97</v>
      </c>
      <c r="F492" s="15">
        <f>+YEAR(Tabla2[[#This Row],[Cosecha]])</f>
        <v>2025</v>
      </c>
      <c r="G492" s="16" t="s">
        <v>30</v>
      </c>
      <c r="H492" s="95">
        <f t="shared" si="18"/>
        <v>7</v>
      </c>
      <c r="I492" s="15" t="s">
        <v>18</v>
      </c>
      <c r="J492" s="16" t="s">
        <v>30</v>
      </c>
      <c r="K492" s="88">
        <f t="shared" si="19"/>
        <v>7</v>
      </c>
      <c r="L492" s="16" t="s">
        <v>1964</v>
      </c>
      <c r="M492" s="16" t="s">
        <v>115</v>
      </c>
      <c r="N492" s="96" t="s">
        <v>21</v>
      </c>
    </row>
    <row r="493" spans="1:14" x14ac:dyDescent="0.35">
      <c r="A493" s="90" t="s">
        <v>1965</v>
      </c>
      <c r="B493" s="10" t="s">
        <v>13</v>
      </c>
      <c r="C493" s="11" t="s">
        <v>1966</v>
      </c>
      <c r="D493" s="11" t="s">
        <v>34</v>
      </c>
      <c r="E493" s="12" t="s">
        <v>36</v>
      </c>
      <c r="F493" s="10">
        <f>+YEAR(Tabla2[[#This Row],[Cosecha]])</f>
        <v>2025</v>
      </c>
      <c r="G493" s="11" t="s">
        <v>113</v>
      </c>
      <c r="H493" s="91">
        <f t="shared" si="18"/>
        <v>2</v>
      </c>
      <c r="I493" s="10" t="s">
        <v>18</v>
      </c>
      <c r="J493" s="11" t="s">
        <v>23</v>
      </c>
      <c r="K493" s="88">
        <f t="shared" si="19"/>
        <v>3</v>
      </c>
      <c r="L493" s="11" t="s">
        <v>1967</v>
      </c>
      <c r="M493" s="11" t="s">
        <v>72</v>
      </c>
      <c r="N493" s="92" t="s">
        <v>21</v>
      </c>
    </row>
    <row r="494" spans="1:14" x14ac:dyDescent="0.35">
      <c r="A494" s="94" t="s">
        <v>1968</v>
      </c>
      <c r="B494" s="15" t="s">
        <v>13</v>
      </c>
      <c r="C494" s="16" t="s">
        <v>1969</v>
      </c>
      <c r="D494" s="16" t="s">
        <v>34</v>
      </c>
      <c r="E494" s="17" t="s">
        <v>97</v>
      </c>
      <c r="F494" s="15">
        <f>+YEAR(Tabla2[[#This Row],[Cosecha]])</f>
        <v>2025</v>
      </c>
      <c r="G494" s="16" t="s">
        <v>52</v>
      </c>
      <c r="H494" s="95">
        <f t="shared" si="18"/>
        <v>6</v>
      </c>
      <c r="I494" s="15" t="s">
        <v>18</v>
      </c>
      <c r="J494" s="16" t="s">
        <v>52</v>
      </c>
      <c r="K494" s="88">
        <f t="shared" si="19"/>
        <v>6</v>
      </c>
      <c r="L494" s="16" t="s">
        <v>1970</v>
      </c>
      <c r="M494" s="16" t="s">
        <v>25</v>
      </c>
      <c r="N494" s="96" t="s">
        <v>21</v>
      </c>
    </row>
    <row r="495" spans="1:14" x14ac:dyDescent="0.35">
      <c r="A495" s="90" t="s">
        <v>1971</v>
      </c>
      <c r="B495" s="10" t="s">
        <v>13</v>
      </c>
      <c r="C495" s="11" t="s">
        <v>1972</v>
      </c>
      <c r="D495" s="11" t="s">
        <v>34</v>
      </c>
      <c r="E495" s="12" t="s">
        <v>178</v>
      </c>
      <c r="F495" s="10">
        <f>+YEAR(Tabla2[[#This Row],[Cosecha]])</f>
        <v>2024</v>
      </c>
      <c r="G495" s="11" t="s">
        <v>62</v>
      </c>
      <c r="H495" s="91">
        <f t="shared" si="18"/>
        <v>8</v>
      </c>
      <c r="I495" s="10" t="s">
        <v>18</v>
      </c>
      <c r="J495" s="11" t="s">
        <v>97</v>
      </c>
      <c r="K495" s="88">
        <f t="shared" si="19"/>
        <v>9</v>
      </c>
      <c r="L495" s="11" t="s">
        <v>1973</v>
      </c>
      <c r="M495" s="11" t="s">
        <v>130</v>
      </c>
      <c r="N495" s="92" t="s">
        <v>26</v>
      </c>
    </row>
    <row r="496" spans="1:14" x14ac:dyDescent="0.35">
      <c r="A496" s="94" t="s">
        <v>1974</v>
      </c>
      <c r="B496" s="15" t="s">
        <v>13</v>
      </c>
      <c r="C496" s="16" t="s">
        <v>1975</v>
      </c>
      <c r="D496" s="16" t="s">
        <v>34</v>
      </c>
      <c r="E496" s="17" t="s">
        <v>82</v>
      </c>
      <c r="F496" s="15">
        <f>+YEAR(Tabla2[[#This Row],[Cosecha]])</f>
        <v>2024</v>
      </c>
      <c r="G496" s="16" t="s">
        <v>62</v>
      </c>
      <c r="H496" s="95">
        <f t="shared" si="18"/>
        <v>7</v>
      </c>
      <c r="I496" s="15" t="s">
        <v>18</v>
      </c>
      <c r="J496" s="16" t="s">
        <v>97</v>
      </c>
      <c r="K496" s="88">
        <f t="shared" si="19"/>
        <v>8</v>
      </c>
      <c r="L496" s="16" t="s">
        <v>1976</v>
      </c>
      <c r="M496" s="16" t="s">
        <v>130</v>
      </c>
      <c r="N496" s="96" t="s">
        <v>21</v>
      </c>
    </row>
    <row r="497" spans="1:14" x14ac:dyDescent="0.35">
      <c r="A497" s="90" t="s">
        <v>1979</v>
      </c>
      <c r="B497" s="10" t="s">
        <v>13</v>
      </c>
      <c r="C497" s="11" t="s">
        <v>1980</v>
      </c>
      <c r="D497" s="11" t="s">
        <v>34</v>
      </c>
      <c r="E497" s="12" t="s">
        <v>62</v>
      </c>
      <c r="F497" s="10">
        <f>+YEAR(Tabla2[[#This Row],[Cosecha]])</f>
        <v>2025</v>
      </c>
      <c r="G497" s="11" t="s">
        <v>113</v>
      </c>
      <c r="H497" s="91">
        <f t="shared" si="18"/>
        <v>5</v>
      </c>
      <c r="I497" s="10" t="s">
        <v>18</v>
      </c>
      <c r="J497" s="11" t="s">
        <v>23</v>
      </c>
      <c r="K497" s="88">
        <f t="shared" si="19"/>
        <v>6</v>
      </c>
      <c r="L497" s="11" t="s">
        <v>1981</v>
      </c>
      <c r="M497" s="11" t="s">
        <v>44</v>
      </c>
      <c r="N497" s="92" t="s">
        <v>21</v>
      </c>
    </row>
    <row r="498" spans="1:14" x14ac:dyDescent="0.35">
      <c r="A498" s="94" t="s">
        <v>1982</v>
      </c>
      <c r="B498" s="15" t="s">
        <v>13</v>
      </c>
      <c r="C498" s="16" t="s">
        <v>1983</v>
      </c>
      <c r="D498" s="16" t="s">
        <v>34</v>
      </c>
      <c r="E498" s="17" t="s">
        <v>66</v>
      </c>
      <c r="F498" s="15">
        <f>+YEAR(Tabla2[[#This Row],[Cosecha]])</f>
        <v>2025</v>
      </c>
      <c r="G498" s="16" t="s">
        <v>133</v>
      </c>
      <c r="H498" s="95">
        <f t="shared" si="18"/>
        <v>3</v>
      </c>
      <c r="I498" s="15" t="s">
        <v>18</v>
      </c>
      <c r="J498" s="16" t="s">
        <v>133</v>
      </c>
      <c r="K498" s="88">
        <f t="shared" si="19"/>
        <v>3</v>
      </c>
      <c r="L498" s="16" t="s">
        <v>1984</v>
      </c>
      <c r="M498" s="16" t="s">
        <v>130</v>
      </c>
      <c r="N498" s="96" t="s">
        <v>21</v>
      </c>
    </row>
    <row r="499" spans="1:14" x14ac:dyDescent="0.35">
      <c r="A499" s="90" t="s">
        <v>1985</v>
      </c>
      <c r="B499" s="10" t="s">
        <v>13</v>
      </c>
      <c r="C499" s="11" t="s">
        <v>1986</v>
      </c>
      <c r="D499" s="11" t="s">
        <v>15</v>
      </c>
      <c r="E499" s="12" t="s">
        <v>244</v>
      </c>
      <c r="F499" s="10">
        <f>+YEAR(Tabla2[[#This Row],[Cosecha]])</f>
        <v>2024</v>
      </c>
      <c r="G499" s="11" t="s">
        <v>97</v>
      </c>
      <c r="H499" s="91">
        <f t="shared" si="18"/>
        <v>15</v>
      </c>
      <c r="I499" s="10" t="s">
        <v>18</v>
      </c>
      <c r="J499" s="11" t="s">
        <v>97</v>
      </c>
      <c r="K499" s="88">
        <f t="shared" si="19"/>
        <v>15</v>
      </c>
      <c r="L499" s="11" t="s">
        <v>1987</v>
      </c>
      <c r="M499" s="11" t="s">
        <v>25</v>
      </c>
      <c r="N499" s="92" t="s">
        <v>21</v>
      </c>
    </row>
    <row r="500" spans="1:14" x14ac:dyDescent="0.35">
      <c r="A500" s="94" t="s">
        <v>1988</v>
      </c>
      <c r="B500" s="15" t="s">
        <v>13</v>
      </c>
      <c r="C500" s="16" t="s">
        <v>1989</v>
      </c>
      <c r="D500" s="16" t="s">
        <v>34</v>
      </c>
      <c r="E500" s="17" t="s">
        <v>51</v>
      </c>
      <c r="F500" s="15">
        <f>+YEAR(Tabla2[[#This Row],[Cosecha]])</f>
        <v>2025</v>
      </c>
      <c r="G500" s="16" t="s">
        <v>29</v>
      </c>
      <c r="H500" s="95">
        <f t="shared" si="18"/>
        <v>4</v>
      </c>
      <c r="I500" s="15" t="s">
        <v>18</v>
      </c>
      <c r="J500" s="16" t="s">
        <v>29</v>
      </c>
      <c r="K500" s="88">
        <f t="shared" si="19"/>
        <v>4</v>
      </c>
      <c r="L500" s="16" t="s">
        <v>1990</v>
      </c>
      <c r="M500" s="16" t="s">
        <v>130</v>
      </c>
      <c r="N500" s="96" t="s">
        <v>26</v>
      </c>
    </row>
    <row r="501" spans="1:14" x14ac:dyDescent="0.35">
      <c r="A501" s="90" t="s">
        <v>1994</v>
      </c>
      <c r="B501" s="10" t="s">
        <v>13</v>
      </c>
      <c r="C501" s="11" t="s">
        <v>1995</v>
      </c>
      <c r="D501" s="11" t="s">
        <v>34</v>
      </c>
      <c r="E501" s="12" t="s">
        <v>133</v>
      </c>
      <c r="F501" s="10">
        <f>+YEAR(Tabla2[[#This Row],[Cosecha]])</f>
        <v>2025</v>
      </c>
      <c r="G501" s="11" t="s">
        <v>97</v>
      </c>
      <c r="H501" s="91">
        <f t="shared" si="18"/>
        <v>4</v>
      </c>
      <c r="I501" s="10" t="s">
        <v>18</v>
      </c>
      <c r="J501" s="11" t="s">
        <v>97</v>
      </c>
      <c r="K501" s="88">
        <f t="shared" si="19"/>
        <v>4</v>
      </c>
      <c r="L501" s="11" t="s">
        <v>1996</v>
      </c>
      <c r="M501" s="11" t="s">
        <v>20</v>
      </c>
      <c r="N501" s="92" t="s">
        <v>21</v>
      </c>
    </row>
    <row r="502" spans="1:14" x14ac:dyDescent="0.35">
      <c r="A502" s="94" t="s">
        <v>1997</v>
      </c>
      <c r="B502" s="15" t="s">
        <v>13</v>
      </c>
      <c r="C502" s="16" t="s">
        <v>1998</v>
      </c>
      <c r="D502" s="16" t="s">
        <v>15</v>
      </c>
      <c r="E502" s="17" t="s">
        <v>149</v>
      </c>
      <c r="F502" s="15">
        <f>+YEAR(Tabla2[[#This Row],[Cosecha]])</f>
        <v>2024</v>
      </c>
      <c r="G502" s="16" t="s">
        <v>113</v>
      </c>
      <c r="H502" s="95">
        <f t="shared" si="18"/>
        <v>15</v>
      </c>
      <c r="I502" s="15" t="s">
        <v>18</v>
      </c>
      <c r="J502" s="16" t="s">
        <v>113</v>
      </c>
      <c r="K502" s="88">
        <f t="shared" si="19"/>
        <v>15</v>
      </c>
      <c r="L502" s="16" t="s">
        <v>1999</v>
      </c>
      <c r="M502" s="16" t="s">
        <v>25</v>
      </c>
      <c r="N502" s="96" t="s">
        <v>21</v>
      </c>
    </row>
    <row r="503" spans="1:14" x14ac:dyDescent="0.35">
      <c r="A503" s="90" t="s">
        <v>2000</v>
      </c>
      <c r="B503" s="10" t="s">
        <v>13</v>
      </c>
      <c r="C503" s="11" t="s">
        <v>2001</v>
      </c>
      <c r="D503" s="11" t="s">
        <v>90</v>
      </c>
      <c r="E503" s="12" t="s">
        <v>35</v>
      </c>
      <c r="F503" s="10">
        <f>+YEAR(Tabla2[[#This Row],[Cosecha]])</f>
        <v>2024</v>
      </c>
      <c r="G503" s="11" t="s">
        <v>97</v>
      </c>
      <c r="H503" s="91">
        <f t="shared" si="18"/>
        <v>10</v>
      </c>
      <c r="I503" s="10" t="s">
        <v>18</v>
      </c>
      <c r="J503" s="11" t="s">
        <v>118</v>
      </c>
      <c r="K503" s="88">
        <f t="shared" si="19"/>
        <v>11</v>
      </c>
      <c r="L503" s="11" t="s">
        <v>2002</v>
      </c>
      <c r="M503" s="11" t="s">
        <v>195</v>
      </c>
      <c r="N503" s="92" t="s">
        <v>21</v>
      </c>
    </row>
    <row r="504" spans="1:14" x14ac:dyDescent="0.35">
      <c r="A504" s="94" t="s">
        <v>2003</v>
      </c>
      <c r="B504" s="15" t="s">
        <v>13</v>
      </c>
      <c r="C504" s="16" t="s">
        <v>2004</v>
      </c>
      <c r="D504" s="16" t="s">
        <v>34</v>
      </c>
      <c r="E504" s="17" t="s">
        <v>35</v>
      </c>
      <c r="F504" s="15">
        <f>+YEAR(Tabla2[[#This Row],[Cosecha]])</f>
        <v>2024</v>
      </c>
      <c r="G504" s="16" t="s">
        <v>133</v>
      </c>
      <c r="H504" s="95">
        <f t="shared" si="18"/>
        <v>6</v>
      </c>
      <c r="I504" s="15" t="s">
        <v>18</v>
      </c>
      <c r="J504" s="16" t="s">
        <v>133</v>
      </c>
      <c r="K504" s="88">
        <f t="shared" si="19"/>
        <v>6</v>
      </c>
      <c r="L504" s="16" t="s">
        <v>2005</v>
      </c>
      <c r="M504" s="16" t="s">
        <v>130</v>
      </c>
      <c r="N504" s="96" t="s">
        <v>21</v>
      </c>
    </row>
    <row r="505" spans="1:14" x14ac:dyDescent="0.35">
      <c r="A505" s="90" t="s">
        <v>2009</v>
      </c>
      <c r="B505" s="10" t="s">
        <v>13</v>
      </c>
      <c r="C505" s="11" t="s">
        <v>2010</v>
      </c>
      <c r="D505" s="11" t="s">
        <v>34</v>
      </c>
      <c r="E505" s="12" t="s">
        <v>104</v>
      </c>
      <c r="F505" s="10">
        <f>+YEAR(Tabla2[[#This Row],[Cosecha]])</f>
        <v>2025</v>
      </c>
      <c r="G505" s="11" t="s">
        <v>17</v>
      </c>
      <c r="H505" s="91">
        <f t="shared" si="18"/>
        <v>11</v>
      </c>
      <c r="I505" s="10" t="s">
        <v>18</v>
      </c>
      <c r="J505" s="11" t="s">
        <v>17</v>
      </c>
      <c r="K505" s="88">
        <f t="shared" si="19"/>
        <v>11</v>
      </c>
      <c r="L505" s="11" t="s">
        <v>1139</v>
      </c>
      <c r="M505" s="11" t="s">
        <v>130</v>
      </c>
      <c r="N505" s="92" t="s">
        <v>21</v>
      </c>
    </row>
    <row r="506" spans="1:14" x14ac:dyDescent="0.35">
      <c r="A506" s="94" t="s">
        <v>2011</v>
      </c>
      <c r="B506" s="15" t="s">
        <v>13</v>
      </c>
      <c r="C506" s="16" t="s">
        <v>2012</v>
      </c>
      <c r="D506" s="16" t="s">
        <v>34</v>
      </c>
      <c r="E506" s="17" t="s">
        <v>29</v>
      </c>
      <c r="F506" s="15">
        <f>+YEAR(Tabla2[[#This Row],[Cosecha]])</f>
        <v>2025</v>
      </c>
      <c r="G506" s="16" t="s">
        <v>30</v>
      </c>
      <c r="H506" s="95">
        <f t="shared" si="18"/>
        <v>9</v>
      </c>
      <c r="I506" s="15" t="s">
        <v>18</v>
      </c>
      <c r="J506" s="16" t="s">
        <v>17</v>
      </c>
      <c r="K506" s="88">
        <f t="shared" si="19"/>
        <v>10</v>
      </c>
      <c r="L506" s="16" t="s">
        <v>2013</v>
      </c>
      <c r="M506" s="16" t="s">
        <v>115</v>
      </c>
      <c r="N506" s="96" t="s">
        <v>21</v>
      </c>
    </row>
    <row r="507" spans="1:14" x14ac:dyDescent="0.35">
      <c r="A507" s="90" t="s">
        <v>2014</v>
      </c>
      <c r="B507" s="10" t="s">
        <v>13</v>
      </c>
      <c r="C507" s="11" t="s">
        <v>2015</v>
      </c>
      <c r="D507" s="11" t="s">
        <v>34</v>
      </c>
      <c r="E507" s="12" t="s">
        <v>51</v>
      </c>
      <c r="F507" s="10">
        <f>+YEAR(Tabla2[[#This Row],[Cosecha]])</f>
        <v>2025</v>
      </c>
      <c r="G507" s="11" t="s">
        <v>30</v>
      </c>
      <c r="H507" s="91">
        <f t="shared" si="18"/>
        <v>13</v>
      </c>
      <c r="I507" s="10" t="s">
        <v>18</v>
      </c>
      <c r="J507" s="11" t="s">
        <v>30</v>
      </c>
      <c r="K507" s="88">
        <f t="shared" si="19"/>
        <v>13</v>
      </c>
      <c r="L507" s="11" t="s">
        <v>2016</v>
      </c>
      <c r="M507" s="11" t="s">
        <v>44</v>
      </c>
      <c r="N507" s="92" t="s">
        <v>26</v>
      </c>
    </row>
    <row r="508" spans="1:14" x14ac:dyDescent="0.35">
      <c r="A508" s="94" t="s">
        <v>2026</v>
      </c>
      <c r="B508" s="15" t="s">
        <v>13</v>
      </c>
      <c r="C508" s="16" t="s">
        <v>2027</v>
      </c>
      <c r="D508" s="16" t="s">
        <v>34</v>
      </c>
      <c r="E508" s="17" t="s">
        <v>37</v>
      </c>
      <c r="F508" s="15">
        <f>+YEAR(Tabla2[[#This Row],[Cosecha]])</f>
        <v>2025</v>
      </c>
      <c r="G508" s="16" t="s">
        <v>30</v>
      </c>
      <c r="H508" s="95">
        <f t="shared" si="18"/>
        <v>4</v>
      </c>
      <c r="I508" s="15" t="s">
        <v>18</v>
      </c>
      <c r="J508" s="16" t="s">
        <v>30</v>
      </c>
      <c r="K508" s="88">
        <f t="shared" si="19"/>
        <v>4</v>
      </c>
      <c r="L508" s="16" t="s">
        <v>2028</v>
      </c>
      <c r="M508" s="16" t="s">
        <v>115</v>
      </c>
      <c r="N508" s="96" t="s">
        <v>21</v>
      </c>
    </row>
    <row r="509" spans="1:14" x14ac:dyDescent="0.35">
      <c r="A509" s="90" t="s">
        <v>2029</v>
      </c>
      <c r="B509" s="10" t="s">
        <v>13</v>
      </c>
      <c r="C509" s="11" t="s">
        <v>2030</v>
      </c>
      <c r="D509" s="11" t="s">
        <v>34</v>
      </c>
      <c r="E509" s="12" t="s">
        <v>97</v>
      </c>
      <c r="F509" s="10">
        <f>+YEAR(Tabla2[[#This Row],[Cosecha]])</f>
        <v>2025</v>
      </c>
      <c r="G509" s="11" t="s">
        <v>30</v>
      </c>
      <c r="H509" s="91">
        <f t="shared" si="18"/>
        <v>7</v>
      </c>
      <c r="I509" s="10" t="s">
        <v>18</v>
      </c>
      <c r="J509" s="11" t="s">
        <v>30</v>
      </c>
      <c r="K509" s="88">
        <f t="shared" si="19"/>
        <v>7</v>
      </c>
      <c r="L509" s="11" t="s">
        <v>2031</v>
      </c>
      <c r="M509" s="11" t="s">
        <v>115</v>
      </c>
      <c r="N509" s="92" t="s">
        <v>26</v>
      </c>
    </row>
    <row r="510" spans="1:14" x14ac:dyDescent="0.35">
      <c r="A510" s="94" t="s">
        <v>2035</v>
      </c>
      <c r="B510" s="15" t="s">
        <v>13</v>
      </c>
      <c r="C510" s="16" t="s">
        <v>2036</v>
      </c>
      <c r="D510" s="16" t="s">
        <v>34</v>
      </c>
      <c r="E510" s="17" t="s">
        <v>29</v>
      </c>
      <c r="F510" s="15">
        <f>+YEAR(Tabla2[[#This Row],[Cosecha]])</f>
        <v>2025</v>
      </c>
      <c r="G510" s="16" t="s">
        <v>62</v>
      </c>
      <c r="H510" s="95">
        <f t="shared" si="18"/>
        <v>1</v>
      </c>
      <c r="I510" s="15" t="s">
        <v>18</v>
      </c>
      <c r="J510" s="16" t="s">
        <v>62</v>
      </c>
      <c r="K510" s="88">
        <f t="shared" si="19"/>
        <v>1</v>
      </c>
      <c r="L510" s="16" t="s">
        <v>1290</v>
      </c>
      <c r="M510" s="16" t="s">
        <v>130</v>
      </c>
      <c r="N510" s="96" t="s">
        <v>26</v>
      </c>
    </row>
    <row r="511" spans="1:14" x14ac:dyDescent="0.35">
      <c r="A511" s="90" t="s">
        <v>2037</v>
      </c>
      <c r="B511" s="10" t="s">
        <v>13</v>
      </c>
      <c r="C511" s="11" t="s">
        <v>2038</v>
      </c>
      <c r="D511" s="11" t="s">
        <v>34</v>
      </c>
      <c r="E511" s="12" t="s">
        <v>133</v>
      </c>
      <c r="F511" s="10">
        <f>+YEAR(Tabla2[[#This Row],[Cosecha]])</f>
        <v>2025</v>
      </c>
      <c r="G511" s="11" t="s">
        <v>113</v>
      </c>
      <c r="H511" s="91">
        <f t="shared" si="18"/>
        <v>8</v>
      </c>
      <c r="I511" s="10" t="s">
        <v>18</v>
      </c>
      <c r="J511" s="11" t="s">
        <v>113</v>
      </c>
      <c r="K511" s="88">
        <f t="shared" si="19"/>
        <v>8</v>
      </c>
      <c r="L511" s="11" t="s">
        <v>2039</v>
      </c>
      <c r="M511" s="11" t="s">
        <v>44</v>
      </c>
      <c r="N511" s="92" t="s">
        <v>21</v>
      </c>
    </row>
    <row r="512" spans="1:14" x14ac:dyDescent="0.35">
      <c r="A512" s="94" t="s">
        <v>2040</v>
      </c>
      <c r="B512" s="15" t="s">
        <v>13</v>
      </c>
      <c r="C512" s="16" t="s">
        <v>2041</v>
      </c>
      <c r="D512" s="16" t="s">
        <v>34</v>
      </c>
      <c r="E512" s="17" t="s">
        <v>165</v>
      </c>
      <c r="F512" s="15">
        <f>+YEAR(Tabla2[[#This Row],[Cosecha]])</f>
        <v>2024</v>
      </c>
      <c r="G512" s="16" t="s">
        <v>52</v>
      </c>
      <c r="H512" s="95">
        <f t="shared" si="18"/>
        <v>24</v>
      </c>
      <c r="I512" s="15" t="s">
        <v>18</v>
      </c>
      <c r="J512" s="16" t="s">
        <v>52</v>
      </c>
      <c r="K512" s="88">
        <f t="shared" si="19"/>
        <v>24</v>
      </c>
      <c r="L512" s="16" t="s">
        <v>2042</v>
      </c>
      <c r="M512" s="16" t="s">
        <v>25</v>
      </c>
      <c r="N512" s="96" t="s">
        <v>21</v>
      </c>
    </row>
    <row r="513" spans="1:14" x14ac:dyDescent="0.35">
      <c r="A513" s="90" t="s">
        <v>2043</v>
      </c>
      <c r="B513" s="10" t="s">
        <v>13</v>
      </c>
      <c r="C513" s="11" t="s">
        <v>2044</v>
      </c>
      <c r="D513" s="11" t="s">
        <v>34</v>
      </c>
      <c r="E513" s="12" t="s">
        <v>97</v>
      </c>
      <c r="F513" s="10">
        <f>+YEAR(Tabla2[[#This Row],[Cosecha]])</f>
        <v>2025</v>
      </c>
      <c r="G513" s="11" t="s">
        <v>36</v>
      </c>
      <c r="H513" s="91">
        <f t="shared" si="18"/>
        <v>2</v>
      </c>
      <c r="I513" s="10" t="s">
        <v>18</v>
      </c>
      <c r="J513" s="11" t="s">
        <v>36</v>
      </c>
      <c r="K513" s="88">
        <f t="shared" si="19"/>
        <v>2</v>
      </c>
      <c r="L513" s="11" t="s">
        <v>1582</v>
      </c>
      <c r="M513" s="11" t="s">
        <v>44</v>
      </c>
      <c r="N513" s="92" t="s">
        <v>21</v>
      </c>
    </row>
    <row r="514" spans="1:14" x14ac:dyDescent="0.35">
      <c r="A514" s="94" t="s">
        <v>2045</v>
      </c>
      <c r="B514" s="15" t="s">
        <v>13</v>
      </c>
      <c r="C514" s="16" t="s">
        <v>2046</v>
      </c>
      <c r="D514" s="16" t="s">
        <v>34</v>
      </c>
      <c r="E514" s="17" t="s">
        <v>29</v>
      </c>
      <c r="F514" s="15">
        <f>+YEAR(Tabla2[[#This Row],[Cosecha]])</f>
        <v>2025</v>
      </c>
      <c r="G514" s="16" t="s">
        <v>113</v>
      </c>
      <c r="H514" s="95">
        <f t="shared" ref="H514:H577" si="20">(YEAR(G514)-YEAR(E514))*12+(MONTH(G514)-MONTH(E514))</f>
        <v>6</v>
      </c>
      <c r="I514" s="15" t="s">
        <v>18</v>
      </c>
      <c r="J514" s="16" t="s">
        <v>30</v>
      </c>
      <c r="K514" s="88">
        <f t="shared" ref="K514:K577" si="21">(YEAR(J514)-YEAR(E514))*12+(MONTH(J514)-MONTH(E514))</f>
        <v>9</v>
      </c>
      <c r="L514" s="16" t="s">
        <v>2047</v>
      </c>
      <c r="M514" s="16" t="s">
        <v>44</v>
      </c>
      <c r="N514" s="96" t="s">
        <v>21</v>
      </c>
    </row>
    <row r="515" spans="1:14" x14ac:dyDescent="0.35">
      <c r="A515" s="90" t="s">
        <v>2048</v>
      </c>
      <c r="B515" s="10" t="s">
        <v>13</v>
      </c>
      <c r="C515" s="11" t="s">
        <v>2049</v>
      </c>
      <c r="D515" s="11" t="s">
        <v>34</v>
      </c>
      <c r="E515" s="12" t="s">
        <v>29</v>
      </c>
      <c r="F515" s="10">
        <f>+YEAR(Tabla2[[#This Row],[Cosecha]])</f>
        <v>2025</v>
      </c>
      <c r="G515" s="11" t="s">
        <v>52</v>
      </c>
      <c r="H515" s="91">
        <f t="shared" si="20"/>
        <v>8</v>
      </c>
      <c r="I515" s="10" t="s">
        <v>18</v>
      </c>
      <c r="J515" s="11" t="s">
        <v>70</v>
      </c>
      <c r="K515" s="88">
        <f t="shared" si="21"/>
        <v>11</v>
      </c>
      <c r="L515" s="11" t="s">
        <v>2050</v>
      </c>
      <c r="M515" s="11" t="s">
        <v>115</v>
      </c>
      <c r="N515" s="92" t="s">
        <v>21</v>
      </c>
    </row>
    <row r="516" spans="1:14" x14ac:dyDescent="0.35">
      <c r="A516" s="94" t="s">
        <v>2051</v>
      </c>
      <c r="B516" s="15" t="s">
        <v>13</v>
      </c>
      <c r="C516" s="16" t="s">
        <v>2052</v>
      </c>
      <c r="D516" s="16" t="s">
        <v>34</v>
      </c>
      <c r="E516" s="17" t="s">
        <v>104</v>
      </c>
      <c r="F516" s="15">
        <f>+YEAR(Tabla2[[#This Row],[Cosecha]])</f>
        <v>2025</v>
      </c>
      <c r="G516" s="16" t="s">
        <v>52</v>
      </c>
      <c r="H516" s="95">
        <f t="shared" si="20"/>
        <v>9</v>
      </c>
      <c r="I516" s="15" t="s">
        <v>18</v>
      </c>
      <c r="J516" s="16" t="s">
        <v>17</v>
      </c>
      <c r="K516" s="88">
        <f t="shared" si="21"/>
        <v>11</v>
      </c>
      <c r="L516" s="16" t="s">
        <v>2053</v>
      </c>
      <c r="M516" s="16" t="s">
        <v>115</v>
      </c>
      <c r="N516" s="96" t="s">
        <v>21</v>
      </c>
    </row>
    <row r="517" spans="1:14" x14ac:dyDescent="0.35">
      <c r="A517" s="90" t="s">
        <v>2054</v>
      </c>
      <c r="B517" s="10" t="s">
        <v>13</v>
      </c>
      <c r="C517" s="11" t="s">
        <v>2055</v>
      </c>
      <c r="D517" s="11" t="s">
        <v>34</v>
      </c>
      <c r="E517" s="12" t="s">
        <v>275</v>
      </c>
      <c r="F517" s="10">
        <f>+YEAR(Tabla2[[#This Row],[Cosecha]])</f>
        <v>2024</v>
      </c>
      <c r="G517" s="11" t="s">
        <v>17</v>
      </c>
      <c r="H517" s="91">
        <f t="shared" si="20"/>
        <v>25</v>
      </c>
      <c r="I517" s="10" t="s">
        <v>18</v>
      </c>
      <c r="J517" s="11" t="s">
        <v>17</v>
      </c>
      <c r="K517" s="88">
        <f t="shared" si="21"/>
        <v>25</v>
      </c>
      <c r="L517" s="11" t="s">
        <v>2056</v>
      </c>
      <c r="M517" s="11" t="s">
        <v>241</v>
      </c>
      <c r="N517" s="92" t="s">
        <v>21</v>
      </c>
    </row>
    <row r="518" spans="1:14" x14ac:dyDescent="0.35">
      <c r="A518" s="94" t="s">
        <v>2060</v>
      </c>
      <c r="B518" s="15" t="s">
        <v>13</v>
      </c>
      <c r="C518" s="16" t="s">
        <v>2061</v>
      </c>
      <c r="D518" s="16" t="s">
        <v>34</v>
      </c>
      <c r="E518" s="17" t="s">
        <v>29</v>
      </c>
      <c r="F518" s="15">
        <f>+YEAR(Tabla2[[#This Row],[Cosecha]])</f>
        <v>2025</v>
      </c>
      <c r="G518" s="16" t="s">
        <v>37</v>
      </c>
      <c r="H518" s="95">
        <f t="shared" si="20"/>
        <v>5</v>
      </c>
      <c r="I518" s="15" t="s">
        <v>18</v>
      </c>
      <c r="J518" s="16" t="s">
        <v>37</v>
      </c>
      <c r="K518" s="88">
        <f t="shared" si="21"/>
        <v>5</v>
      </c>
      <c r="L518" s="16" t="s">
        <v>1110</v>
      </c>
      <c r="M518" s="16" t="s">
        <v>44</v>
      </c>
      <c r="N518" s="96" t="s">
        <v>26</v>
      </c>
    </row>
    <row r="519" spans="1:14" x14ac:dyDescent="0.35">
      <c r="A519" s="90" t="s">
        <v>2062</v>
      </c>
      <c r="B519" s="10" t="s">
        <v>13</v>
      </c>
      <c r="C519" s="11" t="s">
        <v>2063</v>
      </c>
      <c r="D519" s="11" t="s">
        <v>34</v>
      </c>
      <c r="E519" s="12" t="s">
        <v>2064</v>
      </c>
      <c r="F519" s="10">
        <f>+YEAR(Tabla2[[#This Row],[Cosecha]])</f>
        <v>2022</v>
      </c>
      <c r="G519" s="11" t="s">
        <v>97</v>
      </c>
      <c r="H519" s="91">
        <f t="shared" si="20"/>
        <v>32</v>
      </c>
      <c r="I519" s="10" t="s">
        <v>18</v>
      </c>
      <c r="J519" s="11" t="s">
        <v>97</v>
      </c>
      <c r="K519" s="88">
        <f t="shared" si="21"/>
        <v>32</v>
      </c>
      <c r="L519" s="11" t="s">
        <v>2065</v>
      </c>
      <c r="M519" s="11" t="s">
        <v>25</v>
      </c>
      <c r="N519" s="92" t="s">
        <v>21</v>
      </c>
    </row>
    <row r="520" spans="1:14" x14ac:dyDescent="0.35">
      <c r="A520" s="94" t="s">
        <v>2066</v>
      </c>
      <c r="B520" s="15" t="s">
        <v>13</v>
      </c>
      <c r="C520" s="16" t="s">
        <v>2067</v>
      </c>
      <c r="D520" s="16" t="s">
        <v>34</v>
      </c>
      <c r="E520" s="17" t="s">
        <v>133</v>
      </c>
      <c r="F520" s="15">
        <f>+YEAR(Tabla2[[#This Row],[Cosecha]])</f>
        <v>2025</v>
      </c>
      <c r="G520" s="16" t="s">
        <v>118</v>
      </c>
      <c r="H520" s="95">
        <f t="shared" si="20"/>
        <v>5</v>
      </c>
      <c r="I520" s="15" t="s">
        <v>18</v>
      </c>
      <c r="J520" s="16" t="s">
        <v>118</v>
      </c>
      <c r="K520" s="88">
        <f t="shared" si="21"/>
        <v>5</v>
      </c>
      <c r="L520" s="16" t="s">
        <v>2068</v>
      </c>
      <c r="M520" s="16" t="s">
        <v>115</v>
      </c>
      <c r="N520" s="96" t="s">
        <v>26</v>
      </c>
    </row>
    <row r="521" spans="1:14" x14ac:dyDescent="0.35">
      <c r="A521" s="90" t="s">
        <v>2069</v>
      </c>
      <c r="B521" s="10" t="s">
        <v>13</v>
      </c>
      <c r="C521" s="11" t="s">
        <v>2070</v>
      </c>
      <c r="D521" s="11" t="s">
        <v>34</v>
      </c>
      <c r="E521" s="12" t="s">
        <v>66</v>
      </c>
      <c r="F521" s="10">
        <f>+YEAR(Tabla2[[#This Row],[Cosecha]])</f>
        <v>2025</v>
      </c>
      <c r="G521" s="11" t="s">
        <v>133</v>
      </c>
      <c r="H521" s="91">
        <f t="shared" si="20"/>
        <v>3</v>
      </c>
      <c r="I521" s="10" t="s">
        <v>18</v>
      </c>
      <c r="J521" s="11" t="s">
        <v>133</v>
      </c>
      <c r="K521" s="88">
        <f t="shared" si="21"/>
        <v>3</v>
      </c>
      <c r="L521" s="11" t="s">
        <v>2071</v>
      </c>
      <c r="M521" s="11" t="s">
        <v>44</v>
      </c>
      <c r="N521" s="92" t="s">
        <v>21</v>
      </c>
    </row>
    <row r="522" spans="1:14" x14ac:dyDescent="0.35">
      <c r="A522" s="94" t="s">
        <v>2075</v>
      </c>
      <c r="B522" s="15" t="s">
        <v>13</v>
      </c>
      <c r="C522" s="16" t="s">
        <v>2076</v>
      </c>
      <c r="D522" s="16" t="s">
        <v>34</v>
      </c>
      <c r="E522" s="17" t="s">
        <v>62</v>
      </c>
      <c r="F522" s="15">
        <f>+YEAR(Tabla2[[#This Row],[Cosecha]])</f>
        <v>2025</v>
      </c>
      <c r="G522" s="16" t="s">
        <v>62</v>
      </c>
      <c r="H522" s="95">
        <f t="shared" si="20"/>
        <v>0</v>
      </c>
      <c r="I522" s="15" t="s">
        <v>18</v>
      </c>
      <c r="J522" s="16" t="s">
        <v>62</v>
      </c>
      <c r="K522" s="88">
        <f t="shared" si="21"/>
        <v>0</v>
      </c>
      <c r="L522" s="16" t="s">
        <v>2077</v>
      </c>
      <c r="M522" s="16" t="s">
        <v>115</v>
      </c>
      <c r="N522" s="96" t="s">
        <v>26</v>
      </c>
    </row>
    <row r="523" spans="1:14" x14ac:dyDescent="0.35">
      <c r="A523" s="90" t="s">
        <v>2078</v>
      </c>
      <c r="B523" s="10" t="s">
        <v>13</v>
      </c>
      <c r="C523" s="11" t="s">
        <v>2079</v>
      </c>
      <c r="D523" s="11" t="s">
        <v>34</v>
      </c>
      <c r="E523" s="12" t="s">
        <v>118</v>
      </c>
      <c r="F523" s="10">
        <f>+YEAR(Tabla2[[#This Row],[Cosecha]])</f>
        <v>2025</v>
      </c>
      <c r="G523" s="11" t="s">
        <v>113</v>
      </c>
      <c r="H523" s="91">
        <f t="shared" si="20"/>
        <v>3</v>
      </c>
      <c r="I523" s="10" t="s">
        <v>18</v>
      </c>
      <c r="J523" s="11" t="s">
        <v>30</v>
      </c>
      <c r="K523" s="88">
        <f t="shared" si="21"/>
        <v>6</v>
      </c>
      <c r="L523" s="11" t="s">
        <v>2080</v>
      </c>
      <c r="M523" s="11" t="s">
        <v>115</v>
      </c>
      <c r="N523" s="92" t="s">
        <v>21</v>
      </c>
    </row>
    <row r="524" spans="1:14" x14ac:dyDescent="0.35">
      <c r="A524" s="94" t="s">
        <v>2081</v>
      </c>
      <c r="B524" s="15" t="s">
        <v>13</v>
      </c>
      <c r="C524" s="16" t="s">
        <v>2082</v>
      </c>
      <c r="D524" s="16" t="s">
        <v>15</v>
      </c>
      <c r="E524" s="17" t="s">
        <v>62</v>
      </c>
      <c r="F524" s="15">
        <f>+YEAR(Tabla2[[#This Row],[Cosecha]])</f>
        <v>2025</v>
      </c>
      <c r="G524" s="16" t="s">
        <v>113</v>
      </c>
      <c r="H524" s="95">
        <f t="shared" si="20"/>
        <v>5</v>
      </c>
      <c r="I524" s="15" t="s">
        <v>18</v>
      </c>
      <c r="J524" s="16" t="s">
        <v>23</v>
      </c>
      <c r="K524" s="88">
        <f t="shared" si="21"/>
        <v>6</v>
      </c>
      <c r="L524" s="16" t="s">
        <v>2083</v>
      </c>
      <c r="M524" s="16" t="s">
        <v>25</v>
      </c>
      <c r="N524" s="96" t="s">
        <v>21</v>
      </c>
    </row>
    <row r="525" spans="1:14" x14ac:dyDescent="0.35">
      <c r="A525" s="90" t="s">
        <v>2084</v>
      </c>
      <c r="B525" s="10" t="s">
        <v>13</v>
      </c>
      <c r="C525" s="11" t="s">
        <v>2085</v>
      </c>
      <c r="D525" s="11" t="s">
        <v>34</v>
      </c>
      <c r="E525" s="12" t="s">
        <v>51</v>
      </c>
      <c r="F525" s="10">
        <f>+YEAR(Tabla2[[#This Row],[Cosecha]])</f>
        <v>2025</v>
      </c>
      <c r="G525" s="11" t="s">
        <v>29</v>
      </c>
      <c r="H525" s="91">
        <f t="shared" si="20"/>
        <v>4</v>
      </c>
      <c r="I525" s="10" t="s">
        <v>18</v>
      </c>
      <c r="J525" s="11" t="s">
        <v>29</v>
      </c>
      <c r="K525" s="88">
        <f t="shared" si="21"/>
        <v>4</v>
      </c>
      <c r="L525" s="11" t="s">
        <v>2086</v>
      </c>
      <c r="M525" s="11" t="s">
        <v>44</v>
      </c>
      <c r="N525" s="92" t="s">
        <v>26</v>
      </c>
    </row>
    <row r="526" spans="1:14" x14ac:dyDescent="0.35">
      <c r="A526" s="94" t="s">
        <v>2087</v>
      </c>
      <c r="B526" s="15" t="s">
        <v>13</v>
      </c>
      <c r="C526" s="16" t="s">
        <v>2088</v>
      </c>
      <c r="D526" s="16" t="s">
        <v>34</v>
      </c>
      <c r="E526" s="17" t="s">
        <v>23</v>
      </c>
      <c r="F526" s="15">
        <f>+YEAR(Tabla2[[#This Row],[Cosecha]])</f>
        <v>2026</v>
      </c>
      <c r="G526" s="16" t="s">
        <v>17</v>
      </c>
      <c r="H526" s="95">
        <f t="shared" si="20"/>
        <v>3</v>
      </c>
      <c r="I526" s="15" t="s">
        <v>18</v>
      </c>
      <c r="J526" s="16" t="s">
        <v>70</v>
      </c>
      <c r="K526" s="88">
        <f t="shared" si="21"/>
        <v>4</v>
      </c>
      <c r="L526" s="16" t="s">
        <v>2089</v>
      </c>
      <c r="M526" s="16" t="s">
        <v>72</v>
      </c>
      <c r="N526" s="96" t="s">
        <v>21</v>
      </c>
    </row>
    <row r="527" spans="1:14" x14ac:dyDescent="0.35">
      <c r="A527" s="90" t="s">
        <v>2090</v>
      </c>
      <c r="B527" s="10" t="s">
        <v>13</v>
      </c>
      <c r="C527" s="11" t="s">
        <v>2091</v>
      </c>
      <c r="D527" s="11" t="s">
        <v>34</v>
      </c>
      <c r="E527" s="12" t="s">
        <v>453</v>
      </c>
      <c r="F527" s="10">
        <f>+YEAR(Tabla2[[#This Row],[Cosecha]])</f>
        <v>2024</v>
      </c>
      <c r="G527" s="11" t="s">
        <v>97</v>
      </c>
      <c r="H527" s="91">
        <f t="shared" si="20"/>
        <v>16</v>
      </c>
      <c r="I527" s="10" t="s">
        <v>18</v>
      </c>
      <c r="J527" s="11" t="s">
        <v>37</v>
      </c>
      <c r="K527" s="88">
        <f t="shared" si="21"/>
        <v>19</v>
      </c>
      <c r="L527" s="11" t="s">
        <v>1704</v>
      </c>
      <c r="M527" s="11" t="s">
        <v>130</v>
      </c>
      <c r="N527" s="92" t="s">
        <v>21</v>
      </c>
    </row>
    <row r="528" spans="1:14" x14ac:dyDescent="0.35">
      <c r="A528" s="94" t="s">
        <v>2092</v>
      </c>
      <c r="B528" s="15" t="s">
        <v>13</v>
      </c>
      <c r="C528" s="16" t="s">
        <v>2093</v>
      </c>
      <c r="D528" s="16" t="s">
        <v>34</v>
      </c>
      <c r="E528" s="17" t="s">
        <v>178</v>
      </c>
      <c r="F528" s="15">
        <f>+YEAR(Tabla2[[#This Row],[Cosecha]])</f>
        <v>2024</v>
      </c>
      <c r="G528" s="16" t="s">
        <v>29</v>
      </c>
      <c r="H528" s="95">
        <f t="shared" si="20"/>
        <v>7</v>
      </c>
      <c r="I528" s="15" t="s">
        <v>18</v>
      </c>
      <c r="J528" s="16" t="s">
        <v>29</v>
      </c>
      <c r="K528" s="88">
        <f t="shared" si="21"/>
        <v>7</v>
      </c>
      <c r="L528" s="16" t="s">
        <v>2094</v>
      </c>
      <c r="M528" s="16" t="s">
        <v>130</v>
      </c>
      <c r="N528" s="96" t="s">
        <v>21</v>
      </c>
    </row>
    <row r="529" spans="1:14" x14ac:dyDescent="0.35">
      <c r="A529" s="90" t="s">
        <v>2095</v>
      </c>
      <c r="B529" s="10" t="s">
        <v>13</v>
      </c>
      <c r="C529" s="11" t="s">
        <v>2096</v>
      </c>
      <c r="D529" s="11" t="s">
        <v>90</v>
      </c>
      <c r="E529" s="12" t="s">
        <v>62</v>
      </c>
      <c r="F529" s="10">
        <f>+YEAR(Tabla2[[#This Row],[Cosecha]])</f>
        <v>2025</v>
      </c>
      <c r="G529" s="11" t="s">
        <v>52</v>
      </c>
      <c r="H529" s="91">
        <f t="shared" si="20"/>
        <v>7</v>
      </c>
      <c r="I529" s="10" t="s">
        <v>18</v>
      </c>
      <c r="J529" s="11" t="s">
        <v>30</v>
      </c>
      <c r="K529" s="88">
        <f t="shared" si="21"/>
        <v>8</v>
      </c>
      <c r="L529" s="11" t="s">
        <v>2097</v>
      </c>
      <c r="M529" s="11" t="s">
        <v>39</v>
      </c>
      <c r="N529" s="92" t="s">
        <v>21</v>
      </c>
    </row>
    <row r="530" spans="1:14" x14ac:dyDescent="0.35">
      <c r="A530" s="94" t="s">
        <v>2100</v>
      </c>
      <c r="B530" s="15" t="s">
        <v>13</v>
      </c>
      <c r="C530" s="16" t="s">
        <v>2101</v>
      </c>
      <c r="D530" s="16" t="s">
        <v>34</v>
      </c>
      <c r="E530" s="17" t="s">
        <v>51</v>
      </c>
      <c r="F530" s="15">
        <f>+YEAR(Tabla2[[#This Row],[Cosecha]])</f>
        <v>2025</v>
      </c>
      <c r="G530" s="16" t="s">
        <v>29</v>
      </c>
      <c r="H530" s="95">
        <f t="shared" si="20"/>
        <v>4</v>
      </c>
      <c r="I530" s="15" t="s">
        <v>18</v>
      </c>
      <c r="J530" s="16" t="s">
        <v>62</v>
      </c>
      <c r="K530" s="88">
        <f t="shared" si="21"/>
        <v>5</v>
      </c>
      <c r="L530" s="16" t="s">
        <v>2102</v>
      </c>
      <c r="M530" s="16" t="s">
        <v>25</v>
      </c>
      <c r="N530" s="96" t="s">
        <v>21</v>
      </c>
    </row>
    <row r="531" spans="1:14" x14ac:dyDescent="0.35">
      <c r="A531" s="90" t="s">
        <v>2103</v>
      </c>
      <c r="B531" s="10" t="s">
        <v>13</v>
      </c>
      <c r="C531" s="11" t="s">
        <v>2104</v>
      </c>
      <c r="D531" s="11" t="s">
        <v>34</v>
      </c>
      <c r="E531" s="12" t="s">
        <v>553</v>
      </c>
      <c r="F531" s="10">
        <f>+YEAR(Tabla2[[#This Row],[Cosecha]])</f>
        <v>2023</v>
      </c>
      <c r="G531" s="11" t="s">
        <v>133</v>
      </c>
      <c r="H531" s="91">
        <f t="shared" si="20"/>
        <v>27</v>
      </c>
      <c r="I531" s="10" t="s">
        <v>18</v>
      </c>
      <c r="J531" s="11" t="s">
        <v>104</v>
      </c>
      <c r="K531" s="88">
        <f t="shared" si="21"/>
        <v>28</v>
      </c>
      <c r="L531" s="11" t="s">
        <v>2105</v>
      </c>
      <c r="M531" s="11" t="s">
        <v>25</v>
      </c>
      <c r="N531" s="92" t="s">
        <v>21</v>
      </c>
    </row>
    <row r="532" spans="1:14" x14ac:dyDescent="0.35">
      <c r="A532" s="94" t="s">
        <v>2106</v>
      </c>
      <c r="B532" s="15" t="s">
        <v>13</v>
      </c>
      <c r="C532" s="16" t="s">
        <v>2107</v>
      </c>
      <c r="D532" s="16" t="s">
        <v>34</v>
      </c>
      <c r="E532" s="17" t="s">
        <v>62</v>
      </c>
      <c r="F532" s="15">
        <f>+YEAR(Tabla2[[#This Row],[Cosecha]])</f>
        <v>2025</v>
      </c>
      <c r="G532" s="16" t="s">
        <v>52</v>
      </c>
      <c r="H532" s="95">
        <f t="shared" si="20"/>
        <v>7</v>
      </c>
      <c r="I532" s="15" t="s">
        <v>18</v>
      </c>
      <c r="J532" s="16" t="s">
        <v>17</v>
      </c>
      <c r="K532" s="88">
        <f t="shared" si="21"/>
        <v>9</v>
      </c>
      <c r="L532" s="16" t="s">
        <v>2108</v>
      </c>
      <c r="M532" s="16" t="s">
        <v>115</v>
      </c>
      <c r="N532" s="96" t="s">
        <v>21</v>
      </c>
    </row>
    <row r="533" spans="1:14" x14ac:dyDescent="0.35">
      <c r="A533" s="90" t="s">
        <v>2109</v>
      </c>
      <c r="B533" s="10" t="s">
        <v>13</v>
      </c>
      <c r="C533" s="11" t="s">
        <v>2110</v>
      </c>
      <c r="D533" s="11" t="s">
        <v>34</v>
      </c>
      <c r="E533" s="12" t="s">
        <v>149</v>
      </c>
      <c r="F533" s="10">
        <f>+YEAR(Tabla2[[#This Row],[Cosecha]])</f>
        <v>2024</v>
      </c>
      <c r="G533" s="11" t="s">
        <v>29</v>
      </c>
      <c r="H533" s="91">
        <f t="shared" si="20"/>
        <v>9</v>
      </c>
      <c r="I533" s="10" t="s">
        <v>18</v>
      </c>
      <c r="J533" s="11" t="s">
        <v>62</v>
      </c>
      <c r="K533" s="88">
        <f t="shared" si="21"/>
        <v>10</v>
      </c>
      <c r="L533" s="11" t="s">
        <v>2111</v>
      </c>
      <c r="M533" s="11" t="s">
        <v>130</v>
      </c>
      <c r="N533" s="92" t="s">
        <v>21</v>
      </c>
    </row>
    <row r="534" spans="1:14" x14ac:dyDescent="0.35">
      <c r="A534" s="94" t="s">
        <v>2112</v>
      </c>
      <c r="B534" s="15" t="s">
        <v>13</v>
      </c>
      <c r="C534" s="16" t="s">
        <v>2113</v>
      </c>
      <c r="D534" s="16" t="s">
        <v>34</v>
      </c>
      <c r="E534" s="17" t="s">
        <v>35</v>
      </c>
      <c r="F534" s="15">
        <f>+YEAR(Tabla2[[#This Row],[Cosecha]])</f>
        <v>2024</v>
      </c>
      <c r="G534" s="16" t="s">
        <v>29</v>
      </c>
      <c r="H534" s="95">
        <f t="shared" si="20"/>
        <v>8</v>
      </c>
      <c r="I534" s="15" t="s">
        <v>18</v>
      </c>
      <c r="J534" s="16" t="s">
        <v>62</v>
      </c>
      <c r="K534" s="88">
        <f t="shared" si="21"/>
        <v>9</v>
      </c>
      <c r="L534" s="16" t="s">
        <v>2114</v>
      </c>
      <c r="M534" s="16" t="s">
        <v>130</v>
      </c>
      <c r="N534" s="96" t="s">
        <v>21</v>
      </c>
    </row>
    <row r="535" spans="1:14" x14ac:dyDescent="0.35">
      <c r="A535" s="90" t="s">
        <v>2115</v>
      </c>
      <c r="B535" s="10" t="s">
        <v>13</v>
      </c>
      <c r="C535" s="11" t="s">
        <v>2116</v>
      </c>
      <c r="D535" s="11" t="s">
        <v>34</v>
      </c>
      <c r="E535" s="12" t="s">
        <v>97</v>
      </c>
      <c r="F535" s="10">
        <f>+YEAR(Tabla2[[#This Row],[Cosecha]])</f>
        <v>2025</v>
      </c>
      <c r="G535" s="11" t="s">
        <v>52</v>
      </c>
      <c r="H535" s="91">
        <f t="shared" si="20"/>
        <v>6</v>
      </c>
      <c r="I535" s="10" t="s">
        <v>18</v>
      </c>
      <c r="J535" s="11" t="s">
        <v>52</v>
      </c>
      <c r="K535" s="88">
        <f t="shared" si="21"/>
        <v>6</v>
      </c>
      <c r="L535" s="11" t="s">
        <v>2117</v>
      </c>
      <c r="M535" s="11" t="s">
        <v>25</v>
      </c>
      <c r="N535" s="92" t="s">
        <v>21</v>
      </c>
    </row>
    <row r="536" spans="1:14" x14ac:dyDescent="0.35">
      <c r="A536" s="94" t="s">
        <v>2118</v>
      </c>
      <c r="B536" s="15" t="s">
        <v>13</v>
      </c>
      <c r="C536" s="16" t="s">
        <v>2119</v>
      </c>
      <c r="D536" s="16" t="s">
        <v>34</v>
      </c>
      <c r="E536" s="17" t="s">
        <v>118</v>
      </c>
      <c r="F536" s="15">
        <f>+YEAR(Tabla2[[#This Row],[Cosecha]])</f>
        <v>2025</v>
      </c>
      <c r="G536" s="16" t="s">
        <v>52</v>
      </c>
      <c r="H536" s="95">
        <f t="shared" si="20"/>
        <v>5</v>
      </c>
      <c r="I536" s="15" t="s">
        <v>18</v>
      </c>
      <c r="J536" s="16" t="s">
        <v>30</v>
      </c>
      <c r="K536" s="88">
        <f t="shared" si="21"/>
        <v>6</v>
      </c>
      <c r="L536" s="16" t="s">
        <v>2120</v>
      </c>
      <c r="M536" s="16" t="s">
        <v>115</v>
      </c>
      <c r="N536" s="96" t="s">
        <v>21</v>
      </c>
    </row>
    <row r="537" spans="1:14" x14ac:dyDescent="0.35">
      <c r="A537" s="90" t="s">
        <v>2121</v>
      </c>
      <c r="B537" s="10" t="s">
        <v>13</v>
      </c>
      <c r="C537" s="11" t="s">
        <v>2122</v>
      </c>
      <c r="D537" s="11" t="s">
        <v>34</v>
      </c>
      <c r="E537" s="12" t="s">
        <v>82</v>
      </c>
      <c r="F537" s="10">
        <f>+YEAR(Tabla2[[#This Row],[Cosecha]])</f>
        <v>2024</v>
      </c>
      <c r="G537" s="11" t="s">
        <v>47</v>
      </c>
      <c r="H537" s="91">
        <f t="shared" si="20"/>
        <v>3</v>
      </c>
      <c r="I537" s="10" t="s">
        <v>18</v>
      </c>
      <c r="J537" s="11" t="s">
        <v>47</v>
      </c>
      <c r="K537" s="88">
        <f t="shared" si="21"/>
        <v>3</v>
      </c>
      <c r="L537" s="11" t="s">
        <v>2123</v>
      </c>
      <c r="M537" s="11" t="s">
        <v>130</v>
      </c>
      <c r="N537" s="92" t="s">
        <v>21</v>
      </c>
    </row>
    <row r="538" spans="1:14" x14ac:dyDescent="0.35">
      <c r="A538" s="94" t="s">
        <v>2130</v>
      </c>
      <c r="B538" s="15" t="s">
        <v>13</v>
      </c>
      <c r="C538" s="16" t="s">
        <v>2131</v>
      </c>
      <c r="D538" s="16" t="s">
        <v>34</v>
      </c>
      <c r="E538" s="17" t="s">
        <v>66</v>
      </c>
      <c r="F538" s="15">
        <f>+YEAR(Tabla2[[#This Row],[Cosecha]])</f>
        <v>2025</v>
      </c>
      <c r="G538" s="16" t="s">
        <v>36</v>
      </c>
      <c r="H538" s="95">
        <f t="shared" si="20"/>
        <v>9</v>
      </c>
      <c r="I538" s="15" t="s">
        <v>18</v>
      </c>
      <c r="J538" s="16" t="s">
        <v>36</v>
      </c>
      <c r="K538" s="88">
        <f t="shared" si="21"/>
        <v>9</v>
      </c>
      <c r="L538" s="16" t="s">
        <v>2132</v>
      </c>
      <c r="M538" s="16" t="s">
        <v>130</v>
      </c>
      <c r="N538" s="96" t="s">
        <v>21</v>
      </c>
    </row>
    <row r="539" spans="1:14" x14ac:dyDescent="0.35">
      <c r="A539" s="90" t="s">
        <v>2133</v>
      </c>
      <c r="B539" s="10" t="s">
        <v>85</v>
      </c>
      <c r="C539" s="11" t="s">
        <v>2134</v>
      </c>
      <c r="D539" s="11" t="s">
        <v>34</v>
      </c>
      <c r="E539" s="12" t="s">
        <v>113</v>
      </c>
      <c r="F539" s="10">
        <f>+YEAR(Tabla2[[#This Row],[Cosecha]])</f>
        <v>2025</v>
      </c>
      <c r="G539" s="11" t="s">
        <v>30</v>
      </c>
      <c r="H539" s="91">
        <f t="shared" si="20"/>
        <v>3</v>
      </c>
      <c r="I539" s="10" t="s">
        <v>18</v>
      </c>
      <c r="J539" s="11" t="s">
        <v>70</v>
      </c>
      <c r="K539" s="88">
        <f t="shared" si="21"/>
        <v>5</v>
      </c>
      <c r="L539" s="11" t="s">
        <v>2135</v>
      </c>
      <c r="M539" s="11" t="s">
        <v>130</v>
      </c>
      <c r="N539" s="92" t="s">
        <v>21</v>
      </c>
    </row>
    <row r="540" spans="1:14" x14ac:dyDescent="0.35">
      <c r="A540" s="94" t="s">
        <v>2139</v>
      </c>
      <c r="B540" s="15" t="s">
        <v>13</v>
      </c>
      <c r="C540" s="16" t="s">
        <v>2140</v>
      </c>
      <c r="D540" s="16" t="s">
        <v>34</v>
      </c>
      <c r="E540" s="17" t="s">
        <v>104</v>
      </c>
      <c r="F540" s="15">
        <f>+YEAR(Tabla2[[#This Row],[Cosecha]])</f>
        <v>2025</v>
      </c>
      <c r="G540" s="16" t="s">
        <v>62</v>
      </c>
      <c r="H540" s="95">
        <f t="shared" si="20"/>
        <v>2</v>
      </c>
      <c r="I540" s="15" t="s">
        <v>18</v>
      </c>
      <c r="J540" s="16" t="s">
        <v>52</v>
      </c>
      <c r="K540" s="88">
        <f t="shared" si="21"/>
        <v>9</v>
      </c>
      <c r="L540" s="16" t="s">
        <v>2141</v>
      </c>
      <c r="M540" s="16" t="s">
        <v>44</v>
      </c>
      <c r="N540" s="96" t="s">
        <v>26</v>
      </c>
    </row>
    <row r="541" spans="1:14" x14ac:dyDescent="0.35">
      <c r="A541" s="90" t="s">
        <v>2145</v>
      </c>
      <c r="B541" s="10" t="s">
        <v>13</v>
      </c>
      <c r="C541" s="11" t="s">
        <v>2146</v>
      </c>
      <c r="D541" s="11" t="s">
        <v>15</v>
      </c>
      <c r="E541" s="12" t="s">
        <v>97</v>
      </c>
      <c r="F541" s="10">
        <f>+YEAR(Tabla2[[#This Row],[Cosecha]])</f>
        <v>2025</v>
      </c>
      <c r="G541" s="11" t="s">
        <v>23</v>
      </c>
      <c r="H541" s="91">
        <f t="shared" si="20"/>
        <v>5</v>
      </c>
      <c r="I541" s="10" t="s">
        <v>18</v>
      </c>
      <c r="J541" s="11" t="s">
        <v>23</v>
      </c>
      <c r="K541" s="88">
        <f t="shared" si="21"/>
        <v>5</v>
      </c>
      <c r="L541" s="11" t="s">
        <v>2147</v>
      </c>
      <c r="M541" s="11" t="s">
        <v>25</v>
      </c>
      <c r="N541" s="92" t="s">
        <v>21</v>
      </c>
    </row>
    <row r="542" spans="1:14" x14ac:dyDescent="0.35">
      <c r="A542" s="94" t="s">
        <v>2154</v>
      </c>
      <c r="B542" s="15" t="s">
        <v>13</v>
      </c>
      <c r="C542" s="16" t="s">
        <v>2155</v>
      </c>
      <c r="D542" s="16" t="s">
        <v>34</v>
      </c>
      <c r="E542" s="17" t="s">
        <v>66</v>
      </c>
      <c r="F542" s="15">
        <f>+YEAR(Tabla2[[#This Row],[Cosecha]])</f>
        <v>2025</v>
      </c>
      <c r="G542" s="16" t="s">
        <v>62</v>
      </c>
      <c r="H542" s="95">
        <f t="shared" si="20"/>
        <v>6</v>
      </c>
      <c r="I542" s="15" t="s">
        <v>18</v>
      </c>
      <c r="J542" s="16" t="s">
        <v>97</v>
      </c>
      <c r="K542" s="88">
        <f t="shared" si="21"/>
        <v>7</v>
      </c>
      <c r="L542" s="16" t="s">
        <v>2156</v>
      </c>
      <c r="M542" s="16" t="s">
        <v>130</v>
      </c>
      <c r="N542" s="96" t="s">
        <v>21</v>
      </c>
    </row>
    <row r="543" spans="1:14" x14ac:dyDescent="0.35">
      <c r="A543" s="90" t="s">
        <v>2157</v>
      </c>
      <c r="B543" s="10" t="s">
        <v>13</v>
      </c>
      <c r="C543" s="11" t="s">
        <v>2158</v>
      </c>
      <c r="D543" s="11" t="s">
        <v>34</v>
      </c>
      <c r="E543" s="12" t="s">
        <v>149</v>
      </c>
      <c r="F543" s="10">
        <f>+YEAR(Tabla2[[#This Row],[Cosecha]])</f>
        <v>2024</v>
      </c>
      <c r="G543" s="11" t="s">
        <v>23</v>
      </c>
      <c r="H543" s="91">
        <f t="shared" si="20"/>
        <v>16</v>
      </c>
      <c r="I543" s="10" t="s">
        <v>18</v>
      </c>
      <c r="J543" s="11" t="s">
        <v>52</v>
      </c>
      <c r="K543" s="88">
        <f t="shared" si="21"/>
        <v>17</v>
      </c>
      <c r="L543" s="11" t="s">
        <v>2159</v>
      </c>
      <c r="M543" s="11" t="s">
        <v>115</v>
      </c>
      <c r="N543" s="92" t="s">
        <v>21</v>
      </c>
    </row>
    <row r="544" spans="1:14" x14ac:dyDescent="0.35">
      <c r="A544" s="94" t="s">
        <v>2169</v>
      </c>
      <c r="B544" s="15" t="s">
        <v>13</v>
      </c>
      <c r="C544" s="16" t="s">
        <v>2170</v>
      </c>
      <c r="D544" s="16" t="s">
        <v>34</v>
      </c>
      <c r="E544" s="17" t="s">
        <v>302</v>
      </c>
      <c r="F544" s="15">
        <f>+YEAR(Tabla2[[#This Row],[Cosecha]])</f>
        <v>2023</v>
      </c>
      <c r="G544" s="16" t="s">
        <v>66</v>
      </c>
      <c r="H544" s="95">
        <f t="shared" si="20"/>
        <v>15</v>
      </c>
      <c r="I544" s="15" t="s">
        <v>18</v>
      </c>
      <c r="J544" s="16" t="s">
        <v>66</v>
      </c>
      <c r="K544" s="88">
        <f t="shared" si="21"/>
        <v>15</v>
      </c>
      <c r="L544" s="16" t="s">
        <v>2171</v>
      </c>
      <c r="M544" s="16" t="s">
        <v>25</v>
      </c>
      <c r="N544" s="96" t="s">
        <v>21</v>
      </c>
    </row>
    <row r="545" spans="1:14" x14ac:dyDescent="0.35">
      <c r="A545" s="90" t="s">
        <v>2172</v>
      </c>
      <c r="B545" s="10" t="s">
        <v>13</v>
      </c>
      <c r="C545" s="11" t="s">
        <v>2173</v>
      </c>
      <c r="D545" s="11" t="s">
        <v>34</v>
      </c>
      <c r="E545" s="12" t="s">
        <v>29</v>
      </c>
      <c r="F545" s="10">
        <f>+YEAR(Tabla2[[#This Row],[Cosecha]])</f>
        <v>2025</v>
      </c>
      <c r="G545" s="11" t="s">
        <v>97</v>
      </c>
      <c r="H545" s="91">
        <f t="shared" si="20"/>
        <v>2</v>
      </c>
      <c r="I545" s="10" t="s">
        <v>18</v>
      </c>
      <c r="J545" s="11" t="s">
        <v>97</v>
      </c>
      <c r="K545" s="88">
        <f t="shared" si="21"/>
        <v>2</v>
      </c>
      <c r="L545" s="11" t="s">
        <v>1794</v>
      </c>
      <c r="M545" s="11" t="s">
        <v>115</v>
      </c>
      <c r="N545" s="92" t="s">
        <v>26</v>
      </c>
    </row>
    <row r="546" spans="1:14" x14ac:dyDescent="0.35">
      <c r="A546" s="94" t="s">
        <v>2174</v>
      </c>
      <c r="B546" s="15" t="s">
        <v>13</v>
      </c>
      <c r="C546" s="16" t="s">
        <v>2175</v>
      </c>
      <c r="D546" s="16" t="s">
        <v>34</v>
      </c>
      <c r="E546" s="17" t="s">
        <v>104</v>
      </c>
      <c r="F546" s="15">
        <f>+YEAR(Tabla2[[#This Row],[Cosecha]])</f>
        <v>2025</v>
      </c>
      <c r="G546" s="16" t="s">
        <v>113</v>
      </c>
      <c r="H546" s="95">
        <f t="shared" si="20"/>
        <v>7</v>
      </c>
      <c r="I546" s="15" t="s">
        <v>18</v>
      </c>
      <c r="J546" s="16" t="s">
        <v>23</v>
      </c>
      <c r="K546" s="88">
        <f t="shared" si="21"/>
        <v>8</v>
      </c>
      <c r="L546" s="16" t="s">
        <v>2176</v>
      </c>
      <c r="M546" s="16" t="s">
        <v>25</v>
      </c>
      <c r="N546" s="96" t="s">
        <v>21</v>
      </c>
    </row>
    <row r="547" spans="1:14" x14ac:dyDescent="0.35">
      <c r="A547" s="90" t="s">
        <v>2177</v>
      </c>
      <c r="B547" s="10" t="s">
        <v>13</v>
      </c>
      <c r="C547" s="11" t="s">
        <v>2178</v>
      </c>
      <c r="D547" s="11" t="s">
        <v>34</v>
      </c>
      <c r="E547" s="12" t="s">
        <v>457</v>
      </c>
      <c r="F547" s="10">
        <f>+YEAR(Tabla2[[#This Row],[Cosecha]])</f>
        <v>2024</v>
      </c>
      <c r="G547" s="11" t="s">
        <v>30</v>
      </c>
      <c r="H547" s="91">
        <f t="shared" si="20"/>
        <v>21</v>
      </c>
      <c r="I547" s="10" t="s">
        <v>18</v>
      </c>
      <c r="J547" s="11" t="s">
        <v>30</v>
      </c>
      <c r="K547" s="88">
        <f t="shared" si="21"/>
        <v>21</v>
      </c>
      <c r="L547" s="11" t="s">
        <v>2179</v>
      </c>
      <c r="M547" s="11" t="s">
        <v>25</v>
      </c>
      <c r="N547" s="92" t="s">
        <v>21</v>
      </c>
    </row>
    <row r="548" spans="1:14" x14ac:dyDescent="0.35">
      <c r="A548" s="94" t="s">
        <v>2183</v>
      </c>
      <c r="B548" s="15" t="s">
        <v>13</v>
      </c>
      <c r="C548" s="16" t="s">
        <v>2184</v>
      </c>
      <c r="D548" s="16" t="s">
        <v>34</v>
      </c>
      <c r="E548" s="17" t="s">
        <v>97</v>
      </c>
      <c r="F548" s="15">
        <f>+YEAR(Tabla2[[#This Row],[Cosecha]])</f>
        <v>2025</v>
      </c>
      <c r="G548" s="16" t="s">
        <v>30</v>
      </c>
      <c r="H548" s="95">
        <f t="shared" si="20"/>
        <v>7</v>
      </c>
      <c r="I548" s="15" t="s">
        <v>18</v>
      </c>
      <c r="J548" s="16" t="s">
        <v>30</v>
      </c>
      <c r="K548" s="88">
        <f t="shared" si="21"/>
        <v>7</v>
      </c>
      <c r="L548" s="16" t="s">
        <v>2185</v>
      </c>
      <c r="M548" s="16" t="s">
        <v>44</v>
      </c>
      <c r="N548" s="96" t="s">
        <v>21</v>
      </c>
    </row>
    <row r="549" spans="1:14" x14ac:dyDescent="0.35">
      <c r="A549" s="90" t="s">
        <v>2192</v>
      </c>
      <c r="B549" s="10" t="s">
        <v>13</v>
      </c>
      <c r="C549" s="11" t="s">
        <v>2193</v>
      </c>
      <c r="D549" s="11" t="s">
        <v>34</v>
      </c>
      <c r="E549" s="12" t="s">
        <v>178</v>
      </c>
      <c r="F549" s="10">
        <f>+YEAR(Tabla2[[#This Row],[Cosecha]])</f>
        <v>2024</v>
      </c>
      <c r="G549" s="11" t="s">
        <v>133</v>
      </c>
      <c r="H549" s="91">
        <f t="shared" si="20"/>
        <v>5</v>
      </c>
      <c r="I549" s="10" t="s">
        <v>18</v>
      </c>
      <c r="J549" s="11" t="s">
        <v>133</v>
      </c>
      <c r="K549" s="88">
        <f t="shared" si="21"/>
        <v>5</v>
      </c>
      <c r="L549" s="11" t="s">
        <v>2194</v>
      </c>
      <c r="M549" s="11" t="s">
        <v>130</v>
      </c>
      <c r="N549" s="92" t="s">
        <v>26</v>
      </c>
    </row>
    <row r="550" spans="1:14" x14ac:dyDescent="0.35">
      <c r="A550" s="94" t="s">
        <v>2195</v>
      </c>
      <c r="B550" s="15" t="s">
        <v>13</v>
      </c>
      <c r="C550" s="16" t="s">
        <v>2196</v>
      </c>
      <c r="D550" s="16" t="s">
        <v>34</v>
      </c>
      <c r="E550" s="17" t="s">
        <v>252</v>
      </c>
      <c r="F550" s="15">
        <f>+YEAR(Tabla2[[#This Row],[Cosecha]])</f>
        <v>2024</v>
      </c>
      <c r="G550" s="16" t="s">
        <v>66</v>
      </c>
      <c r="H550" s="95">
        <f t="shared" si="20"/>
        <v>6</v>
      </c>
      <c r="I550" s="15" t="s">
        <v>18</v>
      </c>
      <c r="J550" s="16" t="s">
        <v>66</v>
      </c>
      <c r="K550" s="88">
        <f t="shared" si="21"/>
        <v>6</v>
      </c>
      <c r="L550" s="16" t="s">
        <v>2197</v>
      </c>
      <c r="M550" s="16" t="s">
        <v>130</v>
      </c>
      <c r="N550" s="96" t="s">
        <v>21</v>
      </c>
    </row>
    <row r="551" spans="1:14" x14ac:dyDescent="0.35">
      <c r="A551" s="90" t="s">
        <v>2201</v>
      </c>
      <c r="B551" s="10" t="s">
        <v>13</v>
      </c>
      <c r="C551" s="11" t="s">
        <v>2202</v>
      </c>
      <c r="D551" s="11" t="s">
        <v>34</v>
      </c>
      <c r="E551" s="12" t="s">
        <v>133</v>
      </c>
      <c r="F551" s="10">
        <f>+YEAR(Tabla2[[#This Row],[Cosecha]])</f>
        <v>2025</v>
      </c>
      <c r="G551" s="11" t="s">
        <v>36</v>
      </c>
      <c r="H551" s="91">
        <f t="shared" si="20"/>
        <v>6</v>
      </c>
      <c r="I551" s="10" t="s">
        <v>18</v>
      </c>
      <c r="J551" s="11" t="s">
        <v>36</v>
      </c>
      <c r="K551" s="88">
        <f t="shared" si="21"/>
        <v>6</v>
      </c>
      <c r="L551" s="11" t="s">
        <v>2203</v>
      </c>
      <c r="M551" s="11" t="s">
        <v>25</v>
      </c>
      <c r="N551" s="92" t="s">
        <v>21</v>
      </c>
    </row>
    <row r="552" spans="1:14" x14ac:dyDescent="0.35">
      <c r="A552" s="94" t="s">
        <v>2204</v>
      </c>
      <c r="B552" s="15" t="s">
        <v>13</v>
      </c>
      <c r="C552" s="16" t="s">
        <v>2205</v>
      </c>
      <c r="D552" s="16" t="s">
        <v>34</v>
      </c>
      <c r="E552" s="17" t="s">
        <v>66</v>
      </c>
      <c r="F552" s="15">
        <f>+YEAR(Tabla2[[#This Row],[Cosecha]])</f>
        <v>2025</v>
      </c>
      <c r="G552" s="16" t="s">
        <v>29</v>
      </c>
      <c r="H552" s="95">
        <f t="shared" si="20"/>
        <v>5</v>
      </c>
      <c r="I552" s="15" t="s">
        <v>18</v>
      </c>
      <c r="J552" s="16" t="s">
        <v>62</v>
      </c>
      <c r="K552" s="88">
        <f t="shared" si="21"/>
        <v>6</v>
      </c>
      <c r="L552" s="16" t="s">
        <v>2206</v>
      </c>
      <c r="M552" s="16" t="s">
        <v>130</v>
      </c>
      <c r="N552" s="96" t="s">
        <v>26</v>
      </c>
    </row>
    <row r="553" spans="1:14" x14ac:dyDescent="0.35">
      <c r="A553" s="90" t="s">
        <v>2207</v>
      </c>
      <c r="B553" s="10" t="s">
        <v>13</v>
      </c>
      <c r="C553" s="11" t="s">
        <v>2208</v>
      </c>
      <c r="D553" s="11" t="s">
        <v>78</v>
      </c>
      <c r="E553" s="12" t="s">
        <v>51</v>
      </c>
      <c r="F553" s="10">
        <f>+YEAR(Tabla2[[#This Row],[Cosecha]])</f>
        <v>2025</v>
      </c>
      <c r="G553" s="11" t="s">
        <v>118</v>
      </c>
      <c r="H553" s="91">
        <f t="shared" si="20"/>
        <v>7</v>
      </c>
      <c r="I553" s="10" t="s">
        <v>18</v>
      </c>
      <c r="J553" s="11" t="s">
        <v>118</v>
      </c>
      <c r="K553" s="88">
        <f t="shared" si="21"/>
        <v>7</v>
      </c>
      <c r="L553" s="11" t="s">
        <v>2209</v>
      </c>
      <c r="M553" s="11" t="s">
        <v>25</v>
      </c>
      <c r="N553" s="92" t="s">
        <v>21</v>
      </c>
    </row>
    <row r="554" spans="1:14" x14ac:dyDescent="0.35">
      <c r="A554" s="94" t="s">
        <v>2213</v>
      </c>
      <c r="B554" s="15" t="s">
        <v>13</v>
      </c>
      <c r="C554" s="16" t="s">
        <v>2214</v>
      </c>
      <c r="D554" s="16" t="s">
        <v>34</v>
      </c>
      <c r="E554" s="17" t="s">
        <v>118</v>
      </c>
      <c r="F554" s="15">
        <f>+YEAR(Tabla2[[#This Row],[Cosecha]])</f>
        <v>2025</v>
      </c>
      <c r="G554" s="16" t="s">
        <v>23</v>
      </c>
      <c r="H554" s="95">
        <f t="shared" si="20"/>
        <v>4</v>
      </c>
      <c r="I554" s="15" t="s">
        <v>18</v>
      </c>
      <c r="J554" s="16" t="s">
        <v>23</v>
      </c>
      <c r="K554" s="88">
        <f t="shared" si="21"/>
        <v>4</v>
      </c>
      <c r="L554" s="16" t="s">
        <v>2215</v>
      </c>
      <c r="M554" s="16" t="s">
        <v>44</v>
      </c>
      <c r="N554" s="96" t="s">
        <v>21</v>
      </c>
    </row>
    <row r="555" spans="1:14" x14ac:dyDescent="0.35">
      <c r="A555" s="90" t="s">
        <v>2216</v>
      </c>
      <c r="B555" s="10" t="s">
        <v>13</v>
      </c>
      <c r="C555" s="11" t="s">
        <v>2217</v>
      </c>
      <c r="D555" s="11" t="s">
        <v>34</v>
      </c>
      <c r="E555" s="12" t="s">
        <v>66</v>
      </c>
      <c r="F555" s="10">
        <f>+YEAR(Tabla2[[#This Row],[Cosecha]])</f>
        <v>2025</v>
      </c>
      <c r="G555" s="11" t="s">
        <v>52</v>
      </c>
      <c r="H555" s="91">
        <f t="shared" si="20"/>
        <v>13</v>
      </c>
      <c r="I555" s="10" t="s">
        <v>18</v>
      </c>
      <c r="J555" s="11" t="s">
        <v>30</v>
      </c>
      <c r="K555" s="88">
        <f t="shared" si="21"/>
        <v>14</v>
      </c>
      <c r="L555" s="11" t="s">
        <v>2218</v>
      </c>
      <c r="M555" s="11" t="s">
        <v>115</v>
      </c>
      <c r="N555" s="92" t="s">
        <v>21</v>
      </c>
    </row>
    <row r="556" spans="1:14" x14ac:dyDescent="0.35">
      <c r="A556" s="94" t="s">
        <v>2222</v>
      </c>
      <c r="B556" s="15" t="s">
        <v>13</v>
      </c>
      <c r="C556" s="16" t="s">
        <v>2223</v>
      </c>
      <c r="D556" s="16" t="s">
        <v>363</v>
      </c>
      <c r="E556" s="17" t="s">
        <v>1086</v>
      </c>
      <c r="F556" s="15">
        <f>+YEAR(Tabla2[[#This Row],[Cosecha]])</f>
        <v>2023</v>
      </c>
      <c r="G556" s="16" t="s">
        <v>29</v>
      </c>
      <c r="H556" s="95">
        <f t="shared" si="20"/>
        <v>22</v>
      </c>
      <c r="I556" s="15" t="s">
        <v>18</v>
      </c>
      <c r="J556" s="16" t="s">
        <v>62</v>
      </c>
      <c r="K556" s="88">
        <f t="shared" si="21"/>
        <v>23</v>
      </c>
      <c r="L556" s="16" t="s">
        <v>2224</v>
      </c>
      <c r="M556" s="16" t="s">
        <v>25</v>
      </c>
      <c r="N556" s="96" t="s">
        <v>21</v>
      </c>
    </row>
    <row r="557" spans="1:14" x14ac:dyDescent="0.35">
      <c r="A557" s="90" t="s">
        <v>2225</v>
      </c>
      <c r="B557" s="10" t="s">
        <v>13</v>
      </c>
      <c r="C557" s="11" t="s">
        <v>2226</v>
      </c>
      <c r="D557" s="11" t="s">
        <v>34</v>
      </c>
      <c r="E557" s="12" t="s">
        <v>113</v>
      </c>
      <c r="F557" s="10">
        <f>+YEAR(Tabla2[[#This Row],[Cosecha]])</f>
        <v>2025</v>
      </c>
      <c r="G557" s="11" t="s">
        <v>52</v>
      </c>
      <c r="H557" s="91">
        <f t="shared" si="20"/>
        <v>2</v>
      </c>
      <c r="I557" s="10" t="s">
        <v>18</v>
      </c>
      <c r="J557" s="11" t="s">
        <v>52</v>
      </c>
      <c r="K557" s="88">
        <f t="shared" si="21"/>
        <v>2</v>
      </c>
      <c r="L557" s="11" t="s">
        <v>2227</v>
      </c>
      <c r="M557" s="11" t="s">
        <v>72</v>
      </c>
      <c r="N557" s="92" t="s">
        <v>21</v>
      </c>
    </row>
    <row r="558" spans="1:14" x14ac:dyDescent="0.35">
      <c r="A558" s="94" t="s">
        <v>2231</v>
      </c>
      <c r="B558" s="15" t="s">
        <v>13</v>
      </c>
      <c r="C558" s="16" t="s">
        <v>2232</v>
      </c>
      <c r="D558" s="16" t="s">
        <v>34</v>
      </c>
      <c r="E558" s="17" t="s">
        <v>23</v>
      </c>
      <c r="F558" s="15">
        <f>+YEAR(Tabla2[[#This Row],[Cosecha]])</f>
        <v>2026</v>
      </c>
      <c r="G558" s="16" t="s">
        <v>17</v>
      </c>
      <c r="H558" s="95">
        <f t="shared" si="20"/>
        <v>3</v>
      </c>
      <c r="I558" s="15" t="s">
        <v>18</v>
      </c>
      <c r="J558" s="16" t="s">
        <v>17</v>
      </c>
      <c r="K558" s="88">
        <f t="shared" si="21"/>
        <v>3</v>
      </c>
      <c r="L558" s="16" t="s">
        <v>2233</v>
      </c>
      <c r="M558" s="16" t="s">
        <v>44</v>
      </c>
      <c r="N558" s="96" t="s">
        <v>21</v>
      </c>
    </row>
    <row r="559" spans="1:14" x14ac:dyDescent="0.35">
      <c r="A559" s="90" t="s">
        <v>2234</v>
      </c>
      <c r="B559" s="10" t="s">
        <v>13</v>
      </c>
      <c r="C559" s="11" t="s">
        <v>2235</v>
      </c>
      <c r="D559" s="11" t="s">
        <v>34</v>
      </c>
      <c r="E559" s="12" t="s">
        <v>104</v>
      </c>
      <c r="F559" s="10">
        <f>+YEAR(Tabla2[[#This Row],[Cosecha]])</f>
        <v>2025</v>
      </c>
      <c r="G559" s="11" t="s">
        <v>62</v>
      </c>
      <c r="H559" s="91">
        <f t="shared" si="20"/>
        <v>2</v>
      </c>
      <c r="I559" s="10" t="s">
        <v>18</v>
      </c>
      <c r="J559" s="11" t="s">
        <v>62</v>
      </c>
      <c r="K559" s="88">
        <f t="shared" si="21"/>
        <v>2</v>
      </c>
      <c r="L559" s="11" t="s">
        <v>1145</v>
      </c>
      <c r="M559" s="11" t="s">
        <v>130</v>
      </c>
      <c r="N559" s="92" t="s">
        <v>26</v>
      </c>
    </row>
    <row r="560" spans="1:14" x14ac:dyDescent="0.35">
      <c r="A560" s="94" t="s">
        <v>2236</v>
      </c>
      <c r="B560" s="15" t="s">
        <v>13</v>
      </c>
      <c r="C560" s="16" t="s">
        <v>2237</v>
      </c>
      <c r="D560" s="16" t="s">
        <v>34</v>
      </c>
      <c r="E560" s="17" t="s">
        <v>457</v>
      </c>
      <c r="F560" s="15">
        <f>+YEAR(Tabla2[[#This Row],[Cosecha]])</f>
        <v>2024</v>
      </c>
      <c r="G560" s="16" t="s">
        <v>104</v>
      </c>
      <c r="H560" s="95">
        <f t="shared" si="20"/>
        <v>11</v>
      </c>
      <c r="I560" s="15" t="s">
        <v>18</v>
      </c>
      <c r="J560" s="16" t="s">
        <v>104</v>
      </c>
      <c r="K560" s="88">
        <f t="shared" si="21"/>
        <v>11</v>
      </c>
      <c r="L560" s="16" t="s">
        <v>2238</v>
      </c>
      <c r="M560" s="16" t="s">
        <v>25</v>
      </c>
      <c r="N560" s="96" t="s">
        <v>21</v>
      </c>
    </row>
    <row r="561" spans="1:14" x14ac:dyDescent="0.35">
      <c r="A561" s="90" t="s">
        <v>2239</v>
      </c>
      <c r="B561" s="10" t="s">
        <v>13</v>
      </c>
      <c r="C561" s="11" t="s">
        <v>2240</v>
      </c>
      <c r="D561" s="11" t="s">
        <v>363</v>
      </c>
      <c r="E561" s="12" t="s">
        <v>16</v>
      </c>
      <c r="F561" s="10">
        <f>+YEAR(Tabla2[[#This Row],[Cosecha]])</f>
        <v>2023</v>
      </c>
      <c r="G561" s="11" t="s">
        <v>62</v>
      </c>
      <c r="H561" s="91">
        <f t="shared" si="20"/>
        <v>27</v>
      </c>
      <c r="I561" s="10" t="s">
        <v>18</v>
      </c>
      <c r="J561" s="11" t="s">
        <v>62</v>
      </c>
      <c r="K561" s="88">
        <f t="shared" si="21"/>
        <v>27</v>
      </c>
      <c r="L561" s="11" t="s">
        <v>2241</v>
      </c>
      <c r="M561" s="11" t="s">
        <v>20</v>
      </c>
      <c r="N561" s="92" t="s">
        <v>21</v>
      </c>
    </row>
    <row r="562" spans="1:14" x14ac:dyDescent="0.35">
      <c r="A562" s="94" t="s">
        <v>2242</v>
      </c>
      <c r="B562" s="15" t="s">
        <v>13</v>
      </c>
      <c r="C562" s="16" t="s">
        <v>2243</v>
      </c>
      <c r="D562" s="16" t="s">
        <v>34</v>
      </c>
      <c r="E562" s="17" t="s">
        <v>133</v>
      </c>
      <c r="F562" s="15">
        <f>+YEAR(Tabla2[[#This Row],[Cosecha]])</f>
        <v>2025</v>
      </c>
      <c r="G562" s="16" t="s">
        <v>70</v>
      </c>
      <c r="H562" s="95">
        <f t="shared" si="20"/>
        <v>13</v>
      </c>
      <c r="I562" s="15" t="s">
        <v>18</v>
      </c>
      <c r="J562" s="16" t="s">
        <v>70</v>
      </c>
      <c r="K562" s="88">
        <f t="shared" si="21"/>
        <v>13</v>
      </c>
      <c r="L562" s="16" t="s">
        <v>2244</v>
      </c>
      <c r="M562" s="16" t="s">
        <v>44</v>
      </c>
      <c r="N562" s="96" t="s">
        <v>21</v>
      </c>
    </row>
    <row r="563" spans="1:14" x14ac:dyDescent="0.35">
      <c r="A563" s="90" t="s">
        <v>2245</v>
      </c>
      <c r="B563" s="10" t="s">
        <v>13</v>
      </c>
      <c r="C563" s="11" t="s">
        <v>2246</v>
      </c>
      <c r="D563" s="11" t="s">
        <v>34</v>
      </c>
      <c r="E563" s="12" t="s">
        <v>51</v>
      </c>
      <c r="F563" s="10">
        <f>+YEAR(Tabla2[[#This Row],[Cosecha]])</f>
        <v>2025</v>
      </c>
      <c r="G563" s="11" t="s">
        <v>133</v>
      </c>
      <c r="H563" s="91">
        <f t="shared" si="20"/>
        <v>2</v>
      </c>
      <c r="I563" s="10" t="s">
        <v>18</v>
      </c>
      <c r="J563" s="11" t="s">
        <v>104</v>
      </c>
      <c r="K563" s="88">
        <f t="shared" si="21"/>
        <v>3</v>
      </c>
      <c r="L563" s="11" t="s">
        <v>2247</v>
      </c>
      <c r="M563" s="11" t="s">
        <v>25</v>
      </c>
      <c r="N563" s="92" t="s">
        <v>21</v>
      </c>
    </row>
    <row r="564" spans="1:14" x14ac:dyDescent="0.35">
      <c r="A564" s="94" t="s">
        <v>2248</v>
      </c>
      <c r="B564" s="15" t="s">
        <v>13</v>
      </c>
      <c r="C564" s="16" t="s">
        <v>2249</v>
      </c>
      <c r="D564" s="16" t="s">
        <v>34</v>
      </c>
      <c r="E564" s="17" t="s">
        <v>133</v>
      </c>
      <c r="F564" s="15">
        <f>+YEAR(Tabla2[[#This Row],[Cosecha]])</f>
        <v>2025</v>
      </c>
      <c r="G564" s="16" t="s">
        <v>97</v>
      </c>
      <c r="H564" s="95">
        <f t="shared" si="20"/>
        <v>4</v>
      </c>
      <c r="I564" s="15" t="s">
        <v>18</v>
      </c>
      <c r="J564" s="16" t="s">
        <v>97</v>
      </c>
      <c r="K564" s="88">
        <f t="shared" si="21"/>
        <v>4</v>
      </c>
      <c r="L564" s="16" t="s">
        <v>1324</v>
      </c>
      <c r="M564" s="16" t="s">
        <v>115</v>
      </c>
      <c r="N564" s="96" t="s">
        <v>21</v>
      </c>
    </row>
    <row r="565" spans="1:14" x14ac:dyDescent="0.35">
      <c r="A565" s="90" t="s">
        <v>2253</v>
      </c>
      <c r="B565" s="10" t="s">
        <v>13</v>
      </c>
      <c r="C565" s="11" t="s">
        <v>2254</v>
      </c>
      <c r="D565" s="11" t="s">
        <v>90</v>
      </c>
      <c r="E565" s="12" t="s">
        <v>23</v>
      </c>
      <c r="F565" s="10">
        <f>+YEAR(Tabla2[[#This Row],[Cosecha]])</f>
        <v>2026</v>
      </c>
      <c r="G565" s="11" t="s">
        <v>30</v>
      </c>
      <c r="H565" s="91">
        <f t="shared" si="20"/>
        <v>2</v>
      </c>
      <c r="I565" s="10" t="s">
        <v>18</v>
      </c>
      <c r="J565" s="11" t="s">
        <v>17</v>
      </c>
      <c r="K565" s="88">
        <f t="shared" si="21"/>
        <v>3</v>
      </c>
      <c r="L565" s="11" t="s">
        <v>2255</v>
      </c>
      <c r="M565" s="11" t="s">
        <v>25</v>
      </c>
      <c r="N565" s="92" t="s">
        <v>26</v>
      </c>
    </row>
    <row r="566" spans="1:14" x14ac:dyDescent="0.35">
      <c r="A566" s="94" t="s">
        <v>2256</v>
      </c>
      <c r="B566" s="15" t="s">
        <v>13</v>
      </c>
      <c r="C566" s="16" t="s">
        <v>2257</v>
      </c>
      <c r="D566" s="16" t="s">
        <v>34</v>
      </c>
      <c r="E566" s="17" t="s">
        <v>149</v>
      </c>
      <c r="F566" s="15">
        <f>+YEAR(Tabla2[[#This Row],[Cosecha]])</f>
        <v>2024</v>
      </c>
      <c r="G566" s="16" t="s">
        <v>133</v>
      </c>
      <c r="H566" s="95">
        <f t="shared" si="20"/>
        <v>7</v>
      </c>
      <c r="I566" s="15" t="s">
        <v>18</v>
      </c>
      <c r="J566" s="16" t="s">
        <v>104</v>
      </c>
      <c r="K566" s="88">
        <f t="shared" si="21"/>
        <v>8</v>
      </c>
      <c r="L566" s="16" t="s">
        <v>2258</v>
      </c>
      <c r="M566" s="16" t="s">
        <v>130</v>
      </c>
      <c r="N566" s="96" t="s">
        <v>21</v>
      </c>
    </row>
    <row r="567" spans="1:14" x14ac:dyDescent="0.35">
      <c r="A567" s="90" t="s">
        <v>2262</v>
      </c>
      <c r="B567" s="10" t="s">
        <v>13</v>
      </c>
      <c r="C567" s="11" t="s">
        <v>2263</v>
      </c>
      <c r="D567" s="11" t="s">
        <v>34</v>
      </c>
      <c r="E567" s="12" t="s">
        <v>780</v>
      </c>
      <c r="F567" s="10">
        <f>+YEAR(Tabla2[[#This Row],[Cosecha]])</f>
        <v>2023</v>
      </c>
      <c r="G567" s="11" t="s">
        <v>66</v>
      </c>
      <c r="H567" s="91">
        <f t="shared" si="20"/>
        <v>13</v>
      </c>
      <c r="I567" s="10" t="s">
        <v>18</v>
      </c>
      <c r="J567" s="11" t="s">
        <v>66</v>
      </c>
      <c r="K567" s="88">
        <f t="shared" si="21"/>
        <v>13</v>
      </c>
      <c r="L567" s="11" t="s">
        <v>2264</v>
      </c>
      <c r="M567" s="11" t="s">
        <v>25</v>
      </c>
      <c r="N567" s="92" t="s">
        <v>21</v>
      </c>
    </row>
    <row r="568" spans="1:14" x14ac:dyDescent="0.35">
      <c r="A568" s="94" t="s">
        <v>2265</v>
      </c>
      <c r="B568" s="15" t="s">
        <v>13</v>
      </c>
      <c r="C568" s="16" t="s">
        <v>2266</v>
      </c>
      <c r="D568" s="16" t="s">
        <v>34</v>
      </c>
      <c r="E568" s="17" t="s">
        <v>133</v>
      </c>
      <c r="F568" s="15">
        <f>+YEAR(Tabla2[[#This Row],[Cosecha]])</f>
        <v>2025</v>
      </c>
      <c r="G568" s="16" t="s">
        <v>62</v>
      </c>
      <c r="H568" s="95">
        <f t="shared" si="20"/>
        <v>3</v>
      </c>
      <c r="I568" s="15" t="s">
        <v>18</v>
      </c>
      <c r="J568" s="16" t="s">
        <v>97</v>
      </c>
      <c r="K568" s="88">
        <f t="shared" si="21"/>
        <v>4</v>
      </c>
      <c r="L568" s="16" t="s">
        <v>2267</v>
      </c>
      <c r="M568" s="16" t="s">
        <v>44</v>
      </c>
      <c r="N568" s="96" t="s">
        <v>21</v>
      </c>
    </row>
    <row r="569" spans="1:14" x14ac:dyDescent="0.35">
      <c r="A569" s="90" t="s">
        <v>2268</v>
      </c>
      <c r="B569" s="10" t="s">
        <v>13</v>
      </c>
      <c r="C569" s="11" t="s">
        <v>2269</v>
      </c>
      <c r="D569" s="11" t="s">
        <v>34</v>
      </c>
      <c r="E569" s="12" t="s">
        <v>133</v>
      </c>
      <c r="F569" s="10">
        <f>+YEAR(Tabla2[[#This Row],[Cosecha]])</f>
        <v>2025</v>
      </c>
      <c r="G569" s="11" t="s">
        <v>30</v>
      </c>
      <c r="H569" s="91">
        <f t="shared" si="20"/>
        <v>11</v>
      </c>
      <c r="I569" s="10" t="s">
        <v>18</v>
      </c>
      <c r="J569" s="11" t="s">
        <v>30</v>
      </c>
      <c r="K569" s="88">
        <f t="shared" si="21"/>
        <v>11</v>
      </c>
      <c r="L569" s="11" t="s">
        <v>2270</v>
      </c>
      <c r="M569" s="11" t="s">
        <v>44</v>
      </c>
      <c r="N569" s="92" t="s">
        <v>21</v>
      </c>
    </row>
    <row r="570" spans="1:14" x14ac:dyDescent="0.35">
      <c r="A570" s="94" t="s">
        <v>2271</v>
      </c>
      <c r="B570" s="15" t="s">
        <v>13</v>
      </c>
      <c r="C570" s="16" t="s">
        <v>2272</v>
      </c>
      <c r="D570" s="16" t="s">
        <v>34</v>
      </c>
      <c r="E570" s="17" t="s">
        <v>149</v>
      </c>
      <c r="F570" s="15">
        <f>+YEAR(Tabla2[[#This Row],[Cosecha]])</f>
        <v>2024</v>
      </c>
      <c r="G570" s="16" t="s">
        <v>104</v>
      </c>
      <c r="H570" s="95">
        <f t="shared" si="20"/>
        <v>8</v>
      </c>
      <c r="I570" s="15" t="s">
        <v>18</v>
      </c>
      <c r="J570" s="16" t="s">
        <v>104</v>
      </c>
      <c r="K570" s="88">
        <f t="shared" si="21"/>
        <v>8</v>
      </c>
      <c r="L570" s="16" t="s">
        <v>2273</v>
      </c>
      <c r="M570" s="16" t="s">
        <v>25</v>
      </c>
      <c r="N570" s="96" t="s">
        <v>21</v>
      </c>
    </row>
    <row r="571" spans="1:14" x14ac:dyDescent="0.35">
      <c r="A571" s="90" t="s">
        <v>2277</v>
      </c>
      <c r="B571" s="10" t="s">
        <v>13</v>
      </c>
      <c r="C571" s="11" t="s">
        <v>2278</v>
      </c>
      <c r="D571" s="11" t="s">
        <v>34</v>
      </c>
      <c r="E571" s="12" t="s">
        <v>165</v>
      </c>
      <c r="F571" s="10">
        <f>+YEAR(Tabla2[[#This Row],[Cosecha]])</f>
        <v>2024</v>
      </c>
      <c r="G571" s="11" t="s">
        <v>23</v>
      </c>
      <c r="H571" s="91">
        <f t="shared" si="20"/>
        <v>23</v>
      </c>
      <c r="I571" s="10" t="s">
        <v>18</v>
      </c>
      <c r="J571" s="11" t="s">
        <v>23</v>
      </c>
      <c r="K571" s="88">
        <f t="shared" si="21"/>
        <v>23</v>
      </c>
      <c r="L571" s="11" t="s">
        <v>2279</v>
      </c>
      <c r="M571" s="11" t="s">
        <v>241</v>
      </c>
      <c r="N571" s="92" t="s">
        <v>21</v>
      </c>
    </row>
    <row r="572" spans="1:14" x14ac:dyDescent="0.35">
      <c r="A572" s="94" t="s">
        <v>2280</v>
      </c>
      <c r="B572" s="15" t="s">
        <v>13</v>
      </c>
      <c r="C572" s="16" t="s">
        <v>2281</v>
      </c>
      <c r="D572" s="16" t="s">
        <v>34</v>
      </c>
      <c r="E572" s="17" t="s">
        <v>29</v>
      </c>
      <c r="F572" s="15">
        <f>+YEAR(Tabla2[[#This Row],[Cosecha]])</f>
        <v>2025</v>
      </c>
      <c r="G572" s="16" t="s">
        <v>37</v>
      </c>
      <c r="H572" s="95">
        <f t="shared" si="20"/>
        <v>5</v>
      </c>
      <c r="I572" s="15" t="s">
        <v>18</v>
      </c>
      <c r="J572" s="16" t="s">
        <v>113</v>
      </c>
      <c r="K572" s="88">
        <f t="shared" si="21"/>
        <v>6</v>
      </c>
      <c r="L572" s="16" t="s">
        <v>2282</v>
      </c>
      <c r="M572" s="16" t="s">
        <v>115</v>
      </c>
      <c r="N572" s="96" t="s">
        <v>21</v>
      </c>
    </row>
    <row r="573" spans="1:14" x14ac:dyDescent="0.35">
      <c r="A573" s="90" t="s">
        <v>2283</v>
      </c>
      <c r="B573" s="10" t="s">
        <v>13</v>
      </c>
      <c r="C573" s="11" t="s">
        <v>2284</v>
      </c>
      <c r="D573" s="11" t="s">
        <v>34</v>
      </c>
      <c r="E573" s="12" t="s">
        <v>62</v>
      </c>
      <c r="F573" s="10">
        <f>+YEAR(Tabla2[[#This Row],[Cosecha]])</f>
        <v>2025</v>
      </c>
      <c r="G573" s="11" t="s">
        <v>113</v>
      </c>
      <c r="H573" s="91">
        <f t="shared" si="20"/>
        <v>5</v>
      </c>
      <c r="I573" s="10" t="s">
        <v>18</v>
      </c>
      <c r="J573" s="11" t="s">
        <v>23</v>
      </c>
      <c r="K573" s="88">
        <f t="shared" si="21"/>
        <v>6</v>
      </c>
      <c r="L573" s="11" t="s">
        <v>2285</v>
      </c>
      <c r="M573" s="11" t="s">
        <v>115</v>
      </c>
      <c r="N573" s="92" t="s">
        <v>21</v>
      </c>
    </row>
    <row r="574" spans="1:14" x14ac:dyDescent="0.35">
      <c r="A574" s="94" t="s">
        <v>2286</v>
      </c>
      <c r="B574" s="15" t="s">
        <v>13</v>
      </c>
      <c r="C574" s="16" t="s">
        <v>2287</v>
      </c>
      <c r="D574" s="16" t="s">
        <v>90</v>
      </c>
      <c r="E574" s="17" t="s">
        <v>104</v>
      </c>
      <c r="F574" s="15">
        <f>+YEAR(Tabla2[[#This Row],[Cosecha]])</f>
        <v>2025</v>
      </c>
      <c r="G574" s="16" t="s">
        <v>97</v>
      </c>
      <c r="H574" s="95">
        <f t="shared" si="20"/>
        <v>3</v>
      </c>
      <c r="I574" s="15" t="s">
        <v>18</v>
      </c>
      <c r="J574" s="16" t="s">
        <v>113</v>
      </c>
      <c r="K574" s="88">
        <f t="shared" si="21"/>
        <v>7</v>
      </c>
      <c r="L574" s="16" t="s">
        <v>2288</v>
      </c>
      <c r="M574" s="16" t="s">
        <v>39</v>
      </c>
      <c r="N574" s="96" t="s">
        <v>21</v>
      </c>
    </row>
    <row r="575" spans="1:14" x14ac:dyDescent="0.35">
      <c r="A575" s="90" t="s">
        <v>2289</v>
      </c>
      <c r="B575" s="10" t="s">
        <v>13</v>
      </c>
      <c r="C575" s="11" t="s">
        <v>2290</v>
      </c>
      <c r="D575" s="11" t="s">
        <v>34</v>
      </c>
      <c r="E575" s="12" t="s">
        <v>457</v>
      </c>
      <c r="F575" s="10">
        <f>+YEAR(Tabla2[[#This Row],[Cosecha]])</f>
        <v>2024</v>
      </c>
      <c r="G575" s="11" t="s">
        <v>29</v>
      </c>
      <c r="H575" s="91">
        <f t="shared" si="20"/>
        <v>12</v>
      </c>
      <c r="I575" s="10" t="s">
        <v>18</v>
      </c>
      <c r="J575" s="11" t="s">
        <v>62</v>
      </c>
      <c r="K575" s="88">
        <f t="shared" si="21"/>
        <v>13</v>
      </c>
      <c r="L575" s="11" t="s">
        <v>2291</v>
      </c>
      <c r="M575" s="11" t="s">
        <v>25</v>
      </c>
      <c r="N575" s="92" t="s">
        <v>21</v>
      </c>
    </row>
    <row r="576" spans="1:14" x14ac:dyDescent="0.35">
      <c r="A576" s="94" t="s">
        <v>2292</v>
      </c>
      <c r="B576" s="15" t="s">
        <v>13</v>
      </c>
      <c r="C576" s="16" t="s">
        <v>2293</v>
      </c>
      <c r="D576" s="16" t="s">
        <v>34</v>
      </c>
      <c r="E576" s="17" t="s">
        <v>51</v>
      </c>
      <c r="F576" s="15">
        <f>+YEAR(Tabla2[[#This Row],[Cosecha]])</f>
        <v>2025</v>
      </c>
      <c r="G576" s="16" t="s">
        <v>62</v>
      </c>
      <c r="H576" s="95">
        <f t="shared" si="20"/>
        <v>5</v>
      </c>
      <c r="I576" s="15" t="s">
        <v>18</v>
      </c>
      <c r="J576" s="16" t="s">
        <v>97</v>
      </c>
      <c r="K576" s="88">
        <f t="shared" si="21"/>
        <v>6</v>
      </c>
      <c r="L576" s="16" t="s">
        <v>2294</v>
      </c>
      <c r="M576" s="16" t="s">
        <v>44</v>
      </c>
      <c r="N576" s="96" t="s">
        <v>21</v>
      </c>
    </row>
    <row r="577" spans="1:14" x14ac:dyDescent="0.35">
      <c r="A577" s="90" t="s">
        <v>2295</v>
      </c>
      <c r="B577" s="10" t="s">
        <v>13</v>
      </c>
      <c r="C577" s="11" t="s">
        <v>2296</v>
      </c>
      <c r="D577" s="11" t="s">
        <v>78</v>
      </c>
      <c r="E577" s="12" t="s">
        <v>302</v>
      </c>
      <c r="F577" s="10">
        <f>+YEAR(Tabla2[[#This Row],[Cosecha]])</f>
        <v>2023</v>
      </c>
      <c r="G577" s="11" t="s">
        <v>29</v>
      </c>
      <c r="H577" s="91">
        <f t="shared" si="20"/>
        <v>20</v>
      </c>
      <c r="I577" s="10" t="s">
        <v>18</v>
      </c>
      <c r="J577" s="11" t="s">
        <v>62</v>
      </c>
      <c r="K577" s="88">
        <f t="shared" si="21"/>
        <v>21</v>
      </c>
      <c r="L577" s="11" t="s">
        <v>2297</v>
      </c>
      <c r="M577" s="11" t="s">
        <v>25</v>
      </c>
      <c r="N577" s="92" t="s">
        <v>21</v>
      </c>
    </row>
    <row r="578" spans="1:14" x14ac:dyDescent="0.35">
      <c r="A578" s="94" t="s">
        <v>2301</v>
      </c>
      <c r="B578" s="15" t="s">
        <v>13</v>
      </c>
      <c r="C578" s="16" t="s">
        <v>2302</v>
      </c>
      <c r="D578" s="16" t="s">
        <v>78</v>
      </c>
      <c r="E578" s="17" t="s">
        <v>453</v>
      </c>
      <c r="F578" s="15">
        <f>+YEAR(Tabla2[[#This Row],[Cosecha]])</f>
        <v>2024</v>
      </c>
      <c r="G578" s="16" t="s">
        <v>133</v>
      </c>
      <c r="H578" s="95">
        <f t="shared" ref="H578:H641" si="22">(YEAR(G578)-YEAR(E578))*12+(MONTH(G578)-MONTH(E578))</f>
        <v>12</v>
      </c>
      <c r="I578" s="15" t="s">
        <v>18</v>
      </c>
      <c r="J578" s="16" t="s">
        <v>104</v>
      </c>
      <c r="K578" s="88">
        <f t="shared" ref="K578:K641" si="23">(YEAR(J578)-YEAR(E578))*12+(MONTH(J578)-MONTH(E578))</f>
        <v>13</v>
      </c>
      <c r="L578" s="16" t="s">
        <v>2303</v>
      </c>
      <c r="M578" s="16" t="s">
        <v>25</v>
      </c>
      <c r="N578" s="96" t="s">
        <v>21</v>
      </c>
    </row>
    <row r="579" spans="1:14" x14ac:dyDescent="0.35">
      <c r="A579" s="90" t="s">
        <v>2304</v>
      </c>
      <c r="B579" s="10" t="s">
        <v>13</v>
      </c>
      <c r="C579" s="11" t="s">
        <v>2305</v>
      </c>
      <c r="D579" s="11" t="s">
        <v>34</v>
      </c>
      <c r="E579" s="12" t="s">
        <v>23</v>
      </c>
      <c r="F579" s="10">
        <f>+YEAR(Tabla2[[#This Row],[Cosecha]])</f>
        <v>2026</v>
      </c>
      <c r="G579" s="11" t="s">
        <v>30</v>
      </c>
      <c r="H579" s="91">
        <f t="shared" si="22"/>
        <v>2</v>
      </c>
      <c r="I579" s="10" t="s">
        <v>18</v>
      </c>
      <c r="J579" s="11" t="s">
        <v>30</v>
      </c>
      <c r="K579" s="88">
        <f t="shared" si="23"/>
        <v>2</v>
      </c>
      <c r="L579" s="11" t="s">
        <v>2306</v>
      </c>
      <c r="M579" s="11" t="s">
        <v>130</v>
      </c>
      <c r="N579" s="92" t="s">
        <v>21</v>
      </c>
    </row>
    <row r="580" spans="1:14" x14ac:dyDescent="0.35">
      <c r="A580" s="94" t="s">
        <v>2307</v>
      </c>
      <c r="B580" s="15" t="s">
        <v>13</v>
      </c>
      <c r="C580" s="16" t="s">
        <v>2308</v>
      </c>
      <c r="D580" s="16" t="s">
        <v>34</v>
      </c>
      <c r="E580" s="17" t="s">
        <v>82</v>
      </c>
      <c r="F580" s="15">
        <f>+YEAR(Tabla2[[#This Row],[Cosecha]])</f>
        <v>2024</v>
      </c>
      <c r="G580" s="16" t="s">
        <v>97</v>
      </c>
      <c r="H580" s="95">
        <f t="shared" si="22"/>
        <v>8</v>
      </c>
      <c r="I580" s="15" t="s">
        <v>18</v>
      </c>
      <c r="J580" s="16" t="s">
        <v>118</v>
      </c>
      <c r="K580" s="88">
        <f t="shared" si="23"/>
        <v>9</v>
      </c>
      <c r="L580" s="16" t="s">
        <v>2309</v>
      </c>
      <c r="M580" s="16" t="s">
        <v>130</v>
      </c>
      <c r="N580" s="96" t="s">
        <v>21</v>
      </c>
    </row>
    <row r="581" spans="1:14" x14ac:dyDescent="0.35">
      <c r="A581" s="90" t="s">
        <v>2310</v>
      </c>
      <c r="B581" s="10" t="s">
        <v>13</v>
      </c>
      <c r="C581" s="11" t="s">
        <v>2311</v>
      </c>
      <c r="D581" s="11" t="s">
        <v>34</v>
      </c>
      <c r="E581" s="12" t="s">
        <v>104</v>
      </c>
      <c r="F581" s="10">
        <f>+YEAR(Tabla2[[#This Row],[Cosecha]])</f>
        <v>2025</v>
      </c>
      <c r="G581" s="11" t="s">
        <v>97</v>
      </c>
      <c r="H581" s="91">
        <f t="shared" si="22"/>
        <v>3</v>
      </c>
      <c r="I581" s="10" t="s">
        <v>18</v>
      </c>
      <c r="J581" s="11" t="s">
        <v>97</v>
      </c>
      <c r="K581" s="88">
        <f t="shared" si="23"/>
        <v>3</v>
      </c>
      <c r="L581" s="11" t="s">
        <v>2312</v>
      </c>
      <c r="M581" s="11" t="s">
        <v>130</v>
      </c>
      <c r="N581" s="92" t="s">
        <v>26</v>
      </c>
    </row>
    <row r="582" spans="1:14" x14ac:dyDescent="0.35">
      <c r="A582" s="94" t="s">
        <v>2313</v>
      </c>
      <c r="B582" s="15" t="s">
        <v>13</v>
      </c>
      <c r="C582" s="16" t="s">
        <v>2314</v>
      </c>
      <c r="D582" s="16" t="s">
        <v>34</v>
      </c>
      <c r="E582" s="17" t="s">
        <v>453</v>
      </c>
      <c r="F582" s="15">
        <f>+YEAR(Tabla2[[#This Row],[Cosecha]])</f>
        <v>2024</v>
      </c>
      <c r="G582" s="16" t="s">
        <v>118</v>
      </c>
      <c r="H582" s="95">
        <f t="shared" si="22"/>
        <v>17</v>
      </c>
      <c r="I582" s="15" t="s">
        <v>18</v>
      </c>
      <c r="J582" s="16" t="s">
        <v>30</v>
      </c>
      <c r="K582" s="88">
        <f t="shared" si="23"/>
        <v>23</v>
      </c>
      <c r="L582" s="16" t="s">
        <v>2315</v>
      </c>
      <c r="M582" s="16" t="s">
        <v>25</v>
      </c>
      <c r="N582" s="96" t="s">
        <v>21</v>
      </c>
    </row>
    <row r="583" spans="1:14" x14ac:dyDescent="0.35">
      <c r="A583" s="90" t="s">
        <v>2316</v>
      </c>
      <c r="B583" s="10" t="s">
        <v>13</v>
      </c>
      <c r="C583" s="11" t="s">
        <v>2317</v>
      </c>
      <c r="D583" s="11" t="s">
        <v>15</v>
      </c>
      <c r="E583" s="12" t="s">
        <v>497</v>
      </c>
      <c r="F583" s="10">
        <f>+YEAR(Tabla2[[#This Row],[Cosecha]])</f>
        <v>2024</v>
      </c>
      <c r="G583" s="11" t="s">
        <v>118</v>
      </c>
      <c r="H583" s="91">
        <f t="shared" si="22"/>
        <v>13</v>
      </c>
      <c r="I583" s="10" t="s">
        <v>18</v>
      </c>
      <c r="J583" s="11" t="s">
        <v>36</v>
      </c>
      <c r="K583" s="88">
        <f t="shared" si="23"/>
        <v>14</v>
      </c>
      <c r="L583" s="11" t="s">
        <v>2318</v>
      </c>
      <c r="M583" s="11" t="s">
        <v>25</v>
      </c>
      <c r="N583" s="92" t="s">
        <v>21</v>
      </c>
    </row>
    <row r="584" spans="1:14" x14ac:dyDescent="0.35">
      <c r="A584" s="94" t="s">
        <v>2319</v>
      </c>
      <c r="B584" s="15" t="s">
        <v>13</v>
      </c>
      <c r="C584" s="16" t="s">
        <v>2320</v>
      </c>
      <c r="D584" s="16" t="s">
        <v>34</v>
      </c>
      <c r="E584" s="17" t="s">
        <v>82</v>
      </c>
      <c r="F584" s="15">
        <f>+YEAR(Tabla2[[#This Row],[Cosecha]])</f>
        <v>2024</v>
      </c>
      <c r="G584" s="16" t="s">
        <v>113</v>
      </c>
      <c r="H584" s="95">
        <f t="shared" si="22"/>
        <v>12</v>
      </c>
      <c r="I584" s="15" t="s">
        <v>18</v>
      </c>
      <c r="J584" s="16" t="s">
        <v>23</v>
      </c>
      <c r="K584" s="88">
        <f t="shared" si="23"/>
        <v>13</v>
      </c>
      <c r="L584" s="16" t="s">
        <v>2321</v>
      </c>
      <c r="M584" s="16" t="s">
        <v>130</v>
      </c>
      <c r="N584" s="96" t="s">
        <v>21</v>
      </c>
    </row>
    <row r="585" spans="1:14" x14ac:dyDescent="0.35">
      <c r="A585" s="90" t="s">
        <v>2325</v>
      </c>
      <c r="B585" s="10" t="s">
        <v>13</v>
      </c>
      <c r="C585" s="11" t="s">
        <v>2326</v>
      </c>
      <c r="D585" s="11" t="s">
        <v>34</v>
      </c>
      <c r="E585" s="12" t="s">
        <v>178</v>
      </c>
      <c r="F585" s="10">
        <f>+YEAR(Tabla2[[#This Row],[Cosecha]])</f>
        <v>2024</v>
      </c>
      <c r="G585" s="11" t="s">
        <v>29</v>
      </c>
      <c r="H585" s="91">
        <f t="shared" si="22"/>
        <v>7</v>
      </c>
      <c r="I585" s="10" t="s">
        <v>18</v>
      </c>
      <c r="J585" s="11" t="s">
        <v>29</v>
      </c>
      <c r="K585" s="88">
        <f t="shared" si="23"/>
        <v>7</v>
      </c>
      <c r="L585" s="11" t="s">
        <v>2327</v>
      </c>
      <c r="M585" s="11" t="s">
        <v>25</v>
      </c>
      <c r="N585" s="92" t="s">
        <v>21</v>
      </c>
    </row>
    <row r="586" spans="1:14" x14ac:dyDescent="0.35">
      <c r="A586" s="94" t="s">
        <v>2328</v>
      </c>
      <c r="B586" s="15" t="s">
        <v>13</v>
      </c>
      <c r="C586" s="16" t="s">
        <v>2329</v>
      </c>
      <c r="D586" s="16" t="s">
        <v>34</v>
      </c>
      <c r="E586" s="17" t="s">
        <v>97</v>
      </c>
      <c r="F586" s="15">
        <f>+YEAR(Tabla2[[#This Row],[Cosecha]])</f>
        <v>2025</v>
      </c>
      <c r="G586" s="16" t="s">
        <v>17</v>
      </c>
      <c r="H586" s="95">
        <f t="shared" si="22"/>
        <v>8</v>
      </c>
      <c r="I586" s="15" t="s">
        <v>18</v>
      </c>
      <c r="J586" s="16" t="s">
        <v>17</v>
      </c>
      <c r="K586" s="88">
        <f t="shared" si="23"/>
        <v>8</v>
      </c>
      <c r="L586" s="16" t="s">
        <v>2102</v>
      </c>
      <c r="M586" s="16" t="s">
        <v>25</v>
      </c>
      <c r="N586" s="96" t="s">
        <v>26</v>
      </c>
    </row>
    <row r="587" spans="1:14" x14ac:dyDescent="0.35">
      <c r="A587" s="90" t="s">
        <v>2333</v>
      </c>
      <c r="B587" s="10" t="s">
        <v>13</v>
      </c>
      <c r="C587" s="11" t="s">
        <v>2334</v>
      </c>
      <c r="D587" s="11" t="s">
        <v>34</v>
      </c>
      <c r="E587" s="12" t="s">
        <v>133</v>
      </c>
      <c r="F587" s="10">
        <f>+YEAR(Tabla2[[#This Row],[Cosecha]])</f>
        <v>2025</v>
      </c>
      <c r="G587" s="11" t="s">
        <v>97</v>
      </c>
      <c r="H587" s="91">
        <f t="shared" si="22"/>
        <v>4</v>
      </c>
      <c r="I587" s="10" t="s">
        <v>18</v>
      </c>
      <c r="J587" s="11" t="s">
        <v>97</v>
      </c>
      <c r="K587" s="88">
        <f t="shared" si="23"/>
        <v>4</v>
      </c>
      <c r="L587" s="11" t="s">
        <v>2335</v>
      </c>
      <c r="M587" s="11" t="s">
        <v>44</v>
      </c>
      <c r="N587" s="92" t="s">
        <v>21</v>
      </c>
    </row>
    <row r="588" spans="1:14" x14ac:dyDescent="0.35">
      <c r="A588" s="94" t="s">
        <v>2336</v>
      </c>
      <c r="B588" s="15" t="s">
        <v>13</v>
      </c>
      <c r="C588" s="16" t="s">
        <v>2337</v>
      </c>
      <c r="D588" s="16" t="s">
        <v>15</v>
      </c>
      <c r="E588" s="17" t="s">
        <v>36</v>
      </c>
      <c r="F588" s="15">
        <f>+YEAR(Tabla2[[#This Row],[Cosecha]])</f>
        <v>2025</v>
      </c>
      <c r="G588" s="16" t="s">
        <v>23</v>
      </c>
      <c r="H588" s="95">
        <f t="shared" si="22"/>
        <v>3</v>
      </c>
      <c r="I588" s="15" t="s">
        <v>18</v>
      </c>
      <c r="J588" s="16" t="s">
        <v>23</v>
      </c>
      <c r="K588" s="88">
        <f t="shared" si="23"/>
        <v>3</v>
      </c>
      <c r="L588" s="16" t="s">
        <v>2338</v>
      </c>
      <c r="M588" s="16" t="s">
        <v>25</v>
      </c>
      <c r="N588" s="96" t="s">
        <v>26</v>
      </c>
    </row>
    <row r="589" spans="1:14" x14ac:dyDescent="0.35">
      <c r="A589" s="90" t="s">
        <v>2339</v>
      </c>
      <c r="B589" s="10" t="s">
        <v>13</v>
      </c>
      <c r="C589" s="11" t="s">
        <v>2340</v>
      </c>
      <c r="D589" s="11" t="s">
        <v>15</v>
      </c>
      <c r="E589" s="12" t="s">
        <v>275</v>
      </c>
      <c r="F589" s="10">
        <f>+YEAR(Tabla2[[#This Row],[Cosecha]])</f>
        <v>2024</v>
      </c>
      <c r="G589" s="11" t="s">
        <v>118</v>
      </c>
      <c r="H589" s="91">
        <f t="shared" si="22"/>
        <v>18</v>
      </c>
      <c r="I589" s="10" t="s">
        <v>18</v>
      </c>
      <c r="J589" s="11" t="s">
        <v>30</v>
      </c>
      <c r="K589" s="88">
        <f t="shared" si="23"/>
        <v>24</v>
      </c>
      <c r="L589" s="11" t="s">
        <v>2341</v>
      </c>
      <c r="M589" s="11" t="s">
        <v>25</v>
      </c>
      <c r="N589" s="92" t="s">
        <v>21</v>
      </c>
    </row>
    <row r="590" spans="1:14" x14ac:dyDescent="0.35">
      <c r="A590" s="94" t="s">
        <v>2342</v>
      </c>
      <c r="B590" s="15" t="s">
        <v>13</v>
      </c>
      <c r="C590" s="16" t="s">
        <v>2343</v>
      </c>
      <c r="D590" s="16" t="s">
        <v>34</v>
      </c>
      <c r="E590" s="17" t="s">
        <v>29</v>
      </c>
      <c r="F590" s="15">
        <f>+YEAR(Tabla2[[#This Row],[Cosecha]])</f>
        <v>2025</v>
      </c>
      <c r="G590" s="16" t="s">
        <v>23</v>
      </c>
      <c r="H590" s="95">
        <f t="shared" si="22"/>
        <v>7</v>
      </c>
      <c r="I590" s="15" t="s">
        <v>18</v>
      </c>
      <c r="J590" s="16" t="s">
        <v>23</v>
      </c>
      <c r="K590" s="88">
        <f t="shared" si="23"/>
        <v>7</v>
      </c>
      <c r="L590" s="16" t="s">
        <v>2344</v>
      </c>
      <c r="M590" s="16" t="s">
        <v>115</v>
      </c>
      <c r="N590" s="96" t="s">
        <v>21</v>
      </c>
    </row>
    <row r="591" spans="1:14" x14ac:dyDescent="0.35">
      <c r="A591" s="90" t="s">
        <v>2345</v>
      </c>
      <c r="B591" s="10" t="s">
        <v>13</v>
      </c>
      <c r="C591" s="11" t="s">
        <v>2346</v>
      </c>
      <c r="D591" s="11" t="s">
        <v>15</v>
      </c>
      <c r="E591" s="12" t="s">
        <v>47</v>
      </c>
      <c r="F591" s="10">
        <f>+YEAR(Tabla2[[#This Row],[Cosecha]])</f>
        <v>2025</v>
      </c>
      <c r="G591" s="11" t="s">
        <v>62</v>
      </c>
      <c r="H591" s="91">
        <f t="shared" si="22"/>
        <v>4</v>
      </c>
      <c r="I591" s="10" t="s">
        <v>18</v>
      </c>
      <c r="J591" s="11" t="s">
        <v>62</v>
      </c>
      <c r="K591" s="88">
        <f t="shared" si="23"/>
        <v>4</v>
      </c>
      <c r="L591" s="11" t="s">
        <v>2347</v>
      </c>
      <c r="M591" s="11" t="s">
        <v>25</v>
      </c>
      <c r="N591" s="92" t="s">
        <v>21</v>
      </c>
    </row>
    <row r="592" spans="1:14" x14ac:dyDescent="0.35">
      <c r="A592" s="94" t="s">
        <v>2348</v>
      </c>
      <c r="B592" s="15" t="s">
        <v>13</v>
      </c>
      <c r="C592" s="16" t="s">
        <v>2349</v>
      </c>
      <c r="D592" s="16" t="s">
        <v>34</v>
      </c>
      <c r="E592" s="17" t="s">
        <v>178</v>
      </c>
      <c r="F592" s="15">
        <f>+YEAR(Tabla2[[#This Row],[Cosecha]])</f>
        <v>2024</v>
      </c>
      <c r="G592" s="16" t="s">
        <v>17</v>
      </c>
      <c r="H592" s="95">
        <f t="shared" si="22"/>
        <v>17</v>
      </c>
      <c r="I592" s="15" t="s">
        <v>18</v>
      </c>
      <c r="J592" s="16" t="s">
        <v>17</v>
      </c>
      <c r="K592" s="88">
        <f t="shared" si="23"/>
        <v>17</v>
      </c>
      <c r="L592" s="16" t="s">
        <v>2350</v>
      </c>
      <c r="M592" s="16" t="s">
        <v>130</v>
      </c>
      <c r="N592" s="96" t="s">
        <v>26</v>
      </c>
    </row>
    <row r="593" spans="1:14" x14ac:dyDescent="0.35">
      <c r="A593" s="90" t="s">
        <v>2351</v>
      </c>
      <c r="B593" s="10" t="s">
        <v>13</v>
      </c>
      <c r="C593" s="11" t="s">
        <v>2352</v>
      </c>
      <c r="D593" s="11" t="s">
        <v>15</v>
      </c>
      <c r="E593" s="12" t="s">
        <v>36</v>
      </c>
      <c r="F593" s="10">
        <f>+YEAR(Tabla2[[#This Row],[Cosecha]])</f>
        <v>2025</v>
      </c>
      <c r="G593" s="11" t="s">
        <v>30</v>
      </c>
      <c r="H593" s="91">
        <f t="shared" si="22"/>
        <v>5</v>
      </c>
      <c r="I593" s="10" t="s">
        <v>18</v>
      </c>
      <c r="J593" s="11" t="s">
        <v>30</v>
      </c>
      <c r="K593" s="88">
        <f t="shared" si="23"/>
        <v>5</v>
      </c>
      <c r="L593" s="11" t="s">
        <v>2353</v>
      </c>
      <c r="M593" s="11" t="s">
        <v>25</v>
      </c>
      <c r="N593" s="92" t="s">
        <v>21</v>
      </c>
    </row>
    <row r="594" spans="1:14" x14ac:dyDescent="0.35">
      <c r="A594" s="94" t="s">
        <v>2354</v>
      </c>
      <c r="B594" s="15" t="s">
        <v>13</v>
      </c>
      <c r="C594" s="16" t="s">
        <v>2355</v>
      </c>
      <c r="D594" s="16" t="s">
        <v>90</v>
      </c>
      <c r="E594" s="17" t="s">
        <v>104</v>
      </c>
      <c r="F594" s="15">
        <f>+YEAR(Tabla2[[#This Row],[Cosecha]])</f>
        <v>2025</v>
      </c>
      <c r="G594" s="16" t="s">
        <v>118</v>
      </c>
      <c r="H594" s="95">
        <f t="shared" si="22"/>
        <v>4</v>
      </c>
      <c r="I594" s="15" t="s">
        <v>18</v>
      </c>
      <c r="J594" s="16" t="s">
        <v>36</v>
      </c>
      <c r="K594" s="88">
        <f t="shared" si="23"/>
        <v>5</v>
      </c>
      <c r="L594" s="16" t="s">
        <v>2356</v>
      </c>
      <c r="M594" s="16" t="s">
        <v>25</v>
      </c>
      <c r="N594" s="96" t="s">
        <v>26</v>
      </c>
    </row>
    <row r="595" spans="1:14" x14ac:dyDescent="0.35">
      <c r="A595" s="90" t="s">
        <v>2360</v>
      </c>
      <c r="B595" s="10" t="s">
        <v>13</v>
      </c>
      <c r="C595" s="11" t="s">
        <v>2361</v>
      </c>
      <c r="D595" s="11" t="s">
        <v>15</v>
      </c>
      <c r="E595" s="12" t="s">
        <v>29</v>
      </c>
      <c r="F595" s="10">
        <f>+YEAR(Tabla2[[#This Row],[Cosecha]])</f>
        <v>2025</v>
      </c>
      <c r="G595" s="11" t="s">
        <v>30</v>
      </c>
      <c r="H595" s="91">
        <f t="shared" si="22"/>
        <v>9</v>
      </c>
      <c r="I595" s="10" t="s">
        <v>18</v>
      </c>
      <c r="J595" s="11" t="s">
        <v>30</v>
      </c>
      <c r="K595" s="88">
        <f t="shared" si="23"/>
        <v>9</v>
      </c>
      <c r="L595" s="11" t="s">
        <v>2362</v>
      </c>
      <c r="M595" s="11" t="s">
        <v>25</v>
      </c>
      <c r="N595" s="92" t="s">
        <v>21</v>
      </c>
    </row>
    <row r="596" spans="1:14" x14ac:dyDescent="0.35">
      <c r="A596" s="94" t="s">
        <v>2366</v>
      </c>
      <c r="B596" s="15" t="s">
        <v>85</v>
      </c>
      <c r="C596" s="16" t="s">
        <v>2367</v>
      </c>
      <c r="D596" s="16" t="s">
        <v>90</v>
      </c>
      <c r="E596" s="17" t="s">
        <v>113</v>
      </c>
      <c r="F596" s="15">
        <f>+YEAR(Tabla2[[#This Row],[Cosecha]])</f>
        <v>2025</v>
      </c>
      <c r="G596" s="16" t="s">
        <v>30</v>
      </c>
      <c r="H596" s="95">
        <f t="shared" si="22"/>
        <v>3</v>
      </c>
      <c r="I596" s="15" t="s">
        <v>18</v>
      </c>
      <c r="J596" s="16" t="s">
        <v>17</v>
      </c>
      <c r="K596" s="88">
        <f t="shared" si="23"/>
        <v>4</v>
      </c>
      <c r="L596" s="16" t="s">
        <v>2368</v>
      </c>
      <c r="M596" s="16" t="s">
        <v>115</v>
      </c>
      <c r="N596" s="96" t="s">
        <v>21</v>
      </c>
    </row>
    <row r="597" spans="1:14" x14ac:dyDescent="0.35">
      <c r="A597" s="90" t="s">
        <v>2369</v>
      </c>
      <c r="B597" s="10" t="s">
        <v>13</v>
      </c>
      <c r="C597" s="11" t="s">
        <v>2370</v>
      </c>
      <c r="D597" s="11" t="s">
        <v>34</v>
      </c>
      <c r="E597" s="12" t="s">
        <v>453</v>
      </c>
      <c r="F597" s="10">
        <f>+YEAR(Tabla2[[#This Row],[Cosecha]])</f>
        <v>2024</v>
      </c>
      <c r="G597" s="11" t="s">
        <v>29</v>
      </c>
      <c r="H597" s="91">
        <f t="shared" si="22"/>
        <v>14</v>
      </c>
      <c r="I597" s="10" t="s">
        <v>18</v>
      </c>
      <c r="J597" s="11" t="s">
        <v>62</v>
      </c>
      <c r="K597" s="88">
        <f t="shared" si="23"/>
        <v>15</v>
      </c>
      <c r="L597" s="11" t="s">
        <v>2371</v>
      </c>
      <c r="M597" s="11" t="s">
        <v>241</v>
      </c>
      <c r="N597" s="92" t="s">
        <v>21</v>
      </c>
    </row>
    <row r="598" spans="1:14" x14ac:dyDescent="0.35">
      <c r="A598" s="94" t="s">
        <v>2372</v>
      </c>
      <c r="B598" s="15" t="s">
        <v>13</v>
      </c>
      <c r="C598" s="16" t="s">
        <v>2373</v>
      </c>
      <c r="D598" s="16" t="s">
        <v>34</v>
      </c>
      <c r="E598" s="17" t="s">
        <v>165</v>
      </c>
      <c r="F598" s="15">
        <f>+YEAR(Tabla2[[#This Row],[Cosecha]])</f>
        <v>2024</v>
      </c>
      <c r="G598" s="16" t="s">
        <v>23</v>
      </c>
      <c r="H598" s="95">
        <f t="shared" si="22"/>
        <v>23</v>
      </c>
      <c r="I598" s="15" t="s">
        <v>18</v>
      </c>
      <c r="J598" s="16" t="s">
        <v>52</v>
      </c>
      <c r="K598" s="88">
        <f t="shared" si="23"/>
        <v>24</v>
      </c>
      <c r="L598" s="16" t="s">
        <v>2374</v>
      </c>
      <c r="M598" s="16" t="s">
        <v>241</v>
      </c>
      <c r="N598" s="96" t="s">
        <v>21</v>
      </c>
    </row>
    <row r="599" spans="1:14" x14ac:dyDescent="0.35">
      <c r="A599" s="90" t="s">
        <v>2375</v>
      </c>
      <c r="B599" s="10" t="s">
        <v>13</v>
      </c>
      <c r="C599" s="11" t="s">
        <v>2376</v>
      </c>
      <c r="D599" s="11" t="s">
        <v>34</v>
      </c>
      <c r="E599" s="12" t="s">
        <v>36</v>
      </c>
      <c r="F599" s="10">
        <f>+YEAR(Tabla2[[#This Row],[Cosecha]])</f>
        <v>2025</v>
      </c>
      <c r="G599" s="11" t="s">
        <v>30</v>
      </c>
      <c r="H599" s="91">
        <f t="shared" si="22"/>
        <v>5</v>
      </c>
      <c r="I599" s="10" t="s">
        <v>18</v>
      </c>
      <c r="J599" s="11" t="s">
        <v>17</v>
      </c>
      <c r="K599" s="88">
        <f t="shared" si="23"/>
        <v>6</v>
      </c>
      <c r="L599" s="11" t="s">
        <v>2377</v>
      </c>
      <c r="M599" s="11" t="s">
        <v>115</v>
      </c>
      <c r="N599" s="92" t="s">
        <v>21</v>
      </c>
    </row>
    <row r="600" spans="1:14" x14ac:dyDescent="0.35">
      <c r="A600" s="94" t="s">
        <v>2378</v>
      </c>
      <c r="B600" s="15" t="s">
        <v>13</v>
      </c>
      <c r="C600" s="16" t="s">
        <v>2379</v>
      </c>
      <c r="D600" s="16" t="s">
        <v>34</v>
      </c>
      <c r="E600" s="17" t="s">
        <v>104</v>
      </c>
      <c r="F600" s="15">
        <f>+YEAR(Tabla2[[#This Row],[Cosecha]])</f>
        <v>2025</v>
      </c>
      <c r="G600" s="16" t="s">
        <v>37</v>
      </c>
      <c r="H600" s="95">
        <f t="shared" si="22"/>
        <v>6</v>
      </c>
      <c r="I600" s="15" t="s">
        <v>18</v>
      </c>
      <c r="J600" s="16" t="s">
        <v>113</v>
      </c>
      <c r="K600" s="88">
        <f t="shared" si="23"/>
        <v>7</v>
      </c>
      <c r="L600" s="16" t="s">
        <v>2380</v>
      </c>
      <c r="M600" s="16" t="s">
        <v>44</v>
      </c>
      <c r="N600" s="96" t="s">
        <v>26</v>
      </c>
    </row>
    <row r="601" spans="1:14" x14ac:dyDescent="0.35">
      <c r="A601" s="90" t="s">
        <v>2384</v>
      </c>
      <c r="B601" s="10" t="s">
        <v>13</v>
      </c>
      <c r="C601" s="11" t="s">
        <v>2385</v>
      </c>
      <c r="D601" s="11" t="s">
        <v>34</v>
      </c>
      <c r="E601" s="12" t="s">
        <v>457</v>
      </c>
      <c r="F601" s="10">
        <f>+YEAR(Tabla2[[#This Row],[Cosecha]])</f>
        <v>2024</v>
      </c>
      <c r="G601" s="11" t="s">
        <v>62</v>
      </c>
      <c r="H601" s="91">
        <f t="shared" si="22"/>
        <v>13</v>
      </c>
      <c r="I601" s="10" t="s">
        <v>18</v>
      </c>
      <c r="J601" s="11" t="s">
        <v>97</v>
      </c>
      <c r="K601" s="88">
        <f t="shared" si="23"/>
        <v>14</v>
      </c>
      <c r="L601" s="11" t="s">
        <v>2386</v>
      </c>
      <c r="M601" s="11" t="s">
        <v>25</v>
      </c>
      <c r="N601" s="92" t="s">
        <v>21</v>
      </c>
    </row>
    <row r="602" spans="1:14" x14ac:dyDescent="0.35">
      <c r="A602" s="94" t="s">
        <v>2387</v>
      </c>
      <c r="B602" s="15" t="s">
        <v>13</v>
      </c>
      <c r="C602" s="16" t="s">
        <v>2388</v>
      </c>
      <c r="D602" s="16" t="s">
        <v>34</v>
      </c>
      <c r="E602" s="17" t="s">
        <v>133</v>
      </c>
      <c r="F602" s="15">
        <f>+YEAR(Tabla2[[#This Row],[Cosecha]])</f>
        <v>2025</v>
      </c>
      <c r="G602" s="16" t="s">
        <v>52</v>
      </c>
      <c r="H602" s="95">
        <f t="shared" si="22"/>
        <v>10</v>
      </c>
      <c r="I602" s="15" t="s">
        <v>18</v>
      </c>
      <c r="J602" s="16" t="s">
        <v>17</v>
      </c>
      <c r="K602" s="88">
        <f t="shared" si="23"/>
        <v>12</v>
      </c>
      <c r="L602" s="16" t="s">
        <v>2389</v>
      </c>
      <c r="M602" s="16" t="s">
        <v>115</v>
      </c>
      <c r="N602" s="96" t="s">
        <v>26</v>
      </c>
    </row>
    <row r="603" spans="1:14" x14ac:dyDescent="0.35">
      <c r="A603" s="90" t="s">
        <v>2393</v>
      </c>
      <c r="B603" s="10" t="s">
        <v>13</v>
      </c>
      <c r="C603" s="11" t="s">
        <v>2394</v>
      </c>
      <c r="D603" s="11" t="s">
        <v>34</v>
      </c>
      <c r="E603" s="12" t="s">
        <v>457</v>
      </c>
      <c r="F603" s="10">
        <f>+YEAR(Tabla2[[#This Row],[Cosecha]])</f>
        <v>2024</v>
      </c>
      <c r="G603" s="11" t="s">
        <v>17</v>
      </c>
      <c r="H603" s="91">
        <f t="shared" si="22"/>
        <v>22</v>
      </c>
      <c r="I603" s="10" t="s">
        <v>18</v>
      </c>
      <c r="J603" s="11" t="s">
        <v>17</v>
      </c>
      <c r="K603" s="88">
        <f t="shared" si="23"/>
        <v>22</v>
      </c>
      <c r="L603" s="11" t="s">
        <v>2395</v>
      </c>
      <c r="M603" s="11" t="s">
        <v>25</v>
      </c>
      <c r="N603" s="92" t="s">
        <v>21</v>
      </c>
    </row>
    <row r="604" spans="1:14" x14ac:dyDescent="0.35">
      <c r="A604" s="94" t="s">
        <v>2393</v>
      </c>
      <c r="B604" s="15" t="s">
        <v>13</v>
      </c>
      <c r="C604" s="16" t="s">
        <v>2396</v>
      </c>
      <c r="D604" s="16" t="s">
        <v>34</v>
      </c>
      <c r="E604" s="17" t="s">
        <v>23</v>
      </c>
      <c r="F604" s="15">
        <f>+YEAR(Tabla2[[#This Row],[Cosecha]])</f>
        <v>2026</v>
      </c>
      <c r="G604" s="16" t="s">
        <v>17</v>
      </c>
      <c r="H604" s="95">
        <f t="shared" si="22"/>
        <v>3</v>
      </c>
      <c r="I604" s="15" t="s">
        <v>18</v>
      </c>
      <c r="J604" s="16" t="s">
        <v>17</v>
      </c>
      <c r="K604" s="88">
        <f t="shared" si="23"/>
        <v>3</v>
      </c>
      <c r="L604" s="16" t="s">
        <v>748</v>
      </c>
      <c r="M604" s="16" t="s">
        <v>25</v>
      </c>
      <c r="N604" s="96" t="s">
        <v>26</v>
      </c>
    </row>
    <row r="605" spans="1:14" x14ac:dyDescent="0.35">
      <c r="A605" s="90" t="s">
        <v>2397</v>
      </c>
      <c r="B605" s="10" t="s">
        <v>13</v>
      </c>
      <c r="C605" s="11" t="s">
        <v>2398</v>
      </c>
      <c r="D605" s="11" t="s">
        <v>34</v>
      </c>
      <c r="E605" s="12" t="s">
        <v>66</v>
      </c>
      <c r="F605" s="10">
        <f>+YEAR(Tabla2[[#This Row],[Cosecha]])</f>
        <v>2025</v>
      </c>
      <c r="G605" s="11" t="s">
        <v>29</v>
      </c>
      <c r="H605" s="91">
        <f t="shared" si="22"/>
        <v>5</v>
      </c>
      <c r="I605" s="10" t="s">
        <v>18</v>
      </c>
      <c r="J605" s="11" t="s">
        <v>29</v>
      </c>
      <c r="K605" s="88">
        <f t="shared" si="23"/>
        <v>5</v>
      </c>
      <c r="L605" s="11" t="s">
        <v>2399</v>
      </c>
      <c r="M605" s="11" t="s">
        <v>44</v>
      </c>
      <c r="N605" s="92" t="s">
        <v>21</v>
      </c>
    </row>
    <row r="606" spans="1:14" x14ac:dyDescent="0.35">
      <c r="A606" s="94" t="s">
        <v>2400</v>
      </c>
      <c r="B606" s="15" t="s">
        <v>13</v>
      </c>
      <c r="C606" s="16" t="s">
        <v>2401</v>
      </c>
      <c r="D606" s="16" t="s">
        <v>34</v>
      </c>
      <c r="E606" s="17" t="s">
        <v>1603</v>
      </c>
      <c r="F606" s="15">
        <f>+YEAR(Tabla2[[#This Row],[Cosecha]])</f>
        <v>2022</v>
      </c>
      <c r="G606" s="16" t="s">
        <v>133</v>
      </c>
      <c r="H606" s="95">
        <f t="shared" si="22"/>
        <v>29</v>
      </c>
      <c r="I606" s="15" t="s">
        <v>18</v>
      </c>
      <c r="J606" s="16" t="s">
        <v>104</v>
      </c>
      <c r="K606" s="88">
        <f t="shared" si="23"/>
        <v>30</v>
      </c>
      <c r="L606" s="16" t="s">
        <v>2402</v>
      </c>
      <c r="M606" s="16" t="s">
        <v>293</v>
      </c>
      <c r="N606" s="96" t="s">
        <v>21</v>
      </c>
    </row>
    <row r="607" spans="1:14" x14ac:dyDescent="0.35">
      <c r="A607" s="90" t="s">
        <v>2403</v>
      </c>
      <c r="B607" s="10" t="s">
        <v>13</v>
      </c>
      <c r="C607" s="11" t="s">
        <v>2404</v>
      </c>
      <c r="D607" s="11" t="s">
        <v>34</v>
      </c>
      <c r="E607" s="12" t="s">
        <v>244</v>
      </c>
      <c r="F607" s="10">
        <f>+YEAR(Tabla2[[#This Row],[Cosecha]])</f>
        <v>2024</v>
      </c>
      <c r="G607" s="11" t="s">
        <v>133</v>
      </c>
      <c r="H607" s="91">
        <f t="shared" si="22"/>
        <v>11</v>
      </c>
      <c r="I607" s="10" t="s">
        <v>18</v>
      </c>
      <c r="J607" s="11" t="s">
        <v>133</v>
      </c>
      <c r="K607" s="88">
        <f t="shared" si="23"/>
        <v>11</v>
      </c>
      <c r="L607" s="11" t="s">
        <v>169</v>
      </c>
      <c r="M607" s="11" t="s">
        <v>25</v>
      </c>
      <c r="N607" s="92" t="s">
        <v>21</v>
      </c>
    </row>
    <row r="608" spans="1:14" x14ac:dyDescent="0.35">
      <c r="A608" s="94" t="s">
        <v>2405</v>
      </c>
      <c r="B608" s="15" t="s">
        <v>13</v>
      </c>
      <c r="C608" s="16" t="s">
        <v>2406</v>
      </c>
      <c r="D608" s="16" t="s">
        <v>34</v>
      </c>
      <c r="E608" s="17" t="s">
        <v>51</v>
      </c>
      <c r="F608" s="15">
        <f>+YEAR(Tabla2[[#This Row],[Cosecha]])</f>
        <v>2025</v>
      </c>
      <c r="G608" s="16" t="s">
        <v>113</v>
      </c>
      <c r="H608" s="95">
        <f t="shared" si="22"/>
        <v>10</v>
      </c>
      <c r="I608" s="15" t="s">
        <v>18</v>
      </c>
      <c r="J608" s="16" t="s">
        <v>23</v>
      </c>
      <c r="K608" s="88">
        <f t="shared" si="23"/>
        <v>11</v>
      </c>
      <c r="L608" s="16" t="s">
        <v>2407</v>
      </c>
      <c r="M608" s="16" t="s">
        <v>25</v>
      </c>
      <c r="N608" s="96" t="s">
        <v>21</v>
      </c>
    </row>
    <row r="609" spans="1:14" x14ac:dyDescent="0.35">
      <c r="A609" s="90" t="s">
        <v>2414</v>
      </c>
      <c r="B609" s="10" t="s">
        <v>13</v>
      </c>
      <c r="C609" s="11" t="s">
        <v>2415</v>
      </c>
      <c r="D609" s="11" t="s">
        <v>34</v>
      </c>
      <c r="E609" s="12" t="s">
        <v>497</v>
      </c>
      <c r="F609" s="10">
        <f>+YEAR(Tabla2[[#This Row],[Cosecha]])</f>
        <v>2024</v>
      </c>
      <c r="G609" s="11" t="s">
        <v>37</v>
      </c>
      <c r="H609" s="91">
        <f t="shared" si="22"/>
        <v>15</v>
      </c>
      <c r="I609" s="10" t="s">
        <v>18</v>
      </c>
      <c r="J609" s="11" t="s">
        <v>113</v>
      </c>
      <c r="K609" s="88">
        <f t="shared" si="23"/>
        <v>16</v>
      </c>
      <c r="L609" s="11" t="s">
        <v>2416</v>
      </c>
      <c r="M609" s="11" t="s">
        <v>25</v>
      </c>
      <c r="N609" s="92" t="s">
        <v>21</v>
      </c>
    </row>
    <row r="610" spans="1:14" x14ac:dyDescent="0.35">
      <c r="A610" s="94" t="s">
        <v>2417</v>
      </c>
      <c r="B610" s="15" t="s">
        <v>13</v>
      </c>
      <c r="C610" s="16" t="s">
        <v>2418</v>
      </c>
      <c r="D610" s="16" t="s">
        <v>34</v>
      </c>
      <c r="E610" s="17" t="s">
        <v>29</v>
      </c>
      <c r="F610" s="15">
        <f>+YEAR(Tabla2[[#This Row],[Cosecha]])</f>
        <v>2025</v>
      </c>
      <c r="G610" s="16" t="s">
        <v>17</v>
      </c>
      <c r="H610" s="95">
        <f t="shared" si="22"/>
        <v>10</v>
      </c>
      <c r="I610" s="15" t="s">
        <v>18</v>
      </c>
      <c r="J610" s="16" t="s">
        <v>17</v>
      </c>
      <c r="K610" s="88">
        <f t="shared" si="23"/>
        <v>10</v>
      </c>
      <c r="L610" s="16" t="s">
        <v>2419</v>
      </c>
      <c r="M610" s="16" t="s">
        <v>115</v>
      </c>
      <c r="N610" s="96" t="s">
        <v>21</v>
      </c>
    </row>
    <row r="611" spans="1:14" x14ac:dyDescent="0.35">
      <c r="A611" s="90" t="s">
        <v>2423</v>
      </c>
      <c r="B611" s="10" t="s">
        <v>13</v>
      </c>
      <c r="C611" s="11" t="s">
        <v>2424</v>
      </c>
      <c r="D611" s="11" t="s">
        <v>34</v>
      </c>
      <c r="E611" s="12" t="s">
        <v>66</v>
      </c>
      <c r="F611" s="10">
        <f>+YEAR(Tabla2[[#This Row],[Cosecha]])</f>
        <v>2025</v>
      </c>
      <c r="G611" s="11" t="s">
        <v>118</v>
      </c>
      <c r="H611" s="91">
        <f t="shared" si="22"/>
        <v>8</v>
      </c>
      <c r="I611" s="10" t="s">
        <v>18</v>
      </c>
      <c r="J611" s="11" t="s">
        <v>118</v>
      </c>
      <c r="K611" s="88">
        <f t="shared" si="23"/>
        <v>8</v>
      </c>
      <c r="L611" s="11" t="s">
        <v>2425</v>
      </c>
      <c r="M611" s="11" t="s">
        <v>25</v>
      </c>
      <c r="N611" s="92" t="s">
        <v>21</v>
      </c>
    </row>
    <row r="612" spans="1:14" x14ac:dyDescent="0.35">
      <c r="A612" s="94" t="s">
        <v>2441</v>
      </c>
      <c r="B612" s="15" t="s">
        <v>13</v>
      </c>
      <c r="C612" s="16" t="s">
        <v>2442</v>
      </c>
      <c r="D612" s="16" t="s">
        <v>34</v>
      </c>
      <c r="E612" s="17" t="s">
        <v>82</v>
      </c>
      <c r="F612" s="15">
        <f>+YEAR(Tabla2[[#This Row],[Cosecha]])</f>
        <v>2024</v>
      </c>
      <c r="G612" s="16" t="s">
        <v>97</v>
      </c>
      <c r="H612" s="95">
        <f t="shared" si="22"/>
        <v>8</v>
      </c>
      <c r="I612" s="15" t="s">
        <v>18</v>
      </c>
      <c r="J612" s="16" t="s">
        <v>97</v>
      </c>
      <c r="K612" s="88">
        <f t="shared" si="23"/>
        <v>8</v>
      </c>
      <c r="L612" s="16" t="s">
        <v>2443</v>
      </c>
      <c r="M612" s="16" t="s">
        <v>130</v>
      </c>
      <c r="N612" s="96" t="s">
        <v>21</v>
      </c>
    </row>
    <row r="613" spans="1:14" x14ac:dyDescent="0.35">
      <c r="A613" s="90" t="s">
        <v>2444</v>
      </c>
      <c r="B613" s="10" t="s">
        <v>13</v>
      </c>
      <c r="C613" s="11" t="s">
        <v>2445</v>
      </c>
      <c r="D613" s="11" t="s">
        <v>34</v>
      </c>
      <c r="E613" s="12" t="s">
        <v>104</v>
      </c>
      <c r="F613" s="10">
        <f>+YEAR(Tabla2[[#This Row],[Cosecha]])</f>
        <v>2025</v>
      </c>
      <c r="G613" s="11" t="s">
        <v>36</v>
      </c>
      <c r="H613" s="91">
        <f t="shared" si="22"/>
        <v>5</v>
      </c>
      <c r="I613" s="10" t="s">
        <v>18</v>
      </c>
      <c r="J613" s="11" t="s">
        <v>70</v>
      </c>
      <c r="K613" s="88">
        <f t="shared" si="23"/>
        <v>12</v>
      </c>
      <c r="L613" s="11" t="s">
        <v>2446</v>
      </c>
      <c r="M613" s="11" t="s">
        <v>115</v>
      </c>
      <c r="N613" s="92" t="s">
        <v>21</v>
      </c>
    </row>
    <row r="614" spans="1:14" x14ac:dyDescent="0.35">
      <c r="A614" s="94" t="s">
        <v>2450</v>
      </c>
      <c r="B614" s="15" t="s">
        <v>13</v>
      </c>
      <c r="C614" s="16" t="s">
        <v>2451</v>
      </c>
      <c r="D614" s="16" t="s">
        <v>34</v>
      </c>
      <c r="E614" s="17" t="s">
        <v>2064</v>
      </c>
      <c r="F614" s="15">
        <f>+YEAR(Tabla2[[#This Row],[Cosecha]])</f>
        <v>2022</v>
      </c>
      <c r="G614" s="16" t="s">
        <v>62</v>
      </c>
      <c r="H614" s="95">
        <f t="shared" si="22"/>
        <v>31</v>
      </c>
      <c r="I614" s="15" t="s">
        <v>18</v>
      </c>
      <c r="J614" s="16" t="s">
        <v>97</v>
      </c>
      <c r="K614" s="88">
        <f t="shared" si="23"/>
        <v>32</v>
      </c>
      <c r="L614" s="16" t="s">
        <v>2452</v>
      </c>
      <c r="M614" s="16" t="s">
        <v>293</v>
      </c>
      <c r="N614" s="96" t="s">
        <v>21</v>
      </c>
    </row>
    <row r="615" spans="1:14" x14ac:dyDescent="0.35">
      <c r="A615" s="90" t="s">
        <v>2453</v>
      </c>
      <c r="B615" s="10" t="s">
        <v>13</v>
      </c>
      <c r="C615" s="11" t="s">
        <v>2454</v>
      </c>
      <c r="D615" s="11" t="s">
        <v>34</v>
      </c>
      <c r="E615" s="12" t="s">
        <v>36</v>
      </c>
      <c r="F615" s="10">
        <f>+YEAR(Tabla2[[#This Row],[Cosecha]])</f>
        <v>2025</v>
      </c>
      <c r="G615" s="11" t="s">
        <v>17</v>
      </c>
      <c r="H615" s="91">
        <f t="shared" si="22"/>
        <v>6</v>
      </c>
      <c r="I615" s="10" t="s">
        <v>18</v>
      </c>
      <c r="J615" s="11" t="s">
        <v>70</v>
      </c>
      <c r="K615" s="88">
        <f t="shared" si="23"/>
        <v>7</v>
      </c>
      <c r="L615" s="11" t="s">
        <v>2455</v>
      </c>
      <c r="M615" s="11" t="s">
        <v>44</v>
      </c>
      <c r="N615" s="92" t="s">
        <v>21</v>
      </c>
    </row>
    <row r="616" spans="1:14" x14ac:dyDescent="0.35">
      <c r="A616" s="94" t="s">
        <v>2456</v>
      </c>
      <c r="B616" s="15" t="s">
        <v>13</v>
      </c>
      <c r="C616" s="16" t="s">
        <v>2457</v>
      </c>
      <c r="D616" s="16" t="s">
        <v>34</v>
      </c>
      <c r="E616" s="17" t="s">
        <v>62</v>
      </c>
      <c r="F616" s="15">
        <f>+YEAR(Tabla2[[#This Row],[Cosecha]])</f>
        <v>2025</v>
      </c>
      <c r="G616" s="16" t="s">
        <v>23</v>
      </c>
      <c r="H616" s="95">
        <f t="shared" si="22"/>
        <v>6</v>
      </c>
      <c r="I616" s="15" t="s">
        <v>18</v>
      </c>
      <c r="J616" s="16" t="s">
        <v>23</v>
      </c>
      <c r="K616" s="88">
        <f t="shared" si="23"/>
        <v>6</v>
      </c>
      <c r="L616" s="16" t="s">
        <v>2458</v>
      </c>
      <c r="M616" s="16" t="s">
        <v>44</v>
      </c>
      <c r="N616" s="96" t="s">
        <v>21</v>
      </c>
    </row>
    <row r="617" spans="1:14" x14ac:dyDescent="0.35">
      <c r="A617" s="90" t="s">
        <v>2459</v>
      </c>
      <c r="B617" s="10" t="s">
        <v>13</v>
      </c>
      <c r="C617" s="11" t="s">
        <v>2460</v>
      </c>
      <c r="D617" s="11" t="s">
        <v>34</v>
      </c>
      <c r="E617" s="12" t="s">
        <v>97</v>
      </c>
      <c r="F617" s="10">
        <f>+YEAR(Tabla2[[#This Row],[Cosecha]])</f>
        <v>2025</v>
      </c>
      <c r="G617" s="11" t="s">
        <v>17</v>
      </c>
      <c r="H617" s="91">
        <f t="shared" si="22"/>
        <v>8</v>
      </c>
      <c r="I617" s="10" t="s">
        <v>18</v>
      </c>
      <c r="J617" s="11" t="s">
        <v>17</v>
      </c>
      <c r="K617" s="88">
        <f t="shared" si="23"/>
        <v>8</v>
      </c>
      <c r="L617" s="11" t="s">
        <v>2461</v>
      </c>
      <c r="M617" s="11" t="s">
        <v>115</v>
      </c>
      <c r="N617" s="92" t="s">
        <v>21</v>
      </c>
    </row>
    <row r="618" spans="1:14" x14ac:dyDescent="0.35">
      <c r="A618" s="94" t="s">
        <v>2468</v>
      </c>
      <c r="B618" s="15" t="s">
        <v>13</v>
      </c>
      <c r="C618" s="16" t="s">
        <v>2469</v>
      </c>
      <c r="D618" s="16" t="s">
        <v>34</v>
      </c>
      <c r="E618" s="17" t="s">
        <v>97</v>
      </c>
      <c r="F618" s="15">
        <f>+YEAR(Tabla2[[#This Row],[Cosecha]])</f>
        <v>2025</v>
      </c>
      <c r="G618" s="16" t="s">
        <v>52</v>
      </c>
      <c r="H618" s="95">
        <f t="shared" si="22"/>
        <v>6</v>
      </c>
      <c r="I618" s="15" t="s">
        <v>18</v>
      </c>
      <c r="J618" s="16" t="s">
        <v>17</v>
      </c>
      <c r="K618" s="88">
        <f t="shared" si="23"/>
        <v>8</v>
      </c>
      <c r="L618" s="16" t="s">
        <v>2470</v>
      </c>
      <c r="M618" s="16" t="s">
        <v>44</v>
      </c>
      <c r="N618" s="96" t="s">
        <v>21</v>
      </c>
    </row>
    <row r="619" spans="1:14" x14ac:dyDescent="0.35">
      <c r="A619" s="90" t="s">
        <v>2471</v>
      </c>
      <c r="B619" s="10" t="s">
        <v>13</v>
      </c>
      <c r="C619" s="11" t="s">
        <v>2472</v>
      </c>
      <c r="D619" s="11" t="s">
        <v>15</v>
      </c>
      <c r="E619" s="12" t="s">
        <v>97</v>
      </c>
      <c r="F619" s="10">
        <f>+YEAR(Tabla2[[#This Row],[Cosecha]])</f>
        <v>2025</v>
      </c>
      <c r="G619" s="11" t="s">
        <v>113</v>
      </c>
      <c r="H619" s="91">
        <f t="shared" si="22"/>
        <v>4</v>
      </c>
      <c r="I619" s="10" t="s">
        <v>18</v>
      </c>
      <c r="J619" s="11" t="s">
        <v>52</v>
      </c>
      <c r="K619" s="88">
        <f t="shared" si="23"/>
        <v>6</v>
      </c>
      <c r="L619" s="11" t="s">
        <v>2473</v>
      </c>
      <c r="M619" s="11" t="s">
        <v>25</v>
      </c>
      <c r="N619" s="92" t="s">
        <v>21</v>
      </c>
    </row>
    <row r="620" spans="1:14" x14ac:dyDescent="0.35">
      <c r="A620" s="94" t="s">
        <v>2477</v>
      </c>
      <c r="B620" s="15" t="s">
        <v>13</v>
      </c>
      <c r="C620" s="16" t="s">
        <v>2478</v>
      </c>
      <c r="D620" s="16" t="s">
        <v>15</v>
      </c>
      <c r="E620" s="17" t="s">
        <v>302</v>
      </c>
      <c r="F620" s="15">
        <f>+YEAR(Tabla2[[#This Row],[Cosecha]])</f>
        <v>2023</v>
      </c>
      <c r="G620" s="16" t="s">
        <v>97</v>
      </c>
      <c r="H620" s="95">
        <f t="shared" si="22"/>
        <v>22</v>
      </c>
      <c r="I620" s="15" t="s">
        <v>18</v>
      </c>
      <c r="J620" s="16" t="s">
        <v>97</v>
      </c>
      <c r="K620" s="88">
        <f t="shared" si="23"/>
        <v>22</v>
      </c>
      <c r="L620" s="16" t="s">
        <v>2479</v>
      </c>
      <c r="M620" s="16" t="s">
        <v>25</v>
      </c>
      <c r="N620" s="96" t="s">
        <v>21</v>
      </c>
    </row>
    <row r="621" spans="1:14" x14ac:dyDescent="0.35">
      <c r="A621" s="90" t="s">
        <v>2483</v>
      </c>
      <c r="B621" s="10" t="s">
        <v>13</v>
      </c>
      <c r="C621" s="11" t="s">
        <v>2484</v>
      </c>
      <c r="D621" s="11" t="s">
        <v>34</v>
      </c>
      <c r="E621" s="12" t="s">
        <v>82</v>
      </c>
      <c r="F621" s="10">
        <f>+YEAR(Tabla2[[#This Row],[Cosecha]])</f>
        <v>2024</v>
      </c>
      <c r="G621" s="11" t="s">
        <v>62</v>
      </c>
      <c r="H621" s="91">
        <f t="shared" si="22"/>
        <v>7</v>
      </c>
      <c r="I621" s="10" t="s">
        <v>18</v>
      </c>
      <c r="J621" s="11" t="s">
        <v>62</v>
      </c>
      <c r="K621" s="88">
        <f t="shared" si="23"/>
        <v>7</v>
      </c>
      <c r="L621" s="11" t="s">
        <v>2485</v>
      </c>
      <c r="M621" s="11" t="s">
        <v>130</v>
      </c>
      <c r="N621" s="92" t="s">
        <v>21</v>
      </c>
    </row>
    <row r="622" spans="1:14" x14ac:dyDescent="0.35">
      <c r="A622" s="94" t="s">
        <v>2489</v>
      </c>
      <c r="B622" s="15" t="s">
        <v>13</v>
      </c>
      <c r="C622" s="16" t="s">
        <v>2490</v>
      </c>
      <c r="D622" s="16" t="s">
        <v>15</v>
      </c>
      <c r="E622" s="17" t="s">
        <v>122</v>
      </c>
      <c r="F622" s="15">
        <f>+YEAR(Tabla2[[#This Row],[Cosecha]])</f>
        <v>2023</v>
      </c>
      <c r="G622" s="16" t="s">
        <v>37</v>
      </c>
      <c r="H622" s="95">
        <f t="shared" si="22"/>
        <v>26</v>
      </c>
      <c r="I622" s="15" t="s">
        <v>18</v>
      </c>
      <c r="J622" s="16" t="s">
        <v>113</v>
      </c>
      <c r="K622" s="88">
        <f t="shared" si="23"/>
        <v>27</v>
      </c>
      <c r="L622" s="16" t="s">
        <v>2491</v>
      </c>
      <c r="M622" s="16" t="s">
        <v>25</v>
      </c>
      <c r="N622" s="96" t="s">
        <v>21</v>
      </c>
    </row>
    <row r="623" spans="1:14" x14ac:dyDescent="0.35">
      <c r="A623" s="90" t="s">
        <v>2492</v>
      </c>
      <c r="B623" s="10" t="s">
        <v>13</v>
      </c>
      <c r="C623" s="11" t="s">
        <v>2493</v>
      </c>
      <c r="D623" s="11" t="s">
        <v>90</v>
      </c>
      <c r="E623" s="12" t="s">
        <v>37</v>
      </c>
      <c r="F623" s="10">
        <f>+YEAR(Tabla2[[#This Row],[Cosecha]])</f>
        <v>2025</v>
      </c>
      <c r="G623" s="11" t="s">
        <v>17</v>
      </c>
      <c r="H623" s="91">
        <f t="shared" si="22"/>
        <v>5</v>
      </c>
      <c r="I623" s="10" t="s">
        <v>18</v>
      </c>
      <c r="J623" s="11" t="s">
        <v>17</v>
      </c>
      <c r="K623" s="88">
        <f t="shared" si="23"/>
        <v>5</v>
      </c>
      <c r="L623" s="11" t="s">
        <v>2494</v>
      </c>
      <c r="M623" s="11" t="s">
        <v>115</v>
      </c>
      <c r="N623" s="92" t="s">
        <v>26</v>
      </c>
    </row>
    <row r="624" spans="1:14" x14ac:dyDescent="0.35">
      <c r="A624" s="94" t="s">
        <v>2495</v>
      </c>
      <c r="B624" s="15" t="s">
        <v>13</v>
      </c>
      <c r="C624" s="16" t="s">
        <v>2496</v>
      </c>
      <c r="D624" s="16" t="s">
        <v>34</v>
      </c>
      <c r="E624" s="17" t="s">
        <v>133</v>
      </c>
      <c r="F624" s="15">
        <f>+YEAR(Tabla2[[#This Row],[Cosecha]])</f>
        <v>2025</v>
      </c>
      <c r="G624" s="16" t="s">
        <v>62</v>
      </c>
      <c r="H624" s="95">
        <f t="shared" si="22"/>
        <v>3</v>
      </c>
      <c r="I624" s="15" t="s">
        <v>18</v>
      </c>
      <c r="J624" s="16" t="s">
        <v>62</v>
      </c>
      <c r="K624" s="88">
        <f t="shared" si="23"/>
        <v>3</v>
      </c>
      <c r="L624" s="16" t="s">
        <v>2080</v>
      </c>
      <c r="M624" s="16" t="s">
        <v>115</v>
      </c>
      <c r="N624" s="96" t="s">
        <v>21</v>
      </c>
    </row>
    <row r="625" spans="1:14" x14ac:dyDescent="0.35">
      <c r="A625" s="90" t="s">
        <v>2497</v>
      </c>
      <c r="B625" s="10" t="s">
        <v>13</v>
      </c>
      <c r="C625" s="11" t="s">
        <v>2498</v>
      </c>
      <c r="D625" s="11" t="s">
        <v>34</v>
      </c>
      <c r="E625" s="12" t="s">
        <v>82</v>
      </c>
      <c r="F625" s="10">
        <f>+YEAR(Tabla2[[#This Row],[Cosecha]])</f>
        <v>2024</v>
      </c>
      <c r="G625" s="11" t="s">
        <v>29</v>
      </c>
      <c r="H625" s="91">
        <f t="shared" si="22"/>
        <v>6</v>
      </c>
      <c r="I625" s="10" t="s">
        <v>18</v>
      </c>
      <c r="J625" s="11" t="s">
        <v>29</v>
      </c>
      <c r="K625" s="88">
        <f t="shared" si="23"/>
        <v>6</v>
      </c>
      <c r="L625" s="11" t="s">
        <v>2499</v>
      </c>
      <c r="M625" s="11" t="s">
        <v>130</v>
      </c>
      <c r="N625" s="92" t="s">
        <v>21</v>
      </c>
    </row>
    <row r="626" spans="1:14" x14ac:dyDescent="0.35">
      <c r="A626" s="94" t="s">
        <v>2500</v>
      </c>
      <c r="B626" s="15" t="s">
        <v>13</v>
      </c>
      <c r="C626" s="16" t="s">
        <v>2501</v>
      </c>
      <c r="D626" s="16" t="s">
        <v>34</v>
      </c>
      <c r="E626" s="17" t="s">
        <v>47</v>
      </c>
      <c r="F626" s="15">
        <f>+YEAR(Tabla2[[#This Row],[Cosecha]])</f>
        <v>2025</v>
      </c>
      <c r="G626" s="16" t="s">
        <v>118</v>
      </c>
      <c r="H626" s="95">
        <f t="shared" si="22"/>
        <v>6</v>
      </c>
      <c r="I626" s="15" t="s">
        <v>18</v>
      </c>
      <c r="J626" s="16" t="s">
        <v>118</v>
      </c>
      <c r="K626" s="88">
        <f t="shared" si="23"/>
        <v>6</v>
      </c>
      <c r="L626" s="16" t="s">
        <v>2502</v>
      </c>
      <c r="M626" s="16" t="s">
        <v>130</v>
      </c>
      <c r="N626" s="96" t="s">
        <v>26</v>
      </c>
    </row>
    <row r="627" spans="1:14" x14ac:dyDescent="0.35">
      <c r="A627" s="90" t="s">
        <v>2503</v>
      </c>
      <c r="B627" s="10" t="s">
        <v>13</v>
      </c>
      <c r="C627" s="11" t="s">
        <v>2504</v>
      </c>
      <c r="D627" s="11" t="s">
        <v>34</v>
      </c>
      <c r="E627" s="12" t="s">
        <v>29</v>
      </c>
      <c r="F627" s="10">
        <f>+YEAR(Tabla2[[#This Row],[Cosecha]])</f>
        <v>2025</v>
      </c>
      <c r="G627" s="11" t="s">
        <v>113</v>
      </c>
      <c r="H627" s="91">
        <f t="shared" si="22"/>
        <v>6</v>
      </c>
      <c r="I627" s="10" t="s">
        <v>18</v>
      </c>
      <c r="J627" s="11" t="s">
        <v>113</v>
      </c>
      <c r="K627" s="88">
        <f t="shared" si="23"/>
        <v>6</v>
      </c>
      <c r="L627" s="11" t="s">
        <v>2505</v>
      </c>
      <c r="M627" s="11" t="s">
        <v>115</v>
      </c>
      <c r="N627" s="92" t="s">
        <v>21</v>
      </c>
    </row>
    <row r="628" spans="1:14" x14ac:dyDescent="0.35">
      <c r="A628" s="94" t="s">
        <v>2506</v>
      </c>
      <c r="B628" s="15" t="s">
        <v>13</v>
      </c>
      <c r="C628" s="16" t="s">
        <v>2507</v>
      </c>
      <c r="D628" s="16" t="s">
        <v>34</v>
      </c>
      <c r="E628" s="17" t="s">
        <v>113</v>
      </c>
      <c r="F628" s="15">
        <f>+YEAR(Tabla2[[#This Row],[Cosecha]])</f>
        <v>2025</v>
      </c>
      <c r="G628" s="16" t="s">
        <v>52</v>
      </c>
      <c r="H628" s="95">
        <f t="shared" si="22"/>
        <v>2</v>
      </c>
      <c r="I628" s="15" t="s">
        <v>18</v>
      </c>
      <c r="J628" s="16" t="s">
        <v>17</v>
      </c>
      <c r="K628" s="88">
        <f t="shared" si="23"/>
        <v>4</v>
      </c>
      <c r="L628" s="16" t="s">
        <v>2508</v>
      </c>
      <c r="M628" s="16" t="s">
        <v>44</v>
      </c>
      <c r="N628" s="96" t="s">
        <v>21</v>
      </c>
    </row>
    <row r="629" spans="1:14" x14ac:dyDescent="0.35">
      <c r="A629" s="90" t="s">
        <v>2509</v>
      </c>
      <c r="B629" s="10" t="s">
        <v>13</v>
      </c>
      <c r="C629" s="11" t="s">
        <v>2510</v>
      </c>
      <c r="D629" s="11" t="s">
        <v>34</v>
      </c>
      <c r="E629" s="12" t="s">
        <v>35</v>
      </c>
      <c r="F629" s="10">
        <f>+YEAR(Tabla2[[#This Row],[Cosecha]])</f>
        <v>2024</v>
      </c>
      <c r="G629" s="11" t="s">
        <v>30</v>
      </c>
      <c r="H629" s="91">
        <f t="shared" si="22"/>
        <v>17</v>
      </c>
      <c r="I629" s="10" t="s">
        <v>18</v>
      </c>
      <c r="J629" s="11" t="s">
        <v>17</v>
      </c>
      <c r="K629" s="88">
        <f t="shared" si="23"/>
        <v>18</v>
      </c>
      <c r="L629" s="11" t="s">
        <v>2511</v>
      </c>
      <c r="M629" s="11" t="s">
        <v>115</v>
      </c>
      <c r="N629" s="92" t="s">
        <v>21</v>
      </c>
    </row>
    <row r="630" spans="1:14" x14ac:dyDescent="0.35">
      <c r="A630" s="94" t="s">
        <v>2512</v>
      </c>
      <c r="B630" s="15" t="s">
        <v>13</v>
      </c>
      <c r="C630" s="16" t="s">
        <v>2513</v>
      </c>
      <c r="D630" s="16" t="s">
        <v>34</v>
      </c>
      <c r="E630" s="17" t="s">
        <v>66</v>
      </c>
      <c r="F630" s="15">
        <f>+YEAR(Tabla2[[#This Row],[Cosecha]])</f>
        <v>2025</v>
      </c>
      <c r="G630" s="16" t="s">
        <v>133</v>
      </c>
      <c r="H630" s="95">
        <f t="shared" si="22"/>
        <v>3</v>
      </c>
      <c r="I630" s="15" t="s">
        <v>18</v>
      </c>
      <c r="J630" s="16" t="s">
        <v>104</v>
      </c>
      <c r="K630" s="88">
        <f t="shared" si="23"/>
        <v>4</v>
      </c>
      <c r="L630" s="16" t="s">
        <v>2514</v>
      </c>
      <c r="M630" s="16" t="s">
        <v>130</v>
      </c>
      <c r="N630" s="96" t="s">
        <v>26</v>
      </c>
    </row>
    <row r="631" spans="1:14" x14ac:dyDescent="0.35">
      <c r="A631" s="90" t="s">
        <v>2524</v>
      </c>
      <c r="B631" s="10" t="s">
        <v>13</v>
      </c>
      <c r="C631" s="11" t="s">
        <v>2525</v>
      </c>
      <c r="D631" s="11" t="s">
        <v>34</v>
      </c>
      <c r="E631" s="12" t="s">
        <v>178</v>
      </c>
      <c r="F631" s="10">
        <f>+YEAR(Tabla2[[#This Row],[Cosecha]])</f>
        <v>2024</v>
      </c>
      <c r="G631" s="11" t="s">
        <v>23</v>
      </c>
      <c r="H631" s="91">
        <f t="shared" si="22"/>
        <v>14</v>
      </c>
      <c r="I631" s="10" t="s">
        <v>18</v>
      </c>
      <c r="J631" s="11" t="s">
        <v>23</v>
      </c>
      <c r="K631" s="88">
        <f t="shared" si="23"/>
        <v>14</v>
      </c>
      <c r="L631" s="11" t="s">
        <v>2526</v>
      </c>
      <c r="M631" s="11" t="s">
        <v>25</v>
      </c>
      <c r="N631" s="92" t="s">
        <v>21</v>
      </c>
    </row>
    <row r="632" spans="1:14" x14ac:dyDescent="0.35">
      <c r="A632" s="94" t="s">
        <v>2527</v>
      </c>
      <c r="B632" s="15" t="s">
        <v>13</v>
      </c>
      <c r="C632" s="16" t="s">
        <v>2528</v>
      </c>
      <c r="D632" s="16" t="s">
        <v>34</v>
      </c>
      <c r="E632" s="17" t="s">
        <v>97</v>
      </c>
      <c r="F632" s="15">
        <f>+YEAR(Tabla2[[#This Row],[Cosecha]])</f>
        <v>2025</v>
      </c>
      <c r="G632" s="16" t="s">
        <v>113</v>
      </c>
      <c r="H632" s="95">
        <f t="shared" si="22"/>
        <v>4</v>
      </c>
      <c r="I632" s="15" t="s">
        <v>18</v>
      </c>
      <c r="J632" s="16" t="s">
        <v>23</v>
      </c>
      <c r="K632" s="88">
        <f t="shared" si="23"/>
        <v>5</v>
      </c>
      <c r="L632" s="16" t="s">
        <v>2529</v>
      </c>
      <c r="M632" s="16" t="s">
        <v>44</v>
      </c>
      <c r="N632" s="96" t="s">
        <v>21</v>
      </c>
    </row>
    <row r="633" spans="1:14" x14ac:dyDescent="0.35">
      <c r="A633" s="90" t="s">
        <v>2530</v>
      </c>
      <c r="B633" s="10" t="s">
        <v>13</v>
      </c>
      <c r="C633" s="11" t="s">
        <v>2531</v>
      </c>
      <c r="D633" s="11" t="s">
        <v>78</v>
      </c>
      <c r="E633" s="12" t="s">
        <v>457</v>
      </c>
      <c r="F633" s="10">
        <f>+YEAR(Tabla2[[#This Row],[Cosecha]])</f>
        <v>2024</v>
      </c>
      <c r="G633" s="11" t="s">
        <v>62</v>
      </c>
      <c r="H633" s="91">
        <f t="shared" si="22"/>
        <v>13</v>
      </c>
      <c r="I633" s="10" t="s">
        <v>18</v>
      </c>
      <c r="J633" s="11" t="s">
        <v>97</v>
      </c>
      <c r="K633" s="88">
        <f t="shared" si="23"/>
        <v>14</v>
      </c>
      <c r="L633" s="11" t="s">
        <v>2532</v>
      </c>
      <c r="M633" s="11" t="s">
        <v>25</v>
      </c>
      <c r="N633" s="92" t="s">
        <v>21</v>
      </c>
    </row>
    <row r="634" spans="1:14" x14ac:dyDescent="0.35">
      <c r="A634" s="94" t="s">
        <v>2533</v>
      </c>
      <c r="B634" s="15" t="s">
        <v>13</v>
      </c>
      <c r="C634" s="16" t="s">
        <v>2534</v>
      </c>
      <c r="D634" s="16" t="s">
        <v>90</v>
      </c>
      <c r="E634" s="17" t="s">
        <v>118</v>
      </c>
      <c r="F634" s="15">
        <f>+YEAR(Tabla2[[#This Row],[Cosecha]])</f>
        <v>2025</v>
      </c>
      <c r="G634" s="16" t="s">
        <v>30</v>
      </c>
      <c r="H634" s="95">
        <f t="shared" si="22"/>
        <v>6</v>
      </c>
      <c r="I634" s="15" t="s">
        <v>18</v>
      </c>
      <c r="J634" s="16" t="s">
        <v>30</v>
      </c>
      <c r="K634" s="88">
        <f t="shared" si="23"/>
        <v>6</v>
      </c>
      <c r="L634" s="16" t="s">
        <v>2535</v>
      </c>
      <c r="M634" s="16" t="s">
        <v>25</v>
      </c>
      <c r="N634" s="96" t="s">
        <v>26</v>
      </c>
    </row>
    <row r="635" spans="1:14" x14ac:dyDescent="0.35">
      <c r="A635" s="90" t="s">
        <v>2539</v>
      </c>
      <c r="B635" s="10" t="s">
        <v>13</v>
      </c>
      <c r="C635" s="11" t="s">
        <v>2540</v>
      </c>
      <c r="D635" s="11" t="s">
        <v>34</v>
      </c>
      <c r="E635" s="12" t="s">
        <v>36</v>
      </c>
      <c r="F635" s="10">
        <f>+YEAR(Tabla2[[#This Row],[Cosecha]])</f>
        <v>2025</v>
      </c>
      <c r="G635" s="11" t="s">
        <v>30</v>
      </c>
      <c r="H635" s="91">
        <f t="shared" si="22"/>
        <v>5</v>
      </c>
      <c r="I635" s="10" t="s">
        <v>18</v>
      </c>
      <c r="J635" s="11" t="s">
        <v>70</v>
      </c>
      <c r="K635" s="88">
        <f t="shared" si="23"/>
        <v>7</v>
      </c>
      <c r="L635" s="11" t="s">
        <v>306</v>
      </c>
      <c r="M635" s="11" t="s">
        <v>44</v>
      </c>
      <c r="N635" s="92" t="s">
        <v>21</v>
      </c>
    </row>
    <row r="636" spans="1:14" x14ac:dyDescent="0.35">
      <c r="A636" s="94" t="s">
        <v>2541</v>
      </c>
      <c r="B636" s="15" t="s">
        <v>13</v>
      </c>
      <c r="C636" s="16" t="s">
        <v>2542</v>
      </c>
      <c r="D636" s="16" t="s">
        <v>15</v>
      </c>
      <c r="E636" s="17" t="s">
        <v>553</v>
      </c>
      <c r="F636" s="15">
        <f>+YEAR(Tabla2[[#This Row],[Cosecha]])</f>
        <v>2023</v>
      </c>
      <c r="G636" s="16" t="s">
        <v>62</v>
      </c>
      <c r="H636" s="95">
        <f t="shared" si="22"/>
        <v>30</v>
      </c>
      <c r="I636" s="15" t="s">
        <v>18</v>
      </c>
      <c r="J636" s="16" t="s">
        <v>97</v>
      </c>
      <c r="K636" s="88">
        <f t="shared" si="23"/>
        <v>31</v>
      </c>
      <c r="L636" s="16" t="s">
        <v>2543</v>
      </c>
      <c r="M636" s="16" t="s">
        <v>195</v>
      </c>
      <c r="N636" s="96" t="s">
        <v>21</v>
      </c>
    </row>
    <row r="637" spans="1:14" x14ac:dyDescent="0.35">
      <c r="A637" s="90" t="s">
        <v>2544</v>
      </c>
      <c r="B637" s="10" t="s">
        <v>13</v>
      </c>
      <c r="C637" s="11" t="s">
        <v>2545</v>
      </c>
      <c r="D637" s="11" t="s">
        <v>34</v>
      </c>
      <c r="E637" s="12" t="s">
        <v>457</v>
      </c>
      <c r="F637" s="10">
        <f>+YEAR(Tabla2[[#This Row],[Cosecha]])</f>
        <v>2024</v>
      </c>
      <c r="G637" s="11" t="s">
        <v>30</v>
      </c>
      <c r="H637" s="91">
        <f t="shared" si="22"/>
        <v>21</v>
      </c>
      <c r="I637" s="10" t="s">
        <v>18</v>
      </c>
      <c r="J637" s="11" t="s">
        <v>70</v>
      </c>
      <c r="K637" s="88">
        <f t="shared" si="23"/>
        <v>23</v>
      </c>
      <c r="L637" s="11" t="s">
        <v>2546</v>
      </c>
      <c r="M637" s="11" t="s">
        <v>130</v>
      </c>
      <c r="N637" s="92" t="s">
        <v>21</v>
      </c>
    </row>
    <row r="638" spans="1:14" x14ac:dyDescent="0.35">
      <c r="A638" s="94" t="s">
        <v>2547</v>
      </c>
      <c r="B638" s="15" t="s">
        <v>13</v>
      </c>
      <c r="C638" s="16" t="s">
        <v>2548</v>
      </c>
      <c r="D638" s="16" t="s">
        <v>34</v>
      </c>
      <c r="E638" s="17" t="s">
        <v>62</v>
      </c>
      <c r="F638" s="15">
        <f>+YEAR(Tabla2[[#This Row],[Cosecha]])</f>
        <v>2025</v>
      </c>
      <c r="G638" s="16" t="s">
        <v>36</v>
      </c>
      <c r="H638" s="95">
        <f t="shared" si="22"/>
        <v>3</v>
      </c>
      <c r="I638" s="15" t="s">
        <v>18</v>
      </c>
      <c r="J638" s="16" t="s">
        <v>36</v>
      </c>
      <c r="K638" s="88">
        <f t="shared" si="23"/>
        <v>3</v>
      </c>
      <c r="L638" s="16" t="s">
        <v>2549</v>
      </c>
      <c r="M638" s="16" t="s">
        <v>44</v>
      </c>
      <c r="N638" s="96" t="s">
        <v>21</v>
      </c>
    </row>
    <row r="639" spans="1:14" x14ac:dyDescent="0.35">
      <c r="A639" s="90" t="s">
        <v>2550</v>
      </c>
      <c r="B639" s="10" t="s">
        <v>13</v>
      </c>
      <c r="C639" s="11" t="s">
        <v>2551</v>
      </c>
      <c r="D639" s="11" t="s">
        <v>34</v>
      </c>
      <c r="E639" s="12" t="s">
        <v>497</v>
      </c>
      <c r="F639" s="10">
        <f>+YEAR(Tabla2[[#This Row],[Cosecha]])</f>
        <v>2024</v>
      </c>
      <c r="G639" s="11" t="s">
        <v>133</v>
      </c>
      <c r="H639" s="91">
        <f t="shared" si="22"/>
        <v>8</v>
      </c>
      <c r="I639" s="10" t="s">
        <v>18</v>
      </c>
      <c r="J639" s="11" t="s">
        <v>133</v>
      </c>
      <c r="K639" s="88">
        <f t="shared" si="23"/>
        <v>8</v>
      </c>
      <c r="L639" s="11" t="s">
        <v>2552</v>
      </c>
      <c r="M639" s="11" t="s">
        <v>130</v>
      </c>
      <c r="N639" s="92" t="s">
        <v>26</v>
      </c>
    </row>
    <row r="640" spans="1:14" x14ac:dyDescent="0.35">
      <c r="A640" s="94" t="s">
        <v>2553</v>
      </c>
      <c r="B640" s="15" t="s">
        <v>13</v>
      </c>
      <c r="C640" s="16" t="s">
        <v>2554</v>
      </c>
      <c r="D640" s="16" t="s">
        <v>363</v>
      </c>
      <c r="E640" s="17" t="s">
        <v>793</v>
      </c>
      <c r="F640" s="15">
        <f>+YEAR(Tabla2[[#This Row],[Cosecha]])</f>
        <v>2023</v>
      </c>
      <c r="G640" s="16" t="s">
        <v>113</v>
      </c>
      <c r="H640" s="95">
        <f t="shared" si="22"/>
        <v>33</v>
      </c>
      <c r="I640" s="15" t="s">
        <v>18</v>
      </c>
      <c r="J640" s="16" t="s">
        <v>52</v>
      </c>
      <c r="K640" s="88">
        <f t="shared" si="23"/>
        <v>35</v>
      </c>
      <c r="L640" s="16" t="s">
        <v>2555</v>
      </c>
      <c r="M640" s="16" t="s">
        <v>20</v>
      </c>
      <c r="N640" s="96" t="s">
        <v>21</v>
      </c>
    </row>
    <row r="641" spans="1:14" x14ac:dyDescent="0.35">
      <c r="A641" s="90" t="s">
        <v>2556</v>
      </c>
      <c r="B641" s="10" t="s">
        <v>13</v>
      </c>
      <c r="C641" s="11" t="s">
        <v>2557</v>
      </c>
      <c r="D641" s="11" t="s">
        <v>34</v>
      </c>
      <c r="E641" s="12" t="s">
        <v>97</v>
      </c>
      <c r="F641" s="10">
        <f>+YEAR(Tabla2[[#This Row],[Cosecha]])</f>
        <v>2025</v>
      </c>
      <c r="G641" s="11" t="s">
        <v>52</v>
      </c>
      <c r="H641" s="91">
        <f t="shared" si="22"/>
        <v>6</v>
      </c>
      <c r="I641" s="10" t="s">
        <v>18</v>
      </c>
      <c r="J641" s="11" t="s">
        <v>30</v>
      </c>
      <c r="K641" s="88">
        <f t="shared" si="23"/>
        <v>7</v>
      </c>
      <c r="L641" s="11" t="s">
        <v>2558</v>
      </c>
      <c r="M641" s="11" t="s">
        <v>115</v>
      </c>
      <c r="N641" s="92" t="s">
        <v>21</v>
      </c>
    </row>
    <row r="642" spans="1:14" x14ac:dyDescent="0.35">
      <c r="A642" s="94" t="s">
        <v>2562</v>
      </c>
      <c r="B642" s="15" t="s">
        <v>13</v>
      </c>
      <c r="C642" s="16" t="s">
        <v>2563</v>
      </c>
      <c r="D642" s="16" t="s">
        <v>90</v>
      </c>
      <c r="E642" s="17" t="s">
        <v>133</v>
      </c>
      <c r="F642" s="15">
        <f>+YEAR(Tabla2[[#This Row],[Cosecha]])</f>
        <v>2025</v>
      </c>
      <c r="G642" s="16" t="s">
        <v>113</v>
      </c>
      <c r="H642" s="95">
        <f t="shared" ref="H642:H705" si="24">(YEAR(G642)-YEAR(E642))*12+(MONTH(G642)-MONTH(E642))</f>
        <v>8</v>
      </c>
      <c r="I642" s="15" t="s">
        <v>18</v>
      </c>
      <c r="J642" s="16" t="s">
        <v>23</v>
      </c>
      <c r="K642" s="88">
        <f t="shared" ref="K642:K705" si="25">(YEAR(J642)-YEAR(E642))*12+(MONTH(J642)-MONTH(E642))</f>
        <v>9</v>
      </c>
      <c r="L642" s="16" t="s">
        <v>2564</v>
      </c>
      <c r="M642" s="16" t="s">
        <v>25</v>
      </c>
      <c r="N642" s="96" t="s">
        <v>21</v>
      </c>
    </row>
    <row r="643" spans="1:14" x14ac:dyDescent="0.35">
      <c r="A643" s="90" t="s">
        <v>2565</v>
      </c>
      <c r="B643" s="10" t="s">
        <v>13</v>
      </c>
      <c r="C643" s="11" t="s">
        <v>2566</v>
      </c>
      <c r="D643" s="11" t="s">
        <v>34</v>
      </c>
      <c r="E643" s="12" t="s">
        <v>62</v>
      </c>
      <c r="F643" s="10">
        <f>+YEAR(Tabla2[[#This Row],[Cosecha]])</f>
        <v>2025</v>
      </c>
      <c r="G643" s="11" t="s">
        <v>30</v>
      </c>
      <c r="H643" s="91">
        <f t="shared" si="24"/>
        <v>8</v>
      </c>
      <c r="I643" s="10" t="s">
        <v>18</v>
      </c>
      <c r="J643" s="11" t="s">
        <v>30</v>
      </c>
      <c r="K643" s="88">
        <f t="shared" si="25"/>
        <v>8</v>
      </c>
      <c r="L643" s="11" t="s">
        <v>2567</v>
      </c>
      <c r="M643" s="11" t="s">
        <v>115</v>
      </c>
      <c r="N643" s="92" t="s">
        <v>21</v>
      </c>
    </row>
    <row r="644" spans="1:14" x14ac:dyDescent="0.35">
      <c r="A644" s="94" t="s">
        <v>2568</v>
      </c>
      <c r="B644" s="15" t="s">
        <v>13</v>
      </c>
      <c r="C644" s="16" t="s">
        <v>2569</v>
      </c>
      <c r="D644" s="16" t="s">
        <v>34</v>
      </c>
      <c r="E644" s="17" t="s">
        <v>252</v>
      </c>
      <c r="F644" s="15">
        <f>+YEAR(Tabla2[[#This Row],[Cosecha]])</f>
        <v>2024</v>
      </c>
      <c r="G644" s="16" t="s">
        <v>23</v>
      </c>
      <c r="H644" s="95">
        <f t="shared" si="24"/>
        <v>18</v>
      </c>
      <c r="I644" s="15" t="s">
        <v>18</v>
      </c>
      <c r="J644" s="16" t="s">
        <v>52</v>
      </c>
      <c r="K644" s="88">
        <f t="shared" si="25"/>
        <v>19</v>
      </c>
      <c r="L644" s="16" t="s">
        <v>2570</v>
      </c>
      <c r="M644" s="16" t="s">
        <v>25</v>
      </c>
      <c r="N644" s="96" t="s">
        <v>21</v>
      </c>
    </row>
    <row r="645" spans="1:14" x14ac:dyDescent="0.35">
      <c r="A645" s="90" t="s">
        <v>2571</v>
      </c>
      <c r="B645" s="10" t="s">
        <v>13</v>
      </c>
      <c r="C645" s="11" t="s">
        <v>2572</v>
      </c>
      <c r="D645" s="11" t="s">
        <v>34</v>
      </c>
      <c r="E645" s="12" t="s">
        <v>66</v>
      </c>
      <c r="F645" s="10">
        <f>+YEAR(Tabla2[[#This Row],[Cosecha]])</f>
        <v>2025</v>
      </c>
      <c r="G645" s="11" t="s">
        <v>29</v>
      </c>
      <c r="H645" s="91">
        <f t="shared" si="24"/>
        <v>5</v>
      </c>
      <c r="I645" s="10" t="s">
        <v>18</v>
      </c>
      <c r="J645" s="11" t="s">
        <v>29</v>
      </c>
      <c r="K645" s="88">
        <f t="shared" si="25"/>
        <v>5</v>
      </c>
      <c r="L645" s="11" t="s">
        <v>2573</v>
      </c>
      <c r="M645" s="11" t="s">
        <v>130</v>
      </c>
      <c r="N645" s="92" t="s">
        <v>21</v>
      </c>
    </row>
    <row r="646" spans="1:14" x14ac:dyDescent="0.35">
      <c r="A646" s="94" t="s">
        <v>2580</v>
      </c>
      <c r="B646" s="15" t="s">
        <v>13</v>
      </c>
      <c r="C646" s="16" t="s">
        <v>2581</v>
      </c>
      <c r="D646" s="16" t="s">
        <v>34</v>
      </c>
      <c r="E646" s="17" t="s">
        <v>1222</v>
      </c>
      <c r="F646" s="15">
        <f>+YEAR(Tabla2[[#This Row],[Cosecha]])</f>
        <v>2023</v>
      </c>
      <c r="G646" s="16" t="s">
        <v>37</v>
      </c>
      <c r="H646" s="95">
        <f t="shared" si="24"/>
        <v>29</v>
      </c>
      <c r="I646" s="15" t="s">
        <v>18</v>
      </c>
      <c r="J646" s="16" t="s">
        <v>113</v>
      </c>
      <c r="K646" s="88">
        <f t="shared" si="25"/>
        <v>30</v>
      </c>
      <c r="L646" s="16" t="s">
        <v>2582</v>
      </c>
      <c r="M646" s="16" t="s">
        <v>39</v>
      </c>
      <c r="N646" s="96" t="s">
        <v>21</v>
      </c>
    </row>
    <row r="647" spans="1:14" x14ac:dyDescent="0.35">
      <c r="A647" s="90" t="s">
        <v>2586</v>
      </c>
      <c r="B647" s="10" t="s">
        <v>13</v>
      </c>
      <c r="C647" s="11" t="s">
        <v>2587</v>
      </c>
      <c r="D647" s="11" t="s">
        <v>34</v>
      </c>
      <c r="E647" s="12" t="s">
        <v>66</v>
      </c>
      <c r="F647" s="10">
        <f>+YEAR(Tabla2[[#This Row],[Cosecha]])</f>
        <v>2025</v>
      </c>
      <c r="G647" s="11" t="s">
        <v>29</v>
      </c>
      <c r="H647" s="91">
        <f t="shared" si="24"/>
        <v>5</v>
      </c>
      <c r="I647" s="10" t="s">
        <v>18</v>
      </c>
      <c r="J647" s="11" t="s">
        <v>62</v>
      </c>
      <c r="K647" s="88">
        <f t="shared" si="25"/>
        <v>6</v>
      </c>
      <c r="L647" s="11" t="s">
        <v>2588</v>
      </c>
      <c r="M647" s="11" t="s">
        <v>115</v>
      </c>
      <c r="N647" s="92" t="s">
        <v>26</v>
      </c>
    </row>
    <row r="648" spans="1:14" x14ac:dyDescent="0.35">
      <c r="A648" s="94" t="s">
        <v>2589</v>
      </c>
      <c r="B648" s="15" t="s">
        <v>13</v>
      </c>
      <c r="C648" s="16" t="s">
        <v>2590</v>
      </c>
      <c r="D648" s="16" t="s">
        <v>34</v>
      </c>
      <c r="E648" s="17" t="s">
        <v>104</v>
      </c>
      <c r="F648" s="15">
        <f>+YEAR(Tabla2[[#This Row],[Cosecha]])</f>
        <v>2025</v>
      </c>
      <c r="G648" s="16" t="s">
        <v>118</v>
      </c>
      <c r="H648" s="95">
        <f t="shared" si="24"/>
        <v>4</v>
      </c>
      <c r="I648" s="15" t="s">
        <v>18</v>
      </c>
      <c r="J648" s="16" t="s">
        <v>36</v>
      </c>
      <c r="K648" s="88">
        <f t="shared" si="25"/>
        <v>5</v>
      </c>
      <c r="L648" s="16" t="s">
        <v>2591</v>
      </c>
      <c r="M648" s="16" t="s">
        <v>115</v>
      </c>
      <c r="N648" s="96" t="s">
        <v>26</v>
      </c>
    </row>
    <row r="649" spans="1:14" x14ac:dyDescent="0.35">
      <c r="A649" s="90" t="s">
        <v>2592</v>
      </c>
      <c r="B649" s="10" t="s">
        <v>13</v>
      </c>
      <c r="C649" s="11" t="s">
        <v>2593</v>
      </c>
      <c r="D649" s="11" t="s">
        <v>34</v>
      </c>
      <c r="E649" s="12" t="s">
        <v>37</v>
      </c>
      <c r="F649" s="10">
        <f>+YEAR(Tabla2[[#This Row],[Cosecha]])</f>
        <v>2025</v>
      </c>
      <c r="G649" s="11" t="s">
        <v>52</v>
      </c>
      <c r="H649" s="91">
        <f t="shared" si="24"/>
        <v>3</v>
      </c>
      <c r="I649" s="10" t="s">
        <v>18</v>
      </c>
      <c r="J649" s="11" t="s">
        <v>17</v>
      </c>
      <c r="K649" s="88">
        <f t="shared" si="25"/>
        <v>5</v>
      </c>
      <c r="L649" s="11" t="s">
        <v>2594</v>
      </c>
      <c r="M649" s="11" t="s">
        <v>25</v>
      </c>
      <c r="N649" s="92" t="s">
        <v>21</v>
      </c>
    </row>
    <row r="650" spans="1:14" x14ac:dyDescent="0.35">
      <c r="A650" s="94" t="s">
        <v>2598</v>
      </c>
      <c r="B650" s="15" t="s">
        <v>13</v>
      </c>
      <c r="C650" s="16" t="s">
        <v>2599</v>
      </c>
      <c r="D650" s="16" t="s">
        <v>34</v>
      </c>
      <c r="E650" s="17" t="s">
        <v>29</v>
      </c>
      <c r="F650" s="15">
        <f>+YEAR(Tabla2[[#This Row],[Cosecha]])</f>
        <v>2025</v>
      </c>
      <c r="G650" s="16" t="s">
        <v>23</v>
      </c>
      <c r="H650" s="95">
        <f t="shared" si="24"/>
        <v>7</v>
      </c>
      <c r="I650" s="15" t="s">
        <v>18</v>
      </c>
      <c r="J650" s="16" t="s">
        <v>52</v>
      </c>
      <c r="K650" s="88">
        <f t="shared" si="25"/>
        <v>8</v>
      </c>
      <c r="L650" s="16" t="s">
        <v>2600</v>
      </c>
      <c r="M650" s="16" t="s">
        <v>44</v>
      </c>
      <c r="N650" s="96" t="s">
        <v>21</v>
      </c>
    </row>
    <row r="651" spans="1:14" x14ac:dyDescent="0.35">
      <c r="A651" s="90" t="s">
        <v>2604</v>
      </c>
      <c r="B651" s="10" t="s">
        <v>13</v>
      </c>
      <c r="C651" s="11" t="s">
        <v>2605</v>
      </c>
      <c r="D651" s="11" t="s">
        <v>34</v>
      </c>
      <c r="E651" s="12" t="s">
        <v>82</v>
      </c>
      <c r="F651" s="10">
        <f>+YEAR(Tabla2[[#This Row],[Cosecha]])</f>
        <v>2024</v>
      </c>
      <c r="G651" s="11" t="s">
        <v>29</v>
      </c>
      <c r="H651" s="91">
        <f t="shared" si="24"/>
        <v>6</v>
      </c>
      <c r="I651" s="10" t="s">
        <v>18</v>
      </c>
      <c r="J651" s="11" t="s">
        <v>104</v>
      </c>
      <c r="K651" s="88">
        <f t="shared" si="25"/>
        <v>5</v>
      </c>
      <c r="L651" s="11" t="s">
        <v>2606</v>
      </c>
      <c r="M651" s="11" t="s">
        <v>130</v>
      </c>
      <c r="N651" s="92" t="s">
        <v>26</v>
      </c>
    </row>
    <row r="652" spans="1:14" x14ac:dyDescent="0.35">
      <c r="A652" s="94" t="s">
        <v>2607</v>
      </c>
      <c r="B652" s="15" t="s">
        <v>13</v>
      </c>
      <c r="C652" s="16" t="s">
        <v>2608</v>
      </c>
      <c r="D652" s="16" t="s">
        <v>34</v>
      </c>
      <c r="E652" s="17" t="s">
        <v>82</v>
      </c>
      <c r="F652" s="15">
        <f>+YEAR(Tabla2[[#This Row],[Cosecha]])</f>
        <v>2024</v>
      </c>
      <c r="G652" s="16" t="s">
        <v>29</v>
      </c>
      <c r="H652" s="95">
        <f t="shared" si="24"/>
        <v>6</v>
      </c>
      <c r="I652" s="15" t="s">
        <v>18</v>
      </c>
      <c r="J652" s="16" t="s">
        <v>29</v>
      </c>
      <c r="K652" s="88">
        <f t="shared" si="25"/>
        <v>6</v>
      </c>
      <c r="L652" s="16" t="s">
        <v>1148</v>
      </c>
      <c r="M652" s="16" t="s">
        <v>130</v>
      </c>
      <c r="N652" s="96" t="s">
        <v>21</v>
      </c>
    </row>
    <row r="653" spans="1:14" x14ac:dyDescent="0.35">
      <c r="A653" s="90" t="s">
        <v>2609</v>
      </c>
      <c r="B653" s="10" t="s">
        <v>13</v>
      </c>
      <c r="C653" s="11" t="s">
        <v>2610</v>
      </c>
      <c r="D653" s="11" t="s">
        <v>90</v>
      </c>
      <c r="E653" s="12" t="s">
        <v>178</v>
      </c>
      <c r="F653" s="10">
        <f>+YEAR(Tabla2[[#This Row],[Cosecha]])</f>
        <v>2024</v>
      </c>
      <c r="G653" s="11" t="s">
        <v>30</v>
      </c>
      <c r="H653" s="91">
        <f t="shared" si="24"/>
        <v>16</v>
      </c>
      <c r="I653" s="10" t="s">
        <v>18</v>
      </c>
      <c r="J653" s="11" t="s">
        <v>30</v>
      </c>
      <c r="K653" s="88">
        <f t="shared" si="25"/>
        <v>16</v>
      </c>
      <c r="L653" s="11" t="s">
        <v>2611</v>
      </c>
      <c r="M653" s="11" t="s">
        <v>39</v>
      </c>
      <c r="N653" s="92" t="s">
        <v>21</v>
      </c>
    </row>
    <row r="654" spans="1:14" x14ac:dyDescent="0.35">
      <c r="A654" s="94" t="s">
        <v>2615</v>
      </c>
      <c r="B654" s="15" t="s">
        <v>13</v>
      </c>
      <c r="C654" s="16" t="s">
        <v>2616</v>
      </c>
      <c r="D654" s="16" t="s">
        <v>34</v>
      </c>
      <c r="E654" s="17" t="s">
        <v>118</v>
      </c>
      <c r="F654" s="15">
        <f>+YEAR(Tabla2[[#This Row],[Cosecha]])</f>
        <v>2025</v>
      </c>
      <c r="G654" s="16" t="s">
        <v>70</v>
      </c>
      <c r="H654" s="95">
        <f t="shared" si="24"/>
        <v>8</v>
      </c>
      <c r="I654" s="15" t="s">
        <v>18</v>
      </c>
      <c r="J654" s="16" t="s">
        <v>70</v>
      </c>
      <c r="K654" s="88">
        <f t="shared" si="25"/>
        <v>8</v>
      </c>
      <c r="L654" s="16" t="s">
        <v>2617</v>
      </c>
      <c r="M654" s="16" t="s">
        <v>115</v>
      </c>
      <c r="N654" s="96" t="s">
        <v>21</v>
      </c>
    </row>
    <row r="655" spans="1:14" x14ac:dyDescent="0.35">
      <c r="A655" s="90" t="s">
        <v>2618</v>
      </c>
      <c r="B655" s="10" t="s">
        <v>13</v>
      </c>
      <c r="C655" s="11" t="s">
        <v>2619</v>
      </c>
      <c r="D655" s="11" t="s">
        <v>15</v>
      </c>
      <c r="E655" s="12" t="s">
        <v>36</v>
      </c>
      <c r="F655" s="10">
        <f>+YEAR(Tabla2[[#This Row],[Cosecha]])</f>
        <v>2025</v>
      </c>
      <c r="G655" s="11" t="s">
        <v>30</v>
      </c>
      <c r="H655" s="91">
        <f t="shared" si="24"/>
        <v>5</v>
      </c>
      <c r="I655" s="10" t="s">
        <v>18</v>
      </c>
      <c r="J655" s="11" t="s">
        <v>30</v>
      </c>
      <c r="K655" s="88">
        <f t="shared" si="25"/>
        <v>5</v>
      </c>
      <c r="L655" s="11" t="s">
        <v>2620</v>
      </c>
      <c r="M655" s="11" t="s">
        <v>25</v>
      </c>
      <c r="N655" s="92" t="s">
        <v>26</v>
      </c>
    </row>
    <row r="656" spans="1:14" x14ac:dyDescent="0.35">
      <c r="A656" s="94" t="s">
        <v>2621</v>
      </c>
      <c r="B656" s="15" t="s">
        <v>13</v>
      </c>
      <c r="C656" s="16" t="s">
        <v>2622</v>
      </c>
      <c r="D656" s="16" t="s">
        <v>34</v>
      </c>
      <c r="E656" s="17" t="s">
        <v>165</v>
      </c>
      <c r="F656" s="15">
        <f>+YEAR(Tabla2[[#This Row],[Cosecha]])</f>
        <v>2024</v>
      </c>
      <c r="G656" s="16" t="s">
        <v>47</v>
      </c>
      <c r="H656" s="95">
        <f t="shared" si="24"/>
        <v>13</v>
      </c>
      <c r="I656" s="15" t="s">
        <v>18</v>
      </c>
      <c r="J656" s="16" t="s">
        <v>47</v>
      </c>
      <c r="K656" s="88">
        <f t="shared" si="25"/>
        <v>13</v>
      </c>
      <c r="L656" s="16" t="s">
        <v>2623</v>
      </c>
      <c r="M656" s="16" t="s">
        <v>25</v>
      </c>
      <c r="N656" s="96" t="s">
        <v>21</v>
      </c>
    </row>
    <row r="657" spans="1:14" x14ac:dyDescent="0.35">
      <c r="A657" s="90" t="s">
        <v>2624</v>
      </c>
      <c r="B657" s="10" t="s">
        <v>13</v>
      </c>
      <c r="C657" s="11" t="s">
        <v>2625</v>
      </c>
      <c r="D657" s="11" t="s">
        <v>34</v>
      </c>
      <c r="E657" s="12" t="s">
        <v>23</v>
      </c>
      <c r="F657" s="10">
        <f>+YEAR(Tabla2[[#This Row],[Cosecha]])</f>
        <v>2026</v>
      </c>
      <c r="G657" s="11" t="s">
        <v>17</v>
      </c>
      <c r="H657" s="91">
        <f t="shared" si="24"/>
        <v>3</v>
      </c>
      <c r="I657" s="10" t="s">
        <v>18</v>
      </c>
      <c r="J657" s="11" t="s">
        <v>17</v>
      </c>
      <c r="K657" s="88">
        <f t="shared" si="25"/>
        <v>3</v>
      </c>
      <c r="L657" s="11" t="s">
        <v>2626</v>
      </c>
      <c r="M657" s="11" t="s">
        <v>72</v>
      </c>
      <c r="N657" s="92" t="s">
        <v>21</v>
      </c>
    </row>
    <row r="658" spans="1:14" x14ac:dyDescent="0.35">
      <c r="A658" s="94" t="s">
        <v>2627</v>
      </c>
      <c r="B658" s="15" t="s">
        <v>13</v>
      </c>
      <c r="C658" s="16" t="s">
        <v>2628</v>
      </c>
      <c r="D658" s="16" t="s">
        <v>34</v>
      </c>
      <c r="E658" s="17" t="s">
        <v>82</v>
      </c>
      <c r="F658" s="15">
        <f>+YEAR(Tabla2[[#This Row],[Cosecha]])</f>
        <v>2024</v>
      </c>
      <c r="G658" s="16" t="s">
        <v>97</v>
      </c>
      <c r="H658" s="95">
        <f t="shared" si="24"/>
        <v>8</v>
      </c>
      <c r="I658" s="15" t="s">
        <v>18</v>
      </c>
      <c r="J658" s="16" t="s">
        <v>118</v>
      </c>
      <c r="K658" s="88">
        <f t="shared" si="25"/>
        <v>9</v>
      </c>
      <c r="L658" s="16" t="s">
        <v>2629</v>
      </c>
      <c r="M658" s="16" t="s">
        <v>130</v>
      </c>
      <c r="N658" s="96" t="s">
        <v>26</v>
      </c>
    </row>
    <row r="659" spans="1:14" x14ac:dyDescent="0.35">
      <c r="A659" s="90" t="s">
        <v>2630</v>
      </c>
      <c r="B659" s="10" t="s">
        <v>85</v>
      </c>
      <c r="C659" s="11" t="s">
        <v>2631</v>
      </c>
      <c r="D659" s="11" t="s">
        <v>15</v>
      </c>
      <c r="E659" s="12" t="s">
        <v>133</v>
      </c>
      <c r="F659" s="10">
        <f>+YEAR(Tabla2[[#This Row],[Cosecha]])</f>
        <v>2025</v>
      </c>
      <c r="G659" s="11" t="s">
        <v>97</v>
      </c>
      <c r="H659" s="91">
        <f t="shared" si="24"/>
        <v>4</v>
      </c>
      <c r="I659" s="10" t="s">
        <v>18</v>
      </c>
      <c r="J659" s="11" t="s">
        <v>36</v>
      </c>
      <c r="K659" s="88">
        <f t="shared" si="25"/>
        <v>6</v>
      </c>
      <c r="L659" s="11" t="s">
        <v>2632</v>
      </c>
      <c r="M659" s="11" t="s">
        <v>25</v>
      </c>
      <c r="N659" s="92" t="s">
        <v>21</v>
      </c>
    </row>
    <row r="660" spans="1:14" x14ac:dyDescent="0.35">
      <c r="A660" s="94" t="s">
        <v>2633</v>
      </c>
      <c r="B660" s="15" t="s">
        <v>13</v>
      </c>
      <c r="C660" s="16" t="s">
        <v>2634</v>
      </c>
      <c r="D660" s="16" t="s">
        <v>15</v>
      </c>
      <c r="E660" s="17" t="s">
        <v>36</v>
      </c>
      <c r="F660" s="15">
        <f>+YEAR(Tabla2[[#This Row],[Cosecha]])</f>
        <v>2025</v>
      </c>
      <c r="G660" s="16" t="s">
        <v>17</v>
      </c>
      <c r="H660" s="95">
        <f t="shared" si="24"/>
        <v>6</v>
      </c>
      <c r="I660" s="15" t="s">
        <v>18</v>
      </c>
      <c r="J660" s="16" t="s">
        <v>17</v>
      </c>
      <c r="K660" s="88">
        <f t="shared" si="25"/>
        <v>6</v>
      </c>
      <c r="L660" s="16" t="s">
        <v>2635</v>
      </c>
      <c r="M660" s="16" t="s">
        <v>25</v>
      </c>
      <c r="N660" s="96" t="s">
        <v>21</v>
      </c>
    </row>
    <row r="661" spans="1:14" x14ac:dyDescent="0.35">
      <c r="A661" s="90" t="s">
        <v>2636</v>
      </c>
      <c r="B661" s="10" t="s">
        <v>13</v>
      </c>
      <c r="C661" s="11" t="s">
        <v>2637</v>
      </c>
      <c r="D661" s="11" t="s">
        <v>15</v>
      </c>
      <c r="E661" s="12" t="s">
        <v>66</v>
      </c>
      <c r="F661" s="10">
        <f>+YEAR(Tabla2[[#This Row],[Cosecha]])</f>
        <v>2025</v>
      </c>
      <c r="G661" s="11" t="s">
        <v>52</v>
      </c>
      <c r="H661" s="91">
        <f t="shared" si="24"/>
        <v>13</v>
      </c>
      <c r="I661" s="10" t="s">
        <v>18</v>
      </c>
      <c r="J661" s="11" t="s">
        <v>52</v>
      </c>
      <c r="K661" s="88">
        <f t="shared" si="25"/>
        <v>13</v>
      </c>
      <c r="L661" s="11" t="s">
        <v>2638</v>
      </c>
      <c r="M661" s="11" t="s">
        <v>25</v>
      </c>
      <c r="N661" s="92" t="s">
        <v>21</v>
      </c>
    </row>
    <row r="662" spans="1:14" x14ac:dyDescent="0.35">
      <c r="A662" s="94" t="s">
        <v>2642</v>
      </c>
      <c r="B662" s="15" t="s">
        <v>13</v>
      </c>
      <c r="C662" s="16" t="s">
        <v>2643</v>
      </c>
      <c r="D662" s="16" t="s">
        <v>34</v>
      </c>
      <c r="E662" s="17" t="s">
        <v>133</v>
      </c>
      <c r="F662" s="15">
        <f>+YEAR(Tabla2[[#This Row],[Cosecha]])</f>
        <v>2025</v>
      </c>
      <c r="G662" s="16" t="s">
        <v>37</v>
      </c>
      <c r="H662" s="95">
        <f t="shared" si="24"/>
        <v>7</v>
      </c>
      <c r="I662" s="15" t="s">
        <v>18</v>
      </c>
      <c r="J662" s="16" t="s">
        <v>113</v>
      </c>
      <c r="K662" s="88">
        <f t="shared" si="25"/>
        <v>8</v>
      </c>
      <c r="L662" s="16" t="s">
        <v>2644</v>
      </c>
      <c r="M662" s="16" t="s">
        <v>44</v>
      </c>
      <c r="N662" s="96" t="s">
        <v>21</v>
      </c>
    </row>
    <row r="663" spans="1:14" x14ac:dyDescent="0.35">
      <c r="A663" s="90" t="s">
        <v>2645</v>
      </c>
      <c r="B663" s="10" t="s">
        <v>13</v>
      </c>
      <c r="C663" s="11" t="s">
        <v>2646</v>
      </c>
      <c r="D663" s="11" t="s">
        <v>90</v>
      </c>
      <c r="E663" s="12" t="s">
        <v>104</v>
      </c>
      <c r="F663" s="10">
        <f>+YEAR(Tabla2[[#This Row],[Cosecha]])</f>
        <v>2025</v>
      </c>
      <c r="G663" s="11" t="s">
        <v>118</v>
      </c>
      <c r="H663" s="91">
        <f t="shared" si="24"/>
        <v>4</v>
      </c>
      <c r="I663" s="10" t="s">
        <v>18</v>
      </c>
      <c r="J663" s="11" t="s">
        <v>36</v>
      </c>
      <c r="K663" s="88">
        <f t="shared" si="25"/>
        <v>5</v>
      </c>
      <c r="L663" s="11" t="s">
        <v>2647</v>
      </c>
      <c r="M663" s="11" t="s">
        <v>39</v>
      </c>
      <c r="N663" s="92" t="s">
        <v>26</v>
      </c>
    </row>
    <row r="664" spans="1:14" x14ac:dyDescent="0.35">
      <c r="A664" s="94" t="s">
        <v>2651</v>
      </c>
      <c r="B664" s="15" t="s">
        <v>13</v>
      </c>
      <c r="C664" s="16" t="s">
        <v>2652</v>
      </c>
      <c r="D664" s="16" t="s">
        <v>34</v>
      </c>
      <c r="E664" s="17" t="s">
        <v>29</v>
      </c>
      <c r="F664" s="15">
        <f>+YEAR(Tabla2[[#This Row],[Cosecha]])</f>
        <v>2025</v>
      </c>
      <c r="G664" s="16" t="s">
        <v>62</v>
      </c>
      <c r="H664" s="95">
        <f t="shared" si="24"/>
        <v>1</v>
      </c>
      <c r="I664" s="15" t="s">
        <v>18</v>
      </c>
      <c r="J664" s="16" t="s">
        <v>62</v>
      </c>
      <c r="K664" s="88">
        <f t="shared" si="25"/>
        <v>1</v>
      </c>
      <c r="L664" s="16" t="s">
        <v>1663</v>
      </c>
      <c r="M664" s="16" t="s">
        <v>44</v>
      </c>
      <c r="N664" s="96" t="s">
        <v>21</v>
      </c>
    </row>
    <row r="665" spans="1:14" x14ac:dyDescent="0.35">
      <c r="A665" s="90" t="s">
        <v>2653</v>
      </c>
      <c r="B665" s="10" t="s">
        <v>13</v>
      </c>
      <c r="C665" s="11" t="s">
        <v>2654</v>
      </c>
      <c r="D665" s="11" t="s">
        <v>34</v>
      </c>
      <c r="E665" s="12" t="s">
        <v>497</v>
      </c>
      <c r="F665" s="10">
        <f>+YEAR(Tabla2[[#This Row],[Cosecha]])</f>
        <v>2024</v>
      </c>
      <c r="G665" s="11" t="s">
        <v>47</v>
      </c>
      <c r="H665" s="91">
        <f t="shared" si="24"/>
        <v>7</v>
      </c>
      <c r="I665" s="10" t="s">
        <v>18</v>
      </c>
      <c r="J665" s="11" t="s">
        <v>47</v>
      </c>
      <c r="K665" s="88">
        <f t="shared" si="25"/>
        <v>7</v>
      </c>
      <c r="L665" s="11" t="s">
        <v>2655</v>
      </c>
      <c r="M665" s="11" t="s">
        <v>130</v>
      </c>
      <c r="N665" s="92" t="s">
        <v>26</v>
      </c>
    </row>
    <row r="666" spans="1:14" x14ac:dyDescent="0.35">
      <c r="A666" s="94" t="s">
        <v>2656</v>
      </c>
      <c r="B666" s="15" t="s">
        <v>13</v>
      </c>
      <c r="C666" s="16" t="s">
        <v>2657</v>
      </c>
      <c r="D666" s="16" t="s">
        <v>15</v>
      </c>
      <c r="E666" s="17" t="s">
        <v>29</v>
      </c>
      <c r="F666" s="15">
        <f>+YEAR(Tabla2[[#This Row],[Cosecha]])</f>
        <v>2025</v>
      </c>
      <c r="G666" s="16" t="s">
        <v>23</v>
      </c>
      <c r="H666" s="95">
        <f t="shared" si="24"/>
        <v>7</v>
      </c>
      <c r="I666" s="15" t="s">
        <v>18</v>
      </c>
      <c r="J666" s="16" t="s">
        <v>23</v>
      </c>
      <c r="K666" s="88">
        <f t="shared" si="25"/>
        <v>7</v>
      </c>
      <c r="L666" s="16" t="s">
        <v>2658</v>
      </c>
      <c r="M666" s="16" t="s">
        <v>25</v>
      </c>
      <c r="N666" s="96" t="s">
        <v>26</v>
      </c>
    </row>
    <row r="667" spans="1:14" x14ac:dyDescent="0.35">
      <c r="A667" s="90" t="s">
        <v>2659</v>
      </c>
      <c r="B667" s="10" t="s">
        <v>13</v>
      </c>
      <c r="C667" s="11" t="s">
        <v>2660</v>
      </c>
      <c r="D667" s="11" t="s">
        <v>34</v>
      </c>
      <c r="E667" s="12" t="s">
        <v>29</v>
      </c>
      <c r="F667" s="10">
        <f>+YEAR(Tabla2[[#This Row],[Cosecha]])</f>
        <v>2025</v>
      </c>
      <c r="G667" s="11" t="s">
        <v>23</v>
      </c>
      <c r="H667" s="91">
        <f t="shared" si="24"/>
        <v>7</v>
      </c>
      <c r="I667" s="10" t="s">
        <v>18</v>
      </c>
      <c r="J667" s="11" t="s">
        <v>30</v>
      </c>
      <c r="K667" s="88">
        <f t="shared" si="25"/>
        <v>9</v>
      </c>
      <c r="L667" s="11" t="s">
        <v>2661</v>
      </c>
      <c r="M667" s="11" t="s">
        <v>44</v>
      </c>
      <c r="N667" s="92" t="s">
        <v>21</v>
      </c>
    </row>
    <row r="668" spans="1:14" x14ac:dyDescent="0.35">
      <c r="A668" s="94" t="s">
        <v>2662</v>
      </c>
      <c r="B668" s="15" t="s">
        <v>13</v>
      </c>
      <c r="C668" s="16" t="s">
        <v>2663</v>
      </c>
      <c r="D668" s="16" t="s">
        <v>34</v>
      </c>
      <c r="E668" s="17" t="s">
        <v>453</v>
      </c>
      <c r="F668" s="15">
        <f>+YEAR(Tabla2[[#This Row],[Cosecha]])</f>
        <v>2024</v>
      </c>
      <c r="G668" s="16" t="s">
        <v>66</v>
      </c>
      <c r="H668" s="95">
        <f t="shared" si="24"/>
        <v>9</v>
      </c>
      <c r="I668" s="15" t="s">
        <v>18</v>
      </c>
      <c r="J668" s="16" t="s">
        <v>66</v>
      </c>
      <c r="K668" s="88">
        <f t="shared" si="25"/>
        <v>9</v>
      </c>
      <c r="L668" s="16" t="s">
        <v>2664</v>
      </c>
      <c r="M668" s="16" t="s">
        <v>130</v>
      </c>
      <c r="N668" s="96" t="s">
        <v>21</v>
      </c>
    </row>
    <row r="669" spans="1:14" x14ac:dyDescent="0.35">
      <c r="A669" s="90" t="s">
        <v>2665</v>
      </c>
      <c r="B669" s="10" t="s">
        <v>13</v>
      </c>
      <c r="C669" s="11" t="s">
        <v>2666</v>
      </c>
      <c r="D669" s="11" t="s">
        <v>15</v>
      </c>
      <c r="E669" s="12" t="s">
        <v>66</v>
      </c>
      <c r="F669" s="10">
        <f>+YEAR(Tabla2[[#This Row],[Cosecha]])</f>
        <v>2025</v>
      </c>
      <c r="G669" s="11" t="s">
        <v>29</v>
      </c>
      <c r="H669" s="91">
        <f t="shared" si="24"/>
        <v>5</v>
      </c>
      <c r="I669" s="10" t="s">
        <v>18</v>
      </c>
      <c r="J669" s="11" t="s">
        <v>29</v>
      </c>
      <c r="K669" s="88">
        <f t="shared" si="25"/>
        <v>5</v>
      </c>
      <c r="L669" s="11" t="s">
        <v>213</v>
      </c>
      <c r="M669" s="11" t="s">
        <v>25</v>
      </c>
      <c r="N669" s="92" t="s">
        <v>21</v>
      </c>
    </row>
    <row r="670" spans="1:14" x14ac:dyDescent="0.35">
      <c r="A670" s="94" t="s">
        <v>2667</v>
      </c>
      <c r="B670" s="15" t="s">
        <v>13</v>
      </c>
      <c r="C670" s="16" t="s">
        <v>2668</v>
      </c>
      <c r="D670" s="16" t="s">
        <v>34</v>
      </c>
      <c r="E670" s="17" t="s">
        <v>118</v>
      </c>
      <c r="F670" s="15">
        <f>+YEAR(Tabla2[[#This Row],[Cosecha]])</f>
        <v>2025</v>
      </c>
      <c r="G670" s="16" t="s">
        <v>17</v>
      </c>
      <c r="H670" s="95">
        <f t="shared" si="24"/>
        <v>7</v>
      </c>
      <c r="I670" s="15" t="s">
        <v>18</v>
      </c>
      <c r="J670" s="16" t="s">
        <v>17</v>
      </c>
      <c r="K670" s="88">
        <f t="shared" si="25"/>
        <v>7</v>
      </c>
      <c r="L670" s="16" t="s">
        <v>2669</v>
      </c>
      <c r="M670" s="16" t="s">
        <v>115</v>
      </c>
      <c r="N670" s="96" t="s">
        <v>26</v>
      </c>
    </row>
    <row r="671" spans="1:14" x14ac:dyDescent="0.35">
      <c r="A671" s="90" t="s">
        <v>2670</v>
      </c>
      <c r="B671" s="10" t="s">
        <v>13</v>
      </c>
      <c r="C671" s="11" t="s">
        <v>2671</v>
      </c>
      <c r="D671" s="11" t="s">
        <v>34</v>
      </c>
      <c r="E671" s="12" t="s">
        <v>82</v>
      </c>
      <c r="F671" s="10">
        <f>+YEAR(Tabla2[[#This Row],[Cosecha]])</f>
        <v>2024</v>
      </c>
      <c r="G671" s="11" t="s">
        <v>97</v>
      </c>
      <c r="H671" s="91">
        <f t="shared" si="24"/>
        <v>8</v>
      </c>
      <c r="I671" s="10" t="s">
        <v>18</v>
      </c>
      <c r="J671" s="11" t="s">
        <v>118</v>
      </c>
      <c r="K671" s="88">
        <f t="shared" si="25"/>
        <v>9</v>
      </c>
      <c r="L671" s="11" t="s">
        <v>2672</v>
      </c>
      <c r="M671" s="11" t="s">
        <v>130</v>
      </c>
      <c r="N671" s="92" t="s">
        <v>21</v>
      </c>
    </row>
    <row r="672" spans="1:14" x14ac:dyDescent="0.35">
      <c r="A672" s="94" t="s">
        <v>2673</v>
      </c>
      <c r="B672" s="15" t="s">
        <v>13</v>
      </c>
      <c r="C672" s="16" t="s">
        <v>2674</v>
      </c>
      <c r="D672" s="16" t="s">
        <v>34</v>
      </c>
      <c r="E672" s="17" t="s">
        <v>104</v>
      </c>
      <c r="F672" s="15">
        <f>+YEAR(Tabla2[[#This Row],[Cosecha]])</f>
        <v>2025</v>
      </c>
      <c r="G672" s="16" t="s">
        <v>118</v>
      </c>
      <c r="H672" s="95">
        <f t="shared" si="24"/>
        <v>4</v>
      </c>
      <c r="I672" s="15" t="s">
        <v>18</v>
      </c>
      <c r="J672" s="16" t="s">
        <v>118</v>
      </c>
      <c r="K672" s="88">
        <f t="shared" si="25"/>
        <v>4</v>
      </c>
      <c r="L672" s="16" t="s">
        <v>467</v>
      </c>
      <c r="M672" s="16" t="s">
        <v>130</v>
      </c>
      <c r="N672" s="96" t="s">
        <v>21</v>
      </c>
    </row>
    <row r="673" spans="1:14" x14ac:dyDescent="0.35">
      <c r="A673" s="90" t="s">
        <v>2675</v>
      </c>
      <c r="B673" s="10" t="s">
        <v>13</v>
      </c>
      <c r="C673" s="11" t="s">
        <v>2676</v>
      </c>
      <c r="D673" s="11" t="s">
        <v>34</v>
      </c>
      <c r="E673" s="12" t="s">
        <v>780</v>
      </c>
      <c r="F673" s="10">
        <f>+YEAR(Tabla2[[#This Row],[Cosecha]])</f>
        <v>2023</v>
      </c>
      <c r="G673" s="11" t="s">
        <v>47</v>
      </c>
      <c r="H673" s="91">
        <f t="shared" si="24"/>
        <v>15</v>
      </c>
      <c r="I673" s="10" t="s">
        <v>18</v>
      </c>
      <c r="J673" s="11" t="s">
        <v>47</v>
      </c>
      <c r="K673" s="88">
        <f t="shared" si="25"/>
        <v>15</v>
      </c>
      <c r="L673" s="11" t="s">
        <v>2677</v>
      </c>
      <c r="M673" s="11" t="s">
        <v>25</v>
      </c>
      <c r="N673" s="92" t="s">
        <v>21</v>
      </c>
    </row>
    <row r="674" spans="1:14" x14ac:dyDescent="0.35">
      <c r="A674" s="94" t="s">
        <v>2678</v>
      </c>
      <c r="B674" s="15" t="s">
        <v>13</v>
      </c>
      <c r="C674" s="16" t="s">
        <v>2679</v>
      </c>
      <c r="D674" s="16" t="s">
        <v>15</v>
      </c>
      <c r="E674" s="17" t="s">
        <v>108</v>
      </c>
      <c r="F674" s="15">
        <f>+YEAR(Tabla2[[#This Row],[Cosecha]])</f>
        <v>2024</v>
      </c>
      <c r="G674" s="16" t="s">
        <v>52</v>
      </c>
      <c r="H674" s="95">
        <f t="shared" si="24"/>
        <v>25</v>
      </c>
      <c r="I674" s="15" t="s">
        <v>18</v>
      </c>
      <c r="J674" s="16" t="s">
        <v>30</v>
      </c>
      <c r="K674" s="88">
        <f t="shared" si="25"/>
        <v>26</v>
      </c>
      <c r="L674" s="16" t="s">
        <v>2680</v>
      </c>
      <c r="M674" s="16" t="s">
        <v>25</v>
      </c>
      <c r="N674" s="96" t="s">
        <v>21</v>
      </c>
    </row>
    <row r="675" spans="1:14" x14ac:dyDescent="0.35">
      <c r="A675" s="90" t="s">
        <v>2681</v>
      </c>
      <c r="B675" s="10" t="s">
        <v>13</v>
      </c>
      <c r="C675" s="11" t="s">
        <v>2682</v>
      </c>
      <c r="D675" s="11" t="s">
        <v>34</v>
      </c>
      <c r="E675" s="12" t="s">
        <v>62</v>
      </c>
      <c r="F675" s="10">
        <f>+YEAR(Tabla2[[#This Row],[Cosecha]])</f>
        <v>2025</v>
      </c>
      <c r="G675" s="11" t="s">
        <v>70</v>
      </c>
      <c r="H675" s="91">
        <f t="shared" si="24"/>
        <v>10</v>
      </c>
      <c r="I675" s="10" t="s">
        <v>18</v>
      </c>
      <c r="J675" s="11" t="s">
        <v>70</v>
      </c>
      <c r="K675" s="88">
        <f t="shared" si="25"/>
        <v>10</v>
      </c>
      <c r="L675" s="11" t="s">
        <v>2683</v>
      </c>
      <c r="M675" s="11" t="s">
        <v>115</v>
      </c>
      <c r="N675" s="92" t="s">
        <v>21</v>
      </c>
    </row>
    <row r="676" spans="1:14" x14ac:dyDescent="0.35">
      <c r="A676" s="94" t="s">
        <v>2684</v>
      </c>
      <c r="B676" s="15" t="s">
        <v>13</v>
      </c>
      <c r="C676" s="16" t="s">
        <v>2685</v>
      </c>
      <c r="D676" s="16" t="s">
        <v>34</v>
      </c>
      <c r="E676" s="17" t="s">
        <v>122</v>
      </c>
      <c r="F676" s="15">
        <f>+YEAR(Tabla2[[#This Row],[Cosecha]])</f>
        <v>2023</v>
      </c>
      <c r="G676" s="16" t="s">
        <v>133</v>
      </c>
      <c r="H676" s="95">
        <f t="shared" si="24"/>
        <v>19</v>
      </c>
      <c r="I676" s="15" t="s">
        <v>18</v>
      </c>
      <c r="J676" s="16" t="s">
        <v>133</v>
      </c>
      <c r="K676" s="88">
        <f t="shared" si="25"/>
        <v>19</v>
      </c>
      <c r="L676" s="16" t="s">
        <v>2686</v>
      </c>
      <c r="M676" s="16" t="s">
        <v>25</v>
      </c>
      <c r="N676" s="96" t="s">
        <v>21</v>
      </c>
    </row>
    <row r="677" spans="1:14" x14ac:dyDescent="0.35">
      <c r="A677" s="90" t="s">
        <v>2687</v>
      </c>
      <c r="B677" s="10" t="s">
        <v>13</v>
      </c>
      <c r="C677" s="11" t="s">
        <v>2688</v>
      </c>
      <c r="D677" s="11" t="s">
        <v>90</v>
      </c>
      <c r="E677" s="12" t="s">
        <v>36</v>
      </c>
      <c r="F677" s="10">
        <f>+YEAR(Tabla2[[#This Row],[Cosecha]])</f>
        <v>2025</v>
      </c>
      <c r="G677" s="11" t="s">
        <v>113</v>
      </c>
      <c r="H677" s="91">
        <f t="shared" si="24"/>
        <v>2</v>
      </c>
      <c r="I677" s="10" t="s">
        <v>18</v>
      </c>
      <c r="J677" s="11" t="s">
        <v>30</v>
      </c>
      <c r="K677" s="88">
        <f t="shared" si="25"/>
        <v>5</v>
      </c>
      <c r="L677" s="11" t="s">
        <v>2689</v>
      </c>
      <c r="M677" s="11" t="s">
        <v>39</v>
      </c>
      <c r="N677" s="92" t="s">
        <v>21</v>
      </c>
    </row>
    <row r="678" spans="1:14" x14ac:dyDescent="0.35">
      <c r="A678" s="94" t="s">
        <v>2693</v>
      </c>
      <c r="B678" s="15" t="s">
        <v>13</v>
      </c>
      <c r="C678" s="16" t="s">
        <v>2694</v>
      </c>
      <c r="D678" s="16" t="s">
        <v>34</v>
      </c>
      <c r="E678" s="17" t="s">
        <v>37</v>
      </c>
      <c r="F678" s="15">
        <f>+YEAR(Tabla2[[#This Row],[Cosecha]])</f>
        <v>2025</v>
      </c>
      <c r="G678" s="16" t="s">
        <v>52</v>
      </c>
      <c r="H678" s="95">
        <f t="shared" si="24"/>
        <v>3</v>
      </c>
      <c r="I678" s="15" t="s">
        <v>18</v>
      </c>
      <c r="J678" s="16" t="s">
        <v>17</v>
      </c>
      <c r="K678" s="88">
        <f t="shared" si="25"/>
        <v>5</v>
      </c>
      <c r="L678" s="16" t="s">
        <v>2695</v>
      </c>
      <c r="M678" s="16" t="s">
        <v>72</v>
      </c>
      <c r="N678" s="96" t="s">
        <v>21</v>
      </c>
    </row>
    <row r="679" spans="1:14" x14ac:dyDescent="0.35">
      <c r="A679" s="90" t="s">
        <v>2696</v>
      </c>
      <c r="B679" s="10" t="s">
        <v>13</v>
      </c>
      <c r="C679" s="11" t="s">
        <v>2697</v>
      </c>
      <c r="D679" s="11" t="s">
        <v>34</v>
      </c>
      <c r="E679" s="12" t="s">
        <v>47</v>
      </c>
      <c r="F679" s="10">
        <f>+YEAR(Tabla2[[#This Row],[Cosecha]])</f>
        <v>2025</v>
      </c>
      <c r="G679" s="11" t="s">
        <v>30</v>
      </c>
      <c r="H679" s="91">
        <f t="shared" si="24"/>
        <v>12</v>
      </c>
      <c r="I679" s="10" t="s">
        <v>18</v>
      </c>
      <c r="J679" s="11" t="s">
        <v>30</v>
      </c>
      <c r="K679" s="88">
        <f t="shared" si="25"/>
        <v>12</v>
      </c>
      <c r="L679" s="11" t="s">
        <v>2698</v>
      </c>
      <c r="M679" s="11" t="s">
        <v>44</v>
      </c>
      <c r="N679" s="92" t="s">
        <v>21</v>
      </c>
    </row>
    <row r="680" spans="1:14" x14ac:dyDescent="0.35">
      <c r="A680" s="94" t="s">
        <v>2699</v>
      </c>
      <c r="B680" s="15" t="s">
        <v>13</v>
      </c>
      <c r="C680" s="16" t="s">
        <v>2700</v>
      </c>
      <c r="D680" s="16" t="s">
        <v>34</v>
      </c>
      <c r="E680" s="17" t="s">
        <v>35</v>
      </c>
      <c r="F680" s="15">
        <f>+YEAR(Tabla2[[#This Row],[Cosecha]])</f>
        <v>2024</v>
      </c>
      <c r="G680" s="16" t="s">
        <v>29</v>
      </c>
      <c r="H680" s="95">
        <f t="shared" si="24"/>
        <v>8</v>
      </c>
      <c r="I680" s="15" t="s">
        <v>18</v>
      </c>
      <c r="J680" s="16" t="s">
        <v>29</v>
      </c>
      <c r="K680" s="88">
        <f t="shared" si="25"/>
        <v>8</v>
      </c>
      <c r="L680" s="16" t="s">
        <v>2701</v>
      </c>
      <c r="M680" s="16" t="s">
        <v>25</v>
      </c>
      <c r="N680" s="96" t="s">
        <v>21</v>
      </c>
    </row>
    <row r="681" spans="1:14" x14ac:dyDescent="0.35">
      <c r="A681" s="90" t="s">
        <v>2702</v>
      </c>
      <c r="B681" s="10" t="s">
        <v>13</v>
      </c>
      <c r="C681" s="11" t="s">
        <v>2703</v>
      </c>
      <c r="D681" s="11" t="s">
        <v>34</v>
      </c>
      <c r="E681" s="12" t="s">
        <v>1222</v>
      </c>
      <c r="F681" s="10">
        <f>+YEAR(Tabla2[[#This Row],[Cosecha]])</f>
        <v>2023</v>
      </c>
      <c r="G681" s="11" t="s">
        <v>29</v>
      </c>
      <c r="H681" s="91">
        <f t="shared" si="24"/>
        <v>24</v>
      </c>
      <c r="I681" s="10" t="s">
        <v>18</v>
      </c>
      <c r="J681" s="11" t="s">
        <v>29</v>
      </c>
      <c r="K681" s="88">
        <f t="shared" si="25"/>
        <v>24</v>
      </c>
      <c r="L681" s="11" t="s">
        <v>2704</v>
      </c>
      <c r="M681" s="11" t="s">
        <v>20</v>
      </c>
      <c r="N681" s="92" t="s">
        <v>21</v>
      </c>
    </row>
    <row r="682" spans="1:14" x14ac:dyDescent="0.35">
      <c r="A682" s="94" t="s">
        <v>2705</v>
      </c>
      <c r="B682" s="15" t="s">
        <v>13</v>
      </c>
      <c r="C682" s="16" t="s">
        <v>2706</v>
      </c>
      <c r="D682" s="16" t="s">
        <v>78</v>
      </c>
      <c r="E682" s="17" t="s">
        <v>178</v>
      </c>
      <c r="F682" s="15">
        <f>+YEAR(Tabla2[[#This Row],[Cosecha]])</f>
        <v>2024</v>
      </c>
      <c r="G682" s="16" t="s">
        <v>62</v>
      </c>
      <c r="H682" s="95">
        <f t="shared" si="24"/>
        <v>8</v>
      </c>
      <c r="I682" s="15" t="s">
        <v>18</v>
      </c>
      <c r="J682" s="16" t="s">
        <v>97</v>
      </c>
      <c r="K682" s="88">
        <f t="shared" si="25"/>
        <v>9</v>
      </c>
      <c r="L682" s="16" t="s">
        <v>2707</v>
      </c>
      <c r="M682" s="16" t="s">
        <v>39</v>
      </c>
      <c r="N682" s="96" t="s">
        <v>21</v>
      </c>
    </row>
    <row r="683" spans="1:14" x14ac:dyDescent="0.35">
      <c r="A683" s="90" t="s">
        <v>2711</v>
      </c>
      <c r="B683" s="10" t="s">
        <v>13</v>
      </c>
      <c r="C683" s="11" t="s">
        <v>2712</v>
      </c>
      <c r="D683" s="11" t="s">
        <v>15</v>
      </c>
      <c r="E683" s="12" t="s">
        <v>62</v>
      </c>
      <c r="F683" s="10">
        <f>+YEAR(Tabla2[[#This Row],[Cosecha]])</f>
        <v>2025</v>
      </c>
      <c r="G683" s="11" t="s">
        <v>37</v>
      </c>
      <c r="H683" s="91">
        <f t="shared" si="24"/>
        <v>4</v>
      </c>
      <c r="I683" s="10" t="s">
        <v>18</v>
      </c>
      <c r="J683" s="11" t="s">
        <v>36</v>
      </c>
      <c r="K683" s="88">
        <f t="shared" si="25"/>
        <v>3</v>
      </c>
      <c r="L683" s="11" t="s">
        <v>2713</v>
      </c>
      <c r="M683" s="11" t="s">
        <v>25</v>
      </c>
      <c r="N683" s="92" t="s">
        <v>21</v>
      </c>
    </row>
    <row r="684" spans="1:14" x14ac:dyDescent="0.35">
      <c r="A684" s="94" t="s">
        <v>2714</v>
      </c>
      <c r="B684" s="15" t="s">
        <v>13</v>
      </c>
      <c r="C684" s="16" t="s">
        <v>2715</v>
      </c>
      <c r="D684" s="16" t="s">
        <v>34</v>
      </c>
      <c r="E684" s="17" t="s">
        <v>133</v>
      </c>
      <c r="F684" s="15">
        <f>+YEAR(Tabla2[[#This Row],[Cosecha]])</f>
        <v>2025</v>
      </c>
      <c r="G684" s="16" t="s">
        <v>113</v>
      </c>
      <c r="H684" s="95">
        <f t="shared" si="24"/>
        <v>8</v>
      </c>
      <c r="I684" s="15" t="s">
        <v>18</v>
      </c>
      <c r="J684" s="16" t="s">
        <v>23</v>
      </c>
      <c r="K684" s="88">
        <f t="shared" si="25"/>
        <v>9</v>
      </c>
      <c r="L684" s="16" t="s">
        <v>2716</v>
      </c>
      <c r="M684" s="16" t="s">
        <v>25</v>
      </c>
      <c r="N684" s="96" t="s">
        <v>21</v>
      </c>
    </row>
    <row r="685" spans="1:14" x14ac:dyDescent="0.35">
      <c r="A685" s="90" t="s">
        <v>2720</v>
      </c>
      <c r="B685" s="10" t="s">
        <v>13</v>
      </c>
      <c r="C685" s="11" t="s">
        <v>2721</v>
      </c>
      <c r="D685" s="11" t="s">
        <v>34</v>
      </c>
      <c r="E685" s="12" t="s">
        <v>62</v>
      </c>
      <c r="F685" s="10">
        <f>+YEAR(Tabla2[[#This Row],[Cosecha]])</f>
        <v>2025</v>
      </c>
      <c r="G685" s="11" t="s">
        <v>30</v>
      </c>
      <c r="H685" s="91">
        <f t="shared" si="24"/>
        <v>8</v>
      </c>
      <c r="I685" s="10" t="s">
        <v>18</v>
      </c>
      <c r="J685" s="11" t="s">
        <v>30</v>
      </c>
      <c r="K685" s="88">
        <f t="shared" si="25"/>
        <v>8</v>
      </c>
      <c r="L685" s="11" t="s">
        <v>2722</v>
      </c>
      <c r="M685" s="11" t="s">
        <v>115</v>
      </c>
      <c r="N685" s="92" t="s">
        <v>21</v>
      </c>
    </row>
    <row r="686" spans="1:14" x14ac:dyDescent="0.35">
      <c r="A686" s="94" t="s">
        <v>2723</v>
      </c>
      <c r="B686" s="15" t="s">
        <v>13</v>
      </c>
      <c r="C686" s="16" t="s">
        <v>2724</v>
      </c>
      <c r="D686" s="16" t="s">
        <v>34</v>
      </c>
      <c r="E686" s="17" t="s">
        <v>497</v>
      </c>
      <c r="F686" s="15">
        <f>+YEAR(Tabla2[[#This Row],[Cosecha]])</f>
        <v>2024</v>
      </c>
      <c r="G686" s="16" t="s">
        <v>52</v>
      </c>
      <c r="H686" s="95">
        <f t="shared" si="24"/>
        <v>18</v>
      </c>
      <c r="I686" s="15" t="s">
        <v>18</v>
      </c>
      <c r="J686" s="16" t="s">
        <v>52</v>
      </c>
      <c r="K686" s="88">
        <f t="shared" si="25"/>
        <v>18</v>
      </c>
      <c r="L686" s="16" t="s">
        <v>2725</v>
      </c>
      <c r="M686" s="16" t="s">
        <v>130</v>
      </c>
      <c r="N686" s="96" t="s">
        <v>21</v>
      </c>
    </row>
    <row r="687" spans="1:14" x14ac:dyDescent="0.35">
      <c r="A687" s="90" t="s">
        <v>2726</v>
      </c>
      <c r="B687" s="10" t="s">
        <v>13</v>
      </c>
      <c r="C687" s="11" t="s">
        <v>2727</v>
      </c>
      <c r="D687" s="11" t="s">
        <v>34</v>
      </c>
      <c r="E687" s="12" t="s">
        <v>35</v>
      </c>
      <c r="F687" s="10">
        <f>+YEAR(Tabla2[[#This Row],[Cosecha]])</f>
        <v>2024</v>
      </c>
      <c r="G687" s="11" t="s">
        <v>47</v>
      </c>
      <c r="H687" s="91">
        <f t="shared" si="24"/>
        <v>5</v>
      </c>
      <c r="I687" s="10" t="s">
        <v>18</v>
      </c>
      <c r="J687" s="11" t="s">
        <v>47</v>
      </c>
      <c r="K687" s="88">
        <f t="shared" si="25"/>
        <v>5</v>
      </c>
      <c r="L687" s="11" t="s">
        <v>2728</v>
      </c>
      <c r="M687" s="11" t="s">
        <v>130</v>
      </c>
      <c r="N687" s="92" t="s">
        <v>21</v>
      </c>
    </row>
    <row r="688" spans="1:14" x14ac:dyDescent="0.35">
      <c r="A688" s="94" t="s">
        <v>2729</v>
      </c>
      <c r="B688" s="15" t="s">
        <v>13</v>
      </c>
      <c r="C688" s="16" t="s">
        <v>2730</v>
      </c>
      <c r="D688" s="16" t="s">
        <v>34</v>
      </c>
      <c r="E688" s="17" t="s">
        <v>497</v>
      </c>
      <c r="F688" s="15">
        <f>+YEAR(Tabla2[[#This Row],[Cosecha]])</f>
        <v>2024</v>
      </c>
      <c r="G688" s="16" t="s">
        <v>29</v>
      </c>
      <c r="H688" s="95">
        <f t="shared" si="24"/>
        <v>10</v>
      </c>
      <c r="I688" s="15" t="s">
        <v>18</v>
      </c>
      <c r="J688" s="16" t="s">
        <v>29</v>
      </c>
      <c r="K688" s="88">
        <f t="shared" si="25"/>
        <v>10</v>
      </c>
      <c r="L688" s="16" t="s">
        <v>2731</v>
      </c>
      <c r="M688" s="16" t="s">
        <v>130</v>
      </c>
      <c r="N688" s="96" t="s">
        <v>26</v>
      </c>
    </row>
    <row r="689" spans="1:14" x14ac:dyDescent="0.35">
      <c r="A689" s="90" t="s">
        <v>2732</v>
      </c>
      <c r="B689" s="10" t="s">
        <v>13</v>
      </c>
      <c r="C689" s="11" t="s">
        <v>2733</v>
      </c>
      <c r="D689" s="11" t="s">
        <v>34</v>
      </c>
      <c r="E689" s="12" t="s">
        <v>252</v>
      </c>
      <c r="F689" s="10">
        <f>+YEAR(Tabla2[[#This Row],[Cosecha]])</f>
        <v>2024</v>
      </c>
      <c r="G689" s="11" t="s">
        <v>113</v>
      </c>
      <c r="H689" s="91">
        <f t="shared" si="24"/>
        <v>17</v>
      </c>
      <c r="I689" s="10" t="s">
        <v>18</v>
      </c>
      <c r="J689" s="11" t="s">
        <v>23</v>
      </c>
      <c r="K689" s="88">
        <f t="shared" si="25"/>
        <v>18</v>
      </c>
      <c r="L689" s="11" t="s">
        <v>2734</v>
      </c>
      <c r="M689" s="11" t="s">
        <v>130</v>
      </c>
      <c r="N689" s="92" t="s">
        <v>21</v>
      </c>
    </row>
    <row r="690" spans="1:14" x14ac:dyDescent="0.35">
      <c r="A690" s="94" t="s">
        <v>2735</v>
      </c>
      <c r="B690" s="15" t="s">
        <v>13</v>
      </c>
      <c r="C690" s="16" t="s">
        <v>2736</v>
      </c>
      <c r="D690" s="16" t="s">
        <v>34</v>
      </c>
      <c r="E690" s="17" t="s">
        <v>66</v>
      </c>
      <c r="F690" s="15">
        <f>+YEAR(Tabla2[[#This Row],[Cosecha]])</f>
        <v>2025</v>
      </c>
      <c r="G690" s="16" t="s">
        <v>133</v>
      </c>
      <c r="H690" s="95">
        <f t="shared" si="24"/>
        <v>3</v>
      </c>
      <c r="I690" s="15" t="s">
        <v>18</v>
      </c>
      <c r="J690" s="16" t="s">
        <v>104</v>
      </c>
      <c r="K690" s="88">
        <f t="shared" si="25"/>
        <v>4</v>
      </c>
      <c r="L690" s="16" t="s">
        <v>237</v>
      </c>
      <c r="M690" s="16" t="s">
        <v>44</v>
      </c>
      <c r="N690" s="96" t="s">
        <v>26</v>
      </c>
    </row>
    <row r="691" spans="1:14" x14ac:dyDescent="0.35">
      <c r="A691" s="90" t="s">
        <v>2737</v>
      </c>
      <c r="B691" s="10" t="s">
        <v>13</v>
      </c>
      <c r="C691" s="11" t="s">
        <v>2738</v>
      </c>
      <c r="D691" s="11" t="s">
        <v>34</v>
      </c>
      <c r="E691" s="12" t="s">
        <v>62</v>
      </c>
      <c r="F691" s="10">
        <f>+YEAR(Tabla2[[#This Row],[Cosecha]])</f>
        <v>2025</v>
      </c>
      <c r="G691" s="11" t="s">
        <v>30</v>
      </c>
      <c r="H691" s="91">
        <f t="shared" si="24"/>
        <v>8</v>
      </c>
      <c r="I691" s="10" t="s">
        <v>18</v>
      </c>
      <c r="J691" s="11" t="s">
        <v>30</v>
      </c>
      <c r="K691" s="88">
        <f t="shared" si="25"/>
        <v>8</v>
      </c>
      <c r="L691" s="11" t="s">
        <v>2739</v>
      </c>
      <c r="M691" s="11" t="s">
        <v>44</v>
      </c>
      <c r="N691" s="92" t="s">
        <v>26</v>
      </c>
    </row>
    <row r="692" spans="1:14" x14ac:dyDescent="0.35">
      <c r="A692" s="94" t="s">
        <v>2740</v>
      </c>
      <c r="B692" s="15" t="s">
        <v>13</v>
      </c>
      <c r="C692" s="16" t="s">
        <v>2741</v>
      </c>
      <c r="D692" s="16" t="s">
        <v>34</v>
      </c>
      <c r="E692" s="17" t="s">
        <v>97</v>
      </c>
      <c r="F692" s="15">
        <f>+YEAR(Tabla2[[#This Row],[Cosecha]])</f>
        <v>2025</v>
      </c>
      <c r="G692" s="16" t="s">
        <v>30</v>
      </c>
      <c r="H692" s="95">
        <f t="shared" si="24"/>
        <v>7</v>
      </c>
      <c r="I692" s="15" t="s">
        <v>18</v>
      </c>
      <c r="J692" s="16" t="s">
        <v>30</v>
      </c>
      <c r="K692" s="88">
        <f t="shared" si="25"/>
        <v>7</v>
      </c>
      <c r="L692" s="16" t="s">
        <v>2742</v>
      </c>
      <c r="M692" s="16" t="s">
        <v>115</v>
      </c>
      <c r="N692" s="96" t="s">
        <v>26</v>
      </c>
    </row>
    <row r="693" spans="1:14" x14ac:dyDescent="0.35">
      <c r="A693" s="90" t="s">
        <v>2743</v>
      </c>
      <c r="B693" s="10" t="s">
        <v>13</v>
      </c>
      <c r="C693" s="11" t="s">
        <v>2744</v>
      </c>
      <c r="D693" s="11" t="s">
        <v>34</v>
      </c>
      <c r="E693" s="12" t="s">
        <v>35</v>
      </c>
      <c r="F693" s="10">
        <f>+YEAR(Tabla2[[#This Row],[Cosecha]])</f>
        <v>2024</v>
      </c>
      <c r="G693" s="11" t="s">
        <v>133</v>
      </c>
      <c r="H693" s="91">
        <f t="shared" si="24"/>
        <v>6</v>
      </c>
      <c r="I693" s="10" t="s">
        <v>18</v>
      </c>
      <c r="J693" s="11" t="s">
        <v>104</v>
      </c>
      <c r="K693" s="88">
        <f t="shared" si="25"/>
        <v>7</v>
      </c>
      <c r="L693" s="11" t="s">
        <v>2745</v>
      </c>
      <c r="M693" s="11" t="s">
        <v>130</v>
      </c>
      <c r="N693" s="92" t="s">
        <v>26</v>
      </c>
    </row>
    <row r="694" spans="1:14" x14ac:dyDescent="0.35">
      <c r="A694" s="94" t="s">
        <v>2746</v>
      </c>
      <c r="B694" s="15" t="s">
        <v>13</v>
      </c>
      <c r="C694" s="16" t="s">
        <v>2747</v>
      </c>
      <c r="D694" s="16" t="s">
        <v>34</v>
      </c>
      <c r="E694" s="17" t="s">
        <v>133</v>
      </c>
      <c r="F694" s="15">
        <f>+YEAR(Tabla2[[#This Row],[Cosecha]])</f>
        <v>2025</v>
      </c>
      <c r="G694" s="16" t="s">
        <v>30</v>
      </c>
      <c r="H694" s="95">
        <f t="shared" si="24"/>
        <v>11</v>
      </c>
      <c r="I694" s="15" t="s">
        <v>18</v>
      </c>
      <c r="J694" s="16" t="s">
        <v>17</v>
      </c>
      <c r="K694" s="88">
        <f t="shared" si="25"/>
        <v>12</v>
      </c>
      <c r="L694" s="16" t="s">
        <v>2748</v>
      </c>
      <c r="M694" s="16" t="s">
        <v>115</v>
      </c>
      <c r="N694" s="96" t="s">
        <v>21</v>
      </c>
    </row>
    <row r="695" spans="1:14" x14ac:dyDescent="0.35">
      <c r="A695" s="90" t="s">
        <v>2749</v>
      </c>
      <c r="B695" s="10" t="s">
        <v>85</v>
      </c>
      <c r="C695" s="11" t="s">
        <v>2750</v>
      </c>
      <c r="D695" s="11" t="s">
        <v>34</v>
      </c>
      <c r="E695" s="12" t="s">
        <v>104</v>
      </c>
      <c r="F695" s="10">
        <f>+YEAR(Tabla2[[#This Row],[Cosecha]])</f>
        <v>2025</v>
      </c>
      <c r="G695" s="11" t="s">
        <v>36</v>
      </c>
      <c r="H695" s="91">
        <f t="shared" si="24"/>
        <v>5</v>
      </c>
      <c r="I695" s="10" t="s">
        <v>18</v>
      </c>
      <c r="J695" s="11" t="s">
        <v>36</v>
      </c>
      <c r="K695" s="88">
        <f t="shared" si="25"/>
        <v>5</v>
      </c>
      <c r="L695" s="11" t="s">
        <v>923</v>
      </c>
      <c r="M695" s="11" t="s">
        <v>130</v>
      </c>
      <c r="N695" s="92" t="s">
        <v>21</v>
      </c>
    </row>
    <row r="696" spans="1:14" x14ac:dyDescent="0.35">
      <c r="A696" s="94" t="s">
        <v>2754</v>
      </c>
      <c r="B696" s="15" t="s">
        <v>13</v>
      </c>
      <c r="C696" s="16" t="s">
        <v>2755</v>
      </c>
      <c r="D696" s="16" t="s">
        <v>34</v>
      </c>
      <c r="E696" s="17" t="s">
        <v>302</v>
      </c>
      <c r="F696" s="15">
        <f>+YEAR(Tabla2[[#This Row],[Cosecha]])</f>
        <v>2023</v>
      </c>
      <c r="G696" s="16" t="s">
        <v>133</v>
      </c>
      <c r="H696" s="95">
        <f t="shared" si="24"/>
        <v>18</v>
      </c>
      <c r="I696" s="15" t="s">
        <v>18</v>
      </c>
      <c r="J696" s="16" t="s">
        <v>133</v>
      </c>
      <c r="K696" s="88">
        <f t="shared" si="25"/>
        <v>18</v>
      </c>
      <c r="L696" s="16" t="s">
        <v>2756</v>
      </c>
      <c r="M696" s="16" t="s">
        <v>241</v>
      </c>
      <c r="N696" s="96" t="s">
        <v>21</v>
      </c>
    </row>
    <row r="697" spans="1:14" x14ac:dyDescent="0.35">
      <c r="A697" s="90" t="s">
        <v>2757</v>
      </c>
      <c r="B697" s="10" t="s">
        <v>13</v>
      </c>
      <c r="C697" s="11" t="s">
        <v>2758</v>
      </c>
      <c r="D697" s="11" t="s">
        <v>78</v>
      </c>
      <c r="E697" s="12" t="s">
        <v>36</v>
      </c>
      <c r="F697" s="10">
        <f>+YEAR(Tabla2[[#This Row],[Cosecha]])</f>
        <v>2025</v>
      </c>
      <c r="G697" s="11" t="s">
        <v>52</v>
      </c>
      <c r="H697" s="91">
        <f t="shared" si="24"/>
        <v>4</v>
      </c>
      <c r="I697" s="10" t="s">
        <v>18</v>
      </c>
      <c r="J697" s="11" t="s">
        <v>30</v>
      </c>
      <c r="K697" s="88">
        <f t="shared" si="25"/>
        <v>5</v>
      </c>
      <c r="L697" s="11" t="s">
        <v>2759</v>
      </c>
      <c r="M697" s="11" t="s">
        <v>25</v>
      </c>
      <c r="N697" s="92" t="s">
        <v>26</v>
      </c>
    </row>
    <row r="698" spans="1:14" x14ac:dyDescent="0.35">
      <c r="A698" s="94" t="s">
        <v>2766</v>
      </c>
      <c r="B698" s="15" t="s">
        <v>13</v>
      </c>
      <c r="C698" s="16" t="s">
        <v>2767</v>
      </c>
      <c r="D698" s="16" t="s">
        <v>34</v>
      </c>
      <c r="E698" s="17" t="s">
        <v>97</v>
      </c>
      <c r="F698" s="15">
        <f>+YEAR(Tabla2[[#This Row],[Cosecha]])</f>
        <v>2025</v>
      </c>
      <c r="G698" s="16" t="s">
        <v>36</v>
      </c>
      <c r="H698" s="95">
        <f t="shared" si="24"/>
        <v>2</v>
      </c>
      <c r="I698" s="15" t="s">
        <v>18</v>
      </c>
      <c r="J698" s="16" t="s">
        <v>36</v>
      </c>
      <c r="K698" s="88">
        <f t="shared" si="25"/>
        <v>2</v>
      </c>
      <c r="L698" s="16" t="s">
        <v>2768</v>
      </c>
      <c r="M698" s="16" t="s">
        <v>44</v>
      </c>
      <c r="N698" s="96" t="s">
        <v>21</v>
      </c>
    </row>
    <row r="699" spans="1:14" x14ac:dyDescent="0.35">
      <c r="A699" s="90" t="s">
        <v>2769</v>
      </c>
      <c r="B699" s="10" t="s">
        <v>13</v>
      </c>
      <c r="C699" s="11" t="s">
        <v>2770</v>
      </c>
      <c r="D699" s="11" t="s">
        <v>34</v>
      </c>
      <c r="E699" s="12" t="s">
        <v>104</v>
      </c>
      <c r="F699" s="10">
        <f>+YEAR(Tabla2[[#This Row],[Cosecha]])</f>
        <v>2025</v>
      </c>
      <c r="G699" s="11" t="s">
        <v>62</v>
      </c>
      <c r="H699" s="91">
        <f t="shared" si="24"/>
        <v>2</v>
      </c>
      <c r="I699" s="10" t="s">
        <v>18</v>
      </c>
      <c r="J699" s="11" t="s">
        <v>97</v>
      </c>
      <c r="K699" s="88">
        <f t="shared" si="25"/>
        <v>3</v>
      </c>
      <c r="L699" s="11" t="s">
        <v>2771</v>
      </c>
      <c r="M699" s="11" t="s">
        <v>130</v>
      </c>
      <c r="N699" s="92" t="s">
        <v>21</v>
      </c>
    </row>
    <row r="700" spans="1:14" x14ac:dyDescent="0.35">
      <c r="A700" s="94" t="s">
        <v>2772</v>
      </c>
      <c r="B700" s="15" t="s">
        <v>13</v>
      </c>
      <c r="C700" s="16" t="s">
        <v>2773</v>
      </c>
      <c r="D700" s="16" t="s">
        <v>34</v>
      </c>
      <c r="E700" s="17" t="s">
        <v>37</v>
      </c>
      <c r="F700" s="15">
        <f>+YEAR(Tabla2[[#This Row],[Cosecha]])</f>
        <v>2025</v>
      </c>
      <c r="G700" s="16" t="s">
        <v>17</v>
      </c>
      <c r="H700" s="95">
        <f t="shared" si="24"/>
        <v>5</v>
      </c>
      <c r="I700" s="15" t="s">
        <v>18</v>
      </c>
      <c r="J700" s="16" t="s">
        <v>70</v>
      </c>
      <c r="K700" s="88">
        <f t="shared" si="25"/>
        <v>6</v>
      </c>
      <c r="L700" s="16" t="s">
        <v>2774</v>
      </c>
      <c r="M700" s="16" t="s">
        <v>72</v>
      </c>
      <c r="N700" s="96" t="s">
        <v>21</v>
      </c>
    </row>
    <row r="701" spans="1:14" x14ac:dyDescent="0.35">
      <c r="A701" s="90" t="s">
        <v>2775</v>
      </c>
      <c r="B701" s="10" t="s">
        <v>13</v>
      </c>
      <c r="C701" s="11" t="s">
        <v>2776</v>
      </c>
      <c r="D701" s="11" t="s">
        <v>34</v>
      </c>
      <c r="E701" s="12" t="s">
        <v>66</v>
      </c>
      <c r="F701" s="10">
        <f>+YEAR(Tabla2[[#This Row],[Cosecha]])</f>
        <v>2025</v>
      </c>
      <c r="G701" s="11" t="s">
        <v>104</v>
      </c>
      <c r="H701" s="91">
        <f t="shared" si="24"/>
        <v>4</v>
      </c>
      <c r="I701" s="10" t="s">
        <v>18</v>
      </c>
      <c r="J701" s="11" t="s">
        <v>29</v>
      </c>
      <c r="K701" s="88">
        <f t="shared" si="25"/>
        <v>5</v>
      </c>
      <c r="L701" s="11" t="s">
        <v>2777</v>
      </c>
      <c r="M701" s="11" t="s">
        <v>130</v>
      </c>
      <c r="N701" s="92" t="s">
        <v>21</v>
      </c>
    </row>
    <row r="702" spans="1:14" x14ac:dyDescent="0.35">
      <c r="A702" s="94" t="s">
        <v>2778</v>
      </c>
      <c r="B702" s="15" t="s">
        <v>13</v>
      </c>
      <c r="C702" s="16" t="s">
        <v>2779</v>
      </c>
      <c r="D702" s="16" t="s">
        <v>34</v>
      </c>
      <c r="E702" s="17" t="s">
        <v>275</v>
      </c>
      <c r="F702" s="15">
        <f>+YEAR(Tabla2[[#This Row],[Cosecha]])</f>
        <v>2024</v>
      </c>
      <c r="G702" s="16" t="s">
        <v>66</v>
      </c>
      <c r="H702" s="95">
        <f t="shared" si="24"/>
        <v>10</v>
      </c>
      <c r="I702" s="15" t="s">
        <v>18</v>
      </c>
      <c r="J702" s="16" t="s">
        <v>66</v>
      </c>
      <c r="K702" s="88">
        <f t="shared" si="25"/>
        <v>10</v>
      </c>
      <c r="L702" s="16" t="s">
        <v>2203</v>
      </c>
      <c r="M702" s="16" t="s">
        <v>25</v>
      </c>
      <c r="N702" s="96" t="s">
        <v>21</v>
      </c>
    </row>
    <row r="703" spans="1:14" x14ac:dyDescent="0.35">
      <c r="A703" s="90" t="s">
        <v>2780</v>
      </c>
      <c r="B703" s="10" t="s">
        <v>13</v>
      </c>
      <c r="C703" s="11" t="s">
        <v>2781</v>
      </c>
      <c r="D703" s="11" t="s">
        <v>34</v>
      </c>
      <c r="E703" s="12" t="s">
        <v>546</v>
      </c>
      <c r="F703" s="10">
        <f>+YEAR(Tabla2[[#This Row],[Cosecha]])</f>
        <v>2023</v>
      </c>
      <c r="G703" s="11" t="s">
        <v>52</v>
      </c>
      <c r="H703" s="91">
        <f t="shared" si="24"/>
        <v>31</v>
      </c>
      <c r="I703" s="10" t="s">
        <v>18</v>
      </c>
      <c r="J703" s="11" t="s">
        <v>52</v>
      </c>
      <c r="K703" s="88">
        <f t="shared" si="25"/>
        <v>31</v>
      </c>
      <c r="L703" s="11" t="s">
        <v>2782</v>
      </c>
      <c r="M703" s="11" t="s">
        <v>20</v>
      </c>
      <c r="N703" s="92" t="s">
        <v>21</v>
      </c>
    </row>
    <row r="704" spans="1:14" x14ac:dyDescent="0.35">
      <c r="A704" s="94" t="s">
        <v>2783</v>
      </c>
      <c r="B704" s="15" t="s">
        <v>13</v>
      </c>
      <c r="C704" s="16" t="s">
        <v>2784</v>
      </c>
      <c r="D704" s="16" t="s">
        <v>90</v>
      </c>
      <c r="E704" s="17" t="s">
        <v>29</v>
      </c>
      <c r="F704" s="15">
        <f>+YEAR(Tabla2[[#This Row],[Cosecha]])</f>
        <v>2025</v>
      </c>
      <c r="G704" s="16" t="s">
        <v>52</v>
      </c>
      <c r="H704" s="95">
        <f t="shared" si="24"/>
        <v>8</v>
      </c>
      <c r="I704" s="15" t="s">
        <v>18</v>
      </c>
      <c r="J704" s="16" t="s">
        <v>30</v>
      </c>
      <c r="K704" s="88">
        <f t="shared" si="25"/>
        <v>9</v>
      </c>
      <c r="L704" s="16" t="s">
        <v>2785</v>
      </c>
      <c r="M704" s="16" t="s">
        <v>25</v>
      </c>
      <c r="N704" s="96" t="s">
        <v>21</v>
      </c>
    </row>
    <row r="705" spans="1:14" x14ac:dyDescent="0.35">
      <c r="A705" s="90" t="s">
        <v>2786</v>
      </c>
      <c r="B705" s="10" t="s">
        <v>13</v>
      </c>
      <c r="C705" s="11" t="s">
        <v>2787</v>
      </c>
      <c r="D705" s="11" t="s">
        <v>34</v>
      </c>
      <c r="E705" s="12" t="s">
        <v>118</v>
      </c>
      <c r="F705" s="10">
        <f>+YEAR(Tabla2[[#This Row],[Cosecha]])</f>
        <v>2025</v>
      </c>
      <c r="G705" s="11" t="s">
        <v>113</v>
      </c>
      <c r="H705" s="91">
        <f t="shared" si="24"/>
        <v>3</v>
      </c>
      <c r="I705" s="10" t="s">
        <v>18</v>
      </c>
      <c r="J705" s="11" t="s">
        <v>23</v>
      </c>
      <c r="K705" s="88">
        <f t="shared" si="25"/>
        <v>4</v>
      </c>
      <c r="L705" s="11" t="s">
        <v>2664</v>
      </c>
      <c r="M705" s="11" t="s">
        <v>130</v>
      </c>
      <c r="N705" s="92" t="s">
        <v>21</v>
      </c>
    </row>
    <row r="706" spans="1:14" x14ac:dyDescent="0.35">
      <c r="A706" s="94" t="s">
        <v>2794</v>
      </c>
      <c r="B706" s="15" t="s">
        <v>13</v>
      </c>
      <c r="C706" s="16" t="s">
        <v>2795</v>
      </c>
      <c r="D706" s="16" t="s">
        <v>34</v>
      </c>
      <c r="E706" s="17" t="s">
        <v>29</v>
      </c>
      <c r="F706" s="15">
        <f>+YEAR(Tabla2[[#This Row],[Cosecha]])</f>
        <v>2025</v>
      </c>
      <c r="G706" s="16" t="s">
        <v>70</v>
      </c>
      <c r="H706" s="95">
        <f t="shared" ref="H706:H769" si="26">(YEAR(G706)-YEAR(E706))*12+(MONTH(G706)-MONTH(E706))</f>
        <v>11</v>
      </c>
      <c r="I706" s="15" t="s">
        <v>18</v>
      </c>
      <c r="J706" s="16" t="s">
        <v>70</v>
      </c>
      <c r="K706" s="88">
        <f t="shared" ref="K706:K769" si="27">(YEAR(J706)-YEAR(E706))*12+(MONTH(J706)-MONTH(E706))</f>
        <v>11</v>
      </c>
      <c r="L706" s="16" t="s">
        <v>2796</v>
      </c>
      <c r="M706" s="16" t="s">
        <v>115</v>
      </c>
      <c r="N706" s="96" t="s">
        <v>26</v>
      </c>
    </row>
    <row r="707" spans="1:14" x14ac:dyDescent="0.35">
      <c r="A707" s="90" t="s">
        <v>2797</v>
      </c>
      <c r="B707" s="10" t="s">
        <v>13</v>
      </c>
      <c r="C707" s="11" t="s">
        <v>2798</v>
      </c>
      <c r="D707" s="11" t="s">
        <v>34</v>
      </c>
      <c r="E707" s="12" t="s">
        <v>62</v>
      </c>
      <c r="F707" s="10">
        <f>+YEAR(Tabla2[[#This Row],[Cosecha]])</f>
        <v>2025</v>
      </c>
      <c r="G707" s="11" t="s">
        <v>70</v>
      </c>
      <c r="H707" s="91">
        <f t="shared" si="26"/>
        <v>10</v>
      </c>
      <c r="I707" s="10" t="s">
        <v>18</v>
      </c>
      <c r="J707" s="11" t="s">
        <v>70</v>
      </c>
      <c r="K707" s="88">
        <f t="shared" si="27"/>
        <v>10</v>
      </c>
      <c r="L707" s="11" t="s">
        <v>2799</v>
      </c>
      <c r="M707" s="11" t="s">
        <v>115</v>
      </c>
      <c r="N707" s="92" t="s">
        <v>21</v>
      </c>
    </row>
    <row r="708" spans="1:14" x14ac:dyDescent="0.35">
      <c r="A708" s="94" t="s">
        <v>2800</v>
      </c>
      <c r="B708" s="15" t="s">
        <v>13</v>
      </c>
      <c r="C708" s="16" t="s">
        <v>2801</v>
      </c>
      <c r="D708" s="16" t="s">
        <v>34</v>
      </c>
      <c r="E708" s="17" t="s">
        <v>82</v>
      </c>
      <c r="F708" s="15">
        <f>+YEAR(Tabla2[[#This Row],[Cosecha]])</f>
        <v>2024</v>
      </c>
      <c r="G708" s="16" t="s">
        <v>30</v>
      </c>
      <c r="H708" s="95">
        <f t="shared" si="26"/>
        <v>15</v>
      </c>
      <c r="I708" s="15" t="s">
        <v>18</v>
      </c>
      <c r="J708" s="16" t="s">
        <v>30</v>
      </c>
      <c r="K708" s="88">
        <f t="shared" si="27"/>
        <v>15</v>
      </c>
      <c r="L708" s="16" t="s">
        <v>2802</v>
      </c>
      <c r="M708" s="16" t="s">
        <v>130</v>
      </c>
      <c r="N708" s="96" t="s">
        <v>21</v>
      </c>
    </row>
    <row r="709" spans="1:14" x14ac:dyDescent="0.35">
      <c r="A709" s="90" t="s">
        <v>2803</v>
      </c>
      <c r="B709" s="10" t="s">
        <v>13</v>
      </c>
      <c r="C709" s="11" t="s">
        <v>2804</v>
      </c>
      <c r="D709" s="11" t="s">
        <v>34</v>
      </c>
      <c r="E709" s="12" t="s">
        <v>178</v>
      </c>
      <c r="F709" s="10">
        <f>+YEAR(Tabla2[[#This Row],[Cosecha]])</f>
        <v>2024</v>
      </c>
      <c r="G709" s="11" t="s">
        <v>17</v>
      </c>
      <c r="H709" s="91">
        <f t="shared" si="26"/>
        <v>17</v>
      </c>
      <c r="I709" s="10" t="s">
        <v>18</v>
      </c>
      <c r="J709" s="11" t="s">
        <v>17</v>
      </c>
      <c r="K709" s="88">
        <f t="shared" si="27"/>
        <v>17</v>
      </c>
      <c r="L709" s="11" t="s">
        <v>2805</v>
      </c>
      <c r="M709" s="11" t="s">
        <v>39</v>
      </c>
      <c r="N709" s="92" t="s">
        <v>21</v>
      </c>
    </row>
    <row r="710" spans="1:14" x14ac:dyDescent="0.35">
      <c r="A710" s="94" t="s">
        <v>2806</v>
      </c>
      <c r="B710" s="15" t="s">
        <v>13</v>
      </c>
      <c r="C710" s="16" t="s">
        <v>2807</v>
      </c>
      <c r="D710" s="16" t="s">
        <v>34</v>
      </c>
      <c r="E710" s="17" t="s">
        <v>1296</v>
      </c>
      <c r="F710" s="15">
        <f>+YEAR(Tabla2[[#This Row],[Cosecha]])</f>
        <v>2023</v>
      </c>
      <c r="G710" s="16" t="s">
        <v>29</v>
      </c>
      <c r="H710" s="95">
        <f t="shared" si="26"/>
        <v>25</v>
      </c>
      <c r="I710" s="15" t="s">
        <v>18</v>
      </c>
      <c r="J710" s="16" t="s">
        <v>29</v>
      </c>
      <c r="K710" s="88">
        <f t="shared" si="27"/>
        <v>25</v>
      </c>
      <c r="L710" s="16" t="s">
        <v>2808</v>
      </c>
      <c r="M710" s="16" t="s">
        <v>130</v>
      </c>
      <c r="N710" s="96" t="s">
        <v>21</v>
      </c>
    </row>
    <row r="711" spans="1:14" x14ac:dyDescent="0.35">
      <c r="A711" s="90" t="s">
        <v>2809</v>
      </c>
      <c r="B711" s="10" t="s">
        <v>85</v>
      </c>
      <c r="C711" s="11" t="s">
        <v>2810</v>
      </c>
      <c r="D711" s="11" t="s">
        <v>34</v>
      </c>
      <c r="E711" s="12" t="s">
        <v>149</v>
      </c>
      <c r="F711" s="10">
        <f>+YEAR(Tabla2[[#This Row],[Cosecha]])</f>
        <v>2024</v>
      </c>
      <c r="G711" s="11" t="s">
        <v>104</v>
      </c>
      <c r="H711" s="91">
        <f t="shared" si="26"/>
        <v>8</v>
      </c>
      <c r="I711" s="10" t="s">
        <v>18</v>
      </c>
      <c r="J711" s="11" t="s">
        <v>104</v>
      </c>
      <c r="K711" s="88">
        <f t="shared" si="27"/>
        <v>8</v>
      </c>
      <c r="L711" s="11" t="s">
        <v>2811</v>
      </c>
      <c r="M711" s="11" t="s">
        <v>241</v>
      </c>
      <c r="N711" s="92" t="s">
        <v>21</v>
      </c>
    </row>
    <row r="712" spans="1:14" x14ac:dyDescent="0.35">
      <c r="A712" s="94" t="s">
        <v>2812</v>
      </c>
      <c r="B712" s="15" t="s">
        <v>13</v>
      </c>
      <c r="C712" s="16" t="s">
        <v>2813</v>
      </c>
      <c r="D712" s="16" t="s">
        <v>15</v>
      </c>
      <c r="E712" s="17" t="s">
        <v>165</v>
      </c>
      <c r="F712" s="15">
        <f>+YEAR(Tabla2[[#This Row],[Cosecha]])</f>
        <v>2024</v>
      </c>
      <c r="G712" s="16" t="s">
        <v>118</v>
      </c>
      <c r="H712" s="95">
        <f t="shared" si="26"/>
        <v>19</v>
      </c>
      <c r="I712" s="15" t="s">
        <v>18</v>
      </c>
      <c r="J712" s="16" t="s">
        <v>36</v>
      </c>
      <c r="K712" s="88">
        <f t="shared" si="27"/>
        <v>20</v>
      </c>
      <c r="L712" s="16" t="s">
        <v>2814</v>
      </c>
      <c r="M712" s="16" t="s">
        <v>25</v>
      </c>
      <c r="N712" s="96" t="s">
        <v>21</v>
      </c>
    </row>
    <row r="713" spans="1:14" x14ac:dyDescent="0.35">
      <c r="A713" s="90" t="s">
        <v>2815</v>
      </c>
      <c r="B713" s="10" t="s">
        <v>13</v>
      </c>
      <c r="C713" s="11" t="s">
        <v>2816</v>
      </c>
      <c r="D713" s="11" t="s">
        <v>34</v>
      </c>
      <c r="E713" s="12" t="s">
        <v>51</v>
      </c>
      <c r="F713" s="10">
        <f>+YEAR(Tabla2[[#This Row],[Cosecha]])</f>
        <v>2025</v>
      </c>
      <c r="G713" s="11" t="s">
        <v>29</v>
      </c>
      <c r="H713" s="91">
        <f t="shared" si="26"/>
        <v>4</v>
      </c>
      <c r="I713" s="10" t="s">
        <v>18</v>
      </c>
      <c r="J713" s="11" t="s">
        <v>29</v>
      </c>
      <c r="K713" s="88">
        <f t="shared" si="27"/>
        <v>4</v>
      </c>
      <c r="L713" s="11" t="s">
        <v>2817</v>
      </c>
      <c r="M713" s="11" t="s">
        <v>44</v>
      </c>
      <c r="N713" s="92" t="s">
        <v>26</v>
      </c>
    </row>
    <row r="714" spans="1:14" x14ac:dyDescent="0.35">
      <c r="A714" s="94" t="s">
        <v>2824</v>
      </c>
      <c r="B714" s="15" t="s">
        <v>13</v>
      </c>
      <c r="C714" s="16" t="s">
        <v>2825</v>
      </c>
      <c r="D714" s="16" t="s">
        <v>34</v>
      </c>
      <c r="E714" s="17" t="s">
        <v>47</v>
      </c>
      <c r="F714" s="15">
        <f>+YEAR(Tabla2[[#This Row],[Cosecha]])</f>
        <v>2025</v>
      </c>
      <c r="G714" s="16" t="s">
        <v>30</v>
      </c>
      <c r="H714" s="95">
        <f t="shared" si="26"/>
        <v>12</v>
      </c>
      <c r="I714" s="15" t="s">
        <v>18</v>
      </c>
      <c r="J714" s="16" t="s">
        <v>30</v>
      </c>
      <c r="K714" s="88">
        <f t="shared" si="27"/>
        <v>12</v>
      </c>
      <c r="L714" s="16" t="s">
        <v>2826</v>
      </c>
      <c r="M714" s="16" t="s">
        <v>25</v>
      </c>
      <c r="N714" s="96" t="s">
        <v>21</v>
      </c>
    </row>
    <row r="715" spans="1:14" x14ac:dyDescent="0.35">
      <c r="A715" s="90" t="s">
        <v>2827</v>
      </c>
      <c r="B715" s="10" t="s">
        <v>13</v>
      </c>
      <c r="C715" s="11" t="s">
        <v>2828</v>
      </c>
      <c r="D715" s="11" t="s">
        <v>34</v>
      </c>
      <c r="E715" s="12" t="s">
        <v>178</v>
      </c>
      <c r="F715" s="10">
        <f>+YEAR(Tabla2[[#This Row],[Cosecha]])</f>
        <v>2024</v>
      </c>
      <c r="G715" s="11" t="s">
        <v>113</v>
      </c>
      <c r="H715" s="91">
        <f t="shared" si="26"/>
        <v>13</v>
      </c>
      <c r="I715" s="10" t="s">
        <v>18</v>
      </c>
      <c r="J715" s="11" t="s">
        <v>23</v>
      </c>
      <c r="K715" s="88">
        <f t="shared" si="27"/>
        <v>14</v>
      </c>
      <c r="L715" s="11" t="s">
        <v>2829</v>
      </c>
      <c r="M715" s="11" t="s">
        <v>130</v>
      </c>
      <c r="N715" s="92" t="s">
        <v>21</v>
      </c>
    </row>
    <row r="716" spans="1:14" x14ac:dyDescent="0.35">
      <c r="A716" s="94" t="s">
        <v>2830</v>
      </c>
      <c r="B716" s="15" t="s">
        <v>13</v>
      </c>
      <c r="C716" s="16" t="s">
        <v>2831</v>
      </c>
      <c r="D716" s="16" t="s">
        <v>34</v>
      </c>
      <c r="E716" s="17" t="s">
        <v>178</v>
      </c>
      <c r="F716" s="15">
        <f>+YEAR(Tabla2[[#This Row],[Cosecha]])</f>
        <v>2024</v>
      </c>
      <c r="G716" s="16" t="s">
        <v>47</v>
      </c>
      <c r="H716" s="95">
        <f t="shared" si="26"/>
        <v>4</v>
      </c>
      <c r="I716" s="15" t="s">
        <v>18</v>
      </c>
      <c r="J716" s="16" t="s">
        <v>47</v>
      </c>
      <c r="K716" s="88">
        <f t="shared" si="27"/>
        <v>4</v>
      </c>
      <c r="L716" s="16" t="s">
        <v>2771</v>
      </c>
      <c r="M716" s="16" t="s">
        <v>130</v>
      </c>
      <c r="N716" s="96" t="s">
        <v>21</v>
      </c>
    </row>
    <row r="717" spans="1:14" x14ac:dyDescent="0.35">
      <c r="A717" s="90" t="s">
        <v>2832</v>
      </c>
      <c r="B717" s="10" t="s">
        <v>85</v>
      </c>
      <c r="C717" s="11" t="s">
        <v>2833</v>
      </c>
      <c r="D717" s="11" t="s">
        <v>34</v>
      </c>
      <c r="E717" s="12" t="s">
        <v>62</v>
      </c>
      <c r="F717" s="10">
        <f>+YEAR(Tabla2[[#This Row],[Cosecha]])</f>
        <v>2025</v>
      </c>
      <c r="G717" s="11" t="s">
        <v>36</v>
      </c>
      <c r="H717" s="91">
        <f t="shared" si="26"/>
        <v>3</v>
      </c>
      <c r="I717" s="10" t="s">
        <v>18</v>
      </c>
      <c r="J717" s="11" t="s">
        <v>17</v>
      </c>
      <c r="K717" s="88">
        <f t="shared" si="27"/>
        <v>9</v>
      </c>
      <c r="L717" s="11" t="s">
        <v>2834</v>
      </c>
      <c r="M717" s="11" t="s">
        <v>115</v>
      </c>
      <c r="N717" s="92" t="s">
        <v>21</v>
      </c>
    </row>
    <row r="718" spans="1:14" x14ac:dyDescent="0.35">
      <c r="A718" s="94" t="s">
        <v>2835</v>
      </c>
      <c r="B718" s="15" t="s">
        <v>13</v>
      </c>
      <c r="C718" s="16" t="s">
        <v>2836</v>
      </c>
      <c r="D718" s="16" t="s">
        <v>34</v>
      </c>
      <c r="E718" s="17" t="s">
        <v>37</v>
      </c>
      <c r="F718" s="15">
        <f>+YEAR(Tabla2[[#This Row],[Cosecha]])</f>
        <v>2025</v>
      </c>
      <c r="G718" s="16" t="s">
        <v>70</v>
      </c>
      <c r="H718" s="95">
        <f t="shared" si="26"/>
        <v>6</v>
      </c>
      <c r="I718" s="15" t="s">
        <v>18</v>
      </c>
      <c r="J718" s="16" t="s">
        <v>70</v>
      </c>
      <c r="K718" s="88">
        <f t="shared" si="27"/>
        <v>6</v>
      </c>
      <c r="L718" s="16" t="s">
        <v>2837</v>
      </c>
      <c r="M718" s="16" t="s">
        <v>25</v>
      </c>
      <c r="N718" s="96" t="s">
        <v>21</v>
      </c>
    </row>
    <row r="719" spans="1:14" x14ac:dyDescent="0.35">
      <c r="A719" s="90" t="s">
        <v>2850</v>
      </c>
      <c r="B719" s="10" t="s">
        <v>13</v>
      </c>
      <c r="C719" s="11" t="s">
        <v>2851</v>
      </c>
      <c r="D719" s="11" t="s">
        <v>34</v>
      </c>
      <c r="E719" s="12" t="s">
        <v>47</v>
      </c>
      <c r="F719" s="10">
        <f>+YEAR(Tabla2[[#This Row],[Cosecha]])</f>
        <v>2025</v>
      </c>
      <c r="G719" s="11" t="s">
        <v>62</v>
      </c>
      <c r="H719" s="91">
        <f t="shared" si="26"/>
        <v>4</v>
      </c>
      <c r="I719" s="10" t="s">
        <v>18</v>
      </c>
      <c r="J719" s="11" t="s">
        <v>118</v>
      </c>
      <c r="K719" s="88">
        <f t="shared" si="27"/>
        <v>6</v>
      </c>
      <c r="L719" s="11" t="s">
        <v>2852</v>
      </c>
      <c r="M719" s="11" t="s">
        <v>44</v>
      </c>
      <c r="N719" s="92" t="s">
        <v>26</v>
      </c>
    </row>
    <row r="720" spans="1:14" x14ac:dyDescent="0.35">
      <c r="A720" s="94" t="s">
        <v>2853</v>
      </c>
      <c r="B720" s="15" t="s">
        <v>13</v>
      </c>
      <c r="C720" s="16" t="s">
        <v>2854</v>
      </c>
      <c r="D720" s="16" t="s">
        <v>34</v>
      </c>
      <c r="E720" s="17" t="s">
        <v>62</v>
      </c>
      <c r="F720" s="15">
        <f>+YEAR(Tabla2[[#This Row],[Cosecha]])</f>
        <v>2025</v>
      </c>
      <c r="G720" s="16" t="s">
        <v>17</v>
      </c>
      <c r="H720" s="95">
        <f t="shared" si="26"/>
        <v>9</v>
      </c>
      <c r="I720" s="15" t="s">
        <v>18</v>
      </c>
      <c r="J720" s="16" t="s">
        <v>17</v>
      </c>
      <c r="K720" s="88">
        <f t="shared" si="27"/>
        <v>9</v>
      </c>
      <c r="L720" s="16" t="s">
        <v>1378</v>
      </c>
      <c r="M720" s="16" t="s">
        <v>130</v>
      </c>
      <c r="N720" s="96" t="s">
        <v>26</v>
      </c>
    </row>
    <row r="721" spans="1:14" x14ac:dyDescent="0.35">
      <c r="A721" s="90" t="s">
        <v>2855</v>
      </c>
      <c r="B721" s="10" t="s">
        <v>13</v>
      </c>
      <c r="C721" s="11" t="s">
        <v>2856</v>
      </c>
      <c r="D721" s="11" t="s">
        <v>78</v>
      </c>
      <c r="E721" s="12" t="s">
        <v>47</v>
      </c>
      <c r="F721" s="10">
        <f>+YEAR(Tabla2[[#This Row],[Cosecha]])</f>
        <v>2025</v>
      </c>
      <c r="G721" s="11" t="s">
        <v>52</v>
      </c>
      <c r="H721" s="91">
        <f t="shared" si="26"/>
        <v>11</v>
      </c>
      <c r="I721" s="10" t="s">
        <v>18</v>
      </c>
      <c r="J721" s="11" t="s">
        <v>30</v>
      </c>
      <c r="K721" s="88">
        <f t="shared" si="27"/>
        <v>12</v>
      </c>
      <c r="L721" s="11" t="s">
        <v>2857</v>
      </c>
      <c r="M721" s="11" t="s">
        <v>39</v>
      </c>
      <c r="N721" s="92" t="s">
        <v>21</v>
      </c>
    </row>
    <row r="722" spans="1:14" x14ac:dyDescent="0.35">
      <c r="A722" s="94" t="s">
        <v>2858</v>
      </c>
      <c r="B722" s="15" t="s">
        <v>13</v>
      </c>
      <c r="C722" s="16" t="s">
        <v>2859</v>
      </c>
      <c r="D722" s="16" t="s">
        <v>78</v>
      </c>
      <c r="E722" s="17" t="s">
        <v>118</v>
      </c>
      <c r="F722" s="15">
        <f>+YEAR(Tabla2[[#This Row],[Cosecha]])</f>
        <v>2025</v>
      </c>
      <c r="G722" s="16" t="s">
        <v>30</v>
      </c>
      <c r="H722" s="95">
        <f t="shared" si="26"/>
        <v>6</v>
      </c>
      <c r="I722" s="15" t="s">
        <v>18</v>
      </c>
      <c r="J722" s="16" t="s">
        <v>17</v>
      </c>
      <c r="K722" s="88">
        <f t="shared" si="27"/>
        <v>7</v>
      </c>
      <c r="L722" s="16" t="s">
        <v>2860</v>
      </c>
      <c r="M722" s="16" t="s">
        <v>25</v>
      </c>
      <c r="N722" s="96" t="s">
        <v>21</v>
      </c>
    </row>
    <row r="723" spans="1:14" x14ac:dyDescent="0.35">
      <c r="A723" s="90" t="s">
        <v>2861</v>
      </c>
      <c r="B723" s="10" t="s">
        <v>13</v>
      </c>
      <c r="C723" s="11" t="s">
        <v>2862</v>
      </c>
      <c r="D723" s="11" t="s">
        <v>34</v>
      </c>
      <c r="E723" s="12" t="s">
        <v>104</v>
      </c>
      <c r="F723" s="10">
        <f>+YEAR(Tabla2[[#This Row],[Cosecha]])</f>
        <v>2025</v>
      </c>
      <c r="G723" s="11" t="s">
        <v>29</v>
      </c>
      <c r="H723" s="91">
        <f t="shared" si="26"/>
        <v>1</v>
      </c>
      <c r="I723" s="10" t="s">
        <v>18</v>
      </c>
      <c r="J723" s="11" t="s">
        <v>62</v>
      </c>
      <c r="K723" s="88">
        <f t="shared" si="27"/>
        <v>2</v>
      </c>
      <c r="L723" s="11" t="s">
        <v>2863</v>
      </c>
      <c r="M723" s="11" t="s">
        <v>115</v>
      </c>
      <c r="N723" s="92" t="s">
        <v>26</v>
      </c>
    </row>
    <row r="724" spans="1:14" x14ac:dyDescent="0.35">
      <c r="A724" s="94" t="s">
        <v>2870</v>
      </c>
      <c r="B724" s="15" t="s">
        <v>13</v>
      </c>
      <c r="C724" s="16" t="s">
        <v>2871</v>
      </c>
      <c r="D724" s="16" t="s">
        <v>34</v>
      </c>
      <c r="E724" s="17" t="s">
        <v>35</v>
      </c>
      <c r="F724" s="15">
        <f>+YEAR(Tabla2[[#This Row],[Cosecha]])</f>
        <v>2024</v>
      </c>
      <c r="G724" s="16" t="s">
        <v>113</v>
      </c>
      <c r="H724" s="95">
        <f t="shared" si="26"/>
        <v>14</v>
      </c>
      <c r="I724" s="15" t="s">
        <v>18</v>
      </c>
      <c r="J724" s="16" t="s">
        <v>23</v>
      </c>
      <c r="K724" s="88">
        <f t="shared" si="27"/>
        <v>15</v>
      </c>
      <c r="L724" s="16" t="s">
        <v>2872</v>
      </c>
      <c r="M724" s="16" t="s">
        <v>115</v>
      </c>
      <c r="N724" s="96" t="s">
        <v>26</v>
      </c>
    </row>
    <row r="725" spans="1:14" x14ac:dyDescent="0.35">
      <c r="A725" s="90" t="s">
        <v>2876</v>
      </c>
      <c r="B725" s="10" t="s">
        <v>13</v>
      </c>
      <c r="C725" s="11" t="s">
        <v>2877</v>
      </c>
      <c r="D725" s="11" t="s">
        <v>90</v>
      </c>
      <c r="E725" s="12" t="s">
        <v>149</v>
      </c>
      <c r="F725" s="10">
        <f>+YEAR(Tabla2[[#This Row],[Cosecha]])</f>
        <v>2024</v>
      </c>
      <c r="G725" s="11" t="s">
        <v>30</v>
      </c>
      <c r="H725" s="91">
        <f t="shared" si="26"/>
        <v>18</v>
      </c>
      <c r="I725" s="10" t="s">
        <v>18</v>
      </c>
      <c r="J725" s="11" t="s">
        <v>30</v>
      </c>
      <c r="K725" s="88">
        <f t="shared" si="27"/>
        <v>18</v>
      </c>
      <c r="L725" s="11" t="s">
        <v>2878</v>
      </c>
      <c r="M725" s="11" t="s">
        <v>39</v>
      </c>
      <c r="N725" s="92" t="s">
        <v>21</v>
      </c>
    </row>
    <row r="726" spans="1:14" x14ac:dyDescent="0.35">
      <c r="A726" s="94" t="s">
        <v>2879</v>
      </c>
      <c r="B726" s="15" t="s">
        <v>13</v>
      </c>
      <c r="C726" s="16" t="s">
        <v>2880</v>
      </c>
      <c r="D726" s="16" t="s">
        <v>15</v>
      </c>
      <c r="E726" s="17" t="s">
        <v>457</v>
      </c>
      <c r="F726" s="15">
        <f>+YEAR(Tabla2[[#This Row],[Cosecha]])</f>
        <v>2024</v>
      </c>
      <c r="G726" s="16" t="s">
        <v>47</v>
      </c>
      <c r="H726" s="95">
        <f t="shared" si="26"/>
        <v>9</v>
      </c>
      <c r="I726" s="15" t="s">
        <v>18</v>
      </c>
      <c r="J726" s="16" t="s">
        <v>47</v>
      </c>
      <c r="K726" s="88">
        <f t="shared" si="27"/>
        <v>9</v>
      </c>
      <c r="L726" s="16" t="s">
        <v>2881</v>
      </c>
      <c r="M726" s="16" t="s">
        <v>25</v>
      </c>
      <c r="N726" s="96" t="s">
        <v>21</v>
      </c>
    </row>
    <row r="727" spans="1:14" x14ac:dyDescent="0.35">
      <c r="A727" s="90" t="s">
        <v>2885</v>
      </c>
      <c r="B727" s="10" t="s">
        <v>13</v>
      </c>
      <c r="C727" s="11" t="s">
        <v>2886</v>
      </c>
      <c r="D727" s="11" t="s">
        <v>34</v>
      </c>
      <c r="E727" s="12" t="s">
        <v>118</v>
      </c>
      <c r="F727" s="10">
        <f>+YEAR(Tabla2[[#This Row],[Cosecha]])</f>
        <v>2025</v>
      </c>
      <c r="G727" s="11" t="s">
        <v>30</v>
      </c>
      <c r="H727" s="91">
        <f t="shared" si="26"/>
        <v>6</v>
      </c>
      <c r="I727" s="10" t="s">
        <v>18</v>
      </c>
      <c r="J727" s="11" t="s">
        <v>17</v>
      </c>
      <c r="K727" s="88">
        <f t="shared" si="27"/>
        <v>7</v>
      </c>
      <c r="L727" s="11" t="s">
        <v>2887</v>
      </c>
      <c r="M727" s="11" t="s">
        <v>115</v>
      </c>
      <c r="N727" s="92" t="s">
        <v>26</v>
      </c>
    </row>
    <row r="728" spans="1:14" x14ac:dyDescent="0.35">
      <c r="A728" s="94" t="s">
        <v>2888</v>
      </c>
      <c r="B728" s="15" t="s">
        <v>13</v>
      </c>
      <c r="C728" s="16" t="s">
        <v>2889</v>
      </c>
      <c r="D728" s="16" t="s">
        <v>34</v>
      </c>
      <c r="E728" s="17" t="s">
        <v>133</v>
      </c>
      <c r="F728" s="15">
        <f>+YEAR(Tabla2[[#This Row],[Cosecha]])</f>
        <v>2025</v>
      </c>
      <c r="G728" s="16" t="s">
        <v>62</v>
      </c>
      <c r="H728" s="95">
        <f t="shared" si="26"/>
        <v>3</v>
      </c>
      <c r="I728" s="15" t="s">
        <v>18</v>
      </c>
      <c r="J728" s="16" t="s">
        <v>97</v>
      </c>
      <c r="K728" s="88">
        <f t="shared" si="27"/>
        <v>4</v>
      </c>
      <c r="L728" s="16" t="s">
        <v>2890</v>
      </c>
      <c r="M728" s="16" t="s">
        <v>44</v>
      </c>
      <c r="N728" s="96" t="s">
        <v>21</v>
      </c>
    </row>
    <row r="729" spans="1:14" x14ac:dyDescent="0.35">
      <c r="A729" s="90" t="s">
        <v>2891</v>
      </c>
      <c r="B729" s="10" t="s">
        <v>13</v>
      </c>
      <c r="C729" s="11" t="s">
        <v>2892</v>
      </c>
      <c r="D729" s="11" t="s">
        <v>34</v>
      </c>
      <c r="E729" s="12" t="s">
        <v>82</v>
      </c>
      <c r="F729" s="10">
        <f>+YEAR(Tabla2[[#This Row],[Cosecha]])</f>
        <v>2024</v>
      </c>
      <c r="G729" s="11" t="s">
        <v>51</v>
      </c>
      <c r="H729" s="91">
        <f t="shared" si="26"/>
        <v>2</v>
      </c>
      <c r="I729" s="10" t="s">
        <v>18</v>
      </c>
      <c r="J729" s="11" t="s">
        <v>47</v>
      </c>
      <c r="K729" s="88">
        <f t="shared" si="27"/>
        <v>3</v>
      </c>
      <c r="L729" s="11" t="s">
        <v>2312</v>
      </c>
      <c r="M729" s="11" t="s">
        <v>130</v>
      </c>
      <c r="N729" s="92" t="s">
        <v>21</v>
      </c>
    </row>
    <row r="730" spans="1:14" x14ac:dyDescent="0.35">
      <c r="A730" s="94" t="s">
        <v>2893</v>
      </c>
      <c r="B730" s="15" t="s">
        <v>13</v>
      </c>
      <c r="C730" s="16" t="s">
        <v>2894</v>
      </c>
      <c r="D730" s="16" t="s">
        <v>34</v>
      </c>
      <c r="E730" s="17" t="s">
        <v>51</v>
      </c>
      <c r="F730" s="15">
        <f>+YEAR(Tabla2[[#This Row],[Cosecha]])</f>
        <v>2025</v>
      </c>
      <c r="G730" s="16" t="s">
        <v>133</v>
      </c>
      <c r="H730" s="95">
        <f t="shared" si="26"/>
        <v>2</v>
      </c>
      <c r="I730" s="15" t="s">
        <v>18</v>
      </c>
      <c r="J730" s="16" t="s">
        <v>104</v>
      </c>
      <c r="K730" s="88">
        <f t="shared" si="27"/>
        <v>3</v>
      </c>
      <c r="L730" s="16" t="s">
        <v>2895</v>
      </c>
      <c r="M730" s="16" t="s">
        <v>130</v>
      </c>
      <c r="N730" s="96" t="s">
        <v>21</v>
      </c>
    </row>
    <row r="731" spans="1:14" x14ac:dyDescent="0.35">
      <c r="A731" s="90" t="s">
        <v>2896</v>
      </c>
      <c r="B731" s="10" t="s">
        <v>13</v>
      </c>
      <c r="C731" s="11" t="s">
        <v>2897</v>
      </c>
      <c r="D731" s="11" t="s">
        <v>90</v>
      </c>
      <c r="E731" s="12" t="s">
        <v>82</v>
      </c>
      <c r="F731" s="10">
        <f>+YEAR(Tabla2[[#This Row],[Cosecha]])</f>
        <v>2024</v>
      </c>
      <c r="G731" s="11" t="s">
        <v>52</v>
      </c>
      <c r="H731" s="91">
        <f t="shared" si="26"/>
        <v>14</v>
      </c>
      <c r="I731" s="10" t="s">
        <v>18</v>
      </c>
      <c r="J731" s="11" t="s">
        <v>30</v>
      </c>
      <c r="K731" s="88">
        <f t="shared" si="27"/>
        <v>15</v>
      </c>
      <c r="L731" s="11" t="s">
        <v>2898</v>
      </c>
      <c r="M731" s="11" t="s">
        <v>25</v>
      </c>
      <c r="N731" s="92" t="s">
        <v>21</v>
      </c>
    </row>
    <row r="732" spans="1:14" x14ac:dyDescent="0.35">
      <c r="A732" s="94" t="s">
        <v>2902</v>
      </c>
      <c r="B732" s="15" t="s">
        <v>13</v>
      </c>
      <c r="C732" s="16" t="s">
        <v>2903</v>
      </c>
      <c r="D732" s="16" t="s">
        <v>34</v>
      </c>
      <c r="E732" s="17" t="s">
        <v>497</v>
      </c>
      <c r="F732" s="15">
        <f>+YEAR(Tabla2[[#This Row],[Cosecha]])</f>
        <v>2024</v>
      </c>
      <c r="G732" s="16" t="s">
        <v>62</v>
      </c>
      <c r="H732" s="95">
        <f t="shared" si="26"/>
        <v>11</v>
      </c>
      <c r="I732" s="15" t="s">
        <v>18</v>
      </c>
      <c r="J732" s="16" t="s">
        <v>97</v>
      </c>
      <c r="K732" s="88">
        <f t="shared" si="27"/>
        <v>12</v>
      </c>
      <c r="L732" s="16" t="s">
        <v>2904</v>
      </c>
      <c r="M732" s="16" t="s">
        <v>130</v>
      </c>
      <c r="N732" s="96" t="s">
        <v>26</v>
      </c>
    </row>
    <row r="733" spans="1:14" x14ac:dyDescent="0.35">
      <c r="A733" s="90" t="s">
        <v>2905</v>
      </c>
      <c r="B733" s="10" t="s">
        <v>13</v>
      </c>
      <c r="C733" s="11" t="s">
        <v>2906</v>
      </c>
      <c r="D733" s="11" t="s">
        <v>34</v>
      </c>
      <c r="E733" s="12" t="s">
        <v>113</v>
      </c>
      <c r="F733" s="10">
        <f>+YEAR(Tabla2[[#This Row],[Cosecha]])</f>
        <v>2025</v>
      </c>
      <c r="G733" s="11" t="s">
        <v>70</v>
      </c>
      <c r="H733" s="91">
        <f t="shared" si="26"/>
        <v>5</v>
      </c>
      <c r="I733" s="10" t="s">
        <v>18</v>
      </c>
      <c r="J733" s="11" t="s">
        <v>70</v>
      </c>
      <c r="K733" s="88">
        <f t="shared" si="27"/>
        <v>5</v>
      </c>
      <c r="L733" s="11" t="s">
        <v>2907</v>
      </c>
      <c r="M733" s="11" t="s">
        <v>72</v>
      </c>
      <c r="N733" s="92" t="s">
        <v>21</v>
      </c>
    </row>
    <row r="734" spans="1:14" x14ac:dyDescent="0.35">
      <c r="A734" s="94" t="s">
        <v>2908</v>
      </c>
      <c r="B734" s="15" t="s">
        <v>13</v>
      </c>
      <c r="C734" s="16" t="s">
        <v>2909</v>
      </c>
      <c r="D734" s="16" t="s">
        <v>34</v>
      </c>
      <c r="E734" s="17" t="s">
        <v>178</v>
      </c>
      <c r="F734" s="15">
        <f>+YEAR(Tabla2[[#This Row],[Cosecha]])</f>
        <v>2024</v>
      </c>
      <c r="G734" s="16" t="s">
        <v>29</v>
      </c>
      <c r="H734" s="95">
        <f t="shared" si="26"/>
        <v>7</v>
      </c>
      <c r="I734" s="15" t="s">
        <v>18</v>
      </c>
      <c r="J734" s="16" t="s">
        <v>62</v>
      </c>
      <c r="K734" s="88">
        <f t="shared" si="27"/>
        <v>8</v>
      </c>
      <c r="L734" s="16" t="s">
        <v>2910</v>
      </c>
      <c r="M734" s="16" t="s">
        <v>25</v>
      </c>
      <c r="N734" s="96" t="s">
        <v>21</v>
      </c>
    </row>
    <row r="735" spans="1:14" x14ac:dyDescent="0.35">
      <c r="A735" s="90" t="s">
        <v>2911</v>
      </c>
      <c r="B735" s="10" t="s">
        <v>13</v>
      </c>
      <c r="C735" s="11" t="s">
        <v>2912</v>
      </c>
      <c r="D735" s="11" t="s">
        <v>34</v>
      </c>
      <c r="E735" s="12" t="s">
        <v>104</v>
      </c>
      <c r="F735" s="10">
        <f>+YEAR(Tabla2[[#This Row],[Cosecha]])</f>
        <v>2025</v>
      </c>
      <c r="G735" s="11" t="s">
        <v>97</v>
      </c>
      <c r="H735" s="91">
        <f t="shared" si="26"/>
        <v>3</v>
      </c>
      <c r="I735" s="10" t="s">
        <v>18</v>
      </c>
      <c r="J735" s="11" t="s">
        <v>97</v>
      </c>
      <c r="K735" s="88">
        <f t="shared" si="27"/>
        <v>3</v>
      </c>
      <c r="L735" s="11" t="s">
        <v>2913</v>
      </c>
      <c r="M735" s="11" t="s">
        <v>44</v>
      </c>
      <c r="N735" s="92" t="s">
        <v>21</v>
      </c>
    </row>
    <row r="736" spans="1:14" x14ac:dyDescent="0.35">
      <c r="A736" s="94" t="s">
        <v>2917</v>
      </c>
      <c r="B736" s="15" t="s">
        <v>13</v>
      </c>
      <c r="C736" s="16" t="s">
        <v>2918</v>
      </c>
      <c r="D736" s="16" t="s">
        <v>34</v>
      </c>
      <c r="E736" s="17" t="s">
        <v>66</v>
      </c>
      <c r="F736" s="15">
        <f>+YEAR(Tabla2[[#This Row],[Cosecha]])</f>
        <v>2025</v>
      </c>
      <c r="G736" s="16" t="s">
        <v>29</v>
      </c>
      <c r="H736" s="95">
        <f t="shared" si="26"/>
        <v>5</v>
      </c>
      <c r="I736" s="15" t="s">
        <v>18</v>
      </c>
      <c r="J736" s="16" t="s">
        <v>29</v>
      </c>
      <c r="K736" s="88">
        <f t="shared" si="27"/>
        <v>5</v>
      </c>
      <c r="L736" s="16" t="s">
        <v>2919</v>
      </c>
      <c r="M736" s="16" t="s">
        <v>44</v>
      </c>
      <c r="N736" s="96" t="s">
        <v>26</v>
      </c>
    </row>
    <row r="737" spans="1:14" x14ac:dyDescent="0.35">
      <c r="A737" s="90" t="s">
        <v>2920</v>
      </c>
      <c r="B737" s="10" t="s">
        <v>13</v>
      </c>
      <c r="C737" s="11" t="s">
        <v>2921</v>
      </c>
      <c r="D737" s="11" t="s">
        <v>34</v>
      </c>
      <c r="E737" s="12" t="s">
        <v>149</v>
      </c>
      <c r="F737" s="10">
        <f>+YEAR(Tabla2[[#This Row],[Cosecha]])</f>
        <v>2024</v>
      </c>
      <c r="G737" s="11" t="s">
        <v>29</v>
      </c>
      <c r="H737" s="91">
        <f t="shared" si="26"/>
        <v>9</v>
      </c>
      <c r="I737" s="10" t="s">
        <v>18</v>
      </c>
      <c r="J737" s="11" t="s">
        <v>29</v>
      </c>
      <c r="K737" s="88">
        <f t="shared" si="27"/>
        <v>9</v>
      </c>
      <c r="L737" s="11" t="s">
        <v>2922</v>
      </c>
      <c r="M737" s="11" t="s">
        <v>130</v>
      </c>
      <c r="N737" s="92" t="s">
        <v>26</v>
      </c>
    </row>
    <row r="738" spans="1:14" x14ac:dyDescent="0.35">
      <c r="A738" s="94" t="s">
        <v>2923</v>
      </c>
      <c r="B738" s="15" t="s">
        <v>13</v>
      </c>
      <c r="C738" s="16" t="s">
        <v>2924</v>
      </c>
      <c r="D738" s="16" t="s">
        <v>34</v>
      </c>
      <c r="E738" s="17" t="s">
        <v>104</v>
      </c>
      <c r="F738" s="15">
        <f>+YEAR(Tabla2[[#This Row],[Cosecha]])</f>
        <v>2025</v>
      </c>
      <c r="G738" s="16" t="s">
        <v>113</v>
      </c>
      <c r="H738" s="95">
        <f t="shared" si="26"/>
        <v>7</v>
      </c>
      <c r="I738" s="15" t="s">
        <v>18</v>
      </c>
      <c r="J738" s="16" t="s">
        <v>23</v>
      </c>
      <c r="K738" s="88">
        <f t="shared" si="27"/>
        <v>8</v>
      </c>
      <c r="L738" s="16" t="s">
        <v>2925</v>
      </c>
      <c r="M738" s="16" t="s">
        <v>115</v>
      </c>
      <c r="N738" s="96" t="s">
        <v>21</v>
      </c>
    </row>
    <row r="739" spans="1:14" x14ac:dyDescent="0.35">
      <c r="A739" s="90" t="s">
        <v>2929</v>
      </c>
      <c r="B739" s="10" t="s">
        <v>13</v>
      </c>
      <c r="C739" s="11" t="s">
        <v>2930</v>
      </c>
      <c r="D739" s="11" t="s">
        <v>15</v>
      </c>
      <c r="E739" s="12" t="s">
        <v>149</v>
      </c>
      <c r="F739" s="10">
        <f>+YEAR(Tabla2[[#This Row],[Cosecha]])</f>
        <v>2024</v>
      </c>
      <c r="G739" s="11" t="s">
        <v>104</v>
      </c>
      <c r="H739" s="91">
        <f t="shared" si="26"/>
        <v>8</v>
      </c>
      <c r="I739" s="10" t="s">
        <v>18</v>
      </c>
      <c r="J739" s="11" t="s">
        <v>29</v>
      </c>
      <c r="K739" s="88">
        <f t="shared" si="27"/>
        <v>9</v>
      </c>
      <c r="L739" s="11" t="s">
        <v>2931</v>
      </c>
      <c r="M739" s="11" t="s">
        <v>25</v>
      </c>
      <c r="N739" s="92" t="s">
        <v>21</v>
      </c>
    </row>
    <row r="740" spans="1:14" x14ac:dyDescent="0.35">
      <c r="A740" s="94" t="s">
        <v>2932</v>
      </c>
      <c r="B740" s="15" t="s">
        <v>13</v>
      </c>
      <c r="C740" s="16" t="s">
        <v>2933</v>
      </c>
      <c r="D740" s="16" t="s">
        <v>15</v>
      </c>
      <c r="E740" s="17" t="s">
        <v>497</v>
      </c>
      <c r="F740" s="15">
        <f>+YEAR(Tabla2[[#This Row],[Cosecha]])</f>
        <v>2024</v>
      </c>
      <c r="G740" s="16" t="s">
        <v>47</v>
      </c>
      <c r="H740" s="95">
        <f t="shared" si="26"/>
        <v>7</v>
      </c>
      <c r="I740" s="15" t="s">
        <v>18</v>
      </c>
      <c r="J740" s="16" t="s">
        <v>47</v>
      </c>
      <c r="K740" s="88">
        <f t="shared" si="27"/>
        <v>7</v>
      </c>
      <c r="L740" s="16" t="s">
        <v>2934</v>
      </c>
      <c r="M740" s="16" t="s">
        <v>25</v>
      </c>
      <c r="N740" s="96" t="s">
        <v>21</v>
      </c>
    </row>
    <row r="741" spans="1:14" x14ac:dyDescent="0.35">
      <c r="A741" s="90" t="s">
        <v>2935</v>
      </c>
      <c r="B741" s="10" t="s">
        <v>13</v>
      </c>
      <c r="C741" s="11" t="s">
        <v>2936</v>
      </c>
      <c r="D741" s="11" t="s">
        <v>90</v>
      </c>
      <c r="E741" s="12" t="s">
        <v>35</v>
      </c>
      <c r="F741" s="10">
        <f>+YEAR(Tabla2[[#This Row],[Cosecha]])</f>
        <v>2024</v>
      </c>
      <c r="G741" s="11" t="s">
        <v>113</v>
      </c>
      <c r="H741" s="91">
        <f t="shared" si="26"/>
        <v>14</v>
      </c>
      <c r="I741" s="10" t="s">
        <v>18</v>
      </c>
      <c r="J741" s="11" t="s">
        <v>23</v>
      </c>
      <c r="K741" s="88">
        <f t="shared" si="27"/>
        <v>15</v>
      </c>
      <c r="L741" s="11" t="s">
        <v>2937</v>
      </c>
      <c r="M741" s="11" t="s">
        <v>25</v>
      </c>
      <c r="N741" s="92" t="s">
        <v>21</v>
      </c>
    </row>
    <row r="742" spans="1:14" x14ac:dyDescent="0.35">
      <c r="A742" s="94" t="s">
        <v>2941</v>
      </c>
      <c r="B742" s="15" t="s">
        <v>13</v>
      </c>
      <c r="C742" s="16" t="s">
        <v>2942</v>
      </c>
      <c r="D742" s="16" t="s">
        <v>78</v>
      </c>
      <c r="E742" s="17" t="s">
        <v>457</v>
      </c>
      <c r="F742" s="15">
        <f>+YEAR(Tabla2[[#This Row],[Cosecha]])</f>
        <v>2024</v>
      </c>
      <c r="G742" s="16" t="s">
        <v>133</v>
      </c>
      <c r="H742" s="95">
        <f t="shared" si="26"/>
        <v>10</v>
      </c>
      <c r="I742" s="15" t="s">
        <v>18</v>
      </c>
      <c r="J742" s="16" t="s">
        <v>133</v>
      </c>
      <c r="K742" s="88">
        <f t="shared" si="27"/>
        <v>10</v>
      </c>
      <c r="L742" s="16" t="s">
        <v>2943</v>
      </c>
      <c r="M742" s="16" t="s">
        <v>25</v>
      </c>
      <c r="N742" s="96" t="s">
        <v>21</v>
      </c>
    </row>
    <row r="743" spans="1:14" x14ac:dyDescent="0.35">
      <c r="A743" s="90" t="s">
        <v>2944</v>
      </c>
      <c r="B743" s="10" t="s">
        <v>13</v>
      </c>
      <c r="C743" s="11" t="s">
        <v>2945</v>
      </c>
      <c r="D743" s="11" t="s">
        <v>90</v>
      </c>
      <c r="E743" s="12" t="s">
        <v>118</v>
      </c>
      <c r="F743" s="10">
        <f>+YEAR(Tabla2[[#This Row],[Cosecha]])</f>
        <v>2025</v>
      </c>
      <c r="G743" s="11" t="s">
        <v>30</v>
      </c>
      <c r="H743" s="91">
        <f t="shared" si="26"/>
        <v>6</v>
      </c>
      <c r="I743" s="10" t="s">
        <v>18</v>
      </c>
      <c r="J743" s="11" t="s">
        <v>30</v>
      </c>
      <c r="K743" s="88">
        <f t="shared" si="27"/>
        <v>6</v>
      </c>
      <c r="L743" s="11" t="s">
        <v>2946</v>
      </c>
      <c r="M743" s="11" t="s">
        <v>25</v>
      </c>
      <c r="N743" s="92" t="s">
        <v>21</v>
      </c>
    </row>
    <row r="744" spans="1:14" x14ac:dyDescent="0.35">
      <c r="A744" s="94" t="s">
        <v>2947</v>
      </c>
      <c r="B744" s="15" t="s">
        <v>13</v>
      </c>
      <c r="C744" s="16" t="s">
        <v>2948</v>
      </c>
      <c r="D744" s="16" t="s">
        <v>78</v>
      </c>
      <c r="E744" s="17" t="s">
        <v>1603</v>
      </c>
      <c r="F744" s="15">
        <f>+YEAR(Tabla2[[#This Row],[Cosecha]])</f>
        <v>2022</v>
      </c>
      <c r="G744" s="16" t="s">
        <v>66</v>
      </c>
      <c r="H744" s="95">
        <f t="shared" si="26"/>
        <v>26</v>
      </c>
      <c r="I744" s="15" t="s">
        <v>18</v>
      </c>
      <c r="J744" s="16" t="s">
        <v>66</v>
      </c>
      <c r="K744" s="88">
        <f t="shared" si="27"/>
        <v>26</v>
      </c>
      <c r="L744" s="16" t="s">
        <v>2949</v>
      </c>
      <c r="M744" s="16" t="s">
        <v>20</v>
      </c>
      <c r="N744" s="96" t="s">
        <v>21</v>
      </c>
    </row>
    <row r="745" spans="1:14" x14ac:dyDescent="0.35">
      <c r="A745" s="90" t="s">
        <v>2950</v>
      </c>
      <c r="B745" s="10" t="s">
        <v>13</v>
      </c>
      <c r="C745" s="11" t="s">
        <v>2951</v>
      </c>
      <c r="D745" s="11" t="s">
        <v>34</v>
      </c>
      <c r="E745" s="12" t="s">
        <v>82</v>
      </c>
      <c r="F745" s="10">
        <f>+YEAR(Tabla2[[#This Row],[Cosecha]])</f>
        <v>2024</v>
      </c>
      <c r="G745" s="11" t="s">
        <v>29</v>
      </c>
      <c r="H745" s="91">
        <f t="shared" si="26"/>
        <v>6</v>
      </c>
      <c r="I745" s="10" t="s">
        <v>18</v>
      </c>
      <c r="J745" s="11" t="s">
        <v>62</v>
      </c>
      <c r="K745" s="88">
        <f t="shared" si="27"/>
        <v>7</v>
      </c>
      <c r="L745" s="11" t="s">
        <v>2952</v>
      </c>
      <c r="M745" s="11" t="s">
        <v>130</v>
      </c>
      <c r="N745" s="92" t="s">
        <v>21</v>
      </c>
    </row>
    <row r="746" spans="1:14" x14ac:dyDescent="0.35">
      <c r="A746" s="94" t="s">
        <v>2953</v>
      </c>
      <c r="B746" s="15" t="s">
        <v>13</v>
      </c>
      <c r="C746" s="16" t="s">
        <v>2954</v>
      </c>
      <c r="D746" s="16" t="s">
        <v>34</v>
      </c>
      <c r="E746" s="17" t="s">
        <v>252</v>
      </c>
      <c r="F746" s="15">
        <f>+YEAR(Tabla2[[#This Row],[Cosecha]])</f>
        <v>2024</v>
      </c>
      <c r="G746" s="16" t="s">
        <v>133</v>
      </c>
      <c r="H746" s="95">
        <f t="shared" si="26"/>
        <v>9</v>
      </c>
      <c r="I746" s="15" t="s">
        <v>18</v>
      </c>
      <c r="J746" s="16" t="s">
        <v>133</v>
      </c>
      <c r="K746" s="88">
        <f t="shared" si="27"/>
        <v>9</v>
      </c>
      <c r="L746" s="16" t="s">
        <v>2955</v>
      </c>
      <c r="M746" s="16" t="s">
        <v>130</v>
      </c>
      <c r="N746" s="96" t="s">
        <v>21</v>
      </c>
    </row>
    <row r="747" spans="1:14" x14ac:dyDescent="0.35">
      <c r="A747" s="90" t="s">
        <v>2956</v>
      </c>
      <c r="B747" s="10" t="s">
        <v>13</v>
      </c>
      <c r="C747" s="11" t="s">
        <v>2957</v>
      </c>
      <c r="D747" s="11" t="s">
        <v>15</v>
      </c>
      <c r="E747" s="12" t="s">
        <v>122</v>
      </c>
      <c r="F747" s="10">
        <f>+YEAR(Tabla2[[#This Row],[Cosecha]])</f>
        <v>2023</v>
      </c>
      <c r="G747" s="11" t="s">
        <v>47</v>
      </c>
      <c r="H747" s="91">
        <f t="shared" si="26"/>
        <v>18</v>
      </c>
      <c r="I747" s="10" t="s">
        <v>18</v>
      </c>
      <c r="J747" s="11" t="s">
        <v>47</v>
      </c>
      <c r="K747" s="88">
        <f t="shared" si="27"/>
        <v>18</v>
      </c>
      <c r="L747" s="11" t="s">
        <v>2958</v>
      </c>
      <c r="M747" s="11" t="s">
        <v>25</v>
      </c>
      <c r="N747" s="92" t="s">
        <v>21</v>
      </c>
    </row>
    <row r="748" spans="1:14" x14ac:dyDescent="0.35">
      <c r="A748" s="94" t="s">
        <v>2962</v>
      </c>
      <c r="B748" s="15" t="s">
        <v>13</v>
      </c>
      <c r="C748" s="16" t="s">
        <v>2963</v>
      </c>
      <c r="D748" s="16" t="s">
        <v>90</v>
      </c>
      <c r="E748" s="17" t="s">
        <v>62</v>
      </c>
      <c r="F748" s="15">
        <f>+YEAR(Tabla2[[#This Row],[Cosecha]])</f>
        <v>2025</v>
      </c>
      <c r="G748" s="16" t="s">
        <v>118</v>
      </c>
      <c r="H748" s="95">
        <f t="shared" si="26"/>
        <v>2</v>
      </c>
      <c r="I748" s="15" t="s">
        <v>18</v>
      </c>
      <c r="J748" s="16" t="s">
        <v>36</v>
      </c>
      <c r="K748" s="88">
        <f t="shared" si="27"/>
        <v>3</v>
      </c>
      <c r="L748" s="16" t="s">
        <v>2964</v>
      </c>
      <c r="M748" s="16" t="s">
        <v>39</v>
      </c>
      <c r="N748" s="96" t="s">
        <v>26</v>
      </c>
    </row>
    <row r="749" spans="1:14" x14ac:dyDescent="0.35">
      <c r="A749" s="90" t="s">
        <v>2965</v>
      </c>
      <c r="B749" s="10" t="s">
        <v>13</v>
      </c>
      <c r="C749" s="11" t="s">
        <v>2966</v>
      </c>
      <c r="D749" s="11" t="s">
        <v>34</v>
      </c>
      <c r="E749" s="12" t="s">
        <v>82</v>
      </c>
      <c r="F749" s="10">
        <f>+YEAR(Tabla2[[#This Row],[Cosecha]])</f>
        <v>2024</v>
      </c>
      <c r="G749" s="11" t="s">
        <v>133</v>
      </c>
      <c r="H749" s="91">
        <f t="shared" si="26"/>
        <v>4</v>
      </c>
      <c r="I749" s="10" t="s">
        <v>18</v>
      </c>
      <c r="J749" s="11" t="s">
        <v>104</v>
      </c>
      <c r="K749" s="88">
        <f t="shared" si="27"/>
        <v>5</v>
      </c>
      <c r="L749" s="11" t="s">
        <v>2967</v>
      </c>
      <c r="M749" s="11" t="s">
        <v>130</v>
      </c>
      <c r="N749" s="92" t="s">
        <v>21</v>
      </c>
    </row>
    <row r="750" spans="1:14" x14ac:dyDescent="0.35">
      <c r="A750" s="94" t="s">
        <v>2968</v>
      </c>
      <c r="B750" s="15" t="s">
        <v>13</v>
      </c>
      <c r="C750" s="16" t="s">
        <v>2969</v>
      </c>
      <c r="D750" s="16" t="s">
        <v>34</v>
      </c>
      <c r="E750" s="17" t="s">
        <v>104</v>
      </c>
      <c r="F750" s="15">
        <f>+YEAR(Tabla2[[#This Row],[Cosecha]])</f>
        <v>2025</v>
      </c>
      <c r="G750" s="16" t="s">
        <v>70</v>
      </c>
      <c r="H750" s="95">
        <f t="shared" si="26"/>
        <v>12</v>
      </c>
      <c r="I750" s="15" t="s">
        <v>18</v>
      </c>
      <c r="J750" s="16" t="s">
        <v>70</v>
      </c>
      <c r="K750" s="88">
        <f t="shared" si="27"/>
        <v>12</v>
      </c>
      <c r="L750" s="16" t="s">
        <v>2970</v>
      </c>
      <c r="M750" s="16" t="s">
        <v>115</v>
      </c>
      <c r="N750" s="96" t="s">
        <v>26</v>
      </c>
    </row>
    <row r="751" spans="1:14" x14ac:dyDescent="0.35">
      <c r="A751" s="90" t="s">
        <v>2971</v>
      </c>
      <c r="B751" s="10" t="s">
        <v>13</v>
      </c>
      <c r="C751" s="11" t="s">
        <v>2972</v>
      </c>
      <c r="D751" s="11" t="s">
        <v>34</v>
      </c>
      <c r="E751" s="12" t="s">
        <v>252</v>
      </c>
      <c r="F751" s="10">
        <f>+YEAR(Tabla2[[#This Row],[Cosecha]])</f>
        <v>2024</v>
      </c>
      <c r="G751" s="11" t="s">
        <v>51</v>
      </c>
      <c r="H751" s="91">
        <f t="shared" si="26"/>
        <v>7</v>
      </c>
      <c r="I751" s="10" t="s">
        <v>18</v>
      </c>
      <c r="J751" s="11" t="s">
        <v>47</v>
      </c>
      <c r="K751" s="88">
        <f t="shared" si="27"/>
        <v>8</v>
      </c>
      <c r="L751" s="11" t="s">
        <v>2973</v>
      </c>
      <c r="M751" s="11" t="s">
        <v>130</v>
      </c>
      <c r="N751" s="92" t="s">
        <v>21</v>
      </c>
    </row>
    <row r="752" spans="1:14" x14ac:dyDescent="0.35">
      <c r="A752" s="94" t="s">
        <v>2977</v>
      </c>
      <c r="B752" s="15" t="s">
        <v>13</v>
      </c>
      <c r="C752" s="16" t="s">
        <v>2978</v>
      </c>
      <c r="D752" s="16" t="s">
        <v>90</v>
      </c>
      <c r="E752" s="17" t="s">
        <v>97</v>
      </c>
      <c r="F752" s="15">
        <f>+YEAR(Tabla2[[#This Row],[Cosecha]])</f>
        <v>2025</v>
      </c>
      <c r="G752" s="16" t="s">
        <v>52</v>
      </c>
      <c r="H752" s="95">
        <f t="shared" si="26"/>
        <v>6</v>
      </c>
      <c r="I752" s="15" t="s">
        <v>18</v>
      </c>
      <c r="J752" s="16" t="s">
        <v>52</v>
      </c>
      <c r="K752" s="88">
        <f t="shared" si="27"/>
        <v>6</v>
      </c>
      <c r="L752" s="16" t="s">
        <v>2979</v>
      </c>
      <c r="M752" s="16" t="s">
        <v>25</v>
      </c>
      <c r="N752" s="96" t="s">
        <v>26</v>
      </c>
    </row>
    <row r="753" spans="1:14" x14ac:dyDescent="0.35">
      <c r="A753" s="90" t="s">
        <v>2983</v>
      </c>
      <c r="B753" s="10" t="s">
        <v>13</v>
      </c>
      <c r="C753" s="11" t="s">
        <v>2984</v>
      </c>
      <c r="D753" s="11" t="s">
        <v>34</v>
      </c>
      <c r="E753" s="12" t="s">
        <v>133</v>
      </c>
      <c r="F753" s="10">
        <f>+YEAR(Tabla2[[#This Row],[Cosecha]])</f>
        <v>2025</v>
      </c>
      <c r="G753" s="11" t="s">
        <v>23</v>
      </c>
      <c r="H753" s="91">
        <f t="shared" si="26"/>
        <v>9</v>
      </c>
      <c r="I753" s="10" t="s">
        <v>18</v>
      </c>
      <c r="J753" s="11" t="s">
        <v>23</v>
      </c>
      <c r="K753" s="88">
        <f t="shared" si="27"/>
        <v>9</v>
      </c>
      <c r="L753" s="11" t="s">
        <v>2985</v>
      </c>
      <c r="M753" s="11" t="s">
        <v>44</v>
      </c>
      <c r="N753" s="92" t="s">
        <v>21</v>
      </c>
    </row>
    <row r="754" spans="1:14" x14ac:dyDescent="0.35">
      <c r="A754" s="94" t="s">
        <v>2986</v>
      </c>
      <c r="B754" s="15" t="s">
        <v>13</v>
      </c>
      <c r="C754" s="16" t="s">
        <v>2987</v>
      </c>
      <c r="D754" s="16" t="s">
        <v>34</v>
      </c>
      <c r="E754" s="17" t="s">
        <v>36</v>
      </c>
      <c r="F754" s="15">
        <f>+YEAR(Tabla2[[#This Row],[Cosecha]])</f>
        <v>2025</v>
      </c>
      <c r="G754" s="16" t="s">
        <v>17</v>
      </c>
      <c r="H754" s="95">
        <f t="shared" si="26"/>
        <v>6</v>
      </c>
      <c r="I754" s="15" t="s">
        <v>18</v>
      </c>
      <c r="J754" s="16" t="s">
        <v>17</v>
      </c>
      <c r="K754" s="88">
        <f t="shared" si="27"/>
        <v>6</v>
      </c>
      <c r="L754" s="16" t="s">
        <v>2988</v>
      </c>
      <c r="M754" s="16" t="s">
        <v>39</v>
      </c>
      <c r="N754" s="96" t="s">
        <v>21</v>
      </c>
    </row>
    <row r="755" spans="1:14" x14ac:dyDescent="0.35">
      <c r="A755" s="90" t="s">
        <v>2989</v>
      </c>
      <c r="B755" s="10" t="s">
        <v>13</v>
      </c>
      <c r="C755" s="11" t="s">
        <v>2990</v>
      </c>
      <c r="D755" s="11" t="s">
        <v>34</v>
      </c>
      <c r="E755" s="12" t="s">
        <v>457</v>
      </c>
      <c r="F755" s="10">
        <f>+YEAR(Tabla2[[#This Row],[Cosecha]])</f>
        <v>2024</v>
      </c>
      <c r="G755" s="11" t="s">
        <v>62</v>
      </c>
      <c r="H755" s="91">
        <f t="shared" si="26"/>
        <v>13</v>
      </c>
      <c r="I755" s="10" t="s">
        <v>18</v>
      </c>
      <c r="J755" s="11" t="s">
        <v>97</v>
      </c>
      <c r="K755" s="88">
        <f t="shared" si="27"/>
        <v>14</v>
      </c>
      <c r="L755" s="11" t="s">
        <v>2991</v>
      </c>
      <c r="M755" s="11" t="s">
        <v>130</v>
      </c>
      <c r="N755" s="92" t="s">
        <v>21</v>
      </c>
    </row>
    <row r="756" spans="1:14" x14ac:dyDescent="0.35">
      <c r="A756" s="94" t="s">
        <v>2992</v>
      </c>
      <c r="B756" s="15" t="s">
        <v>13</v>
      </c>
      <c r="C756" s="16" t="s">
        <v>2993</v>
      </c>
      <c r="D756" s="16" t="s">
        <v>78</v>
      </c>
      <c r="E756" s="17" t="s">
        <v>47</v>
      </c>
      <c r="F756" s="15">
        <f>+YEAR(Tabla2[[#This Row],[Cosecha]])</f>
        <v>2025</v>
      </c>
      <c r="G756" s="16" t="s">
        <v>113</v>
      </c>
      <c r="H756" s="95">
        <f t="shared" si="26"/>
        <v>9</v>
      </c>
      <c r="I756" s="15" t="s">
        <v>18</v>
      </c>
      <c r="J756" s="16" t="s">
        <v>23</v>
      </c>
      <c r="K756" s="88">
        <f t="shared" si="27"/>
        <v>10</v>
      </c>
      <c r="L756" s="16" t="s">
        <v>2994</v>
      </c>
      <c r="M756" s="16" t="s">
        <v>25</v>
      </c>
      <c r="N756" s="96" t="s">
        <v>21</v>
      </c>
    </row>
    <row r="757" spans="1:14" x14ac:dyDescent="0.35">
      <c r="A757" s="90" t="s">
        <v>2995</v>
      </c>
      <c r="B757" s="10" t="s">
        <v>13</v>
      </c>
      <c r="C757" s="11" t="s">
        <v>2996</v>
      </c>
      <c r="D757" s="11" t="s">
        <v>34</v>
      </c>
      <c r="E757" s="12" t="s">
        <v>104</v>
      </c>
      <c r="F757" s="10">
        <f>+YEAR(Tabla2[[#This Row],[Cosecha]])</f>
        <v>2025</v>
      </c>
      <c r="G757" s="11" t="s">
        <v>17</v>
      </c>
      <c r="H757" s="91">
        <f t="shared" si="26"/>
        <v>11</v>
      </c>
      <c r="I757" s="10" t="s">
        <v>18</v>
      </c>
      <c r="J757" s="11" t="s">
        <v>17</v>
      </c>
      <c r="K757" s="88">
        <f t="shared" si="27"/>
        <v>11</v>
      </c>
      <c r="L757" s="11" t="s">
        <v>2997</v>
      </c>
      <c r="M757" s="11" t="s">
        <v>115</v>
      </c>
      <c r="N757" s="92" t="s">
        <v>21</v>
      </c>
    </row>
    <row r="758" spans="1:14" x14ac:dyDescent="0.35">
      <c r="A758" s="94" t="s">
        <v>2998</v>
      </c>
      <c r="B758" s="15" t="s">
        <v>13</v>
      </c>
      <c r="C758" s="16" t="s">
        <v>2999</v>
      </c>
      <c r="D758" s="16" t="s">
        <v>34</v>
      </c>
      <c r="E758" s="17" t="s">
        <v>82</v>
      </c>
      <c r="F758" s="15">
        <f>+YEAR(Tabla2[[#This Row],[Cosecha]])</f>
        <v>2024</v>
      </c>
      <c r="G758" s="16" t="s">
        <v>97</v>
      </c>
      <c r="H758" s="95">
        <f t="shared" si="26"/>
        <v>8</v>
      </c>
      <c r="I758" s="15" t="s">
        <v>18</v>
      </c>
      <c r="J758" s="16" t="s">
        <v>97</v>
      </c>
      <c r="K758" s="88">
        <f t="shared" si="27"/>
        <v>8</v>
      </c>
      <c r="L758" s="16" t="s">
        <v>3000</v>
      </c>
      <c r="M758" s="16" t="s">
        <v>130</v>
      </c>
      <c r="N758" s="96" t="s">
        <v>21</v>
      </c>
    </row>
    <row r="759" spans="1:14" x14ac:dyDescent="0.35">
      <c r="A759" s="90" t="s">
        <v>2998</v>
      </c>
      <c r="B759" s="10" t="s">
        <v>13</v>
      </c>
      <c r="C759" s="11" t="s">
        <v>2999</v>
      </c>
      <c r="D759" s="11" t="s">
        <v>34</v>
      </c>
      <c r="E759" s="12" t="s">
        <v>82</v>
      </c>
      <c r="F759" s="10">
        <f>+YEAR(Tabla2[[#This Row],[Cosecha]])</f>
        <v>2024</v>
      </c>
      <c r="G759" s="11" t="s">
        <v>30</v>
      </c>
      <c r="H759" s="91">
        <f t="shared" si="26"/>
        <v>15</v>
      </c>
      <c r="I759" s="10" t="s">
        <v>18</v>
      </c>
      <c r="J759" s="11" t="s">
        <v>30</v>
      </c>
      <c r="K759" s="88">
        <f t="shared" si="27"/>
        <v>15</v>
      </c>
      <c r="L759" s="11" t="s">
        <v>3000</v>
      </c>
      <c r="M759" s="11" t="s">
        <v>130</v>
      </c>
      <c r="N759" s="92" t="s">
        <v>21</v>
      </c>
    </row>
    <row r="760" spans="1:14" x14ac:dyDescent="0.35">
      <c r="A760" s="94" t="s">
        <v>3001</v>
      </c>
      <c r="B760" s="15" t="s">
        <v>13</v>
      </c>
      <c r="C760" s="16" t="s">
        <v>3002</v>
      </c>
      <c r="D760" s="16" t="s">
        <v>34</v>
      </c>
      <c r="E760" s="17" t="s">
        <v>497</v>
      </c>
      <c r="F760" s="15">
        <f>+YEAR(Tabla2[[#This Row],[Cosecha]])</f>
        <v>2024</v>
      </c>
      <c r="G760" s="16" t="s">
        <v>133</v>
      </c>
      <c r="H760" s="95">
        <f t="shared" si="26"/>
        <v>8</v>
      </c>
      <c r="I760" s="15" t="s">
        <v>18</v>
      </c>
      <c r="J760" s="16" t="s">
        <v>104</v>
      </c>
      <c r="K760" s="88">
        <f t="shared" si="27"/>
        <v>9</v>
      </c>
      <c r="L760" s="16" t="s">
        <v>3003</v>
      </c>
      <c r="M760" s="16" t="s">
        <v>25</v>
      </c>
      <c r="N760" s="96" t="s">
        <v>21</v>
      </c>
    </row>
    <row r="761" spans="1:14" x14ac:dyDescent="0.35">
      <c r="A761" s="90" t="s">
        <v>3004</v>
      </c>
      <c r="B761" s="10" t="s">
        <v>13</v>
      </c>
      <c r="C761" s="11" t="s">
        <v>3005</v>
      </c>
      <c r="D761" s="11" t="s">
        <v>34</v>
      </c>
      <c r="E761" s="12" t="s">
        <v>37</v>
      </c>
      <c r="F761" s="10">
        <f>+YEAR(Tabla2[[#This Row],[Cosecha]])</f>
        <v>2025</v>
      </c>
      <c r="G761" s="11" t="s">
        <v>17</v>
      </c>
      <c r="H761" s="91">
        <f t="shared" si="26"/>
        <v>5</v>
      </c>
      <c r="I761" s="10" t="s">
        <v>18</v>
      </c>
      <c r="J761" s="11" t="s">
        <v>17</v>
      </c>
      <c r="K761" s="88">
        <f t="shared" si="27"/>
        <v>5</v>
      </c>
      <c r="L761" s="11" t="s">
        <v>3006</v>
      </c>
      <c r="M761" s="11" t="s">
        <v>25</v>
      </c>
      <c r="N761" s="92" t="s">
        <v>26</v>
      </c>
    </row>
    <row r="762" spans="1:14" x14ac:dyDescent="0.35">
      <c r="A762" s="94" t="s">
        <v>3010</v>
      </c>
      <c r="B762" s="15" t="s">
        <v>13</v>
      </c>
      <c r="C762" s="16" t="s">
        <v>3011</v>
      </c>
      <c r="D762" s="16" t="s">
        <v>34</v>
      </c>
      <c r="E762" s="17" t="s">
        <v>51</v>
      </c>
      <c r="F762" s="15">
        <f>+YEAR(Tabla2[[#This Row],[Cosecha]])</f>
        <v>2025</v>
      </c>
      <c r="G762" s="16" t="s">
        <v>133</v>
      </c>
      <c r="H762" s="95">
        <f t="shared" si="26"/>
        <v>2</v>
      </c>
      <c r="I762" s="15" t="s">
        <v>18</v>
      </c>
      <c r="J762" s="16" t="s">
        <v>133</v>
      </c>
      <c r="K762" s="88">
        <f t="shared" si="27"/>
        <v>2</v>
      </c>
      <c r="L762" s="16" t="s">
        <v>3012</v>
      </c>
      <c r="M762" s="16" t="s">
        <v>44</v>
      </c>
      <c r="N762" s="96" t="s">
        <v>26</v>
      </c>
    </row>
    <row r="763" spans="1:14" x14ac:dyDescent="0.35">
      <c r="A763" s="90" t="s">
        <v>3013</v>
      </c>
      <c r="B763" s="10" t="s">
        <v>13</v>
      </c>
      <c r="C763" s="11" t="s">
        <v>3014</v>
      </c>
      <c r="D763" s="11" t="s">
        <v>34</v>
      </c>
      <c r="E763" s="12" t="s">
        <v>82</v>
      </c>
      <c r="F763" s="10">
        <f>+YEAR(Tabla2[[#This Row],[Cosecha]])</f>
        <v>2024</v>
      </c>
      <c r="G763" s="11" t="s">
        <v>47</v>
      </c>
      <c r="H763" s="91">
        <f t="shared" si="26"/>
        <v>3</v>
      </c>
      <c r="I763" s="10" t="s">
        <v>18</v>
      </c>
      <c r="J763" s="11" t="s">
        <v>133</v>
      </c>
      <c r="K763" s="88">
        <f t="shared" si="27"/>
        <v>4</v>
      </c>
      <c r="L763" s="11" t="s">
        <v>1678</v>
      </c>
      <c r="M763" s="11" t="s">
        <v>130</v>
      </c>
      <c r="N763" s="92" t="s">
        <v>21</v>
      </c>
    </row>
    <row r="764" spans="1:14" x14ac:dyDescent="0.35">
      <c r="A764" s="94" t="s">
        <v>3021</v>
      </c>
      <c r="B764" s="15" t="s">
        <v>13</v>
      </c>
      <c r="C764" s="16" t="s">
        <v>3022</v>
      </c>
      <c r="D764" s="16" t="s">
        <v>78</v>
      </c>
      <c r="E764" s="17" t="s">
        <v>29</v>
      </c>
      <c r="F764" s="15">
        <f>+YEAR(Tabla2[[#This Row],[Cosecha]])</f>
        <v>2025</v>
      </c>
      <c r="G764" s="16" t="s">
        <v>52</v>
      </c>
      <c r="H764" s="95">
        <f t="shared" si="26"/>
        <v>8</v>
      </c>
      <c r="I764" s="15" t="s">
        <v>18</v>
      </c>
      <c r="J764" s="16" t="s">
        <v>30</v>
      </c>
      <c r="K764" s="88">
        <f t="shared" si="27"/>
        <v>9</v>
      </c>
      <c r="L764" s="16" t="s">
        <v>3023</v>
      </c>
      <c r="M764" s="16" t="s">
        <v>25</v>
      </c>
      <c r="N764" s="96" t="s">
        <v>21</v>
      </c>
    </row>
    <row r="765" spans="1:14" x14ac:dyDescent="0.35">
      <c r="A765" s="90" t="s">
        <v>3024</v>
      </c>
      <c r="B765" s="10" t="s">
        <v>13</v>
      </c>
      <c r="C765" s="11" t="s">
        <v>3025</v>
      </c>
      <c r="D765" s="11" t="s">
        <v>34</v>
      </c>
      <c r="E765" s="12" t="s">
        <v>546</v>
      </c>
      <c r="F765" s="10">
        <f>+YEAR(Tabla2[[#This Row],[Cosecha]])</f>
        <v>2023</v>
      </c>
      <c r="G765" s="11" t="s">
        <v>97</v>
      </c>
      <c r="H765" s="91">
        <f t="shared" si="26"/>
        <v>25</v>
      </c>
      <c r="I765" s="10" t="s">
        <v>18</v>
      </c>
      <c r="J765" s="11" t="s">
        <v>118</v>
      </c>
      <c r="K765" s="88">
        <f t="shared" si="27"/>
        <v>26</v>
      </c>
      <c r="L765" s="11" t="s">
        <v>3026</v>
      </c>
      <c r="M765" s="11" t="s">
        <v>20</v>
      </c>
      <c r="N765" s="92" t="s">
        <v>21</v>
      </c>
    </row>
    <row r="766" spans="1:14" x14ac:dyDescent="0.35">
      <c r="A766" s="94" t="s">
        <v>3027</v>
      </c>
      <c r="B766" s="15" t="s">
        <v>13</v>
      </c>
      <c r="C766" s="16" t="s">
        <v>3028</v>
      </c>
      <c r="D766" s="16" t="s">
        <v>34</v>
      </c>
      <c r="E766" s="17" t="s">
        <v>113</v>
      </c>
      <c r="F766" s="15">
        <f>+YEAR(Tabla2[[#This Row],[Cosecha]])</f>
        <v>2025</v>
      </c>
      <c r="G766" s="16" t="s">
        <v>52</v>
      </c>
      <c r="H766" s="95">
        <f t="shared" si="26"/>
        <v>2</v>
      </c>
      <c r="I766" s="15" t="s">
        <v>18</v>
      </c>
      <c r="J766" s="16" t="s">
        <v>17</v>
      </c>
      <c r="K766" s="88">
        <f t="shared" si="27"/>
        <v>4</v>
      </c>
      <c r="L766" s="16" t="s">
        <v>3029</v>
      </c>
      <c r="M766" s="16" t="s">
        <v>72</v>
      </c>
      <c r="N766" s="96" t="s">
        <v>21</v>
      </c>
    </row>
    <row r="767" spans="1:14" x14ac:dyDescent="0.35">
      <c r="A767" s="90" t="s">
        <v>3030</v>
      </c>
      <c r="B767" s="10" t="s">
        <v>13</v>
      </c>
      <c r="C767" s="11" t="s">
        <v>3031</v>
      </c>
      <c r="D767" s="11" t="s">
        <v>34</v>
      </c>
      <c r="E767" s="12" t="s">
        <v>82</v>
      </c>
      <c r="F767" s="10">
        <f>+YEAR(Tabla2[[#This Row],[Cosecha]])</f>
        <v>2024</v>
      </c>
      <c r="G767" s="11" t="s">
        <v>29</v>
      </c>
      <c r="H767" s="91">
        <f t="shared" si="26"/>
        <v>6</v>
      </c>
      <c r="I767" s="10" t="s">
        <v>18</v>
      </c>
      <c r="J767" s="11" t="s">
        <v>62</v>
      </c>
      <c r="K767" s="88">
        <f t="shared" si="27"/>
        <v>7</v>
      </c>
      <c r="L767" s="11" t="s">
        <v>3032</v>
      </c>
      <c r="M767" s="11" t="s">
        <v>130</v>
      </c>
      <c r="N767" s="92" t="s">
        <v>26</v>
      </c>
    </row>
    <row r="768" spans="1:14" x14ac:dyDescent="0.35">
      <c r="A768" s="94" t="s">
        <v>3033</v>
      </c>
      <c r="B768" s="15" t="s">
        <v>13</v>
      </c>
      <c r="C768" s="16" t="s">
        <v>3034</v>
      </c>
      <c r="D768" s="16" t="s">
        <v>15</v>
      </c>
      <c r="E768" s="17" t="s">
        <v>37</v>
      </c>
      <c r="F768" s="15">
        <f>+YEAR(Tabla2[[#This Row],[Cosecha]])</f>
        <v>2025</v>
      </c>
      <c r="G768" s="16" t="s">
        <v>17</v>
      </c>
      <c r="H768" s="95">
        <f t="shared" si="26"/>
        <v>5</v>
      </c>
      <c r="I768" s="15" t="s">
        <v>18</v>
      </c>
      <c r="J768" s="16" t="s">
        <v>17</v>
      </c>
      <c r="K768" s="88">
        <f t="shared" si="27"/>
        <v>5</v>
      </c>
      <c r="L768" s="16" t="s">
        <v>3035</v>
      </c>
      <c r="M768" s="16" t="s">
        <v>25</v>
      </c>
      <c r="N768" s="96" t="s">
        <v>21</v>
      </c>
    </row>
    <row r="769" spans="1:14" x14ac:dyDescent="0.35">
      <c r="A769" s="90" t="s">
        <v>3036</v>
      </c>
      <c r="B769" s="10" t="s">
        <v>13</v>
      </c>
      <c r="C769" s="11" t="s">
        <v>3037</v>
      </c>
      <c r="D769" s="11" t="s">
        <v>34</v>
      </c>
      <c r="E769" s="12" t="s">
        <v>35</v>
      </c>
      <c r="F769" s="10">
        <f>+YEAR(Tabla2[[#This Row],[Cosecha]])</f>
        <v>2024</v>
      </c>
      <c r="G769" s="11" t="s">
        <v>133</v>
      </c>
      <c r="H769" s="91">
        <f t="shared" si="26"/>
        <v>6</v>
      </c>
      <c r="I769" s="10" t="s">
        <v>18</v>
      </c>
      <c r="J769" s="11" t="s">
        <v>133</v>
      </c>
      <c r="K769" s="88">
        <f t="shared" si="27"/>
        <v>6</v>
      </c>
      <c r="L769" s="11" t="s">
        <v>3038</v>
      </c>
      <c r="M769" s="11" t="s">
        <v>130</v>
      </c>
      <c r="N769" s="92" t="s">
        <v>26</v>
      </c>
    </row>
    <row r="770" spans="1:14" x14ac:dyDescent="0.35">
      <c r="A770" s="94" t="s">
        <v>3039</v>
      </c>
      <c r="B770" s="15" t="s">
        <v>13</v>
      </c>
      <c r="C770" s="16" t="s">
        <v>3040</v>
      </c>
      <c r="D770" s="16" t="s">
        <v>34</v>
      </c>
      <c r="E770" s="17" t="s">
        <v>62</v>
      </c>
      <c r="F770" s="15">
        <f>+YEAR(Tabla2[[#This Row],[Cosecha]])</f>
        <v>2025</v>
      </c>
      <c r="G770" s="16" t="s">
        <v>52</v>
      </c>
      <c r="H770" s="95">
        <f t="shared" ref="H770:H833" si="28">(YEAR(G770)-YEAR(E770))*12+(MONTH(G770)-MONTH(E770))</f>
        <v>7</v>
      </c>
      <c r="I770" s="15" t="s">
        <v>18</v>
      </c>
      <c r="J770" s="16" t="s">
        <v>52</v>
      </c>
      <c r="K770" s="88">
        <f t="shared" ref="K770:K833" si="29">(YEAR(J770)-YEAR(E770))*12+(MONTH(J770)-MONTH(E770))</f>
        <v>7</v>
      </c>
      <c r="L770" s="16" t="s">
        <v>3041</v>
      </c>
      <c r="M770" s="16" t="s">
        <v>115</v>
      </c>
      <c r="N770" s="96" t="s">
        <v>21</v>
      </c>
    </row>
    <row r="771" spans="1:14" x14ac:dyDescent="0.35">
      <c r="A771" s="90" t="s">
        <v>3042</v>
      </c>
      <c r="B771" s="10" t="s">
        <v>13</v>
      </c>
      <c r="C771" s="11" t="s">
        <v>3043</v>
      </c>
      <c r="D771" s="11" t="s">
        <v>34</v>
      </c>
      <c r="E771" s="12" t="s">
        <v>37</v>
      </c>
      <c r="F771" s="10">
        <f>+YEAR(Tabla2[[#This Row],[Cosecha]])</f>
        <v>2025</v>
      </c>
      <c r="G771" s="11" t="s">
        <v>23</v>
      </c>
      <c r="H771" s="91">
        <f t="shared" si="28"/>
        <v>2</v>
      </c>
      <c r="I771" s="10" t="s">
        <v>18</v>
      </c>
      <c r="J771" s="11" t="s">
        <v>52</v>
      </c>
      <c r="K771" s="88">
        <f t="shared" si="29"/>
        <v>3</v>
      </c>
      <c r="L771" s="11" t="s">
        <v>3044</v>
      </c>
      <c r="M771" s="11" t="s">
        <v>25</v>
      </c>
      <c r="N771" s="92" t="s">
        <v>21</v>
      </c>
    </row>
    <row r="772" spans="1:14" x14ac:dyDescent="0.35">
      <c r="A772" s="94" t="s">
        <v>3048</v>
      </c>
      <c r="B772" s="15" t="s">
        <v>13</v>
      </c>
      <c r="C772" s="16" t="s">
        <v>3049</v>
      </c>
      <c r="D772" s="16" t="s">
        <v>34</v>
      </c>
      <c r="E772" s="17" t="s">
        <v>29</v>
      </c>
      <c r="F772" s="15">
        <f>+YEAR(Tabla2[[#This Row],[Cosecha]])</f>
        <v>2025</v>
      </c>
      <c r="G772" s="16" t="s">
        <v>23</v>
      </c>
      <c r="H772" s="95">
        <f t="shared" si="28"/>
        <v>7</v>
      </c>
      <c r="I772" s="15" t="s">
        <v>18</v>
      </c>
      <c r="J772" s="16" t="s">
        <v>30</v>
      </c>
      <c r="K772" s="88">
        <f t="shared" si="29"/>
        <v>9</v>
      </c>
      <c r="L772" s="16" t="s">
        <v>3050</v>
      </c>
      <c r="M772" s="16" t="s">
        <v>25</v>
      </c>
      <c r="N772" s="96" t="s">
        <v>21</v>
      </c>
    </row>
    <row r="773" spans="1:14" x14ac:dyDescent="0.35">
      <c r="A773" s="90" t="s">
        <v>3054</v>
      </c>
      <c r="B773" s="10" t="s">
        <v>13</v>
      </c>
      <c r="C773" s="11" t="s">
        <v>3055</v>
      </c>
      <c r="D773" s="11" t="s">
        <v>90</v>
      </c>
      <c r="E773" s="12" t="s">
        <v>62</v>
      </c>
      <c r="F773" s="10">
        <f>+YEAR(Tabla2[[#This Row],[Cosecha]])</f>
        <v>2025</v>
      </c>
      <c r="G773" s="11" t="s">
        <v>30</v>
      </c>
      <c r="H773" s="91">
        <f t="shared" si="28"/>
        <v>8</v>
      </c>
      <c r="I773" s="10" t="s">
        <v>18</v>
      </c>
      <c r="J773" s="11" t="s">
        <v>17</v>
      </c>
      <c r="K773" s="88">
        <f t="shared" si="29"/>
        <v>9</v>
      </c>
      <c r="L773" s="11" t="s">
        <v>3056</v>
      </c>
      <c r="M773" s="11" t="s">
        <v>39</v>
      </c>
      <c r="N773" s="92" t="s">
        <v>26</v>
      </c>
    </row>
    <row r="774" spans="1:14" x14ac:dyDescent="0.35">
      <c r="A774" s="94" t="s">
        <v>3057</v>
      </c>
      <c r="B774" s="15" t="s">
        <v>13</v>
      </c>
      <c r="C774" s="16" t="s">
        <v>3058</v>
      </c>
      <c r="D774" s="16" t="s">
        <v>15</v>
      </c>
      <c r="E774" s="17" t="s">
        <v>118</v>
      </c>
      <c r="F774" s="15">
        <f>+YEAR(Tabla2[[#This Row],[Cosecha]])</f>
        <v>2025</v>
      </c>
      <c r="G774" s="16" t="s">
        <v>17</v>
      </c>
      <c r="H774" s="95">
        <f t="shared" si="28"/>
        <v>7</v>
      </c>
      <c r="I774" s="15" t="s">
        <v>18</v>
      </c>
      <c r="J774" s="16" t="s">
        <v>17</v>
      </c>
      <c r="K774" s="88">
        <f t="shared" si="29"/>
        <v>7</v>
      </c>
      <c r="L774" s="16" t="s">
        <v>3059</v>
      </c>
      <c r="M774" s="16" t="s">
        <v>25</v>
      </c>
      <c r="N774" s="96" t="s">
        <v>21</v>
      </c>
    </row>
    <row r="775" spans="1:14" x14ac:dyDescent="0.35">
      <c r="A775" s="90" t="s">
        <v>3060</v>
      </c>
      <c r="B775" s="10" t="s">
        <v>13</v>
      </c>
      <c r="C775" s="11" t="s">
        <v>3061</v>
      </c>
      <c r="D775" s="11" t="s">
        <v>34</v>
      </c>
      <c r="E775" s="12" t="s">
        <v>497</v>
      </c>
      <c r="F775" s="10">
        <f>+YEAR(Tabla2[[#This Row],[Cosecha]])</f>
        <v>2024</v>
      </c>
      <c r="G775" s="11" t="s">
        <v>29</v>
      </c>
      <c r="H775" s="91">
        <f t="shared" si="28"/>
        <v>10</v>
      </c>
      <c r="I775" s="10" t="s">
        <v>18</v>
      </c>
      <c r="J775" s="11" t="s">
        <v>29</v>
      </c>
      <c r="K775" s="88">
        <f t="shared" si="29"/>
        <v>10</v>
      </c>
      <c r="L775" s="11" t="s">
        <v>3062</v>
      </c>
      <c r="M775" s="11" t="s">
        <v>130</v>
      </c>
      <c r="N775" s="92" t="s">
        <v>26</v>
      </c>
    </row>
    <row r="776" spans="1:14" x14ac:dyDescent="0.35">
      <c r="A776" s="94" t="s">
        <v>3063</v>
      </c>
      <c r="B776" s="15" t="s">
        <v>13</v>
      </c>
      <c r="C776" s="16" t="s">
        <v>3064</v>
      </c>
      <c r="D776" s="16" t="s">
        <v>78</v>
      </c>
      <c r="E776" s="17" t="s">
        <v>51</v>
      </c>
      <c r="F776" s="15">
        <f>+YEAR(Tabla2[[#This Row],[Cosecha]])</f>
        <v>2025</v>
      </c>
      <c r="G776" s="16" t="s">
        <v>118</v>
      </c>
      <c r="H776" s="95">
        <f t="shared" si="28"/>
        <v>7</v>
      </c>
      <c r="I776" s="15" t="s">
        <v>18</v>
      </c>
      <c r="J776" s="16" t="s">
        <v>118</v>
      </c>
      <c r="K776" s="88">
        <f t="shared" si="29"/>
        <v>7</v>
      </c>
      <c r="L776" s="16" t="s">
        <v>3065</v>
      </c>
      <c r="M776" s="16" t="s">
        <v>25</v>
      </c>
      <c r="N776" s="96" t="s">
        <v>21</v>
      </c>
    </row>
    <row r="777" spans="1:14" x14ac:dyDescent="0.35">
      <c r="A777" s="90" t="s">
        <v>3066</v>
      </c>
      <c r="B777" s="10" t="s">
        <v>13</v>
      </c>
      <c r="C777" s="11" t="s">
        <v>3067</v>
      </c>
      <c r="D777" s="11" t="s">
        <v>34</v>
      </c>
      <c r="E777" s="12" t="s">
        <v>62</v>
      </c>
      <c r="F777" s="10">
        <f>+YEAR(Tabla2[[#This Row],[Cosecha]])</f>
        <v>2025</v>
      </c>
      <c r="G777" s="11" t="s">
        <v>52</v>
      </c>
      <c r="H777" s="91">
        <f t="shared" si="28"/>
        <v>7</v>
      </c>
      <c r="I777" s="10" t="s">
        <v>18</v>
      </c>
      <c r="J777" s="11" t="s">
        <v>17</v>
      </c>
      <c r="K777" s="88">
        <f t="shared" si="29"/>
        <v>9</v>
      </c>
      <c r="L777" s="11" t="s">
        <v>3068</v>
      </c>
      <c r="M777" s="11" t="s">
        <v>115</v>
      </c>
      <c r="N777" s="92" t="s">
        <v>21</v>
      </c>
    </row>
    <row r="778" spans="1:14" x14ac:dyDescent="0.35">
      <c r="A778" s="94" t="s">
        <v>3069</v>
      </c>
      <c r="B778" s="15" t="s">
        <v>13</v>
      </c>
      <c r="C778" s="16" t="s">
        <v>3070</v>
      </c>
      <c r="D778" s="16" t="s">
        <v>34</v>
      </c>
      <c r="E778" s="17" t="s">
        <v>62</v>
      </c>
      <c r="F778" s="15">
        <f>+YEAR(Tabla2[[#This Row],[Cosecha]])</f>
        <v>2025</v>
      </c>
      <c r="G778" s="16" t="s">
        <v>36</v>
      </c>
      <c r="H778" s="95">
        <f t="shared" si="28"/>
        <v>3</v>
      </c>
      <c r="I778" s="15" t="s">
        <v>18</v>
      </c>
      <c r="J778" s="16" t="s">
        <v>30</v>
      </c>
      <c r="K778" s="88">
        <f t="shared" si="29"/>
        <v>8</v>
      </c>
      <c r="L778" s="16" t="s">
        <v>3071</v>
      </c>
      <c r="M778" s="16" t="s">
        <v>115</v>
      </c>
      <c r="N778" s="96" t="s">
        <v>21</v>
      </c>
    </row>
    <row r="779" spans="1:14" x14ac:dyDescent="0.35">
      <c r="A779" s="90" t="s">
        <v>3072</v>
      </c>
      <c r="B779" s="10" t="s">
        <v>13</v>
      </c>
      <c r="C779" s="11" t="s">
        <v>3073</v>
      </c>
      <c r="D779" s="11" t="s">
        <v>34</v>
      </c>
      <c r="E779" s="12" t="s">
        <v>178</v>
      </c>
      <c r="F779" s="10">
        <f>+YEAR(Tabla2[[#This Row],[Cosecha]])</f>
        <v>2024</v>
      </c>
      <c r="G779" s="11" t="s">
        <v>133</v>
      </c>
      <c r="H779" s="91">
        <f t="shared" si="28"/>
        <v>5</v>
      </c>
      <c r="I779" s="10" t="s">
        <v>18</v>
      </c>
      <c r="J779" s="11" t="s">
        <v>104</v>
      </c>
      <c r="K779" s="88">
        <f t="shared" si="29"/>
        <v>6</v>
      </c>
      <c r="L779" s="11" t="s">
        <v>1871</v>
      </c>
      <c r="M779" s="11" t="s">
        <v>130</v>
      </c>
      <c r="N779" s="92" t="s">
        <v>21</v>
      </c>
    </row>
    <row r="780" spans="1:14" x14ac:dyDescent="0.35">
      <c r="A780" s="94" t="s">
        <v>3074</v>
      </c>
      <c r="B780" s="15" t="s">
        <v>13</v>
      </c>
      <c r="C780" s="16" t="s">
        <v>3075</v>
      </c>
      <c r="D780" s="16" t="s">
        <v>15</v>
      </c>
      <c r="E780" s="17" t="s">
        <v>252</v>
      </c>
      <c r="F780" s="15">
        <f>+YEAR(Tabla2[[#This Row],[Cosecha]])</f>
        <v>2024</v>
      </c>
      <c r="G780" s="16" t="s">
        <v>52</v>
      </c>
      <c r="H780" s="95">
        <f t="shared" si="28"/>
        <v>19</v>
      </c>
      <c r="I780" s="15" t="s">
        <v>18</v>
      </c>
      <c r="J780" s="16" t="s">
        <v>52</v>
      </c>
      <c r="K780" s="88">
        <f t="shared" si="29"/>
        <v>19</v>
      </c>
      <c r="L780" s="16" t="s">
        <v>3076</v>
      </c>
      <c r="M780" s="16" t="s">
        <v>25</v>
      </c>
      <c r="N780" s="96" t="s">
        <v>21</v>
      </c>
    </row>
    <row r="781" spans="1:14" x14ac:dyDescent="0.35">
      <c r="A781" s="90" t="s">
        <v>3077</v>
      </c>
      <c r="B781" s="10" t="s">
        <v>13</v>
      </c>
      <c r="C781" s="11" t="s">
        <v>3078</v>
      </c>
      <c r="D781" s="11" t="s">
        <v>34</v>
      </c>
      <c r="E781" s="12" t="s">
        <v>97</v>
      </c>
      <c r="F781" s="10">
        <f>+YEAR(Tabla2[[#This Row],[Cosecha]])</f>
        <v>2025</v>
      </c>
      <c r="G781" s="11" t="s">
        <v>52</v>
      </c>
      <c r="H781" s="91">
        <f t="shared" si="28"/>
        <v>6</v>
      </c>
      <c r="I781" s="10" t="s">
        <v>18</v>
      </c>
      <c r="J781" s="11" t="s">
        <v>17</v>
      </c>
      <c r="K781" s="88">
        <f t="shared" si="29"/>
        <v>8</v>
      </c>
      <c r="L781" s="11" t="s">
        <v>3079</v>
      </c>
      <c r="M781" s="11" t="s">
        <v>44</v>
      </c>
      <c r="N781" s="92" t="s">
        <v>21</v>
      </c>
    </row>
    <row r="782" spans="1:14" x14ac:dyDescent="0.35">
      <c r="A782" s="94" t="s">
        <v>3080</v>
      </c>
      <c r="B782" s="15" t="s">
        <v>13</v>
      </c>
      <c r="C782" s="16" t="s">
        <v>3081</v>
      </c>
      <c r="D782" s="16" t="s">
        <v>34</v>
      </c>
      <c r="E782" s="17" t="s">
        <v>62</v>
      </c>
      <c r="F782" s="15">
        <f>+YEAR(Tabla2[[#This Row],[Cosecha]])</f>
        <v>2025</v>
      </c>
      <c r="G782" s="16" t="s">
        <v>17</v>
      </c>
      <c r="H782" s="95">
        <f t="shared" si="28"/>
        <v>9</v>
      </c>
      <c r="I782" s="15" t="s">
        <v>18</v>
      </c>
      <c r="J782" s="16" t="s">
        <v>17</v>
      </c>
      <c r="K782" s="88">
        <f t="shared" si="29"/>
        <v>9</v>
      </c>
      <c r="L782" s="16" t="s">
        <v>3082</v>
      </c>
      <c r="M782" s="16" t="s">
        <v>44</v>
      </c>
      <c r="N782" s="96" t="s">
        <v>21</v>
      </c>
    </row>
    <row r="783" spans="1:14" x14ac:dyDescent="0.35">
      <c r="A783" s="90" t="s">
        <v>3086</v>
      </c>
      <c r="B783" s="10" t="s">
        <v>13</v>
      </c>
      <c r="C783" s="11" t="s">
        <v>3087</v>
      </c>
      <c r="D783" s="11" t="s">
        <v>34</v>
      </c>
      <c r="E783" s="12" t="s">
        <v>62</v>
      </c>
      <c r="F783" s="10">
        <f>+YEAR(Tabla2[[#This Row],[Cosecha]])</f>
        <v>2025</v>
      </c>
      <c r="G783" s="11" t="s">
        <v>113</v>
      </c>
      <c r="H783" s="91">
        <f t="shared" si="28"/>
        <v>5</v>
      </c>
      <c r="I783" s="10" t="s">
        <v>18</v>
      </c>
      <c r="J783" s="11" t="s">
        <v>23</v>
      </c>
      <c r="K783" s="88">
        <f t="shared" si="29"/>
        <v>6</v>
      </c>
      <c r="L783" s="11" t="s">
        <v>3088</v>
      </c>
      <c r="M783" s="11" t="s">
        <v>115</v>
      </c>
      <c r="N783" s="92" t="s">
        <v>21</v>
      </c>
    </row>
    <row r="784" spans="1:14" x14ac:dyDescent="0.35">
      <c r="A784" s="94" t="s">
        <v>3089</v>
      </c>
      <c r="B784" s="15" t="s">
        <v>13</v>
      </c>
      <c r="C784" s="16" t="s">
        <v>3090</v>
      </c>
      <c r="D784" s="16" t="s">
        <v>34</v>
      </c>
      <c r="E784" s="17" t="s">
        <v>2064</v>
      </c>
      <c r="F784" s="15">
        <f>+YEAR(Tabla2[[#This Row],[Cosecha]])</f>
        <v>2022</v>
      </c>
      <c r="G784" s="16" t="s">
        <v>133</v>
      </c>
      <c r="H784" s="95">
        <f t="shared" si="28"/>
        <v>28</v>
      </c>
      <c r="I784" s="15" t="s">
        <v>18</v>
      </c>
      <c r="J784" s="16" t="s">
        <v>104</v>
      </c>
      <c r="K784" s="88">
        <f t="shared" si="29"/>
        <v>29</v>
      </c>
      <c r="L784" s="16" t="s">
        <v>3091</v>
      </c>
      <c r="M784" s="16" t="s">
        <v>293</v>
      </c>
      <c r="N784" s="96" t="s">
        <v>21</v>
      </c>
    </row>
    <row r="785" spans="1:14" x14ac:dyDescent="0.35">
      <c r="A785" s="90" t="s">
        <v>3092</v>
      </c>
      <c r="B785" s="10" t="s">
        <v>13</v>
      </c>
      <c r="C785" s="11" t="s">
        <v>3093</v>
      </c>
      <c r="D785" s="11" t="s">
        <v>34</v>
      </c>
      <c r="E785" s="12" t="s">
        <v>36</v>
      </c>
      <c r="F785" s="10">
        <f>+YEAR(Tabla2[[#This Row],[Cosecha]])</f>
        <v>2025</v>
      </c>
      <c r="G785" s="11" t="s">
        <v>30</v>
      </c>
      <c r="H785" s="91">
        <f t="shared" si="28"/>
        <v>5</v>
      </c>
      <c r="I785" s="10" t="s">
        <v>18</v>
      </c>
      <c r="J785" s="11" t="s">
        <v>30</v>
      </c>
      <c r="K785" s="88">
        <f t="shared" si="29"/>
        <v>5</v>
      </c>
      <c r="L785" s="11" t="s">
        <v>3094</v>
      </c>
      <c r="M785" s="11" t="s">
        <v>44</v>
      </c>
      <c r="N785" s="92" t="s">
        <v>21</v>
      </c>
    </row>
    <row r="786" spans="1:14" x14ac:dyDescent="0.35">
      <c r="A786" s="94" t="s">
        <v>3098</v>
      </c>
      <c r="B786" s="15" t="s">
        <v>13</v>
      </c>
      <c r="C786" s="16" t="s">
        <v>3099</v>
      </c>
      <c r="D786" s="16" t="s">
        <v>34</v>
      </c>
      <c r="E786" s="17" t="s">
        <v>47</v>
      </c>
      <c r="F786" s="15">
        <f>+YEAR(Tabla2[[#This Row],[Cosecha]])</f>
        <v>2025</v>
      </c>
      <c r="G786" s="16" t="s">
        <v>62</v>
      </c>
      <c r="H786" s="95">
        <f t="shared" si="28"/>
        <v>4</v>
      </c>
      <c r="I786" s="15" t="s">
        <v>18</v>
      </c>
      <c r="J786" s="16" t="s">
        <v>62</v>
      </c>
      <c r="K786" s="88">
        <f t="shared" si="29"/>
        <v>4</v>
      </c>
      <c r="L786" s="16" t="s">
        <v>3100</v>
      </c>
      <c r="M786" s="16" t="s">
        <v>44</v>
      </c>
      <c r="N786" s="96" t="s">
        <v>21</v>
      </c>
    </row>
    <row r="787" spans="1:14" x14ac:dyDescent="0.35">
      <c r="A787" s="90" t="s">
        <v>3101</v>
      </c>
      <c r="B787" s="10" t="s">
        <v>13</v>
      </c>
      <c r="C787" s="11" t="s">
        <v>3102</v>
      </c>
      <c r="D787" s="11" t="s">
        <v>34</v>
      </c>
      <c r="E787" s="12" t="s">
        <v>82</v>
      </c>
      <c r="F787" s="10">
        <f>+YEAR(Tabla2[[#This Row],[Cosecha]])</f>
        <v>2024</v>
      </c>
      <c r="G787" s="11" t="s">
        <v>62</v>
      </c>
      <c r="H787" s="91">
        <f t="shared" si="28"/>
        <v>7</v>
      </c>
      <c r="I787" s="10" t="s">
        <v>18</v>
      </c>
      <c r="J787" s="11" t="s">
        <v>62</v>
      </c>
      <c r="K787" s="88">
        <f t="shared" si="29"/>
        <v>7</v>
      </c>
      <c r="L787" s="11" t="s">
        <v>3103</v>
      </c>
      <c r="M787" s="11" t="s">
        <v>130</v>
      </c>
      <c r="N787" s="92" t="s">
        <v>21</v>
      </c>
    </row>
    <row r="788" spans="1:14" x14ac:dyDescent="0.35">
      <c r="A788" s="94" t="s">
        <v>3104</v>
      </c>
      <c r="B788" s="15" t="s">
        <v>13</v>
      </c>
      <c r="C788" s="16" t="s">
        <v>3105</v>
      </c>
      <c r="D788" s="16" t="s">
        <v>15</v>
      </c>
      <c r="E788" s="17" t="s">
        <v>275</v>
      </c>
      <c r="F788" s="15">
        <f>+YEAR(Tabla2[[#This Row],[Cosecha]])</f>
        <v>2024</v>
      </c>
      <c r="G788" s="16" t="s">
        <v>29</v>
      </c>
      <c r="H788" s="95">
        <f t="shared" si="28"/>
        <v>15</v>
      </c>
      <c r="I788" s="15" t="s">
        <v>18</v>
      </c>
      <c r="J788" s="16" t="s">
        <v>29</v>
      </c>
      <c r="K788" s="88">
        <f t="shared" si="29"/>
        <v>15</v>
      </c>
      <c r="L788" s="16" t="s">
        <v>3106</v>
      </c>
      <c r="M788" s="16" t="s">
        <v>25</v>
      </c>
      <c r="N788" s="96" t="s">
        <v>21</v>
      </c>
    </row>
    <row r="789" spans="1:14" x14ac:dyDescent="0.35">
      <c r="A789" s="90" t="s">
        <v>3107</v>
      </c>
      <c r="B789" s="10" t="s">
        <v>13</v>
      </c>
      <c r="C789" s="11" t="s">
        <v>3108</v>
      </c>
      <c r="D789" s="11" t="s">
        <v>34</v>
      </c>
      <c r="E789" s="12" t="s">
        <v>51</v>
      </c>
      <c r="F789" s="10">
        <f>+YEAR(Tabla2[[#This Row],[Cosecha]])</f>
        <v>2025</v>
      </c>
      <c r="G789" s="11" t="s">
        <v>29</v>
      </c>
      <c r="H789" s="91">
        <f t="shared" si="28"/>
        <v>4</v>
      </c>
      <c r="I789" s="10" t="s">
        <v>18</v>
      </c>
      <c r="J789" s="11" t="s">
        <v>29</v>
      </c>
      <c r="K789" s="88">
        <f t="shared" si="29"/>
        <v>4</v>
      </c>
      <c r="L789" s="11" t="s">
        <v>3109</v>
      </c>
      <c r="M789" s="11" t="s">
        <v>44</v>
      </c>
      <c r="N789" s="92" t="s">
        <v>21</v>
      </c>
    </row>
    <row r="790" spans="1:14" x14ac:dyDescent="0.35">
      <c r="A790" s="94" t="s">
        <v>3110</v>
      </c>
      <c r="B790" s="15" t="s">
        <v>13</v>
      </c>
      <c r="C790" s="16" t="s">
        <v>3111</v>
      </c>
      <c r="D790" s="16" t="s">
        <v>34</v>
      </c>
      <c r="E790" s="17" t="s">
        <v>133</v>
      </c>
      <c r="F790" s="15">
        <f>+YEAR(Tabla2[[#This Row],[Cosecha]])</f>
        <v>2025</v>
      </c>
      <c r="G790" s="16" t="s">
        <v>37</v>
      </c>
      <c r="H790" s="95">
        <f t="shared" si="28"/>
        <v>7</v>
      </c>
      <c r="I790" s="15" t="s">
        <v>18</v>
      </c>
      <c r="J790" s="16" t="s">
        <v>37</v>
      </c>
      <c r="K790" s="88">
        <f t="shared" si="29"/>
        <v>7</v>
      </c>
      <c r="L790" s="16" t="s">
        <v>3112</v>
      </c>
      <c r="M790" s="16" t="s">
        <v>44</v>
      </c>
      <c r="N790" s="96" t="s">
        <v>26</v>
      </c>
    </row>
    <row r="791" spans="1:14" x14ac:dyDescent="0.35">
      <c r="A791" s="90" t="s">
        <v>3113</v>
      </c>
      <c r="B791" s="10" t="s">
        <v>13</v>
      </c>
      <c r="C791" s="11" t="s">
        <v>3114</v>
      </c>
      <c r="D791" s="11" t="s">
        <v>90</v>
      </c>
      <c r="E791" s="12" t="s">
        <v>82</v>
      </c>
      <c r="F791" s="10">
        <f>+YEAR(Tabla2[[#This Row],[Cosecha]])</f>
        <v>2024</v>
      </c>
      <c r="G791" s="11" t="s">
        <v>118</v>
      </c>
      <c r="H791" s="91">
        <f t="shared" si="28"/>
        <v>9</v>
      </c>
      <c r="I791" s="10" t="s">
        <v>18</v>
      </c>
      <c r="J791" s="11" t="s">
        <v>36</v>
      </c>
      <c r="K791" s="88">
        <f t="shared" si="29"/>
        <v>10</v>
      </c>
      <c r="L791" s="11" t="s">
        <v>3115</v>
      </c>
      <c r="M791" s="11" t="s">
        <v>25</v>
      </c>
      <c r="N791" s="92" t="s">
        <v>21</v>
      </c>
    </row>
    <row r="792" spans="1:14" x14ac:dyDescent="0.35">
      <c r="A792" s="94" t="s">
        <v>3116</v>
      </c>
      <c r="B792" s="15" t="s">
        <v>13</v>
      </c>
      <c r="C792" s="16" t="s">
        <v>3117</v>
      </c>
      <c r="D792" s="16" t="s">
        <v>34</v>
      </c>
      <c r="E792" s="17" t="s">
        <v>37</v>
      </c>
      <c r="F792" s="15">
        <f>+YEAR(Tabla2[[#This Row],[Cosecha]])</f>
        <v>2025</v>
      </c>
      <c r="G792" s="16" t="s">
        <v>17</v>
      </c>
      <c r="H792" s="95">
        <f t="shared" si="28"/>
        <v>5</v>
      </c>
      <c r="I792" s="15" t="s">
        <v>18</v>
      </c>
      <c r="J792" s="16" t="s">
        <v>17</v>
      </c>
      <c r="K792" s="88">
        <f t="shared" si="29"/>
        <v>5</v>
      </c>
      <c r="L792" s="16" t="s">
        <v>3118</v>
      </c>
      <c r="M792" s="16" t="s">
        <v>115</v>
      </c>
      <c r="N792" s="96" t="s">
        <v>21</v>
      </c>
    </row>
    <row r="793" spans="1:14" x14ac:dyDescent="0.35">
      <c r="A793" s="90" t="s">
        <v>3119</v>
      </c>
      <c r="B793" s="10" t="s">
        <v>13</v>
      </c>
      <c r="C793" s="11" t="s">
        <v>3120</v>
      </c>
      <c r="D793" s="11" t="s">
        <v>34</v>
      </c>
      <c r="E793" s="12" t="s">
        <v>82</v>
      </c>
      <c r="F793" s="10">
        <f>+YEAR(Tabla2[[#This Row],[Cosecha]])</f>
        <v>2024</v>
      </c>
      <c r="G793" s="11" t="s">
        <v>17</v>
      </c>
      <c r="H793" s="91">
        <f t="shared" si="28"/>
        <v>16</v>
      </c>
      <c r="I793" s="10" t="s">
        <v>18</v>
      </c>
      <c r="J793" s="11" t="s">
        <v>17</v>
      </c>
      <c r="K793" s="88">
        <f t="shared" si="29"/>
        <v>16</v>
      </c>
      <c r="L793" s="11" t="s">
        <v>3121</v>
      </c>
      <c r="M793" s="11" t="s">
        <v>130</v>
      </c>
      <c r="N793" s="92" t="s">
        <v>21</v>
      </c>
    </row>
    <row r="794" spans="1:14" x14ac:dyDescent="0.35">
      <c r="A794" s="94" t="s">
        <v>3131</v>
      </c>
      <c r="B794" s="15" t="s">
        <v>13</v>
      </c>
      <c r="C794" s="16" t="s">
        <v>3132</v>
      </c>
      <c r="D794" s="16" t="s">
        <v>15</v>
      </c>
      <c r="E794" s="17" t="s">
        <v>1222</v>
      </c>
      <c r="F794" s="15">
        <f>+YEAR(Tabla2[[#This Row],[Cosecha]])</f>
        <v>2023</v>
      </c>
      <c r="G794" s="16" t="s">
        <v>23</v>
      </c>
      <c r="H794" s="95">
        <f t="shared" si="28"/>
        <v>31</v>
      </c>
      <c r="I794" s="15" t="s">
        <v>18</v>
      </c>
      <c r="J794" s="16" t="s">
        <v>52</v>
      </c>
      <c r="K794" s="88">
        <f t="shared" si="29"/>
        <v>32</v>
      </c>
      <c r="L794" s="16" t="s">
        <v>3133</v>
      </c>
      <c r="M794" s="16" t="s">
        <v>20</v>
      </c>
      <c r="N794" s="96" t="s">
        <v>21</v>
      </c>
    </row>
    <row r="795" spans="1:14" x14ac:dyDescent="0.35">
      <c r="A795" s="90" t="s">
        <v>3134</v>
      </c>
      <c r="B795" s="10" t="s">
        <v>13</v>
      </c>
      <c r="C795" s="11" t="s">
        <v>3135</v>
      </c>
      <c r="D795" s="11" t="s">
        <v>34</v>
      </c>
      <c r="E795" s="12" t="s">
        <v>36</v>
      </c>
      <c r="F795" s="10">
        <f>+YEAR(Tabla2[[#This Row],[Cosecha]])</f>
        <v>2025</v>
      </c>
      <c r="G795" s="11" t="s">
        <v>23</v>
      </c>
      <c r="H795" s="91">
        <f t="shared" si="28"/>
        <v>3</v>
      </c>
      <c r="I795" s="10" t="s">
        <v>18</v>
      </c>
      <c r="J795" s="11" t="s">
        <v>23</v>
      </c>
      <c r="K795" s="88">
        <f t="shared" si="29"/>
        <v>3</v>
      </c>
      <c r="L795" s="11" t="s">
        <v>3136</v>
      </c>
      <c r="M795" s="11" t="s">
        <v>115</v>
      </c>
      <c r="N795" s="92" t="s">
        <v>21</v>
      </c>
    </row>
    <row r="796" spans="1:14" x14ac:dyDescent="0.35">
      <c r="A796" s="94" t="s">
        <v>3137</v>
      </c>
      <c r="B796" s="15" t="s">
        <v>13</v>
      </c>
      <c r="C796" s="16" t="s">
        <v>3138</v>
      </c>
      <c r="D796" s="16" t="s">
        <v>34</v>
      </c>
      <c r="E796" s="17" t="s">
        <v>244</v>
      </c>
      <c r="F796" s="15">
        <f>+YEAR(Tabla2[[#This Row],[Cosecha]])</f>
        <v>2024</v>
      </c>
      <c r="G796" s="16" t="s">
        <v>52</v>
      </c>
      <c r="H796" s="95">
        <f t="shared" si="28"/>
        <v>21</v>
      </c>
      <c r="I796" s="15" t="s">
        <v>18</v>
      </c>
      <c r="J796" s="16" t="s">
        <v>17</v>
      </c>
      <c r="K796" s="88">
        <f t="shared" si="29"/>
        <v>23</v>
      </c>
      <c r="L796" s="16" t="s">
        <v>3139</v>
      </c>
      <c r="M796" s="16" t="s">
        <v>130</v>
      </c>
      <c r="N796" s="96" t="s">
        <v>21</v>
      </c>
    </row>
    <row r="797" spans="1:14" x14ac:dyDescent="0.35">
      <c r="A797" s="90" t="s">
        <v>3140</v>
      </c>
      <c r="B797" s="10" t="s">
        <v>13</v>
      </c>
      <c r="C797" s="11" t="s">
        <v>3141</v>
      </c>
      <c r="D797" s="11" t="s">
        <v>34</v>
      </c>
      <c r="E797" s="12" t="s">
        <v>133</v>
      </c>
      <c r="F797" s="10">
        <f>+YEAR(Tabla2[[#This Row],[Cosecha]])</f>
        <v>2025</v>
      </c>
      <c r="G797" s="11" t="s">
        <v>113</v>
      </c>
      <c r="H797" s="91">
        <f t="shared" si="28"/>
        <v>8</v>
      </c>
      <c r="I797" s="10" t="s">
        <v>18</v>
      </c>
      <c r="J797" s="11" t="s">
        <v>23</v>
      </c>
      <c r="K797" s="88">
        <f t="shared" si="29"/>
        <v>9</v>
      </c>
      <c r="L797" s="11" t="s">
        <v>3142</v>
      </c>
      <c r="M797" s="11" t="s">
        <v>25</v>
      </c>
      <c r="N797" s="92" t="s">
        <v>21</v>
      </c>
    </row>
    <row r="798" spans="1:14" x14ac:dyDescent="0.35">
      <c r="A798" s="94" t="s">
        <v>3146</v>
      </c>
      <c r="B798" s="15" t="s">
        <v>13</v>
      </c>
      <c r="C798" s="16" t="s">
        <v>3147</v>
      </c>
      <c r="D798" s="16" t="s">
        <v>34</v>
      </c>
      <c r="E798" s="17" t="s">
        <v>252</v>
      </c>
      <c r="F798" s="15">
        <f>+YEAR(Tabla2[[#This Row],[Cosecha]])</f>
        <v>2024</v>
      </c>
      <c r="G798" s="16" t="s">
        <v>52</v>
      </c>
      <c r="H798" s="95">
        <f t="shared" si="28"/>
        <v>19</v>
      </c>
      <c r="I798" s="15" t="s">
        <v>18</v>
      </c>
      <c r="J798" s="16" t="s">
        <v>17</v>
      </c>
      <c r="K798" s="88">
        <f t="shared" si="29"/>
        <v>21</v>
      </c>
      <c r="L798" s="16" t="s">
        <v>3148</v>
      </c>
      <c r="M798" s="16" t="s">
        <v>130</v>
      </c>
      <c r="N798" s="96" t="s">
        <v>21</v>
      </c>
    </row>
    <row r="799" spans="1:14" x14ac:dyDescent="0.35">
      <c r="A799" s="90" t="s">
        <v>3152</v>
      </c>
      <c r="B799" s="10" t="s">
        <v>13</v>
      </c>
      <c r="C799" s="11" t="s">
        <v>3153</v>
      </c>
      <c r="D799" s="11" t="s">
        <v>34</v>
      </c>
      <c r="E799" s="12" t="s">
        <v>36</v>
      </c>
      <c r="F799" s="10">
        <f>+YEAR(Tabla2[[#This Row],[Cosecha]])</f>
        <v>2025</v>
      </c>
      <c r="G799" s="11" t="s">
        <v>113</v>
      </c>
      <c r="H799" s="91">
        <f t="shared" si="28"/>
        <v>2</v>
      </c>
      <c r="I799" s="10" t="s">
        <v>18</v>
      </c>
      <c r="J799" s="11" t="s">
        <v>23</v>
      </c>
      <c r="K799" s="88">
        <f t="shared" si="29"/>
        <v>3</v>
      </c>
      <c r="L799" s="11" t="s">
        <v>3154</v>
      </c>
      <c r="M799" s="11" t="s">
        <v>115</v>
      </c>
      <c r="N799" s="92" t="s">
        <v>21</v>
      </c>
    </row>
    <row r="800" spans="1:14" x14ac:dyDescent="0.35">
      <c r="A800" s="94" t="s">
        <v>3155</v>
      </c>
      <c r="B800" s="15" t="s">
        <v>13</v>
      </c>
      <c r="C800" s="16" t="s">
        <v>3156</v>
      </c>
      <c r="D800" s="16" t="s">
        <v>15</v>
      </c>
      <c r="E800" s="17" t="s">
        <v>47</v>
      </c>
      <c r="F800" s="15">
        <f>+YEAR(Tabla2[[#This Row],[Cosecha]])</f>
        <v>2025</v>
      </c>
      <c r="G800" s="16" t="s">
        <v>113</v>
      </c>
      <c r="H800" s="95">
        <f t="shared" si="28"/>
        <v>9</v>
      </c>
      <c r="I800" s="15" t="s">
        <v>18</v>
      </c>
      <c r="J800" s="16" t="s">
        <v>113</v>
      </c>
      <c r="K800" s="88">
        <f t="shared" si="29"/>
        <v>9</v>
      </c>
      <c r="L800" s="16" t="s">
        <v>3157</v>
      </c>
      <c r="M800" s="16" t="s">
        <v>25</v>
      </c>
      <c r="N800" s="96" t="s">
        <v>21</v>
      </c>
    </row>
    <row r="801" spans="1:14" x14ac:dyDescent="0.35">
      <c r="A801" s="90" t="s">
        <v>3158</v>
      </c>
      <c r="B801" s="10" t="s">
        <v>13</v>
      </c>
      <c r="C801" s="11" t="s">
        <v>3159</v>
      </c>
      <c r="D801" s="11" t="s">
        <v>34</v>
      </c>
      <c r="E801" s="12" t="s">
        <v>497</v>
      </c>
      <c r="F801" s="10">
        <f>+YEAR(Tabla2[[#This Row],[Cosecha]])</f>
        <v>2024</v>
      </c>
      <c r="G801" s="11" t="s">
        <v>66</v>
      </c>
      <c r="H801" s="91">
        <f t="shared" si="28"/>
        <v>5</v>
      </c>
      <c r="I801" s="10" t="s">
        <v>18</v>
      </c>
      <c r="J801" s="11" t="s">
        <v>66</v>
      </c>
      <c r="K801" s="88">
        <f t="shared" si="29"/>
        <v>5</v>
      </c>
      <c r="L801" s="11" t="s">
        <v>3160</v>
      </c>
      <c r="M801" s="11" t="s">
        <v>130</v>
      </c>
      <c r="N801" s="92" t="s">
        <v>21</v>
      </c>
    </row>
    <row r="802" spans="1:14" x14ac:dyDescent="0.35">
      <c r="A802" s="94" t="s">
        <v>3161</v>
      </c>
      <c r="B802" s="15" t="s">
        <v>13</v>
      </c>
      <c r="C802" s="16" t="s">
        <v>3162</v>
      </c>
      <c r="D802" s="16" t="s">
        <v>90</v>
      </c>
      <c r="E802" s="17" t="s">
        <v>104</v>
      </c>
      <c r="F802" s="15">
        <f>+YEAR(Tabla2[[#This Row],[Cosecha]])</f>
        <v>2025</v>
      </c>
      <c r="G802" s="16" t="s">
        <v>37</v>
      </c>
      <c r="H802" s="95">
        <f t="shared" si="28"/>
        <v>6</v>
      </c>
      <c r="I802" s="15" t="s">
        <v>18</v>
      </c>
      <c r="J802" s="16" t="s">
        <v>37</v>
      </c>
      <c r="K802" s="88">
        <f t="shared" si="29"/>
        <v>6</v>
      </c>
      <c r="L802" s="16" t="s">
        <v>3163</v>
      </c>
      <c r="M802" s="16" t="s">
        <v>39</v>
      </c>
      <c r="N802" s="96" t="s">
        <v>26</v>
      </c>
    </row>
    <row r="803" spans="1:14" x14ac:dyDescent="0.35">
      <c r="A803" s="90" t="s">
        <v>3167</v>
      </c>
      <c r="B803" s="10" t="s">
        <v>13</v>
      </c>
      <c r="C803" s="11" t="s">
        <v>3168</v>
      </c>
      <c r="D803" s="11" t="s">
        <v>34</v>
      </c>
      <c r="E803" s="12" t="s">
        <v>62</v>
      </c>
      <c r="F803" s="10">
        <f>+YEAR(Tabla2[[#This Row],[Cosecha]])</f>
        <v>2025</v>
      </c>
      <c r="G803" s="11" t="s">
        <v>118</v>
      </c>
      <c r="H803" s="91">
        <f t="shared" si="28"/>
        <v>2</v>
      </c>
      <c r="I803" s="10" t="s">
        <v>18</v>
      </c>
      <c r="J803" s="11" t="s">
        <v>118</v>
      </c>
      <c r="K803" s="88">
        <f t="shared" si="29"/>
        <v>2</v>
      </c>
      <c r="L803" s="11" t="s">
        <v>3169</v>
      </c>
      <c r="M803" s="11" t="s">
        <v>115</v>
      </c>
      <c r="N803" s="92" t="s">
        <v>21</v>
      </c>
    </row>
    <row r="804" spans="1:14" x14ac:dyDescent="0.35">
      <c r="A804" s="94" t="s">
        <v>3170</v>
      </c>
      <c r="B804" s="15" t="s">
        <v>85</v>
      </c>
      <c r="C804" s="16" t="s">
        <v>3171</v>
      </c>
      <c r="D804" s="16" t="s">
        <v>34</v>
      </c>
      <c r="E804" s="17" t="s">
        <v>104</v>
      </c>
      <c r="F804" s="15">
        <f>+YEAR(Tabla2[[#This Row],[Cosecha]])</f>
        <v>2025</v>
      </c>
      <c r="G804" s="16" t="s">
        <v>52</v>
      </c>
      <c r="H804" s="95">
        <f t="shared" si="28"/>
        <v>9</v>
      </c>
      <c r="I804" s="15" t="s">
        <v>18</v>
      </c>
      <c r="J804" s="16" t="s">
        <v>52</v>
      </c>
      <c r="K804" s="88">
        <f t="shared" si="29"/>
        <v>9</v>
      </c>
      <c r="L804" s="16" t="s">
        <v>3172</v>
      </c>
      <c r="M804" s="16" t="s">
        <v>44</v>
      </c>
      <c r="N804" s="96" t="s">
        <v>21</v>
      </c>
    </row>
    <row r="805" spans="1:14" x14ac:dyDescent="0.35">
      <c r="A805" s="90" t="s">
        <v>3173</v>
      </c>
      <c r="B805" s="10" t="s">
        <v>13</v>
      </c>
      <c r="C805" s="11" t="s">
        <v>3174</v>
      </c>
      <c r="D805" s="11" t="s">
        <v>34</v>
      </c>
      <c r="E805" s="12" t="s">
        <v>29</v>
      </c>
      <c r="F805" s="10">
        <f>+YEAR(Tabla2[[#This Row],[Cosecha]])</f>
        <v>2025</v>
      </c>
      <c r="G805" s="11" t="s">
        <v>118</v>
      </c>
      <c r="H805" s="91">
        <f t="shared" si="28"/>
        <v>3</v>
      </c>
      <c r="I805" s="10" t="s">
        <v>18</v>
      </c>
      <c r="J805" s="11" t="s">
        <v>118</v>
      </c>
      <c r="K805" s="88">
        <f t="shared" si="29"/>
        <v>3</v>
      </c>
      <c r="L805" s="11" t="s">
        <v>3175</v>
      </c>
      <c r="M805" s="11" t="s">
        <v>25</v>
      </c>
      <c r="N805" s="92" t="s">
        <v>21</v>
      </c>
    </row>
    <row r="806" spans="1:14" x14ac:dyDescent="0.35">
      <c r="A806" s="94" t="s">
        <v>3176</v>
      </c>
      <c r="B806" s="15" t="s">
        <v>13</v>
      </c>
      <c r="C806" s="16" t="s">
        <v>3177</v>
      </c>
      <c r="D806" s="16" t="s">
        <v>34</v>
      </c>
      <c r="E806" s="17" t="s">
        <v>51</v>
      </c>
      <c r="F806" s="15">
        <f>+YEAR(Tabla2[[#This Row],[Cosecha]])</f>
        <v>2025</v>
      </c>
      <c r="G806" s="16" t="s">
        <v>113</v>
      </c>
      <c r="H806" s="95">
        <f t="shared" si="28"/>
        <v>10</v>
      </c>
      <c r="I806" s="15" t="s">
        <v>18</v>
      </c>
      <c r="J806" s="16" t="s">
        <v>113</v>
      </c>
      <c r="K806" s="88">
        <f t="shared" si="29"/>
        <v>10</v>
      </c>
      <c r="L806" s="16" t="s">
        <v>3178</v>
      </c>
      <c r="M806" s="16" t="s">
        <v>44</v>
      </c>
      <c r="N806" s="96" t="s">
        <v>21</v>
      </c>
    </row>
    <row r="807" spans="1:14" x14ac:dyDescent="0.35">
      <c r="A807" s="90" t="s">
        <v>3179</v>
      </c>
      <c r="B807" s="10" t="s">
        <v>13</v>
      </c>
      <c r="C807" s="11" t="s">
        <v>3180</v>
      </c>
      <c r="D807" s="11" t="s">
        <v>34</v>
      </c>
      <c r="E807" s="12" t="s">
        <v>29</v>
      </c>
      <c r="F807" s="10">
        <f>+YEAR(Tabla2[[#This Row],[Cosecha]])</f>
        <v>2025</v>
      </c>
      <c r="G807" s="11" t="s">
        <v>37</v>
      </c>
      <c r="H807" s="91">
        <f t="shared" si="28"/>
        <v>5</v>
      </c>
      <c r="I807" s="10" t="s">
        <v>18</v>
      </c>
      <c r="J807" s="11" t="s">
        <v>37</v>
      </c>
      <c r="K807" s="88">
        <f t="shared" si="29"/>
        <v>5</v>
      </c>
      <c r="L807" s="11" t="s">
        <v>3181</v>
      </c>
      <c r="M807" s="11" t="s">
        <v>115</v>
      </c>
      <c r="N807" s="92" t="s">
        <v>21</v>
      </c>
    </row>
    <row r="808" spans="1:14" x14ac:dyDescent="0.35">
      <c r="A808" s="94" t="s">
        <v>3185</v>
      </c>
      <c r="B808" s="15" t="s">
        <v>13</v>
      </c>
      <c r="C808" s="16" t="s">
        <v>3186</v>
      </c>
      <c r="D808" s="16" t="s">
        <v>34</v>
      </c>
      <c r="E808" s="17" t="s">
        <v>51</v>
      </c>
      <c r="F808" s="15">
        <f>+YEAR(Tabla2[[#This Row],[Cosecha]])</f>
        <v>2025</v>
      </c>
      <c r="G808" s="16" t="s">
        <v>113</v>
      </c>
      <c r="H808" s="95">
        <f t="shared" si="28"/>
        <v>10</v>
      </c>
      <c r="I808" s="15" t="s">
        <v>18</v>
      </c>
      <c r="J808" s="16" t="s">
        <v>23</v>
      </c>
      <c r="K808" s="88">
        <f t="shared" si="29"/>
        <v>11</v>
      </c>
      <c r="L808" s="16" t="s">
        <v>3187</v>
      </c>
      <c r="M808" s="16" t="s">
        <v>44</v>
      </c>
      <c r="N808" s="96" t="s">
        <v>26</v>
      </c>
    </row>
    <row r="809" spans="1:14" x14ac:dyDescent="0.35">
      <c r="A809" s="90" t="s">
        <v>3188</v>
      </c>
      <c r="B809" s="10" t="s">
        <v>13</v>
      </c>
      <c r="C809" s="11" t="s">
        <v>3189</v>
      </c>
      <c r="D809" s="11" t="s">
        <v>34</v>
      </c>
      <c r="E809" s="12" t="s">
        <v>793</v>
      </c>
      <c r="F809" s="10">
        <f>+YEAR(Tabla2[[#This Row],[Cosecha]])</f>
        <v>2023</v>
      </c>
      <c r="G809" s="11" t="s">
        <v>17</v>
      </c>
      <c r="H809" s="91">
        <f t="shared" si="28"/>
        <v>37</v>
      </c>
      <c r="I809" s="10" t="s">
        <v>18</v>
      </c>
      <c r="J809" s="11" t="s">
        <v>17</v>
      </c>
      <c r="K809" s="88">
        <f t="shared" si="29"/>
        <v>37</v>
      </c>
      <c r="L809" s="11" t="s">
        <v>3190</v>
      </c>
      <c r="M809" s="11" t="s">
        <v>25</v>
      </c>
      <c r="N809" s="92" t="s">
        <v>21</v>
      </c>
    </row>
    <row r="810" spans="1:14" x14ac:dyDescent="0.35">
      <c r="A810" s="94" t="s">
        <v>3191</v>
      </c>
      <c r="B810" s="15" t="s">
        <v>13</v>
      </c>
      <c r="C810" s="16" t="s">
        <v>3192</v>
      </c>
      <c r="D810" s="16" t="s">
        <v>78</v>
      </c>
      <c r="E810" s="17" t="s">
        <v>97</v>
      </c>
      <c r="F810" s="15">
        <f>+YEAR(Tabla2[[#This Row],[Cosecha]])</f>
        <v>2025</v>
      </c>
      <c r="G810" s="16" t="s">
        <v>37</v>
      </c>
      <c r="H810" s="95">
        <f t="shared" si="28"/>
        <v>3</v>
      </c>
      <c r="I810" s="15" t="s">
        <v>18</v>
      </c>
      <c r="J810" s="16" t="s">
        <v>37</v>
      </c>
      <c r="K810" s="88">
        <f t="shared" si="29"/>
        <v>3</v>
      </c>
      <c r="L810" s="16" t="s">
        <v>3193</v>
      </c>
      <c r="M810" s="16" t="s">
        <v>39</v>
      </c>
      <c r="N810" s="96" t="s">
        <v>21</v>
      </c>
    </row>
    <row r="811" spans="1:14" x14ac:dyDescent="0.35">
      <c r="A811" s="90" t="s">
        <v>3194</v>
      </c>
      <c r="B811" s="10" t="s">
        <v>13</v>
      </c>
      <c r="C811" s="11" t="s">
        <v>3195</v>
      </c>
      <c r="D811" s="11" t="s">
        <v>34</v>
      </c>
      <c r="E811" s="12" t="s">
        <v>47</v>
      </c>
      <c r="F811" s="10">
        <f>+YEAR(Tabla2[[#This Row],[Cosecha]])</f>
        <v>2025</v>
      </c>
      <c r="G811" s="11" t="s">
        <v>113</v>
      </c>
      <c r="H811" s="91">
        <f t="shared" si="28"/>
        <v>9</v>
      </c>
      <c r="I811" s="10" t="s">
        <v>18</v>
      </c>
      <c r="J811" s="11" t="s">
        <v>23</v>
      </c>
      <c r="K811" s="88">
        <f t="shared" si="29"/>
        <v>10</v>
      </c>
      <c r="L811" s="11" t="s">
        <v>3196</v>
      </c>
      <c r="M811" s="11" t="s">
        <v>44</v>
      </c>
      <c r="N811" s="92" t="s">
        <v>21</v>
      </c>
    </row>
    <row r="812" spans="1:14" x14ac:dyDescent="0.35">
      <c r="A812" s="94" t="s">
        <v>3197</v>
      </c>
      <c r="B812" s="15" t="s">
        <v>13</v>
      </c>
      <c r="C812" s="16" t="s">
        <v>3198</v>
      </c>
      <c r="D812" s="16" t="s">
        <v>34</v>
      </c>
      <c r="E812" s="17" t="s">
        <v>29</v>
      </c>
      <c r="F812" s="15">
        <f>+YEAR(Tabla2[[#This Row],[Cosecha]])</f>
        <v>2025</v>
      </c>
      <c r="G812" s="16" t="s">
        <v>23</v>
      </c>
      <c r="H812" s="95">
        <f t="shared" si="28"/>
        <v>7</v>
      </c>
      <c r="I812" s="15" t="s">
        <v>18</v>
      </c>
      <c r="J812" s="16" t="s">
        <v>23</v>
      </c>
      <c r="K812" s="88">
        <f t="shared" si="29"/>
        <v>7</v>
      </c>
      <c r="L812" s="16" t="s">
        <v>3199</v>
      </c>
      <c r="M812" s="16" t="s">
        <v>25</v>
      </c>
      <c r="N812" s="96" t="s">
        <v>26</v>
      </c>
    </row>
    <row r="813" spans="1:14" x14ac:dyDescent="0.35">
      <c r="A813" s="90" t="s">
        <v>3200</v>
      </c>
      <c r="B813" s="10" t="s">
        <v>13</v>
      </c>
      <c r="C813" s="11" t="s">
        <v>3201</v>
      </c>
      <c r="D813" s="11" t="s">
        <v>34</v>
      </c>
      <c r="E813" s="12" t="s">
        <v>149</v>
      </c>
      <c r="F813" s="10">
        <f>+YEAR(Tabla2[[#This Row],[Cosecha]])</f>
        <v>2024</v>
      </c>
      <c r="G813" s="11" t="s">
        <v>17</v>
      </c>
      <c r="H813" s="91">
        <f t="shared" si="28"/>
        <v>19</v>
      </c>
      <c r="I813" s="10" t="s">
        <v>18</v>
      </c>
      <c r="J813" s="11" t="s">
        <v>70</v>
      </c>
      <c r="K813" s="88">
        <f t="shared" si="29"/>
        <v>20</v>
      </c>
      <c r="L813" s="11" t="s">
        <v>3202</v>
      </c>
      <c r="M813" s="11" t="s">
        <v>39</v>
      </c>
      <c r="N813" s="92" t="s">
        <v>21</v>
      </c>
    </row>
    <row r="814" spans="1:14" x14ac:dyDescent="0.35">
      <c r="A814" s="94" t="s">
        <v>3203</v>
      </c>
      <c r="B814" s="15" t="s">
        <v>13</v>
      </c>
      <c r="C814" s="16" t="s">
        <v>3204</v>
      </c>
      <c r="D814" s="16" t="s">
        <v>34</v>
      </c>
      <c r="E814" s="17" t="s">
        <v>497</v>
      </c>
      <c r="F814" s="15">
        <f>+YEAR(Tabla2[[#This Row],[Cosecha]])</f>
        <v>2024</v>
      </c>
      <c r="G814" s="16" t="s">
        <v>62</v>
      </c>
      <c r="H814" s="95">
        <f t="shared" si="28"/>
        <v>11</v>
      </c>
      <c r="I814" s="15" t="s">
        <v>18</v>
      </c>
      <c r="J814" s="16" t="s">
        <v>62</v>
      </c>
      <c r="K814" s="88">
        <f t="shared" si="29"/>
        <v>11</v>
      </c>
      <c r="L814" s="16" t="s">
        <v>2306</v>
      </c>
      <c r="M814" s="16" t="s">
        <v>130</v>
      </c>
      <c r="N814" s="96" t="s">
        <v>21</v>
      </c>
    </row>
    <row r="815" spans="1:14" x14ac:dyDescent="0.35">
      <c r="A815" s="90" t="s">
        <v>3205</v>
      </c>
      <c r="B815" s="10" t="s">
        <v>13</v>
      </c>
      <c r="C815" s="11" t="s">
        <v>3206</v>
      </c>
      <c r="D815" s="11" t="s">
        <v>34</v>
      </c>
      <c r="E815" s="12" t="s">
        <v>51</v>
      </c>
      <c r="F815" s="10">
        <f>+YEAR(Tabla2[[#This Row],[Cosecha]])</f>
        <v>2025</v>
      </c>
      <c r="G815" s="11" t="s">
        <v>52</v>
      </c>
      <c r="H815" s="91">
        <f t="shared" si="28"/>
        <v>12</v>
      </c>
      <c r="I815" s="10" t="s">
        <v>18</v>
      </c>
      <c r="J815" s="11" t="s">
        <v>70</v>
      </c>
      <c r="K815" s="88">
        <f t="shared" si="29"/>
        <v>15</v>
      </c>
      <c r="L815" s="11" t="s">
        <v>3207</v>
      </c>
      <c r="M815" s="11" t="s">
        <v>44</v>
      </c>
      <c r="N815" s="92" t="s">
        <v>21</v>
      </c>
    </row>
    <row r="816" spans="1:14" x14ac:dyDescent="0.35">
      <c r="A816" s="94" t="s">
        <v>3211</v>
      </c>
      <c r="B816" s="15" t="s">
        <v>13</v>
      </c>
      <c r="C816" s="16" t="s">
        <v>3212</v>
      </c>
      <c r="D816" s="16" t="s">
        <v>34</v>
      </c>
      <c r="E816" s="17" t="s">
        <v>97</v>
      </c>
      <c r="F816" s="15">
        <f>+YEAR(Tabla2[[#This Row],[Cosecha]])</f>
        <v>2025</v>
      </c>
      <c r="G816" s="16" t="s">
        <v>17</v>
      </c>
      <c r="H816" s="95">
        <f t="shared" si="28"/>
        <v>8</v>
      </c>
      <c r="I816" s="15" t="s">
        <v>18</v>
      </c>
      <c r="J816" s="16" t="s">
        <v>17</v>
      </c>
      <c r="K816" s="88">
        <f t="shared" si="29"/>
        <v>8</v>
      </c>
      <c r="L816" s="16" t="s">
        <v>3213</v>
      </c>
      <c r="M816" s="16" t="s">
        <v>44</v>
      </c>
      <c r="N816" s="96" t="s">
        <v>21</v>
      </c>
    </row>
    <row r="817" spans="1:14" x14ac:dyDescent="0.35">
      <c r="A817" s="90" t="s">
        <v>3214</v>
      </c>
      <c r="B817" s="10" t="s">
        <v>13</v>
      </c>
      <c r="C817" s="11" t="s">
        <v>3215</v>
      </c>
      <c r="D817" s="11" t="s">
        <v>34</v>
      </c>
      <c r="E817" s="12" t="s">
        <v>118</v>
      </c>
      <c r="F817" s="10">
        <f>+YEAR(Tabla2[[#This Row],[Cosecha]])</f>
        <v>2025</v>
      </c>
      <c r="G817" s="11" t="s">
        <v>30</v>
      </c>
      <c r="H817" s="91">
        <f t="shared" si="28"/>
        <v>6</v>
      </c>
      <c r="I817" s="10" t="s">
        <v>18</v>
      </c>
      <c r="J817" s="11" t="s">
        <v>70</v>
      </c>
      <c r="K817" s="88">
        <f t="shared" si="29"/>
        <v>8</v>
      </c>
      <c r="L817" s="11" t="s">
        <v>3216</v>
      </c>
      <c r="M817" s="11" t="s">
        <v>44</v>
      </c>
      <c r="N817" s="92" t="s">
        <v>21</v>
      </c>
    </row>
    <row r="818" spans="1:14" x14ac:dyDescent="0.35">
      <c r="A818" s="94" t="s">
        <v>3217</v>
      </c>
      <c r="B818" s="15" t="s">
        <v>13</v>
      </c>
      <c r="C818" s="16" t="s">
        <v>3218</v>
      </c>
      <c r="D818" s="16" t="s">
        <v>34</v>
      </c>
      <c r="E818" s="17" t="s">
        <v>104</v>
      </c>
      <c r="F818" s="15">
        <f>+YEAR(Tabla2[[#This Row],[Cosecha]])</f>
        <v>2025</v>
      </c>
      <c r="G818" s="16" t="s">
        <v>62</v>
      </c>
      <c r="H818" s="95">
        <f t="shared" si="28"/>
        <v>2</v>
      </c>
      <c r="I818" s="15" t="s">
        <v>18</v>
      </c>
      <c r="J818" s="16" t="s">
        <v>97</v>
      </c>
      <c r="K818" s="88">
        <f t="shared" si="29"/>
        <v>3</v>
      </c>
      <c r="L818" s="16" t="s">
        <v>3219</v>
      </c>
      <c r="M818" s="16" t="s">
        <v>115</v>
      </c>
      <c r="N818" s="96" t="s">
        <v>26</v>
      </c>
    </row>
    <row r="819" spans="1:14" x14ac:dyDescent="0.35">
      <c r="A819" s="90" t="s">
        <v>3220</v>
      </c>
      <c r="B819" s="10" t="s">
        <v>13</v>
      </c>
      <c r="C819" s="11" t="s">
        <v>3221</v>
      </c>
      <c r="D819" s="11" t="s">
        <v>34</v>
      </c>
      <c r="E819" s="12" t="s">
        <v>29</v>
      </c>
      <c r="F819" s="10">
        <f>+YEAR(Tabla2[[#This Row],[Cosecha]])</f>
        <v>2025</v>
      </c>
      <c r="G819" s="11" t="s">
        <v>30</v>
      </c>
      <c r="H819" s="91">
        <f t="shared" si="28"/>
        <v>9</v>
      </c>
      <c r="I819" s="10" t="s">
        <v>18</v>
      </c>
      <c r="J819" s="11" t="s">
        <v>17</v>
      </c>
      <c r="K819" s="88">
        <f t="shared" si="29"/>
        <v>10</v>
      </c>
      <c r="L819" s="11" t="s">
        <v>3222</v>
      </c>
      <c r="M819" s="11" t="s">
        <v>115</v>
      </c>
      <c r="N819" s="92" t="s">
        <v>21</v>
      </c>
    </row>
    <row r="820" spans="1:14" x14ac:dyDescent="0.35">
      <c r="A820" s="94" t="s">
        <v>3223</v>
      </c>
      <c r="B820" s="15" t="s">
        <v>13</v>
      </c>
      <c r="C820" s="16" t="s">
        <v>3224</v>
      </c>
      <c r="D820" s="16" t="s">
        <v>34</v>
      </c>
      <c r="E820" s="17" t="s">
        <v>51</v>
      </c>
      <c r="F820" s="15">
        <f>+YEAR(Tabla2[[#This Row],[Cosecha]])</f>
        <v>2025</v>
      </c>
      <c r="G820" s="16" t="s">
        <v>17</v>
      </c>
      <c r="H820" s="95">
        <f t="shared" si="28"/>
        <v>14</v>
      </c>
      <c r="I820" s="15" t="s">
        <v>18</v>
      </c>
      <c r="J820" s="16" t="s">
        <v>17</v>
      </c>
      <c r="K820" s="88">
        <f t="shared" si="29"/>
        <v>14</v>
      </c>
      <c r="L820" s="16" t="s">
        <v>3225</v>
      </c>
      <c r="M820" s="16" t="s">
        <v>130</v>
      </c>
      <c r="N820" s="96" t="s">
        <v>21</v>
      </c>
    </row>
    <row r="821" spans="1:14" x14ac:dyDescent="0.35">
      <c r="A821" s="90" t="s">
        <v>3226</v>
      </c>
      <c r="B821" s="10" t="s">
        <v>13</v>
      </c>
      <c r="C821" s="11" t="s">
        <v>3227</v>
      </c>
      <c r="D821" s="11" t="s">
        <v>34</v>
      </c>
      <c r="E821" s="12" t="s">
        <v>36</v>
      </c>
      <c r="F821" s="10">
        <f>+YEAR(Tabla2[[#This Row],[Cosecha]])</f>
        <v>2025</v>
      </c>
      <c r="G821" s="11" t="s">
        <v>30</v>
      </c>
      <c r="H821" s="91">
        <f t="shared" si="28"/>
        <v>5</v>
      </c>
      <c r="I821" s="10" t="s">
        <v>18</v>
      </c>
      <c r="J821" s="11" t="s">
        <v>17</v>
      </c>
      <c r="K821" s="88">
        <f t="shared" si="29"/>
        <v>6</v>
      </c>
      <c r="L821" s="11" t="s">
        <v>438</v>
      </c>
      <c r="M821" s="11" t="s">
        <v>25</v>
      </c>
      <c r="N821" s="92" t="s">
        <v>26</v>
      </c>
    </row>
    <row r="822" spans="1:14" x14ac:dyDescent="0.35">
      <c r="A822" s="94" t="s">
        <v>3228</v>
      </c>
      <c r="B822" s="15" t="s">
        <v>13</v>
      </c>
      <c r="C822" s="16" t="s">
        <v>3229</v>
      </c>
      <c r="D822" s="16" t="s">
        <v>34</v>
      </c>
      <c r="E822" s="17" t="s">
        <v>29</v>
      </c>
      <c r="F822" s="15">
        <f>+YEAR(Tabla2[[#This Row],[Cosecha]])</f>
        <v>2025</v>
      </c>
      <c r="G822" s="16" t="s">
        <v>113</v>
      </c>
      <c r="H822" s="95">
        <f t="shared" si="28"/>
        <v>6</v>
      </c>
      <c r="I822" s="15" t="s">
        <v>18</v>
      </c>
      <c r="J822" s="16" t="s">
        <v>23</v>
      </c>
      <c r="K822" s="88">
        <f t="shared" si="29"/>
        <v>7</v>
      </c>
      <c r="L822" s="16" t="s">
        <v>3230</v>
      </c>
      <c r="M822" s="16" t="s">
        <v>115</v>
      </c>
      <c r="N822" s="96" t="s">
        <v>21</v>
      </c>
    </row>
    <row r="823" spans="1:14" x14ac:dyDescent="0.35">
      <c r="A823" s="90" t="s">
        <v>3231</v>
      </c>
      <c r="B823" s="10" t="s">
        <v>13</v>
      </c>
      <c r="C823" s="11" t="s">
        <v>3232</v>
      </c>
      <c r="D823" s="11" t="s">
        <v>15</v>
      </c>
      <c r="E823" s="12" t="s">
        <v>29</v>
      </c>
      <c r="F823" s="10">
        <f>+YEAR(Tabla2[[#This Row],[Cosecha]])</f>
        <v>2025</v>
      </c>
      <c r="G823" s="11" t="s">
        <v>52</v>
      </c>
      <c r="H823" s="91">
        <f t="shared" si="28"/>
        <v>8</v>
      </c>
      <c r="I823" s="10" t="s">
        <v>18</v>
      </c>
      <c r="J823" s="11" t="s">
        <v>52</v>
      </c>
      <c r="K823" s="88">
        <f t="shared" si="29"/>
        <v>8</v>
      </c>
      <c r="L823" s="11" t="s">
        <v>3233</v>
      </c>
      <c r="M823" s="11" t="s">
        <v>25</v>
      </c>
      <c r="N823" s="92" t="s">
        <v>21</v>
      </c>
    </row>
    <row r="824" spans="1:14" x14ac:dyDescent="0.35">
      <c r="A824" s="94" t="s">
        <v>3237</v>
      </c>
      <c r="B824" s="15" t="s">
        <v>13</v>
      </c>
      <c r="C824" s="16" t="s">
        <v>3238</v>
      </c>
      <c r="D824" s="16" t="s">
        <v>34</v>
      </c>
      <c r="E824" s="17" t="s">
        <v>133</v>
      </c>
      <c r="F824" s="15">
        <f>+YEAR(Tabla2[[#This Row],[Cosecha]])</f>
        <v>2025</v>
      </c>
      <c r="G824" s="16" t="s">
        <v>62</v>
      </c>
      <c r="H824" s="95">
        <f t="shared" si="28"/>
        <v>3</v>
      </c>
      <c r="I824" s="15" t="s">
        <v>18</v>
      </c>
      <c r="J824" s="16" t="s">
        <v>62</v>
      </c>
      <c r="K824" s="88">
        <f t="shared" si="29"/>
        <v>3</v>
      </c>
      <c r="L824" s="16" t="s">
        <v>2664</v>
      </c>
      <c r="M824" s="16" t="s">
        <v>130</v>
      </c>
      <c r="N824" s="96" t="s">
        <v>21</v>
      </c>
    </row>
    <row r="825" spans="1:14" x14ac:dyDescent="0.35">
      <c r="A825" s="90" t="s">
        <v>3239</v>
      </c>
      <c r="B825" s="10" t="s">
        <v>13</v>
      </c>
      <c r="C825" s="11" t="s">
        <v>3240</v>
      </c>
      <c r="D825" s="11" t="s">
        <v>34</v>
      </c>
      <c r="E825" s="12" t="s">
        <v>23</v>
      </c>
      <c r="F825" s="10">
        <f>+YEAR(Tabla2[[#This Row],[Cosecha]])</f>
        <v>2026</v>
      </c>
      <c r="G825" s="11" t="s">
        <v>30</v>
      </c>
      <c r="H825" s="91">
        <f t="shared" si="28"/>
        <v>2</v>
      </c>
      <c r="I825" s="10" t="s">
        <v>18</v>
      </c>
      <c r="J825" s="11" t="s">
        <v>30</v>
      </c>
      <c r="K825" s="88">
        <f t="shared" si="29"/>
        <v>2</v>
      </c>
      <c r="L825" s="11" t="s">
        <v>881</v>
      </c>
      <c r="M825" s="11" t="s">
        <v>130</v>
      </c>
      <c r="N825" s="92" t="s">
        <v>21</v>
      </c>
    </row>
    <row r="826" spans="1:14" x14ac:dyDescent="0.35">
      <c r="A826" s="94" t="s">
        <v>3241</v>
      </c>
      <c r="B826" s="15" t="s">
        <v>13</v>
      </c>
      <c r="C826" s="16" t="s">
        <v>3242</v>
      </c>
      <c r="D826" s="16" t="s">
        <v>34</v>
      </c>
      <c r="E826" s="17" t="s">
        <v>97</v>
      </c>
      <c r="F826" s="15">
        <f>+YEAR(Tabla2[[#This Row],[Cosecha]])</f>
        <v>2025</v>
      </c>
      <c r="G826" s="16" t="s">
        <v>23</v>
      </c>
      <c r="H826" s="95">
        <f t="shared" si="28"/>
        <v>5</v>
      </c>
      <c r="I826" s="15" t="s">
        <v>18</v>
      </c>
      <c r="J826" s="16" t="s">
        <v>52</v>
      </c>
      <c r="K826" s="88">
        <f t="shared" si="29"/>
        <v>6</v>
      </c>
      <c r="L826" s="16" t="s">
        <v>3243</v>
      </c>
      <c r="M826" s="16" t="s">
        <v>44</v>
      </c>
      <c r="N826" s="96" t="s">
        <v>21</v>
      </c>
    </row>
    <row r="827" spans="1:14" x14ac:dyDescent="0.35">
      <c r="A827" s="90" t="s">
        <v>3244</v>
      </c>
      <c r="B827" s="10" t="s">
        <v>13</v>
      </c>
      <c r="C827" s="11" t="s">
        <v>3245</v>
      </c>
      <c r="D827" s="11" t="s">
        <v>34</v>
      </c>
      <c r="E827" s="12" t="s">
        <v>457</v>
      </c>
      <c r="F827" s="10">
        <f>+YEAR(Tabla2[[#This Row],[Cosecha]])</f>
        <v>2024</v>
      </c>
      <c r="G827" s="11" t="s">
        <v>37</v>
      </c>
      <c r="H827" s="91">
        <f t="shared" si="28"/>
        <v>17</v>
      </c>
      <c r="I827" s="10" t="s">
        <v>18</v>
      </c>
      <c r="J827" s="11" t="s">
        <v>52</v>
      </c>
      <c r="K827" s="88">
        <f t="shared" si="29"/>
        <v>20</v>
      </c>
      <c r="L827" s="11" t="s">
        <v>3246</v>
      </c>
      <c r="M827" s="11" t="s">
        <v>25</v>
      </c>
      <c r="N827" s="92" t="s">
        <v>21</v>
      </c>
    </row>
    <row r="828" spans="1:14" x14ac:dyDescent="0.35">
      <c r="A828" s="94" t="s">
        <v>3247</v>
      </c>
      <c r="B828" s="15" t="s">
        <v>13</v>
      </c>
      <c r="C828" s="16" t="s">
        <v>3248</v>
      </c>
      <c r="D828" s="16" t="s">
        <v>90</v>
      </c>
      <c r="E828" s="17" t="s">
        <v>497</v>
      </c>
      <c r="F828" s="15">
        <f>+YEAR(Tabla2[[#This Row],[Cosecha]])</f>
        <v>2024</v>
      </c>
      <c r="G828" s="16" t="s">
        <v>23</v>
      </c>
      <c r="H828" s="95">
        <f t="shared" si="28"/>
        <v>17</v>
      </c>
      <c r="I828" s="15" t="s">
        <v>18</v>
      </c>
      <c r="J828" s="16" t="s">
        <v>52</v>
      </c>
      <c r="K828" s="88">
        <f t="shared" si="29"/>
        <v>18</v>
      </c>
      <c r="L828" s="16" t="s">
        <v>3249</v>
      </c>
      <c r="M828" s="16" t="s">
        <v>25</v>
      </c>
      <c r="N828" s="96" t="s">
        <v>21</v>
      </c>
    </row>
    <row r="829" spans="1:14" x14ac:dyDescent="0.35">
      <c r="A829" s="90" t="s">
        <v>3250</v>
      </c>
      <c r="B829" s="10" t="s">
        <v>13</v>
      </c>
      <c r="C829" s="11" t="s">
        <v>3251</v>
      </c>
      <c r="D829" s="11" t="s">
        <v>34</v>
      </c>
      <c r="E829" s="12" t="s">
        <v>62</v>
      </c>
      <c r="F829" s="10">
        <f>+YEAR(Tabla2[[#This Row],[Cosecha]])</f>
        <v>2025</v>
      </c>
      <c r="G829" s="11" t="s">
        <v>23</v>
      </c>
      <c r="H829" s="91">
        <f t="shared" si="28"/>
        <v>6</v>
      </c>
      <c r="I829" s="10" t="s">
        <v>18</v>
      </c>
      <c r="J829" s="11" t="s">
        <v>23</v>
      </c>
      <c r="K829" s="88">
        <f t="shared" si="29"/>
        <v>6</v>
      </c>
      <c r="L829" s="11" t="s">
        <v>3252</v>
      </c>
      <c r="M829" s="11" t="s">
        <v>44</v>
      </c>
      <c r="N829" s="92" t="s">
        <v>21</v>
      </c>
    </row>
    <row r="830" spans="1:14" x14ac:dyDescent="0.35">
      <c r="A830" s="94" t="s">
        <v>3253</v>
      </c>
      <c r="B830" s="15" t="s">
        <v>13</v>
      </c>
      <c r="C830" s="16" t="s">
        <v>3254</v>
      </c>
      <c r="D830" s="16" t="s">
        <v>34</v>
      </c>
      <c r="E830" s="17" t="s">
        <v>82</v>
      </c>
      <c r="F830" s="15">
        <f>+YEAR(Tabla2[[#This Row],[Cosecha]])</f>
        <v>2024</v>
      </c>
      <c r="G830" s="16" t="s">
        <v>47</v>
      </c>
      <c r="H830" s="95">
        <f t="shared" si="28"/>
        <v>3</v>
      </c>
      <c r="I830" s="15" t="s">
        <v>18</v>
      </c>
      <c r="J830" s="16" t="s">
        <v>47</v>
      </c>
      <c r="K830" s="88">
        <f t="shared" si="29"/>
        <v>3</v>
      </c>
      <c r="L830" s="16" t="s">
        <v>2126</v>
      </c>
      <c r="M830" s="16" t="s">
        <v>130</v>
      </c>
      <c r="N830" s="96" t="s">
        <v>21</v>
      </c>
    </row>
    <row r="831" spans="1:14" x14ac:dyDescent="0.35">
      <c r="A831" s="90" t="s">
        <v>3255</v>
      </c>
      <c r="B831" s="10" t="s">
        <v>13</v>
      </c>
      <c r="C831" s="11" t="s">
        <v>3256</v>
      </c>
      <c r="D831" s="11" t="s">
        <v>90</v>
      </c>
      <c r="E831" s="12" t="s">
        <v>178</v>
      </c>
      <c r="F831" s="10">
        <f>+YEAR(Tabla2[[#This Row],[Cosecha]])</f>
        <v>2024</v>
      </c>
      <c r="G831" s="11" t="s">
        <v>104</v>
      </c>
      <c r="H831" s="91">
        <f t="shared" si="28"/>
        <v>6</v>
      </c>
      <c r="I831" s="10" t="s">
        <v>18</v>
      </c>
      <c r="J831" s="11" t="s">
        <v>104</v>
      </c>
      <c r="K831" s="88">
        <f t="shared" si="29"/>
        <v>6</v>
      </c>
      <c r="L831" s="11" t="s">
        <v>3257</v>
      </c>
      <c r="M831" s="11" t="s">
        <v>195</v>
      </c>
      <c r="N831" s="92" t="s">
        <v>21</v>
      </c>
    </row>
    <row r="832" spans="1:14" x14ac:dyDescent="0.35">
      <c r="A832" s="94" t="s">
        <v>3258</v>
      </c>
      <c r="B832" s="15" t="s">
        <v>13</v>
      </c>
      <c r="C832" s="16" t="s">
        <v>3259</v>
      </c>
      <c r="D832" s="16" t="s">
        <v>34</v>
      </c>
      <c r="E832" s="17" t="s">
        <v>97</v>
      </c>
      <c r="F832" s="15">
        <f>+YEAR(Tabla2[[#This Row],[Cosecha]])</f>
        <v>2025</v>
      </c>
      <c r="G832" s="16" t="s">
        <v>17</v>
      </c>
      <c r="H832" s="95">
        <f t="shared" si="28"/>
        <v>8</v>
      </c>
      <c r="I832" s="15" t="s">
        <v>18</v>
      </c>
      <c r="J832" s="16" t="s">
        <v>17</v>
      </c>
      <c r="K832" s="88">
        <f t="shared" si="29"/>
        <v>8</v>
      </c>
      <c r="L832" s="16" t="s">
        <v>3260</v>
      </c>
      <c r="M832" s="16" t="s">
        <v>115</v>
      </c>
      <c r="N832" s="96" t="s">
        <v>21</v>
      </c>
    </row>
    <row r="833" spans="1:14" x14ac:dyDescent="0.35">
      <c r="A833" s="90" t="s">
        <v>3261</v>
      </c>
      <c r="B833" s="10" t="s">
        <v>13</v>
      </c>
      <c r="C833" s="11" t="s">
        <v>3262</v>
      </c>
      <c r="D833" s="11" t="s">
        <v>15</v>
      </c>
      <c r="E833" s="12" t="s">
        <v>36</v>
      </c>
      <c r="F833" s="10">
        <f>+YEAR(Tabla2[[#This Row],[Cosecha]])</f>
        <v>2025</v>
      </c>
      <c r="G833" s="11" t="s">
        <v>17</v>
      </c>
      <c r="H833" s="91">
        <f t="shared" si="28"/>
        <v>6</v>
      </c>
      <c r="I833" s="10" t="s">
        <v>18</v>
      </c>
      <c r="J833" s="11" t="s">
        <v>17</v>
      </c>
      <c r="K833" s="88">
        <f t="shared" si="29"/>
        <v>6</v>
      </c>
      <c r="L833" s="11" t="s">
        <v>3263</v>
      </c>
      <c r="M833" s="11" t="s">
        <v>25</v>
      </c>
      <c r="N833" s="92" t="s">
        <v>21</v>
      </c>
    </row>
    <row r="834" spans="1:14" x14ac:dyDescent="0.35">
      <c r="A834" s="94" t="s">
        <v>3264</v>
      </c>
      <c r="B834" s="15" t="s">
        <v>13</v>
      </c>
      <c r="C834" s="16" t="s">
        <v>3265</v>
      </c>
      <c r="D834" s="16" t="s">
        <v>34</v>
      </c>
      <c r="E834" s="17" t="s">
        <v>133</v>
      </c>
      <c r="F834" s="15">
        <f>+YEAR(Tabla2[[#This Row],[Cosecha]])</f>
        <v>2025</v>
      </c>
      <c r="G834" s="16" t="s">
        <v>36</v>
      </c>
      <c r="H834" s="95">
        <f t="shared" ref="H834:H897" si="30">(YEAR(G834)-YEAR(E834))*12+(MONTH(G834)-MONTH(E834))</f>
        <v>6</v>
      </c>
      <c r="I834" s="15" t="s">
        <v>18</v>
      </c>
      <c r="J834" s="16" t="s">
        <v>36</v>
      </c>
      <c r="K834" s="88">
        <f t="shared" ref="K834:K897" si="31">(YEAR(J834)-YEAR(E834))*12+(MONTH(J834)-MONTH(E834))</f>
        <v>6</v>
      </c>
      <c r="L834" s="16" t="s">
        <v>1441</v>
      </c>
      <c r="M834" s="16" t="s">
        <v>130</v>
      </c>
      <c r="N834" s="96" t="s">
        <v>26</v>
      </c>
    </row>
    <row r="835" spans="1:14" x14ac:dyDescent="0.35">
      <c r="A835" s="90" t="s">
        <v>3272</v>
      </c>
      <c r="B835" s="10" t="s">
        <v>13</v>
      </c>
      <c r="C835" s="11" t="s">
        <v>3273</v>
      </c>
      <c r="D835" s="11" t="s">
        <v>34</v>
      </c>
      <c r="E835" s="12" t="s">
        <v>82</v>
      </c>
      <c r="F835" s="10">
        <f>+YEAR(Tabla2[[#This Row],[Cosecha]])</f>
        <v>2024</v>
      </c>
      <c r="G835" s="11" t="s">
        <v>118</v>
      </c>
      <c r="H835" s="91">
        <f t="shared" si="30"/>
        <v>9</v>
      </c>
      <c r="I835" s="10" t="s">
        <v>18</v>
      </c>
      <c r="J835" s="11" t="s">
        <v>36</v>
      </c>
      <c r="K835" s="88">
        <f t="shared" si="31"/>
        <v>10</v>
      </c>
      <c r="L835" s="11" t="s">
        <v>3274</v>
      </c>
      <c r="M835" s="11" t="s">
        <v>130</v>
      </c>
      <c r="N835" s="92" t="s">
        <v>21</v>
      </c>
    </row>
    <row r="836" spans="1:14" x14ac:dyDescent="0.35">
      <c r="A836" s="94" t="s">
        <v>3275</v>
      </c>
      <c r="B836" s="15" t="s">
        <v>13</v>
      </c>
      <c r="C836" s="16" t="s">
        <v>3276</v>
      </c>
      <c r="D836" s="16" t="s">
        <v>34</v>
      </c>
      <c r="E836" s="17" t="s">
        <v>97</v>
      </c>
      <c r="F836" s="15">
        <f>+YEAR(Tabla2[[#This Row],[Cosecha]])</f>
        <v>2025</v>
      </c>
      <c r="G836" s="16" t="s">
        <v>23</v>
      </c>
      <c r="H836" s="95">
        <f t="shared" si="30"/>
        <v>5</v>
      </c>
      <c r="I836" s="15" t="s">
        <v>18</v>
      </c>
      <c r="J836" s="16" t="s">
        <v>23</v>
      </c>
      <c r="K836" s="88">
        <f t="shared" si="31"/>
        <v>5</v>
      </c>
      <c r="L836" s="16" t="s">
        <v>3277</v>
      </c>
      <c r="M836" s="16" t="s">
        <v>115</v>
      </c>
      <c r="N836" s="96" t="s">
        <v>21</v>
      </c>
    </row>
    <row r="837" spans="1:14" x14ac:dyDescent="0.35">
      <c r="A837" s="90" t="s">
        <v>3281</v>
      </c>
      <c r="B837" s="10" t="s">
        <v>13</v>
      </c>
      <c r="C837" s="11" t="s">
        <v>3282</v>
      </c>
      <c r="D837" s="11" t="s">
        <v>34</v>
      </c>
      <c r="E837" s="12" t="s">
        <v>66</v>
      </c>
      <c r="F837" s="10">
        <f>+YEAR(Tabla2[[#This Row],[Cosecha]])</f>
        <v>2025</v>
      </c>
      <c r="G837" s="11" t="s">
        <v>37</v>
      </c>
      <c r="H837" s="91">
        <f t="shared" si="30"/>
        <v>10</v>
      </c>
      <c r="I837" s="10" t="s">
        <v>18</v>
      </c>
      <c r="J837" s="11" t="s">
        <v>52</v>
      </c>
      <c r="K837" s="88">
        <f t="shared" si="31"/>
        <v>13</v>
      </c>
      <c r="L837" s="11" t="s">
        <v>3283</v>
      </c>
      <c r="M837" s="11" t="s">
        <v>130</v>
      </c>
      <c r="N837" s="92" t="s">
        <v>21</v>
      </c>
    </row>
    <row r="838" spans="1:14" x14ac:dyDescent="0.35">
      <c r="A838" s="94" t="s">
        <v>3284</v>
      </c>
      <c r="B838" s="15" t="s">
        <v>13</v>
      </c>
      <c r="C838" s="16" t="s">
        <v>3285</v>
      </c>
      <c r="D838" s="16" t="s">
        <v>90</v>
      </c>
      <c r="E838" s="17" t="s">
        <v>275</v>
      </c>
      <c r="F838" s="15">
        <f>+YEAR(Tabla2[[#This Row],[Cosecha]])</f>
        <v>2024</v>
      </c>
      <c r="G838" s="16" t="s">
        <v>37</v>
      </c>
      <c r="H838" s="95">
        <f t="shared" si="30"/>
        <v>20</v>
      </c>
      <c r="I838" s="15" t="s">
        <v>18</v>
      </c>
      <c r="J838" s="16" t="s">
        <v>23</v>
      </c>
      <c r="K838" s="88">
        <f t="shared" si="31"/>
        <v>22</v>
      </c>
      <c r="L838" s="16" t="s">
        <v>3286</v>
      </c>
      <c r="M838" s="16" t="s">
        <v>25</v>
      </c>
      <c r="N838" s="96" t="s">
        <v>21</v>
      </c>
    </row>
    <row r="839" spans="1:14" x14ac:dyDescent="0.35">
      <c r="A839" s="90" t="s">
        <v>3293</v>
      </c>
      <c r="B839" s="10" t="s">
        <v>13</v>
      </c>
      <c r="C839" s="11" t="s">
        <v>3294</v>
      </c>
      <c r="D839" s="11" t="s">
        <v>34</v>
      </c>
      <c r="E839" s="12" t="s">
        <v>66</v>
      </c>
      <c r="F839" s="10">
        <f>+YEAR(Tabla2[[#This Row],[Cosecha]])</f>
        <v>2025</v>
      </c>
      <c r="G839" s="11" t="s">
        <v>62</v>
      </c>
      <c r="H839" s="91">
        <f t="shared" si="30"/>
        <v>6</v>
      </c>
      <c r="I839" s="10" t="s">
        <v>18</v>
      </c>
      <c r="J839" s="11" t="s">
        <v>62</v>
      </c>
      <c r="K839" s="88">
        <f t="shared" si="31"/>
        <v>6</v>
      </c>
      <c r="L839" s="11" t="s">
        <v>3295</v>
      </c>
      <c r="M839" s="11" t="s">
        <v>241</v>
      </c>
      <c r="N839" s="92" t="s">
        <v>21</v>
      </c>
    </row>
    <row r="840" spans="1:14" x14ac:dyDescent="0.35">
      <c r="A840" s="94" t="s">
        <v>3296</v>
      </c>
      <c r="B840" s="15" t="s">
        <v>13</v>
      </c>
      <c r="C840" s="16" t="s">
        <v>3297</v>
      </c>
      <c r="D840" s="16" t="s">
        <v>34</v>
      </c>
      <c r="E840" s="17" t="s">
        <v>149</v>
      </c>
      <c r="F840" s="15">
        <f>+YEAR(Tabla2[[#This Row],[Cosecha]])</f>
        <v>2024</v>
      </c>
      <c r="G840" s="16" t="s">
        <v>51</v>
      </c>
      <c r="H840" s="95">
        <f t="shared" si="30"/>
        <v>5</v>
      </c>
      <c r="I840" s="15" t="s">
        <v>18</v>
      </c>
      <c r="J840" s="16" t="s">
        <v>51</v>
      </c>
      <c r="K840" s="88">
        <f t="shared" si="31"/>
        <v>5</v>
      </c>
      <c r="L840" s="16" t="s">
        <v>3298</v>
      </c>
      <c r="M840" s="16" t="s">
        <v>130</v>
      </c>
      <c r="N840" s="96" t="s">
        <v>21</v>
      </c>
    </row>
    <row r="841" spans="1:14" x14ac:dyDescent="0.35">
      <c r="A841" s="90" t="s">
        <v>3299</v>
      </c>
      <c r="B841" s="10" t="s">
        <v>85</v>
      </c>
      <c r="C841" s="11" t="s">
        <v>3300</v>
      </c>
      <c r="D841" s="11" t="s">
        <v>90</v>
      </c>
      <c r="E841" s="12" t="s">
        <v>133</v>
      </c>
      <c r="F841" s="10">
        <f>+YEAR(Tabla2[[#This Row],[Cosecha]])</f>
        <v>2025</v>
      </c>
      <c r="G841" s="11" t="s">
        <v>113</v>
      </c>
      <c r="H841" s="91">
        <f t="shared" si="30"/>
        <v>8</v>
      </c>
      <c r="I841" s="10" t="s">
        <v>18</v>
      </c>
      <c r="J841" s="11" t="s">
        <v>23</v>
      </c>
      <c r="K841" s="88">
        <f t="shared" si="31"/>
        <v>9</v>
      </c>
      <c r="L841" s="11" t="s">
        <v>3301</v>
      </c>
      <c r="M841" s="11" t="s">
        <v>25</v>
      </c>
      <c r="N841" s="92" t="s">
        <v>26</v>
      </c>
    </row>
    <row r="842" spans="1:14" x14ac:dyDescent="0.35">
      <c r="A842" s="94" t="s">
        <v>3302</v>
      </c>
      <c r="B842" s="15" t="s">
        <v>13</v>
      </c>
      <c r="C842" s="16" t="s">
        <v>3303</v>
      </c>
      <c r="D842" s="16" t="s">
        <v>34</v>
      </c>
      <c r="E842" s="17" t="s">
        <v>47</v>
      </c>
      <c r="F842" s="15">
        <f>+YEAR(Tabla2[[#This Row],[Cosecha]])</f>
        <v>2025</v>
      </c>
      <c r="G842" s="16" t="s">
        <v>62</v>
      </c>
      <c r="H842" s="95">
        <f t="shared" si="30"/>
        <v>4</v>
      </c>
      <c r="I842" s="15" t="s">
        <v>18</v>
      </c>
      <c r="J842" s="16" t="s">
        <v>62</v>
      </c>
      <c r="K842" s="88">
        <f t="shared" si="31"/>
        <v>4</v>
      </c>
      <c r="L842" s="16" t="s">
        <v>3304</v>
      </c>
      <c r="M842" s="16" t="s">
        <v>44</v>
      </c>
      <c r="N842" s="96" t="s">
        <v>21</v>
      </c>
    </row>
    <row r="843" spans="1:14" x14ac:dyDescent="0.35">
      <c r="A843" s="90" t="s">
        <v>3305</v>
      </c>
      <c r="B843" s="10" t="s">
        <v>13</v>
      </c>
      <c r="C843" s="11" t="s">
        <v>3306</v>
      </c>
      <c r="D843" s="11" t="s">
        <v>34</v>
      </c>
      <c r="E843" s="12" t="s">
        <v>97</v>
      </c>
      <c r="F843" s="10">
        <f>+YEAR(Tabla2[[#This Row],[Cosecha]])</f>
        <v>2025</v>
      </c>
      <c r="G843" s="11" t="s">
        <v>30</v>
      </c>
      <c r="H843" s="91">
        <f t="shared" si="30"/>
        <v>7</v>
      </c>
      <c r="I843" s="10" t="s">
        <v>18</v>
      </c>
      <c r="J843" s="11" t="s">
        <v>30</v>
      </c>
      <c r="K843" s="88">
        <f t="shared" si="31"/>
        <v>7</v>
      </c>
      <c r="L843" s="11" t="s">
        <v>3307</v>
      </c>
      <c r="M843" s="11" t="s">
        <v>44</v>
      </c>
      <c r="N843" s="92" t="s">
        <v>21</v>
      </c>
    </row>
    <row r="844" spans="1:14" x14ac:dyDescent="0.35">
      <c r="A844" s="94" t="s">
        <v>3308</v>
      </c>
      <c r="B844" s="15" t="s">
        <v>13</v>
      </c>
      <c r="C844" s="16" t="s">
        <v>3309</v>
      </c>
      <c r="D844" s="16" t="s">
        <v>90</v>
      </c>
      <c r="E844" s="17" t="s">
        <v>118</v>
      </c>
      <c r="F844" s="15">
        <f>+YEAR(Tabla2[[#This Row],[Cosecha]])</f>
        <v>2025</v>
      </c>
      <c r="G844" s="16" t="s">
        <v>52</v>
      </c>
      <c r="H844" s="95">
        <f t="shared" si="30"/>
        <v>5</v>
      </c>
      <c r="I844" s="15" t="s">
        <v>18</v>
      </c>
      <c r="J844" s="16" t="s">
        <v>30</v>
      </c>
      <c r="K844" s="88">
        <f t="shared" si="31"/>
        <v>6</v>
      </c>
      <c r="L844" s="16" t="s">
        <v>3310</v>
      </c>
      <c r="M844" s="16" t="s">
        <v>25</v>
      </c>
      <c r="N844" s="96" t="s">
        <v>26</v>
      </c>
    </row>
    <row r="845" spans="1:14" x14ac:dyDescent="0.35">
      <c r="A845" s="90" t="s">
        <v>3311</v>
      </c>
      <c r="B845" s="10" t="s">
        <v>13</v>
      </c>
      <c r="C845" s="11" t="s">
        <v>3312</v>
      </c>
      <c r="D845" s="11" t="s">
        <v>90</v>
      </c>
      <c r="E845" s="12" t="s">
        <v>244</v>
      </c>
      <c r="F845" s="10">
        <f>+YEAR(Tabla2[[#This Row],[Cosecha]])</f>
        <v>2024</v>
      </c>
      <c r="G845" s="11" t="s">
        <v>29</v>
      </c>
      <c r="H845" s="91">
        <f t="shared" si="30"/>
        <v>13</v>
      </c>
      <c r="I845" s="10" t="s">
        <v>18</v>
      </c>
      <c r="J845" s="11" t="s">
        <v>29</v>
      </c>
      <c r="K845" s="88">
        <f t="shared" si="31"/>
        <v>13</v>
      </c>
      <c r="L845" s="11" t="s">
        <v>3313</v>
      </c>
      <c r="M845" s="11" t="s">
        <v>25</v>
      </c>
      <c r="N845" s="92" t="s">
        <v>21</v>
      </c>
    </row>
    <row r="846" spans="1:14" x14ac:dyDescent="0.35">
      <c r="A846" s="94" t="s">
        <v>3314</v>
      </c>
      <c r="B846" s="15" t="s">
        <v>13</v>
      </c>
      <c r="C846" s="16" t="s">
        <v>3315</v>
      </c>
      <c r="D846" s="16" t="s">
        <v>34</v>
      </c>
      <c r="E846" s="17" t="s">
        <v>29</v>
      </c>
      <c r="F846" s="15">
        <f>+YEAR(Tabla2[[#This Row],[Cosecha]])</f>
        <v>2025</v>
      </c>
      <c r="G846" s="16" t="s">
        <v>17</v>
      </c>
      <c r="H846" s="95">
        <f t="shared" si="30"/>
        <v>10</v>
      </c>
      <c r="I846" s="15" t="s">
        <v>18</v>
      </c>
      <c r="J846" s="16" t="s">
        <v>70</v>
      </c>
      <c r="K846" s="88">
        <f t="shared" si="31"/>
        <v>11</v>
      </c>
      <c r="L846" s="16" t="s">
        <v>3316</v>
      </c>
      <c r="M846" s="16" t="s">
        <v>115</v>
      </c>
      <c r="N846" s="96" t="s">
        <v>21</v>
      </c>
    </row>
    <row r="847" spans="1:14" x14ac:dyDescent="0.35">
      <c r="A847" s="90" t="s">
        <v>3317</v>
      </c>
      <c r="B847" s="10" t="s">
        <v>13</v>
      </c>
      <c r="C847" s="11" t="s">
        <v>3318</v>
      </c>
      <c r="D847" s="11" t="s">
        <v>34</v>
      </c>
      <c r="E847" s="12" t="s">
        <v>62</v>
      </c>
      <c r="F847" s="10">
        <f>+YEAR(Tabla2[[#This Row],[Cosecha]])</f>
        <v>2025</v>
      </c>
      <c r="G847" s="11" t="s">
        <v>30</v>
      </c>
      <c r="H847" s="91">
        <f t="shared" si="30"/>
        <v>8</v>
      </c>
      <c r="I847" s="10" t="s">
        <v>18</v>
      </c>
      <c r="J847" s="11" t="s">
        <v>30</v>
      </c>
      <c r="K847" s="88">
        <f t="shared" si="31"/>
        <v>8</v>
      </c>
      <c r="L847" s="11" t="s">
        <v>3319</v>
      </c>
      <c r="M847" s="11" t="s">
        <v>115</v>
      </c>
      <c r="N847" s="92" t="s">
        <v>26</v>
      </c>
    </row>
    <row r="848" spans="1:14" x14ac:dyDescent="0.35">
      <c r="A848" s="94" t="s">
        <v>3320</v>
      </c>
      <c r="B848" s="15" t="s">
        <v>13</v>
      </c>
      <c r="C848" s="16" t="s">
        <v>3321</v>
      </c>
      <c r="D848" s="16" t="s">
        <v>34</v>
      </c>
      <c r="E848" s="17" t="s">
        <v>1086</v>
      </c>
      <c r="F848" s="15">
        <f>+YEAR(Tabla2[[#This Row],[Cosecha]])</f>
        <v>2023</v>
      </c>
      <c r="G848" s="16" t="s">
        <v>29</v>
      </c>
      <c r="H848" s="95">
        <f t="shared" si="30"/>
        <v>22</v>
      </c>
      <c r="I848" s="15" t="s">
        <v>18</v>
      </c>
      <c r="J848" s="16" t="s">
        <v>62</v>
      </c>
      <c r="K848" s="88">
        <f t="shared" si="31"/>
        <v>23</v>
      </c>
      <c r="L848" s="16" t="s">
        <v>3322</v>
      </c>
      <c r="M848" s="16" t="s">
        <v>3323</v>
      </c>
      <c r="N848" s="96" t="s">
        <v>21</v>
      </c>
    </row>
    <row r="849" spans="1:14" x14ac:dyDescent="0.35">
      <c r="A849" s="90" t="s">
        <v>3324</v>
      </c>
      <c r="B849" s="10" t="s">
        <v>13</v>
      </c>
      <c r="C849" s="11" t="s">
        <v>3325</v>
      </c>
      <c r="D849" s="11" t="s">
        <v>34</v>
      </c>
      <c r="E849" s="12" t="s">
        <v>82</v>
      </c>
      <c r="F849" s="10">
        <f>+YEAR(Tabla2[[#This Row],[Cosecha]])</f>
        <v>2024</v>
      </c>
      <c r="G849" s="11" t="s">
        <v>30</v>
      </c>
      <c r="H849" s="91">
        <f t="shared" si="30"/>
        <v>15</v>
      </c>
      <c r="I849" s="10" t="s">
        <v>18</v>
      </c>
      <c r="J849" s="11" t="s">
        <v>17</v>
      </c>
      <c r="K849" s="88">
        <f t="shared" si="31"/>
        <v>16</v>
      </c>
      <c r="L849" s="11" t="s">
        <v>3326</v>
      </c>
      <c r="M849" s="11" t="s">
        <v>130</v>
      </c>
      <c r="N849" s="92" t="s">
        <v>21</v>
      </c>
    </row>
    <row r="850" spans="1:14" x14ac:dyDescent="0.35">
      <c r="A850" s="94" t="s">
        <v>3327</v>
      </c>
      <c r="B850" s="15" t="s">
        <v>13</v>
      </c>
      <c r="C850" s="16" t="s">
        <v>3328</v>
      </c>
      <c r="D850" s="16" t="s">
        <v>34</v>
      </c>
      <c r="E850" s="17" t="s">
        <v>104</v>
      </c>
      <c r="F850" s="15">
        <f>+YEAR(Tabla2[[#This Row],[Cosecha]])</f>
        <v>2025</v>
      </c>
      <c r="G850" s="16" t="s">
        <v>52</v>
      </c>
      <c r="H850" s="95">
        <f t="shared" si="30"/>
        <v>9</v>
      </c>
      <c r="I850" s="15" t="s">
        <v>18</v>
      </c>
      <c r="J850" s="16" t="s">
        <v>52</v>
      </c>
      <c r="K850" s="88">
        <f t="shared" si="31"/>
        <v>9</v>
      </c>
      <c r="L850" s="16" t="s">
        <v>3329</v>
      </c>
      <c r="M850" s="16" t="s">
        <v>25</v>
      </c>
      <c r="N850" s="96" t="s">
        <v>21</v>
      </c>
    </row>
    <row r="851" spans="1:14" x14ac:dyDescent="0.35">
      <c r="A851" s="90" t="s">
        <v>3330</v>
      </c>
      <c r="B851" s="10" t="s">
        <v>13</v>
      </c>
      <c r="C851" s="11" t="s">
        <v>3331</v>
      </c>
      <c r="D851" s="11" t="s">
        <v>34</v>
      </c>
      <c r="E851" s="12" t="s">
        <v>62</v>
      </c>
      <c r="F851" s="10">
        <f>+YEAR(Tabla2[[#This Row],[Cosecha]])</f>
        <v>2025</v>
      </c>
      <c r="G851" s="11" t="s">
        <v>52</v>
      </c>
      <c r="H851" s="91">
        <f t="shared" si="30"/>
        <v>7</v>
      </c>
      <c r="I851" s="10" t="s">
        <v>18</v>
      </c>
      <c r="J851" s="11" t="s">
        <v>52</v>
      </c>
      <c r="K851" s="88">
        <f t="shared" si="31"/>
        <v>7</v>
      </c>
      <c r="L851" s="11" t="s">
        <v>3003</v>
      </c>
      <c r="M851" s="11" t="s">
        <v>25</v>
      </c>
      <c r="N851" s="92" t="s">
        <v>21</v>
      </c>
    </row>
    <row r="852" spans="1:14" x14ac:dyDescent="0.35">
      <c r="A852" s="94" t="s">
        <v>3335</v>
      </c>
      <c r="B852" s="15" t="s">
        <v>13</v>
      </c>
      <c r="C852" s="16" t="s">
        <v>3336</v>
      </c>
      <c r="D852" s="16" t="s">
        <v>34</v>
      </c>
      <c r="E852" s="17" t="s">
        <v>149</v>
      </c>
      <c r="F852" s="15">
        <f>+YEAR(Tabla2[[#This Row],[Cosecha]])</f>
        <v>2024</v>
      </c>
      <c r="G852" s="16" t="s">
        <v>70</v>
      </c>
      <c r="H852" s="95">
        <f t="shared" si="30"/>
        <v>20</v>
      </c>
      <c r="I852" s="15" t="s">
        <v>18</v>
      </c>
      <c r="J852" s="16" t="s">
        <v>70</v>
      </c>
      <c r="K852" s="88">
        <f t="shared" si="31"/>
        <v>20</v>
      </c>
      <c r="L852" s="16" t="s">
        <v>3337</v>
      </c>
      <c r="M852" s="16" t="s">
        <v>130</v>
      </c>
      <c r="N852" s="96" t="s">
        <v>21</v>
      </c>
    </row>
    <row r="853" spans="1:14" x14ac:dyDescent="0.35">
      <c r="A853" s="90" t="s">
        <v>3341</v>
      </c>
      <c r="B853" s="10" t="s">
        <v>13</v>
      </c>
      <c r="C853" s="11" t="s">
        <v>3342</v>
      </c>
      <c r="D853" s="11" t="s">
        <v>34</v>
      </c>
      <c r="E853" s="12" t="s">
        <v>36</v>
      </c>
      <c r="F853" s="10">
        <f>+YEAR(Tabla2[[#This Row],[Cosecha]])</f>
        <v>2025</v>
      </c>
      <c r="G853" s="11" t="s">
        <v>70</v>
      </c>
      <c r="H853" s="91">
        <f t="shared" si="30"/>
        <v>7</v>
      </c>
      <c r="I853" s="10" t="s">
        <v>18</v>
      </c>
      <c r="J853" s="11" t="s">
        <v>70</v>
      </c>
      <c r="K853" s="88">
        <f t="shared" si="31"/>
        <v>7</v>
      </c>
      <c r="L853" s="11" t="s">
        <v>1187</v>
      </c>
      <c r="M853" s="11" t="s">
        <v>115</v>
      </c>
      <c r="N853" s="92" t="s">
        <v>21</v>
      </c>
    </row>
    <row r="854" spans="1:14" x14ac:dyDescent="0.35">
      <c r="A854" s="94" t="s">
        <v>3343</v>
      </c>
      <c r="B854" s="15" t="s">
        <v>13</v>
      </c>
      <c r="C854" s="16" t="s">
        <v>3344</v>
      </c>
      <c r="D854" s="16" t="s">
        <v>34</v>
      </c>
      <c r="E854" s="17" t="s">
        <v>497</v>
      </c>
      <c r="F854" s="15">
        <f>+YEAR(Tabla2[[#This Row],[Cosecha]])</f>
        <v>2024</v>
      </c>
      <c r="G854" s="16" t="s">
        <v>29</v>
      </c>
      <c r="H854" s="95">
        <f t="shared" si="30"/>
        <v>10</v>
      </c>
      <c r="I854" s="15" t="s">
        <v>18</v>
      </c>
      <c r="J854" s="16" t="s">
        <v>29</v>
      </c>
      <c r="K854" s="88">
        <f t="shared" si="31"/>
        <v>10</v>
      </c>
      <c r="L854" s="16" t="s">
        <v>3345</v>
      </c>
      <c r="M854" s="16" t="s">
        <v>130</v>
      </c>
      <c r="N854" s="96" t="s">
        <v>26</v>
      </c>
    </row>
    <row r="855" spans="1:14" x14ac:dyDescent="0.35">
      <c r="A855" s="90" t="s">
        <v>3346</v>
      </c>
      <c r="B855" s="10" t="s">
        <v>13</v>
      </c>
      <c r="C855" s="11" t="s">
        <v>3347</v>
      </c>
      <c r="D855" s="11" t="s">
        <v>34</v>
      </c>
      <c r="E855" s="12" t="s">
        <v>47</v>
      </c>
      <c r="F855" s="10">
        <f>+YEAR(Tabla2[[#This Row],[Cosecha]])</f>
        <v>2025</v>
      </c>
      <c r="G855" s="11" t="s">
        <v>97</v>
      </c>
      <c r="H855" s="91">
        <f t="shared" si="30"/>
        <v>5</v>
      </c>
      <c r="I855" s="10" t="s">
        <v>18</v>
      </c>
      <c r="J855" s="11" t="s">
        <v>118</v>
      </c>
      <c r="K855" s="88">
        <f t="shared" si="31"/>
        <v>6</v>
      </c>
      <c r="L855" s="11" t="s">
        <v>3348</v>
      </c>
      <c r="M855" s="11" t="s">
        <v>44</v>
      </c>
      <c r="N855" s="92" t="s">
        <v>21</v>
      </c>
    </row>
    <row r="856" spans="1:14" x14ac:dyDescent="0.35">
      <c r="A856" s="94" t="s">
        <v>3349</v>
      </c>
      <c r="B856" s="15" t="s">
        <v>13</v>
      </c>
      <c r="C856" s="16" t="s">
        <v>3350</v>
      </c>
      <c r="D856" s="16" t="s">
        <v>34</v>
      </c>
      <c r="E856" s="17" t="s">
        <v>35</v>
      </c>
      <c r="F856" s="15">
        <f>+YEAR(Tabla2[[#This Row],[Cosecha]])</f>
        <v>2024</v>
      </c>
      <c r="G856" s="16" t="s">
        <v>113</v>
      </c>
      <c r="H856" s="95">
        <f t="shared" si="30"/>
        <v>14</v>
      </c>
      <c r="I856" s="15" t="s">
        <v>18</v>
      </c>
      <c r="J856" s="16" t="s">
        <v>52</v>
      </c>
      <c r="K856" s="88">
        <f t="shared" si="31"/>
        <v>16</v>
      </c>
      <c r="L856" s="16" t="s">
        <v>3351</v>
      </c>
      <c r="M856" s="16" t="s">
        <v>115</v>
      </c>
      <c r="N856" s="96" t="s">
        <v>21</v>
      </c>
    </row>
    <row r="857" spans="1:14" x14ac:dyDescent="0.35">
      <c r="A857" s="90" t="s">
        <v>3352</v>
      </c>
      <c r="B857" s="10" t="s">
        <v>13</v>
      </c>
      <c r="C857" s="11" t="s">
        <v>3353</v>
      </c>
      <c r="D857" s="11" t="s">
        <v>34</v>
      </c>
      <c r="E857" s="12" t="s">
        <v>104</v>
      </c>
      <c r="F857" s="10">
        <f>+YEAR(Tabla2[[#This Row],[Cosecha]])</f>
        <v>2025</v>
      </c>
      <c r="G857" s="11" t="s">
        <v>113</v>
      </c>
      <c r="H857" s="91">
        <f t="shared" si="30"/>
        <v>7</v>
      </c>
      <c r="I857" s="10" t="s">
        <v>18</v>
      </c>
      <c r="J857" s="11" t="s">
        <v>52</v>
      </c>
      <c r="K857" s="88">
        <f t="shared" si="31"/>
        <v>9</v>
      </c>
      <c r="L857" s="11" t="s">
        <v>3354</v>
      </c>
      <c r="M857" s="11" t="s">
        <v>25</v>
      </c>
      <c r="N857" s="92" t="s">
        <v>21</v>
      </c>
    </row>
    <row r="858" spans="1:14" x14ac:dyDescent="0.35">
      <c r="A858" s="94" t="s">
        <v>3355</v>
      </c>
      <c r="B858" s="15" t="s">
        <v>13</v>
      </c>
      <c r="C858" s="16" t="s">
        <v>3356</v>
      </c>
      <c r="D858" s="16" t="s">
        <v>34</v>
      </c>
      <c r="E858" s="17" t="s">
        <v>35</v>
      </c>
      <c r="F858" s="15">
        <f>+YEAR(Tabla2[[#This Row],[Cosecha]])</f>
        <v>2024</v>
      </c>
      <c r="G858" s="16" t="s">
        <v>29</v>
      </c>
      <c r="H858" s="95">
        <f t="shared" si="30"/>
        <v>8</v>
      </c>
      <c r="I858" s="15" t="s">
        <v>18</v>
      </c>
      <c r="J858" s="16" t="s">
        <v>62</v>
      </c>
      <c r="K858" s="88">
        <f t="shared" si="31"/>
        <v>9</v>
      </c>
      <c r="L858" s="16" t="s">
        <v>3357</v>
      </c>
      <c r="M858" s="16" t="s">
        <v>39</v>
      </c>
      <c r="N858" s="96" t="s">
        <v>21</v>
      </c>
    </row>
    <row r="859" spans="1:14" x14ac:dyDescent="0.35">
      <c r="A859" s="90" t="s">
        <v>3358</v>
      </c>
      <c r="B859" s="10" t="s">
        <v>13</v>
      </c>
      <c r="C859" s="11" t="s">
        <v>3359</v>
      </c>
      <c r="D859" s="11" t="s">
        <v>363</v>
      </c>
      <c r="E859" s="12" t="s">
        <v>457</v>
      </c>
      <c r="F859" s="10">
        <f>+YEAR(Tabla2[[#This Row],[Cosecha]])</f>
        <v>2024</v>
      </c>
      <c r="G859" s="11" t="s">
        <v>17</v>
      </c>
      <c r="H859" s="91">
        <f t="shared" si="30"/>
        <v>22</v>
      </c>
      <c r="I859" s="10" t="s">
        <v>18</v>
      </c>
      <c r="J859" s="11" t="s">
        <v>17</v>
      </c>
      <c r="K859" s="88">
        <f t="shared" si="31"/>
        <v>22</v>
      </c>
      <c r="L859" s="11" t="s">
        <v>3360</v>
      </c>
      <c r="M859" s="11" t="s">
        <v>25</v>
      </c>
      <c r="N859" s="92" t="s">
        <v>21</v>
      </c>
    </row>
    <row r="860" spans="1:14" x14ac:dyDescent="0.35">
      <c r="A860" s="94" t="s">
        <v>3361</v>
      </c>
      <c r="B860" s="15" t="s">
        <v>13</v>
      </c>
      <c r="C860" s="16" t="s">
        <v>3362</v>
      </c>
      <c r="D860" s="16" t="s">
        <v>34</v>
      </c>
      <c r="E860" s="17" t="s">
        <v>104</v>
      </c>
      <c r="F860" s="15">
        <f>+YEAR(Tabla2[[#This Row],[Cosecha]])</f>
        <v>2025</v>
      </c>
      <c r="G860" s="16" t="s">
        <v>17</v>
      </c>
      <c r="H860" s="95">
        <f t="shared" si="30"/>
        <v>11</v>
      </c>
      <c r="I860" s="15" t="s">
        <v>18</v>
      </c>
      <c r="J860" s="16" t="s">
        <v>17</v>
      </c>
      <c r="K860" s="88">
        <f t="shared" si="31"/>
        <v>11</v>
      </c>
      <c r="L860" s="16" t="s">
        <v>2005</v>
      </c>
      <c r="M860" s="16" t="s">
        <v>130</v>
      </c>
      <c r="N860" s="96" t="s">
        <v>21</v>
      </c>
    </row>
    <row r="861" spans="1:14" x14ac:dyDescent="0.35">
      <c r="A861" s="90" t="s">
        <v>3366</v>
      </c>
      <c r="B861" s="10" t="s">
        <v>13</v>
      </c>
      <c r="C861" s="11" t="s">
        <v>3367</v>
      </c>
      <c r="D861" s="11" t="s">
        <v>90</v>
      </c>
      <c r="E861" s="12" t="s">
        <v>62</v>
      </c>
      <c r="F861" s="10">
        <f>+YEAR(Tabla2[[#This Row],[Cosecha]])</f>
        <v>2025</v>
      </c>
      <c r="G861" s="11" t="s">
        <v>52</v>
      </c>
      <c r="H861" s="91">
        <f t="shared" si="30"/>
        <v>7</v>
      </c>
      <c r="I861" s="10" t="s">
        <v>18</v>
      </c>
      <c r="J861" s="11" t="s">
        <v>52</v>
      </c>
      <c r="K861" s="88">
        <f t="shared" si="31"/>
        <v>7</v>
      </c>
      <c r="L861" s="11" t="s">
        <v>3368</v>
      </c>
      <c r="M861" s="11" t="s">
        <v>39</v>
      </c>
      <c r="N861" s="92" t="s">
        <v>21</v>
      </c>
    </row>
    <row r="862" spans="1:14" x14ac:dyDescent="0.35">
      <c r="A862" s="94" t="s">
        <v>3369</v>
      </c>
      <c r="B862" s="15" t="s">
        <v>13</v>
      </c>
      <c r="C862" s="16" t="s">
        <v>3370</v>
      </c>
      <c r="D862" s="16" t="s">
        <v>34</v>
      </c>
      <c r="E862" s="17" t="s">
        <v>244</v>
      </c>
      <c r="F862" s="15">
        <f>+YEAR(Tabla2[[#This Row],[Cosecha]])</f>
        <v>2024</v>
      </c>
      <c r="G862" s="16" t="s">
        <v>52</v>
      </c>
      <c r="H862" s="95">
        <f t="shared" si="30"/>
        <v>21</v>
      </c>
      <c r="I862" s="15" t="s">
        <v>18</v>
      </c>
      <c r="J862" s="16" t="s">
        <v>52</v>
      </c>
      <c r="K862" s="88">
        <f t="shared" si="31"/>
        <v>21</v>
      </c>
      <c r="L862" s="16" t="s">
        <v>3371</v>
      </c>
      <c r="M862" s="16" t="s">
        <v>130</v>
      </c>
      <c r="N862" s="96" t="s">
        <v>21</v>
      </c>
    </row>
    <row r="863" spans="1:14" x14ac:dyDescent="0.35">
      <c r="A863" s="90" t="s">
        <v>3372</v>
      </c>
      <c r="B863" s="10" t="s">
        <v>13</v>
      </c>
      <c r="C863" s="11" t="s">
        <v>3373</v>
      </c>
      <c r="D863" s="11" t="s">
        <v>34</v>
      </c>
      <c r="E863" s="12" t="s">
        <v>62</v>
      </c>
      <c r="F863" s="10">
        <f>+YEAR(Tabla2[[#This Row],[Cosecha]])</f>
        <v>2025</v>
      </c>
      <c r="G863" s="11" t="s">
        <v>17</v>
      </c>
      <c r="H863" s="91">
        <f t="shared" si="30"/>
        <v>9</v>
      </c>
      <c r="I863" s="10" t="s">
        <v>18</v>
      </c>
      <c r="J863" s="11" t="s">
        <v>17</v>
      </c>
      <c r="K863" s="88">
        <f t="shared" si="31"/>
        <v>9</v>
      </c>
      <c r="L863" s="11" t="s">
        <v>2623</v>
      </c>
      <c r="M863" s="11" t="s">
        <v>25</v>
      </c>
      <c r="N863" s="92" t="s">
        <v>21</v>
      </c>
    </row>
    <row r="864" spans="1:14" x14ac:dyDescent="0.35">
      <c r="A864" s="94" t="s">
        <v>3374</v>
      </c>
      <c r="B864" s="15" t="s">
        <v>13</v>
      </c>
      <c r="C864" s="16" t="s">
        <v>3375</v>
      </c>
      <c r="D864" s="16" t="s">
        <v>34</v>
      </c>
      <c r="E864" s="17" t="s">
        <v>244</v>
      </c>
      <c r="F864" s="15">
        <f>+YEAR(Tabla2[[#This Row],[Cosecha]])</f>
        <v>2024</v>
      </c>
      <c r="G864" s="16" t="s">
        <v>17</v>
      </c>
      <c r="H864" s="95">
        <f t="shared" si="30"/>
        <v>23</v>
      </c>
      <c r="I864" s="15" t="s">
        <v>18</v>
      </c>
      <c r="J864" s="16" t="s">
        <v>17</v>
      </c>
      <c r="K864" s="88">
        <f t="shared" si="31"/>
        <v>23</v>
      </c>
      <c r="L864" s="16" t="s">
        <v>3376</v>
      </c>
      <c r="M864" s="16" t="s">
        <v>25</v>
      </c>
      <c r="N864" s="96" t="s">
        <v>21</v>
      </c>
    </row>
    <row r="865" spans="1:14" x14ac:dyDescent="0.35">
      <c r="A865" s="90" t="s">
        <v>3374</v>
      </c>
      <c r="B865" s="10" t="s">
        <v>13</v>
      </c>
      <c r="C865" s="11" t="s">
        <v>3377</v>
      </c>
      <c r="D865" s="11" t="s">
        <v>15</v>
      </c>
      <c r="E865" s="12" t="s">
        <v>133</v>
      </c>
      <c r="F865" s="10">
        <f>+YEAR(Tabla2[[#This Row],[Cosecha]])</f>
        <v>2025</v>
      </c>
      <c r="G865" s="11" t="s">
        <v>118</v>
      </c>
      <c r="H865" s="91">
        <f t="shared" si="30"/>
        <v>5</v>
      </c>
      <c r="I865" s="10" t="s">
        <v>18</v>
      </c>
      <c r="J865" s="11" t="s">
        <v>36</v>
      </c>
      <c r="K865" s="88">
        <f t="shared" si="31"/>
        <v>6</v>
      </c>
      <c r="L865" s="11" t="s">
        <v>3378</v>
      </c>
      <c r="M865" s="11" t="s">
        <v>25</v>
      </c>
      <c r="N865" s="92" t="s">
        <v>21</v>
      </c>
    </row>
    <row r="866" spans="1:14" x14ac:dyDescent="0.35">
      <c r="A866" s="94" t="s">
        <v>3379</v>
      </c>
      <c r="B866" s="15" t="s">
        <v>13</v>
      </c>
      <c r="C866" s="16" t="s">
        <v>3380</v>
      </c>
      <c r="D866" s="16" t="s">
        <v>34</v>
      </c>
      <c r="E866" s="17" t="s">
        <v>97</v>
      </c>
      <c r="F866" s="15">
        <f>+YEAR(Tabla2[[#This Row],[Cosecha]])</f>
        <v>2025</v>
      </c>
      <c r="G866" s="16" t="s">
        <v>70</v>
      </c>
      <c r="H866" s="95">
        <f t="shared" si="30"/>
        <v>9</v>
      </c>
      <c r="I866" s="15" t="s">
        <v>18</v>
      </c>
      <c r="J866" s="16" t="s">
        <v>70</v>
      </c>
      <c r="K866" s="88">
        <f t="shared" si="31"/>
        <v>9</v>
      </c>
      <c r="L866" s="16" t="s">
        <v>3381</v>
      </c>
      <c r="M866" s="16" t="s">
        <v>115</v>
      </c>
      <c r="N866" s="96" t="s">
        <v>26</v>
      </c>
    </row>
    <row r="867" spans="1:14" x14ac:dyDescent="0.35">
      <c r="A867" s="90" t="s">
        <v>3382</v>
      </c>
      <c r="B867" s="10" t="s">
        <v>13</v>
      </c>
      <c r="C867" s="11" t="s">
        <v>3383</v>
      </c>
      <c r="D867" s="11" t="s">
        <v>34</v>
      </c>
      <c r="E867" s="12" t="s">
        <v>62</v>
      </c>
      <c r="F867" s="10">
        <f>+YEAR(Tabla2[[#This Row],[Cosecha]])</f>
        <v>2025</v>
      </c>
      <c r="G867" s="11" t="s">
        <v>23</v>
      </c>
      <c r="H867" s="91">
        <f t="shared" si="30"/>
        <v>6</v>
      </c>
      <c r="I867" s="10" t="s">
        <v>18</v>
      </c>
      <c r="J867" s="11" t="s">
        <v>52</v>
      </c>
      <c r="K867" s="88">
        <f t="shared" si="31"/>
        <v>7</v>
      </c>
      <c r="L867" s="11" t="s">
        <v>3384</v>
      </c>
      <c r="M867" s="11" t="s">
        <v>44</v>
      </c>
      <c r="N867" s="92" t="s">
        <v>21</v>
      </c>
    </row>
    <row r="868" spans="1:14" x14ac:dyDescent="0.35">
      <c r="A868" s="94" t="s">
        <v>3385</v>
      </c>
      <c r="B868" s="15" t="s">
        <v>13</v>
      </c>
      <c r="C868" s="16" t="s">
        <v>3386</v>
      </c>
      <c r="D868" s="16" t="s">
        <v>34</v>
      </c>
      <c r="E868" s="17" t="s">
        <v>82</v>
      </c>
      <c r="F868" s="15">
        <f>+YEAR(Tabla2[[#This Row],[Cosecha]])</f>
        <v>2024</v>
      </c>
      <c r="G868" s="16" t="s">
        <v>47</v>
      </c>
      <c r="H868" s="95">
        <f t="shared" si="30"/>
        <v>3</v>
      </c>
      <c r="I868" s="15" t="s">
        <v>18</v>
      </c>
      <c r="J868" s="16" t="s">
        <v>47</v>
      </c>
      <c r="K868" s="88">
        <f t="shared" si="31"/>
        <v>3</v>
      </c>
      <c r="L868" s="16" t="s">
        <v>1669</v>
      </c>
      <c r="M868" s="16" t="s">
        <v>130</v>
      </c>
      <c r="N868" s="96" t="s">
        <v>21</v>
      </c>
    </row>
    <row r="869" spans="1:14" x14ac:dyDescent="0.35">
      <c r="A869" s="90" t="s">
        <v>3387</v>
      </c>
      <c r="B869" s="10" t="s">
        <v>13</v>
      </c>
      <c r="C869" s="11" t="s">
        <v>3388</v>
      </c>
      <c r="D869" s="11" t="s">
        <v>34</v>
      </c>
      <c r="E869" s="12" t="s">
        <v>47</v>
      </c>
      <c r="F869" s="10">
        <f>+YEAR(Tabla2[[#This Row],[Cosecha]])</f>
        <v>2025</v>
      </c>
      <c r="G869" s="11" t="s">
        <v>62</v>
      </c>
      <c r="H869" s="91">
        <f t="shared" si="30"/>
        <v>4</v>
      </c>
      <c r="I869" s="10" t="s">
        <v>18</v>
      </c>
      <c r="J869" s="11" t="s">
        <v>97</v>
      </c>
      <c r="K869" s="88">
        <f t="shared" si="31"/>
        <v>5</v>
      </c>
      <c r="L869" s="11" t="s">
        <v>3389</v>
      </c>
      <c r="M869" s="11" t="s">
        <v>44</v>
      </c>
      <c r="N869" s="92" t="s">
        <v>26</v>
      </c>
    </row>
    <row r="870" spans="1:14" x14ac:dyDescent="0.35">
      <c r="A870" s="94" t="s">
        <v>3390</v>
      </c>
      <c r="B870" s="15" t="s">
        <v>85</v>
      </c>
      <c r="C870" s="16" t="s">
        <v>3391</v>
      </c>
      <c r="D870" s="16" t="s">
        <v>34</v>
      </c>
      <c r="E870" s="17" t="s">
        <v>82</v>
      </c>
      <c r="F870" s="15">
        <f>+YEAR(Tabla2[[#This Row],[Cosecha]])</f>
        <v>2024</v>
      </c>
      <c r="G870" s="16" t="s">
        <v>29</v>
      </c>
      <c r="H870" s="95">
        <f t="shared" si="30"/>
        <v>6</v>
      </c>
      <c r="I870" s="15" t="s">
        <v>18</v>
      </c>
      <c r="J870" s="16" t="s">
        <v>29</v>
      </c>
      <c r="K870" s="88">
        <f t="shared" si="31"/>
        <v>6</v>
      </c>
      <c r="L870" s="16" t="s">
        <v>3392</v>
      </c>
      <c r="M870" s="16" t="s">
        <v>130</v>
      </c>
      <c r="N870" s="96" t="s">
        <v>21</v>
      </c>
    </row>
    <row r="871" spans="1:14" x14ac:dyDescent="0.35">
      <c r="A871" s="90" t="s">
        <v>3393</v>
      </c>
      <c r="B871" s="10" t="s">
        <v>13</v>
      </c>
      <c r="C871" s="11" t="s">
        <v>3394</v>
      </c>
      <c r="D871" s="11" t="s">
        <v>34</v>
      </c>
      <c r="E871" s="12" t="s">
        <v>133</v>
      </c>
      <c r="F871" s="10">
        <f>+YEAR(Tabla2[[#This Row],[Cosecha]])</f>
        <v>2025</v>
      </c>
      <c r="G871" s="11" t="s">
        <v>52</v>
      </c>
      <c r="H871" s="91">
        <f t="shared" si="30"/>
        <v>10</v>
      </c>
      <c r="I871" s="10" t="s">
        <v>18</v>
      </c>
      <c r="J871" s="11" t="s">
        <v>17</v>
      </c>
      <c r="K871" s="88">
        <f t="shared" si="31"/>
        <v>12</v>
      </c>
      <c r="L871" s="11" t="s">
        <v>3395</v>
      </c>
      <c r="M871" s="11" t="s">
        <v>115</v>
      </c>
      <c r="N871" s="92" t="s">
        <v>26</v>
      </c>
    </row>
    <row r="872" spans="1:14" x14ac:dyDescent="0.35">
      <c r="A872" s="94" t="s">
        <v>3396</v>
      </c>
      <c r="B872" s="15" t="s">
        <v>13</v>
      </c>
      <c r="C872" s="16" t="s">
        <v>3397</v>
      </c>
      <c r="D872" s="16" t="s">
        <v>34</v>
      </c>
      <c r="E872" s="17" t="s">
        <v>252</v>
      </c>
      <c r="F872" s="15">
        <f>+YEAR(Tabla2[[#This Row],[Cosecha]])</f>
        <v>2024</v>
      </c>
      <c r="G872" s="16" t="s">
        <v>133</v>
      </c>
      <c r="H872" s="95">
        <f t="shared" si="30"/>
        <v>9</v>
      </c>
      <c r="I872" s="15" t="s">
        <v>18</v>
      </c>
      <c r="J872" s="16" t="s">
        <v>104</v>
      </c>
      <c r="K872" s="88">
        <f t="shared" si="31"/>
        <v>10</v>
      </c>
      <c r="L872" s="16" t="s">
        <v>3398</v>
      </c>
      <c r="M872" s="16" t="s">
        <v>25</v>
      </c>
      <c r="N872" s="96" t="s">
        <v>21</v>
      </c>
    </row>
    <row r="873" spans="1:14" x14ac:dyDescent="0.35">
      <c r="A873" s="90" t="s">
        <v>3399</v>
      </c>
      <c r="B873" s="10" t="s">
        <v>13</v>
      </c>
      <c r="C873" s="11" t="s">
        <v>3400</v>
      </c>
      <c r="D873" s="11" t="s">
        <v>34</v>
      </c>
      <c r="E873" s="12" t="s">
        <v>37</v>
      </c>
      <c r="F873" s="10">
        <f>+YEAR(Tabla2[[#This Row],[Cosecha]])</f>
        <v>2025</v>
      </c>
      <c r="G873" s="11" t="s">
        <v>30</v>
      </c>
      <c r="H873" s="91">
        <f t="shared" si="30"/>
        <v>4</v>
      </c>
      <c r="I873" s="10" t="s">
        <v>18</v>
      </c>
      <c r="J873" s="11" t="s">
        <v>30</v>
      </c>
      <c r="K873" s="88">
        <f t="shared" si="31"/>
        <v>4</v>
      </c>
      <c r="L873" s="11" t="s">
        <v>3401</v>
      </c>
      <c r="M873" s="11" t="s">
        <v>25</v>
      </c>
      <c r="N873" s="92" t="s">
        <v>26</v>
      </c>
    </row>
    <row r="874" spans="1:14" x14ac:dyDescent="0.35">
      <c r="A874" s="94" t="s">
        <v>3402</v>
      </c>
      <c r="B874" s="15" t="s">
        <v>13</v>
      </c>
      <c r="C874" s="16" t="s">
        <v>3403</v>
      </c>
      <c r="D874" s="16" t="s">
        <v>34</v>
      </c>
      <c r="E874" s="17" t="s">
        <v>36</v>
      </c>
      <c r="F874" s="15">
        <f>+YEAR(Tabla2[[#This Row],[Cosecha]])</f>
        <v>2025</v>
      </c>
      <c r="G874" s="16" t="s">
        <v>17</v>
      </c>
      <c r="H874" s="95">
        <f t="shared" si="30"/>
        <v>6</v>
      </c>
      <c r="I874" s="15" t="s">
        <v>18</v>
      </c>
      <c r="J874" s="16" t="s">
        <v>17</v>
      </c>
      <c r="K874" s="88">
        <f t="shared" si="31"/>
        <v>6</v>
      </c>
      <c r="L874" s="16" t="s">
        <v>3404</v>
      </c>
      <c r="M874" s="16" t="s">
        <v>44</v>
      </c>
      <c r="N874" s="96" t="s">
        <v>21</v>
      </c>
    </row>
    <row r="875" spans="1:14" x14ac:dyDescent="0.35">
      <c r="A875" s="90" t="s">
        <v>3405</v>
      </c>
      <c r="B875" s="10" t="s">
        <v>13</v>
      </c>
      <c r="C875" s="11" t="s">
        <v>3406</v>
      </c>
      <c r="D875" s="11" t="s">
        <v>34</v>
      </c>
      <c r="E875" s="12" t="s">
        <v>66</v>
      </c>
      <c r="F875" s="10">
        <f>+YEAR(Tabla2[[#This Row],[Cosecha]])</f>
        <v>2025</v>
      </c>
      <c r="G875" s="11" t="s">
        <v>104</v>
      </c>
      <c r="H875" s="91">
        <f t="shared" si="30"/>
        <v>4</v>
      </c>
      <c r="I875" s="10" t="s">
        <v>18</v>
      </c>
      <c r="J875" s="11" t="s">
        <v>104</v>
      </c>
      <c r="K875" s="88">
        <f t="shared" si="31"/>
        <v>4</v>
      </c>
      <c r="L875" s="11" t="s">
        <v>3407</v>
      </c>
      <c r="M875" s="11" t="s">
        <v>130</v>
      </c>
      <c r="N875" s="92" t="s">
        <v>26</v>
      </c>
    </row>
    <row r="876" spans="1:14" x14ac:dyDescent="0.35">
      <c r="A876" s="94" t="s">
        <v>3408</v>
      </c>
      <c r="B876" s="15" t="s">
        <v>13</v>
      </c>
      <c r="C876" s="16" t="s">
        <v>3409</v>
      </c>
      <c r="D876" s="16" t="s">
        <v>34</v>
      </c>
      <c r="E876" s="17" t="s">
        <v>29</v>
      </c>
      <c r="F876" s="15">
        <f>+YEAR(Tabla2[[#This Row],[Cosecha]])</f>
        <v>2025</v>
      </c>
      <c r="G876" s="16" t="s">
        <v>62</v>
      </c>
      <c r="H876" s="95">
        <f t="shared" si="30"/>
        <v>1</v>
      </c>
      <c r="I876" s="15" t="s">
        <v>18</v>
      </c>
      <c r="J876" s="16" t="s">
        <v>97</v>
      </c>
      <c r="K876" s="88">
        <f t="shared" si="31"/>
        <v>2</v>
      </c>
      <c r="L876" s="16" t="s">
        <v>3410</v>
      </c>
      <c r="M876" s="16" t="s">
        <v>115</v>
      </c>
      <c r="N876" s="96" t="s">
        <v>26</v>
      </c>
    </row>
    <row r="877" spans="1:14" x14ac:dyDescent="0.35">
      <c r="A877" s="90" t="s">
        <v>3411</v>
      </c>
      <c r="B877" s="10" t="s">
        <v>13</v>
      </c>
      <c r="C877" s="11" t="s">
        <v>3412</v>
      </c>
      <c r="D877" s="11" t="s">
        <v>34</v>
      </c>
      <c r="E877" s="12" t="s">
        <v>252</v>
      </c>
      <c r="F877" s="10">
        <f>+YEAR(Tabla2[[#This Row],[Cosecha]])</f>
        <v>2024</v>
      </c>
      <c r="G877" s="11" t="s">
        <v>66</v>
      </c>
      <c r="H877" s="91">
        <f t="shared" si="30"/>
        <v>6</v>
      </c>
      <c r="I877" s="10" t="s">
        <v>18</v>
      </c>
      <c r="J877" s="11" t="s">
        <v>66</v>
      </c>
      <c r="K877" s="88">
        <f t="shared" si="31"/>
        <v>6</v>
      </c>
      <c r="L877" s="11" t="s">
        <v>3413</v>
      </c>
      <c r="M877" s="11" t="s">
        <v>130</v>
      </c>
      <c r="N877" s="92" t="s">
        <v>21</v>
      </c>
    </row>
    <row r="878" spans="1:14" x14ac:dyDescent="0.35">
      <c r="A878" s="94" t="s">
        <v>3414</v>
      </c>
      <c r="B878" s="15" t="s">
        <v>13</v>
      </c>
      <c r="C878" s="16" t="s">
        <v>3415</v>
      </c>
      <c r="D878" s="16" t="s">
        <v>34</v>
      </c>
      <c r="E878" s="17" t="s">
        <v>82</v>
      </c>
      <c r="F878" s="15">
        <f>+YEAR(Tabla2[[#This Row],[Cosecha]])</f>
        <v>2024</v>
      </c>
      <c r="G878" s="16" t="s">
        <v>97</v>
      </c>
      <c r="H878" s="95">
        <f t="shared" si="30"/>
        <v>8</v>
      </c>
      <c r="I878" s="15" t="s">
        <v>18</v>
      </c>
      <c r="J878" s="16" t="s">
        <v>118</v>
      </c>
      <c r="K878" s="88">
        <f t="shared" si="31"/>
        <v>9</v>
      </c>
      <c r="L878" s="16" t="s">
        <v>3416</v>
      </c>
      <c r="M878" s="16" t="s">
        <v>130</v>
      </c>
      <c r="N878" s="96" t="s">
        <v>26</v>
      </c>
    </row>
    <row r="879" spans="1:14" x14ac:dyDescent="0.35">
      <c r="A879" s="90" t="s">
        <v>3417</v>
      </c>
      <c r="B879" s="10" t="s">
        <v>13</v>
      </c>
      <c r="C879" s="11" t="s">
        <v>3418</v>
      </c>
      <c r="D879" s="11" t="s">
        <v>34</v>
      </c>
      <c r="E879" s="12" t="s">
        <v>66</v>
      </c>
      <c r="F879" s="10">
        <f>+YEAR(Tabla2[[#This Row],[Cosecha]])</f>
        <v>2025</v>
      </c>
      <c r="G879" s="11" t="s">
        <v>97</v>
      </c>
      <c r="H879" s="91">
        <f t="shared" si="30"/>
        <v>7</v>
      </c>
      <c r="I879" s="10" t="s">
        <v>18</v>
      </c>
      <c r="J879" s="11" t="s">
        <v>118</v>
      </c>
      <c r="K879" s="88">
        <f t="shared" si="31"/>
        <v>8</v>
      </c>
      <c r="L879" s="11" t="s">
        <v>3419</v>
      </c>
      <c r="M879" s="11" t="s">
        <v>130</v>
      </c>
      <c r="N879" s="92" t="s">
        <v>21</v>
      </c>
    </row>
    <row r="880" spans="1:14" x14ac:dyDescent="0.35">
      <c r="A880" s="94" t="s">
        <v>3420</v>
      </c>
      <c r="B880" s="15" t="s">
        <v>13</v>
      </c>
      <c r="C880" s="16" t="s">
        <v>3421</v>
      </c>
      <c r="D880" s="16" t="s">
        <v>34</v>
      </c>
      <c r="E880" s="17" t="s">
        <v>113</v>
      </c>
      <c r="F880" s="15">
        <f>+YEAR(Tabla2[[#This Row],[Cosecha]])</f>
        <v>2025</v>
      </c>
      <c r="G880" s="16" t="s">
        <v>30</v>
      </c>
      <c r="H880" s="95">
        <f t="shared" si="30"/>
        <v>3</v>
      </c>
      <c r="I880" s="15" t="s">
        <v>18</v>
      </c>
      <c r="J880" s="16" t="s">
        <v>17</v>
      </c>
      <c r="K880" s="88">
        <f t="shared" si="31"/>
        <v>4</v>
      </c>
      <c r="L880" s="16" t="s">
        <v>3422</v>
      </c>
      <c r="M880" s="16" t="s">
        <v>115</v>
      </c>
      <c r="N880" s="96" t="s">
        <v>21</v>
      </c>
    </row>
    <row r="881" spans="1:14" x14ac:dyDescent="0.35">
      <c r="A881" s="90" t="s">
        <v>3423</v>
      </c>
      <c r="B881" s="10" t="s">
        <v>13</v>
      </c>
      <c r="C881" s="11" t="s">
        <v>3424</v>
      </c>
      <c r="D881" s="11" t="s">
        <v>34</v>
      </c>
      <c r="E881" s="12" t="s">
        <v>104</v>
      </c>
      <c r="F881" s="10">
        <f>+YEAR(Tabla2[[#This Row],[Cosecha]])</f>
        <v>2025</v>
      </c>
      <c r="G881" s="11" t="s">
        <v>118</v>
      </c>
      <c r="H881" s="91">
        <f t="shared" si="30"/>
        <v>4</v>
      </c>
      <c r="I881" s="10" t="s">
        <v>18</v>
      </c>
      <c r="J881" s="11" t="s">
        <v>118</v>
      </c>
      <c r="K881" s="88">
        <f t="shared" si="31"/>
        <v>4</v>
      </c>
      <c r="L881" s="11" t="s">
        <v>3425</v>
      </c>
      <c r="M881" s="11" t="s">
        <v>115</v>
      </c>
      <c r="N881" s="92" t="s">
        <v>21</v>
      </c>
    </row>
    <row r="882" spans="1:14" x14ac:dyDescent="0.35">
      <c r="A882" s="94" t="s">
        <v>3426</v>
      </c>
      <c r="B882" s="15" t="s">
        <v>13</v>
      </c>
      <c r="C882" s="16" t="s">
        <v>3427</v>
      </c>
      <c r="D882" s="16" t="s">
        <v>34</v>
      </c>
      <c r="E882" s="17" t="s">
        <v>82</v>
      </c>
      <c r="F882" s="15">
        <f>+YEAR(Tabla2[[#This Row],[Cosecha]])</f>
        <v>2024</v>
      </c>
      <c r="G882" s="16" t="s">
        <v>47</v>
      </c>
      <c r="H882" s="95">
        <f t="shared" si="30"/>
        <v>3</v>
      </c>
      <c r="I882" s="15" t="s">
        <v>18</v>
      </c>
      <c r="J882" s="16" t="s">
        <v>47</v>
      </c>
      <c r="K882" s="88">
        <f t="shared" si="31"/>
        <v>3</v>
      </c>
      <c r="L882" s="16" t="s">
        <v>3428</v>
      </c>
      <c r="M882" s="16" t="s">
        <v>130</v>
      </c>
      <c r="N882" s="96" t="s">
        <v>21</v>
      </c>
    </row>
    <row r="883" spans="1:14" x14ac:dyDescent="0.35">
      <c r="A883" s="90" t="s">
        <v>3429</v>
      </c>
      <c r="B883" s="10" t="s">
        <v>13</v>
      </c>
      <c r="C883" s="11" t="s">
        <v>3430</v>
      </c>
      <c r="D883" s="11" t="s">
        <v>34</v>
      </c>
      <c r="E883" s="12" t="s">
        <v>82</v>
      </c>
      <c r="F883" s="10">
        <f>+YEAR(Tabla2[[#This Row],[Cosecha]])</f>
        <v>2024</v>
      </c>
      <c r="G883" s="11" t="s">
        <v>47</v>
      </c>
      <c r="H883" s="91">
        <f t="shared" si="30"/>
        <v>3</v>
      </c>
      <c r="I883" s="10" t="s">
        <v>18</v>
      </c>
      <c r="J883" s="11" t="s">
        <v>47</v>
      </c>
      <c r="K883" s="88">
        <f t="shared" si="31"/>
        <v>3</v>
      </c>
      <c r="L883" s="11" t="s">
        <v>920</v>
      </c>
      <c r="M883" s="11" t="s">
        <v>130</v>
      </c>
      <c r="N883" s="92" t="s">
        <v>21</v>
      </c>
    </row>
    <row r="884" spans="1:14" x14ac:dyDescent="0.35">
      <c r="A884" s="94" t="s">
        <v>3431</v>
      </c>
      <c r="B884" s="15" t="s">
        <v>13</v>
      </c>
      <c r="C884" s="16" t="s">
        <v>3432</v>
      </c>
      <c r="D884" s="16" t="s">
        <v>34</v>
      </c>
      <c r="E884" s="17" t="s">
        <v>36</v>
      </c>
      <c r="F884" s="15">
        <f>+YEAR(Tabla2[[#This Row],[Cosecha]])</f>
        <v>2025</v>
      </c>
      <c r="G884" s="16" t="s">
        <v>113</v>
      </c>
      <c r="H884" s="95">
        <f t="shared" si="30"/>
        <v>2</v>
      </c>
      <c r="I884" s="15" t="s">
        <v>18</v>
      </c>
      <c r="J884" s="16" t="s">
        <v>52</v>
      </c>
      <c r="K884" s="88">
        <f t="shared" si="31"/>
        <v>4</v>
      </c>
      <c r="L884" s="16" t="s">
        <v>3433</v>
      </c>
      <c r="M884" s="16" t="s">
        <v>130</v>
      </c>
      <c r="N884" s="96" t="s">
        <v>26</v>
      </c>
    </row>
    <row r="885" spans="1:14" x14ac:dyDescent="0.35">
      <c r="A885" s="90" t="s">
        <v>3434</v>
      </c>
      <c r="B885" s="10" t="s">
        <v>13</v>
      </c>
      <c r="C885" s="11" t="s">
        <v>3435</v>
      </c>
      <c r="D885" s="11" t="s">
        <v>34</v>
      </c>
      <c r="E885" s="12" t="s">
        <v>82</v>
      </c>
      <c r="F885" s="10">
        <f>+YEAR(Tabla2[[#This Row],[Cosecha]])</f>
        <v>2024</v>
      </c>
      <c r="G885" s="11" t="s">
        <v>133</v>
      </c>
      <c r="H885" s="91">
        <f t="shared" si="30"/>
        <v>4</v>
      </c>
      <c r="I885" s="10" t="s">
        <v>18</v>
      </c>
      <c r="J885" s="11" t="s">
        <v>104</v>
      </c>
      <c r="K885" s="88">
        <f t="shared" si="31"/>
        <v>5</v>
      </c>
      <c r="L885" s="11" t="s">
        <v>3433</v>
      </c>
      <c r="M885" s="11" t="s">
        <v>130</v>
      </c>
      <c r="N885" s="92" t="s">
        <v>21</v>
      </c>
    </row>
    <row r="886" spans="1:14" x14ac:dyDescent="0.35">
      <c r="A886" s="94" t="s">
        <v>3436</v>
      </c>
      <c r="B886" s="15" t="s">
        <v>13</v>
      </c>
      <c r="C886" s="16" t="s">
        <v>3437</v>
      </c>
      <c r="D886" s="16" t="s">
        <v>34</v>
      </c>
      <c r="E886" s="17" t="s">
        <v>29</v>
      </c>
      <c r="F886" s="15">
        <f>+YEAR(Tabla2[[#This Row],[Cosecha]])</f>
        <v>2025</v>
      </c>
      <c r="G886" s="16" t="s">
        <v>36</v>
      </c>
      <c r="H886" s="95">
        <f t="shared" si="30"/>
        <v>4</v>
      </c>
      <c r="I886" s="15" t="s">
        <v>18</v>
      </c>
      <c r="J886" s="16" t="s">
        <v>36</v>
      </c>
      <c r="K886" s="88">
        <f t="shared" si="31"/>
        <v>4</v>
      </c>
      <c r="L886" s="16" t="s">
        <v>3438</v>
      </c>
      <c r="M886" s="16" t="s">
        <v>115</v>
      </c>
      <c r="N886" s="96" t="s">
        <v>21</v>
      </c>
    </row>
    <row r="887" spans="1:14" x14ac:dyDescent="0.35">
      <c r="A887" s="90" t="s">
        <v>3439</v>
      </c>
      <c r="B887" s="10" t="s">
        <v>13</v>
      </c>
      <c r="C887" s="11" t="s">
        <v>3440</v>
      </c>
      <c r="D887" s="11" t="s">
        <v>34</v>
      </c>
      <c r="E887" s="12" t="s">
        <v>457</v>
      </c>
      <c r="F887" s="10">
        <f>+YEAR(Tabla2[[#This Row],[Cosecha]])</f>
        <v>2024</v>
      </c>
      <c r="G887" s="11" t="s">
        <v>47</v>
      </c>
      <c r="H887" s="91">
        <f t="shared" si="30"/>
        <v>9</v>
      </c>
      <c r="I887" s="10" t="s">
        <v>18</v>
      </c>
      <c r="J887" s="11" t="s">
        <v>47</v>
      </c>
      <c r="K887" s="88">
        <f t="shared" si="31"/>
        <v>9</v>
      </c>
      <c r="L887" s="11" t="s">
        <v>3441</v>
      </c>
      <c r="M887" s="11" t="s">
        <v>241</v>
      </c>
      <c r="N887" s="92" t="s">
        <v>21</v>
      </c>
    </row>
    <row r="888" spans="1:14" x14ac:dyDescent="0.35">
      <c r="A888" s="94" t="s">
        <v>3445</v>
      </c>
      <c r="B888" s="15" t="s">
        <v>13</v>
      </c>
      <c r="C888" s="16" t="s">
        <v>3446</v>
      </c>
      <c r="D888" s="16" t="s">
        <v>90</v>
      </c>
      <c r="E888" s="17" t="s">
        <v>29</v>
      </c>
      <c r="F888" s="15">
        <f>+YEAR(Tabla2[[#This Row],[Cosecha]])</f>
        <v>2025</v>
      </c>
      <c r="G888" s="16" t="s">
        <v>23</v>
      </c>
      <c r="H888" s="95">
        <f t="shared" si="30"/>
        <v>7</v>
      </c>
      <c r="I888" s="15" t="s">
        <v>18</v>
      </c>
      <c r="J888" s="16" t="s">
        <v>23</v>
      </c>
      <c r="K888" s="88">
        <f t="shared" si="31"/>
        <v>7</v>
      </c>
      <c r="L888" s="16" t="s">
        <v>3447</v>
      </c>
      <c r="M888" s="16" t="s">
        <v>25</v>
      </c>
      <c r="N888" s="96" t="s">
        <v>26</v>
      </c>
    </row>
    <row r="889" spans="1:14" x14ac:dyDescent="0.35">
      <c r="A889" s="90" t="s">
        <v>3448</v>
      </c>
      <c r="B889" s="10" t="s">
        <v>13</v>
      </c>
      <c r="C889" s="11" t="s">
        <v>3449</v>
      </c>
      <c r="D889" s="11" t="s">
        <v>90</v>
      </c>
      <c r="E889" s="12" t="s">
        <v>97</v>
      </c>
      <c r="F889" s="10">
        <f>+YEAR(Tabla2[[#This Row],[Cosecha]])</f>
        <v>2025</v>
      </c>
      <c r="G889" s="11" t="s">
        <v>30</v>
      </c>
      <c r="H889" s="91">
        <f t="shared" si="30"/>
        <v>7</v>
      </c>
      <c r="I889" s="10" t="s">
        <v>18</v>
      </c>
      <c r="J889" s="11" t="s">
        <v>30</v>
      </c>
      <c r="K889" s="88">
        <f t="shared" si="31"/>
        <v>7</v>
      </c>
      <c r="L889" s="11" t="s">
        <v>3450</v>
      </c>
      <c r="M889" s="11" t="s">
        <v>39</v>
      </c>
      <c r="N889" s="92" t="s">
        <v>21</v>
      </c>
    </row>
    <row r="890" spans="1:14" x14ac:dyDescent="0.35">
      <c r="A890" s="94" t="s">
        <v>3451</v>
      </c>
      <c r="B890" s="15" t="s">
        <v>13</v>
      </c>
      <c r="C890" s="16" t="s">
        <v>3452</v>
      </c>
      <c r="D890" s="16" t="s">
        <v>34</v>
      </c>
      <c r="E890" s="17" t="s">
        <v>104</v>
      </c>
      <c r="F890" s="15">
        <f>+YEAR(Tabla2[[#This Row],[Cosecha]])</f>
        <v>2025</v>
      </c>
      <c r="G890" s="16" t="s">
        <v>30</v>
      </c>
      <c r="H890" s="95">
        <f t="shared" si="30"/>
        <v>10</v>
      </c>
      <c r="I890" s="15" t="s">
        <v>18</v>
      </c>
      <c r="J890" s="16" t="s">
        <v>30</v>
      </c>
      <c r="K890" s="88">
        <f t="shared" si="31"/>
        <v>10</v>
      </c>
      <c r="L890" s="16" t="s">
        <v>3453</v>
      </c>
      <c r="M890" s="16" t="s">
        <v>115</v>
      </c>
      <c r="N890" s="96" t="s">
        <v>26</v>
      </c>
    </row>
    <row r="891" spans="1:14" x14ac:dyDescent="0.35">
      <c r="A891" s="90" t="s">
        <v>3454</v>
      </c>
      <c r="B891" s="10" t="s">
        <v>85</v>
      </c>
      <c r="C891" s="11" t="s">
        <v>3455</v>
      </c>
      <c r="D891" s="11" t="s">
        <v>90</v>
      </c>
      <c r="E891" s="12" t="s">
        <v>36</v>
      </c>
      <c r="F891" s="10">
        <f>+YEAR(Tabla2[[#This Row],[Cosecha]])</f>
        <v>2025</v>
      </c>
      <c r="G891" s="11" t="s">
        <v>52</v>
      </c>
      <c r="H891" s="91">
        <f t="shared" si="30"/>
        <v>4</v>
      </c>
      <c r="I891" s="10" t="s">
        <v>18</v>
      </c>
      <c r="J891" s="11" t="s">
        <v>52</v>
      </c>
      <c r="K891" s="88">
        <f t="shared" si="31"/>
        <v>4</v>
      </c>
      <c r="L891" s="11" t="s">
        <v>3456</v>
      </c>
      <c r="M891" s="11" t="s">
        <v>25</v>
      </c>
      <c r="N891" s="92" t="s">
        <v>21</v>
      </c>
    </row>
    <row r="892" spans="1:14" x14ac:dyDescent="0.35">
      <c r="A892" s="94" t="s">
        <v>3457</v>
      </c>
      <c r="B892" s="15" t="s">
        <v>13</v>
      </c>
      <c r="C892" s="16" t="s">
        <v>3458</v>
      </c>
      <c r="D892" s="16" t="s">
        <v>34</v>
      </c>
      <c r="E892" s="17" t="s">
        <v>37</v>
      </c>
      <c r="F892" s="15">
        <f>+YEAR(Tabla2[[#This Row],[Cosecha]])</f>
        <v>2025</v>
      </c>
      <c r="G892" s="16" t="s">
        <v>70</v>
      </c>
      <c r="H892" s="95">
        <f t="shared" si="30"/>
        <v>6</v>
      </c>
      <c r="I892" s="15" t="s">
        <v>18</v>
      </c>
      <c r="J892" s="16" t="s">
        <v>70</v>
      </c>
      <c r="K892" s="88">
        <f t="shared" si="31"/>
        <v>6</v>
      </c>
      <c r="L892" s="16" t="s">
        <v>3459</v>
      </c>
      <c r="M892" s="16" t="s">
        <v>115</v>
      </c>
      <c r="N892" s="96" t="s">
        <v>21</v>
      </c>
    </row>
    <row r="893" spans="1:14" x14ac:dyDescent="0.35">
      <c r="A893" s="90" t="s">
        <v>3460</v>
      </c>
      <c r="B893" s="10" t="s">
        <v>13</v>
      </c>
      <c r="C893" s="11" t="s">
        <v>3461</v>
      </c>
      <c r="D893" s="11" t="s">
        <v>34</v>
      </c>
      <c r="E893" s="12" t="s">
        <v>23</v>
      </c>
      <c r="F893" s="10">
        <f>+YEAR(Tabla2[[#This Row],[Cosecha]])</f>
        <v>2026</v>
      </c>
      <c r="G893" s="11" t="s">
        <v>17</v>
      </c>
      <c r="H893" s="91">
        <f t="shared" si="30"/>
        <v>3</v>
      </c>
      <c r="I893" s="10" t="s">
        <v>18</v>
      </c>
      <c r="J893" s="11" t="s">
        <v>70</v>
      </c>
      <c r="K893" s="88">
        <f t="shared" si="31"/>
        <v>4</v>
      </c>
      <c r="L893" s="11" t="s">
        <v>3462</v>
      </c>
      <c r="M893" s="11" t="s">
        <v>25</v>
      </c>
      <c r="N893" s="92" t="s">
        <v>21</v>
      </c>
    </row>
    <row r="894" spans="1:14" x14ac:dyDescent="0.35">
      <c r="A894" s="94" t="s">
        <v>3466</v>
      </c>
      <c r="B894" s="15" t="s">
        <v>13</v>
      </c>
      <c r="C894" s="16" t="s">
        <v>3467</v>
      </c>
      <c r="D894" s="16" t="s">
        <v>90</v>
      </c>
      <c r="E894" s="17" t="s">
        <v>37</v>
      </c>
      <c r="F894" s="15">
        <f>+YEAR(Tabla2[[#This Row],[Cosecha]])</f>
        <v>2025</v>
      </c>
      <c r="G894" s="16" t="s">
        <v>52</v>
      </c>
      <c r="H894" s="95">
        <f t="shared" si="30"/>
        <v>3</v>
      </c>
      <c r="I894" s="15" t="s">
        <v>18</v>
      </c>
      <c r="J894" s="16" t="s">
        <v>30</v>
      </c>
      <c r="K894" s="88">
        <f t="shared" si="31"/>
        <v>4</v>
      </c>
      <c r="L894" s="16" t="s">
        <v>3468</v>
      </c>
      <c r="M894" s="16" t="s">
        <v>115</v>
      </c>
      <c r="N894" s="96" t="s">
        <v>21</v>
      </c>
    </row>
    <row r="895" spans="1:14" x14ac:dyDescent="0.35">
      <c r="A895" s="90" t="s">
        <v>3472</v>
      </c>
      <c r="B895" s="10" t="s">
        <v>13</v>
      </c>
      <c r="C895" s="11" t="s">
        <v>3473</v>
      </c>
      <c r="D895" s="11" t="s">
        <v>15</v>
      </c>
      <c r="E895" s="12" t="s">
        <v>133</v>
      </c>
      <c r="F895" s="10">
        <f>+YEAR(Tabla2[[#This Row],[Cosecha]])</f>
        <v>2025</v>
      </c>
      <c r="G895" s="11" t="s">
        <v>62</v>
      </c>
      <c r="H895" s="91">
        <f t="shared" si="30"/>
        <v>3</v>
      </c>
      <c r="I895" s="10" t="s">
        <v>18</v>
      </c>
      <c r="J895" s="11" t="s">
        <v>62</v>
      </c>
      <c r="K895" s="88">
        <f t="shared" si="31"/>
        <v>3</v>
      </c>
      <c r="L895" s="11" t="s">
        <v>3474</v>
      </c>
      <c r="M895" s="11" t="s">
        <v>25</v>
      </c>
      <c r="N895" s="92" t="s">
        <v>21</v>
      </c>
    </row>
    <row r="896" spans="1:14" x14ac:dyDescent="0.35">
      <c r="A896" s="94" t="s">
        <v>3475</v>
      </c>
      <c r="B896" s="15" t="s">
        <v>13</v>
      </c>
      <c r="C896" s="16" t="s">
        <v>3476</v>
      </c>
      <c r="D896" s="16" t="s">
        <v>34</v>
      </c>
      <c r="E896" s="17" t="s">
        <v>29</v>
      </c>
      <c r="F896" s="15">
        <f>+YEAR(Tabla2[[#This Row],[Cosecha]])</f>
        <v>2025</v>
      </c>
      <c r="G896" s="16" t="s">
        <v>113</v>
      </c>
      <c r="H896" s="95">
        <f t="shared" si="30"/>
        <v>6</v>
      </c>
      <c r="I896" s="15" t="s">
        <v>18</v>
      </c>
      <c r="J896" s="16" t="s">
        <v>113</v>
      </c>
      <c r="K896" s="88">
        <f t="shared" si="31"/>
        <v>6</v>
      </c>
      <c r="L896" s="16" t="s">
        <v>2843</v>
      </c>
      <c r="M896" s="16" t="s">
        <v>130</v>
      </c>
      <c r="N896" s="96" t="s">
        <v>21</v>
      </c>
    </row>
    <row r="897" spans="1:14" x14ac:dyDescent="0.35">
      <c r="A897" s="90" t="s">
        <v>3477</v>
      </c>
      <c r="B897" s="10" t="s">
        <v>85</v>
      </c>
      <c r="C897" s="11" t="s">
        <v>3478</v>
      </c>
      <c r="D897" s="11" t="s">
        <v>78</v>
      </c>
      <c r="E897" s="12" t="s">
        <v>497</v>
      </c>
      <c r="F897" s="10">
        <f>+YEAR(Tabla2[[#This Row],[Cosecha]])</f>
        <v>2024</v>
      </c>
      <c r="G897" s="11" t="s">
        <v>118</v>
      </c>
      <c r="H897" s="91">
        <f t="shared" si="30"/>
        <v>13</v>
      </c>
      <c r="I897" s="10" t="s">
        <v>18</v>
      </c>
      <c r="J897" s="11" t="s">
        <v>118</v>
      </c>
      <c r="K897" s="88">
        <f t="shared" si="31"/>
        <v>13</v>
      </c>
      <c r="L897" s="11" t="s">
        <v>3479</v>
      </c>
      <c r="M897" s="11" t="s">
        <v>25</v>
      </c>
      <c r="N897" s="92" t="s">
        <v>21</v>
      </c>
    </row>
    <row r="898" spans="1:14" x14ac:dyDescent="0.35">
      <c r="A898" s="94" t="s">
        <v>3480</v>
      </c>
      <c r="B898" s="15" t="s">
        <v>85</v>
      </c>
      <c r="C898" s="16" t="s">
        <v>3481</v>
      </c>
      <c r="D898" s="16" t="s">
        <v>15</v>
      </c>
      <c r="E898" s="17" t="s">
        <v>108</v>
      </c>
      <c r="F898" s="15">
        <f>+YEAR(Tabla2[[#This Row],[Cosecha]])</f>
        <v>2024</v>
      </c>
      <c r="G898" s="16" t="s">
        <v>47</v>
      </c>
      <c r="H898" s="95">
        <f t="shared" ref="H898:H961" si="32">(YEAR(G898)-YEAR(E898))*12+(MONTH(G898)-MONTH(E898))</f>
        <v>14</v>
      </c>
      <c r="I898" s="15" t="s">
        <v>18</v>
      </c>
      <c r="J898" s="16" t="s">
        <v>47</v>
      </c>
      <c r="K898" s="88">
        <f t="shared" ref="K898:K961" si="33">(YEAR(J898)-YEAR(E898))*12+(MONTH(J898)-MONTH(E898))</f>
        <v>14</v>
      </c>
      <c r="L898" s="16" t="s">
        <v>3482</v>
      </c>
      <c r="M898" s="16" t="s">
        <v>241</v>
      </c>
      <c r="N898" s="96" t="s">
        <v>21</v>
      </c>
    </row>
    <row r="899" spans="1:14" x14ac:dyDescent="0.35">
      <c r="A899" s="90" t="s">
        <v>3483</v>
      </c>
      <c r="B899" s="10" t="s">
        <v>13</v>
      </c>
      <c r="C899" s="11" t="s">
        <v>3484</v>
      </c>
      <c r="D899" s="11" t="s">
        <v>34</v>
      </c>
      <c r="E899" s="12" t="s">
        <v>51</v>
      </c>
      <c r="F899" s="10">
        <f>+YEAR(Tabla2[[#This Row],[Cosecha]])</f>
        <v>2025</v>
      </c>
      <c r="G899" s="11" t="s">
        <v>70</v>
      </c>
      <c r="H899" s="91">
        <f t="shared" si="32"/>
        <v>15</v>
      </c>
      <c r="I899" s="10" t="s">
        <v>18</v>
      </c>
      <c r="J899" s="11" t="s">
        <v>70</v>
      </c>
      <c r="K899" s="88">
        <f t="shared" si="33"/>
        <v>15</v>
      </c>
      <c r="L899" s="11" t="s">
        <v>3485</v>
      </c>
      <c r="M899" s="11" t="s">
        <v>44</v>
      </c>
      <c r="N899" s="92" t="s">
        <v>26</v>
      </c>
    </row>
    <row r="900" spans="1:14" x14ac:dyDescent="0.35">
      <c r="A900" s="94" t="s">
        <v>3486</v>
      </c>
      <c r="B900" s="15" t="s">
        <v>13</v>
      </c>
      <c r="C900" s="16" t="s">
        <v>3487</v>
      </c>
      <c r="D900" s="16" t="s">
        <v>34</v>
      </c>
      <c r="E900" s="17" t="s">
        <v>497</v>
      </c>
      <c r="F900" s="15">
        <f>+YEAR(Tabla2[[#This Row],[Cosecha]])</f>
        <v>2024</v>
      </c>
      <c r="G900" s="16" t="s">
        <v>133</v>
      </c>
      <c r="H900" s="95">
        <f t="shared" si="32"/>
        <v>8</v>
      </c>
      <c r="I900" s="15" t="s">
        <v>18</v>
      </c>
      <c r="J900" s="16" t="s">
        <v>104</v>
      </c>
      <c r="K900" s="88">
        <f t="shared" si="33"/>
        <v>9</v>
      </c>
      <c r="L900" s="16" t="s">
        <v>1628</v>
      </c>
      <c r="M900" s="16" t="s">
        <v>25</v>
      </c>
      <c r="N900" s="96" t="s">
        <v>21</v>
      </c>
    </row>
    <row r="901" spans="1:14" x14ac:dyDescent="0.35">
      <c r="A901" s="90" t="s">
        <v>3488</v>
      </c>
      <c r="B901" s="10" t="s">
        <v>13</v>
      </c>
      <c r="C901" s="11" t="s">
        <v>3489</v>
      </c>
      <c r="D901" s="11" t="s">
        <v>34</v>
      </c>
      <c r="E901" s="12" t="s">
        <v>133</v>
      </c>
      <c r="F901" s="10">
        <f>+YEAR(Tabla2[[#This Row],[Cosecha]])</f>
        <v>2025</v>
      </c>
      <c r="G901" s="11" t="s">
        <v>52</v>
      </c>
      <c r="H901" s="91">
        <f t="shared" si="32"/>
        <v>10</v>
      </c>
      <c r="I901" s="10" t="s">
        <v>18</v>
      </c>
      <c r="J901" s="11" t="s">
        <v>52</v>
      </c>
      <c r="K901" s="88">
        <f t="shared" si="33"/>
        <v>10</v>
      </c>
      <c r="L901" s="11" t="s">
        <v>664</v>
      </c>
      <c r="M901" s="11" t="s">
        <v>130</v>
      </c>
      <c r="N901" s="92" t="s">
        <v>21</v>
      </c>
    </row>
    <row r="902" spans="1:14" x14ac:dyDescent="0.35">
      <c r="A902" s="94" t="s">
        <v>3490</v>
      </c>
      <c r="B902" s="15" t="s">
        <v>13</v>
      </c>
      <c r="C902" s="16" t="s">
        <v>3491</v>
      </c>
      <c r="D902" s="16" t="s">
        <v>34</v>
      </c>
      <c r="E902" s="17" t="s">
        <v>36</v>
      </c>
      <c r="F902" s="15">
        <f>+YEAR(Tabla2[[#This Row],[Cosecha]])</f>
        <v>2025</v>
      </c>
      <c r="G902" s="16" t="s">
        <v>23</v>
      </c>
      <c r="H902" s="95">
        <f t="shared" si="32"/>
        <v>3</v>
      </c>
      <c r="I902" s="15" t="s">
        <v>18</v>
      </c>
      <c r="J902" s="16" t="s">
        <v>23</v>
      </c>
      <c r="K902" s="88">
        <f t="shared" si="33"/>
        <v>3</v>
      </c>
      <c r="L902" s="16" t="s">
        <v>3492</v>
      </c>
      <c r="M902" s="16" t="s">
        <v>115</v>
      </c>
      <c r="N902" s="96" t="s">
        <v>26</v>
      </c>
    </row>
    <row r="903" spans="1:14" x14ac:dyDescent="0.35">
      <c r="A903" s="90" t="s">
        <v>3493</v>
      </c>
      <c r="B903" s="10" t="s">
        <v>13</v>
      </c>
      <c r="C903" s="11" t="s">
        <v>3494</v>
      </c>
      <c r="D903" s="11" t="s">
        <v>34</v>
      </c>
      <c r="E903" s="12" t="s">
        <v>497</v>
      </c>
      <c r="F903" s="10">
        <f>+YEAR(Tabla2[[#This Row],[Cosecha]])</f>
        <v>2024</v>
      </c>
      <c r="G903" s="11" t="s">
        <v>47</v>
      </c>
      <c r="H903" s="91">
        <f t="shared" si="32"/>
        <v>7</v>
      </c>
      <c r="I903" s="10" t="s">
        <v>18</v>
      </c>
      <c r="J903" s="11" t="s">
        <v>47</v>
      </c>
      <c r="K903" s="88">
        <f t="shared" si="33"/>
        <v>7</v>
      </c>
      <c r="L903" s="11" t="s">
        <v>3495</v>
      </c>
      <c r="M903" s="11" t="s">
        <v>241</v>
      </c>
      <c r="N903" s="92" t="s">
        <v>21</v>
      </c>
    </row>
    <row r="904" spans="1:14" x14ac:dyDescent="0.35">
      <c r="A904" s="94" t="s">
        <v>3499</v>
      </c>
      <c r="B904" s="15" t="s">
        <v>13</v>
      </c>
      <c r="C904" s="16" t="s">
        <v>3500</v>
      </c>
      <c r="D904" s="16" t="s">
        <v>15</v>
      </c>
      <c r="E904" s="17" t="s">
        <v>36</v>
      </c>
      <c r="F904" s="15">
        <f>+YEAR(Tabla2[[#This Row],[Cosecha]])</f>
        <v>2025</v>
      </c>
      <c r="G904" s="16" t="s">
        <v>52</v>
      </c>
      <c r="H904" s="95">
        <f t="shared" si="32"/>
        <v>4</v>
      </c>
      <c r="I904" s="15" t="s">
        <v>18</v>
      </c>
      <c r="J904" s="16" t="s">
        <v>52</v>
      </c>
      <c r="K904" s="88">
        <f t="shared" si="33"/>
        <v>4</v>
      </c>
      <c r="L904" s="16" t="s">
        <v>3501</v>
      </c>
      <c r="M904" s="16" t="s">
        <v>25</v>
      </c>
      <c r="N904" s="96" t="s">
        <v>26</v>
      </c>
    </row>
    <row r="905" spans="1:14" x14ac:dyDescent="0.35">
      <c r="A905" s="90" t="s">
        <v>3502</v>
      </c>
      <c r="B905" s="10" t="s">
        <v>13</v>
      </c>
      <c r="C905" s="11" t="s">
        <v>3503</v>
      </c>
      <c r="D905" s="11" t="s">
        <v>34</v>
      </c>
      <c r="E905" s="12" t="s">
        <v>66</v>
      </c>
      <c r="F905" s="10">
        <f>+YEAR(Tabla2[[#This Row],[Cosecha]])</f>
        <v>2025</v>
      </c>
      <c r="G905" s="11" t="s">
        <v>52</v>
      </c>
      <c r="H905" s="91">
        <f t="shared" si="32"/>
        <v>13</v>
      </c>
      <c r="I905" s="10" t="s">
        <v>18</v>
      </c>
      <c r="J905" s="11" t="s">
        <v>30</v>
      </c>
      <c r="K905" s="88">
        <f t="shared" si="33"/>
        <v>14</v>
      </c>
      <c r="L905" s="11" t="s">
        <v>3504</v>
      </c>
      <c r="M905" s="11" t="s">
        <v>25</v>
      </c>
      <c r="N905" s="92" t="s">
        <v>21</v>
      </c>
    </row>
    <row r="906" spans="1:14" x14ac:dyDescent="0.35">
      <c r="A906" s="94" t="s">
        <v>3505</v>
      </c>
      <c r="B906" s="15" t="s">
        <v>13</v>
      </c>
      <c r="C906" s="16" t="s">
        <v>3506</v>
      </c>
      <c r="D906" s="16" t="s">
        <v>15</v>
      </c>
      <c r="E906" s="17" t="s">
        <v>118</v>
      </c>
      <c r="F906" s="15">
        <f>+YEAR(Tabla2[[#This Row],[Cosecha]])</f>
        <v>2025</v>
      </c>
      <c r="G906" s="16" t="s">
        <v>30</v>
      </c>
      <c r="H906" s="95">
        <f t="shared" si="32"/>
        <v>6</v>
      </c>
      <c r="I906" s="15" t="s">
        <v>18</v>
      </c>
      <c r="J906" s="16" t="s">
        <v>30</v>
      </c>
      <c r="K906" s="88">
        <f t="shared" si="33"/>
        <v>6</v>
      </c>
      <c r="L906" s="16" t="s">
        <v>3507</v>
      </c>
      <c r="M906" s="16" t="s">
        <v>25</v>
      </c>
      <c r="N906" s="96" t="s">
        <v>21</v>
      </c>
    </row>
    <row r="907" spans="1:14" x14ac:dyDescent="0.35">
      <c r="A907" s="90" t="s">
        <v>3508</v>
      </c>
      <c r="B907" s="10" t="s">
        <v>13</v>
      </c>
      <c r="C907" s="11" t="s">
        <v>3509</v>
      </c>
      <c r="D907" s="11" t="s">
        <v>34</v>
      </c>
      <c r="E907" s="12" t="s">
        <v>178</v>
      </c>
      <c r="F907" s="10">
        <f>+YEAR(Tabla2[[#This Row],[Cosecha]])</f>
        <v>2024</v>
      </c>
      <c r="G907" s="11" t="s">
        <v>118</v>
      </c>
      <c r="H907" s="91">
        <f t="shared" si="32"/>
        <v>10</v>
      </c>
      <c r="I907" s="10" t="s">
        <v>18</v>
      </c>
      <c r="J907" s="11" t="s">
        <v>118</v>
      </c>
      <c r="K907" s="88">
        <f t="shared" si="33"/>
        <v>10</v>
      </c>
      <c r="L907" s="11" t="s">
        <v>3510</v>
      </c>
      <c r="M907" s="11" t="s">
        <v>130</v>
      </c>
      <c r="N907" s="92" t="s">
        <v>26</v>
      </c>
    </row>
    <row r="908" spans="1:14" x14ac:dyDescent="0.35">
      <c r="A908" s="94" t="s">
        <v>3511</v>
      </c>
      <c r="B908" s="15" t="s">
        <v>13</v>
      </c>
      <c r="C908" s="16" t="s">
        <v>3512</v>
      </c>
      <c r="D908" s="16" t="s">
        <v>90</v>
      </c>
      <c r="E908" s="17" t="s">
        <v>104</v>
      </c>
      <c r="F908" s="15">
        <f>+YEAR(Tabla2[[#This Row],[Cosecha]])</f>
        <v>2025</v>
      </c>
      <c r="G908" s="16" t="s">
        <v>118</v>
      </c>
      <c r="H908" s="95">
        <f t="shared" si="32"/>
        <v>4</v>
      </c>
      <c r="I908" s="15" t="s">
        <v>18</v>
      </c>
      <c r="J908" s="16" t="s">
        <v>36</v>
      </c>
      <c r="K908" s="88">
        <f t="shared" si="33"/>
        <v>5</v>
      </c>
      <c r="L908" s="16" t="s">
        <v>3513</v>
      </c>
      <c r="M908" s="16" t="s">
        <v>39</v>
      </c>
      <c r="N908" s="96" t="s">
        <v>26</v>
      </c>
    </row>
    <row r="909" spans="1:14" x14ac:dyDescent="0.35">
      <c r="A909" s="90" t="s">
        <v>3517</v>
      </c>
      <c r="B909" s="10" t="s">
        <v>13</v>
      </c>
      <c r="C909" s="11" t="s">
        <v>3518</v>
      </c>
      <c r="D909" s="11" t="s">
        <v>15</v>
      </c>
      <c r="E909" s="12" t="s">
        <v>97</v>
      </c>
      <c r="F909" s="10">
        <f>+YEAR(Tabla2[[#This Row],[Cosecha]])</f>
        <v>2025</v>
      </c>
      <c r="G909" s="11" t="s">
        <v>113</v>
      </c>
      <c r="H909" s="91">
        <f t="shared" si="32"/>
        <v>4</v>
      </c>
      <c r="I909" s="10" t="s">
        <v>18</v>
      </c>
      <c r="J909" s="11" t="s">
        <v>23</v>
      </c>
      <c r="K909" s="88">
        <f t="shared" si="33"/>
        <v>5</v>
      </c>
      <c r="L909" s="11" t="s">
        <v>3519</v>
      </c>
      <c r="M909" s="11" t="s">
        <v>25</v>
      </c>
      <c r="N909" s="92" t="s">
        <v>21</v>
      </c>
    </row>
    <row r="910" spans="1:14" x14ac:dyDescent="0.35">
      <c r="A910" s="94" t="s">
        <v>3523</v>
      </c>
      <c r="B910" s="15" t="s">
        <v>13</v>
      </c>
      <c r="C910" s="16" t="s">
        <v>3524</v>
      </c>
      <c r="D910" s="16" t="s">
        <v>78</v>
      </c>
      <c r="E910" s="17" t="s">
        <v>29</v>
      </c>
      <c r="F910" s="15">
        <f>+YEAR(Tabla2[[#This Row],[Cosecha]])</f>
        <v>2025</v>
      </c>
      <c r="G910" s="16" t="s">
        <v>52</v>
      </c>
      <c r="H910" s="95">
        <f t="shared" si="32"/>
        <v>8</v>
      </c>
      <c r="I910" s="15" t="s">
        <v>18</v>
      </c>
      <c r="J910" s="16" t="s">
        <v>52</v>
      </c>
      <c r="K910" s="88">
        <f t="shared" si="33"/>
        <v>8</v>
      </c>
      <c r="L910" s="16" t="s">
        <v>3525</v>
      </c>
      <c r="M910" s="16" t="s">
        <v>39</v>
      </c>
      <c r="N910" s="96" t="s">
        <v>21</v>
      </c>
    </row>
    <row r="911" spans="1:14" x14ac:dyDescent="0.35">
      <c r="A911" s="90" t="s">
        <v>3526</v>
      </c>
      <c r="B911" s="10" t="s">
        <v>13</v>
      </c>
      <c r="C911" s="11" t="s">
        <v>3527</v>
      </c>
      <c r="D911" s="11" t="s">
        <v>34</v>
      </c>
      <c r="E911" s="12" t="s">
        <v>104</v>
      </c>
      <c r="F911" s="10">
        <f>+YEAR(Tabla2[[#This Row],[Cosecha]])</f>
        <v>2025</v>
      </c>
      <c r="G911" s="11" t="s">
        <v>118</v>
      </c>
      <c r="H911" s="91">
        <f t="shared" si="32"/>
        <v>4</v>
      </c>
      <c r="I911" s="10" t="s">
        <v>18</v>
      </c>
      <c r="J911" s="11" t="s">
        <v>118</v>
      </c>
      <c r="K911" s="88">
        <f t="shared" si="33"/>
        <v>4</v>
      </c>
      <c r="L911" s="11" t="s">
        <v>3528</v>
      </c>
      <c r="M911" s="11" t="s">
        <v>25</v>
      </c>
      <c r="N911" s="92" t="s">
        <v>21</v>
      </c>
    </row>
    <row r="912" spans="1:14" x14ac:dyDescent="0.35">
      <c r="A912" s="94" t="s">
        <v>3529</v>
      </c>
      <c r="B912" s="15" t="s">
        <v>13</v>
      </c>
      <c r="C912" s="16" t="s">
        <v>3530</v>
      </c>
      <c r="D912" s="16" t="s">
        <v>90</v>
      </c>
      <c r="E912" s="17" t="s">
        <v>52</v>
      </c>
      <c r="F912" s="15">
        <f>+YEAR(Tabla2[[#This Row],[Cosecha]])</f>
        <v>2026</v>
      </c>
      <c r="G912" s="16" t="s">
        <v>17</v>
      </c>
      <c r="H912" s="95">
        <f t="shared" si="32"/>
        <v>2</v>
      </c>
      <c r="I912" s="15" t="s">
        <v>18</v>
      </c>
      <c r="J912" s="16" t="s">
        <v>17</v>
      </c>
      <c r="K912" s="88">
        <f t="shared" si="33"/>
        <v>2</v>
      </c>
      <c r="L912" s="16" t="s">
        <v>3531</v>
      </c>
      <c r="M912" s="16" t="s">
        <v>25</v>
      </c>
      <c r="N912" s="96" t="s">
        <v>26</v>
      </c>
    </row>
    <row r="913" spans="1:14" x14ac:dyDescent="0.35">
      <c r="A913" s="90" t="s">
        <v>3532</v>
      </c>
      <c r="B913" s="10" t="s">
        <v>13</v>
      </c>
      <c r="C913" s="11" t="s">
        <v>3533</v>
      </c>
      <c r="D913" s="11" t="s">
        <v>90</v>
      </c>
      <c r="E913" s="12" t="s">
        <v>149</v>
      </c>
      <c r="F913" s="10">
        <f>+YEAR(Tabla2[[#This Row],[Cosecha]])</f>
        <v>2024</v>
      </c>
      <c r="G913" s="11" t="s">
        <v>29</v>
      </c>
      <c r="H913" s="91">
        <f t="shared" si="32"/>
        <v>9</v>
      </c>
      <c r="I913" s="10" t="s">
        <v>18</v>
      </c>
      <c r="J913" s="11" t="s">
        <v>97</v>
      </c>
      <c r="K913" s="88">
        <f t="shared" si="33"/>
        <v>11</v>
      </c>
      <c r="L913" s="11" t="s">
        <v>3534</v>
      </c>
      <c r="M913" s="11" t="s">
        <v>195</v>
      </c>
      <c r="N913" s="92" t="s">
        <v>21</v>
      </c>
    </row>
    <row r="914" spans="1:14" x14ac:dyDescent="0.35">
      <c r="A914" s="94" t="s">
        <v>3535</v>
      </c>
      <c r="B914" s="15" t="s">
        <v>13</v>
      </c>
      <c r="C914" s="16" t="s">
        <v>3536</v>
      </c>
      <c r="D914" s="16" t="s">
        <v>34</v>
      </c>
      <c r="E914" s="17" t="s">
        <v>97</v>
      </c>
      <c r="F914" s="15">
        <f>+YEAR(Tabla2[[#This Row],[Cosecha]])</f>
        <v>2025</v>
      </c>
      <c r="G914" s="16" t="s">
        <v>70</v>
      </c>
      <c r="H914" s="95">
        <f t="shared" si="32"/>
        <v>9</v>
      </c>
      <c r="I914" s="15" t="s">
        <v>18</v>
      </c>
      <c r="J914" s="16" t="s">
        <v>70</v>
      </c>
      <c r="K914" s="88">
        <f t="shared" si="33"/>
        <v>9</v>
      </c>
      <c r="L914" s="16" t="s">
        <v>3537</v>
      </c>
      <c r="M914" s="16" t="s">
        <v>44</v>
      </c>
      <c r="N914" s="96" t="s">
        <v>21</v>
      </c>
    </row>
    <row r="915" spans="1:14" x14ac:dyDescent="0.35">
      <c r="A915" s="90" t="s">
        <v>3538</v>
      </c>
      <c r="B915" s="10" t="s">
        <v>13</v>
      </c>
      <c r="C915" s="11" t="s">
        <v>3539</v>
      </c>
      <c r="D915" s="11" t="s">
        <v>34</v>
      </c>
      <c r="E915" s="12" t="s">
        <v>104</v>
      </c>
      <c r="F915" s="10">
        <f>+YEAR(Tabla2[[#This Row],[Cosecha]])</f>
        <v>2025</v>
      </c>
      <c r="G915" s="11" t="s">
        <v>97</v>
      </c>
      <c r="H915" s="91">
        <f t="shared" si="32"/>
        <v>3</v>
      </c>
      <c r="I915" s="10" t="s">
        <v>18</v>
      </c>
      <c r="J915" s="11" t="s">
        <v>118</v>
      </c>
      <c r="K915" s="88">
        <f t="shared" si="33"/>
        <v>4</v>
      </c>
      <c r="L915" s="11" t="s">
        <v>3540</v>
      </c>
      <c r="M915" s="11" t="s">
        <v>115</v>
      </c>
      <c r="N915" s="92" t="s">
        <v>21</v>
      </c>
    </row>
    <row r="916" spans="1:14" x14ac:dyDescent="0.35">
      <c r="A916" s="94" t="s">
        <v>3541</v>
      </c>
      <c r="B916" s="15" t="s">
        <v>13</v>
      </c>
      <c r="C916" s="16" t="s">
        <v>3542</v>
      </c>
      <c r="D916" s="16" t="s">
        <v>34</v>
      </c>
      <c r="E916" s="17" t="s">
        <v>149</v>
      </c>
      <c r="F916" s="15">
        <f>+YEAR(Tabla2[[#This Row],[Cosecha]])</f>
        <v>2024</v>
      </c>
      <c r="G916" s="16" t="s">
        <v>66</v>
      </c>
      <c r="H916" s="95">
        <f t="shared" si="32"/>
        <v>4</v>
      </c>
      <c r="I916" s="15" t="s">
        <v>18</v>
      </c>
      <c r="J916" s="16" t="s">
        <v>51</v>
      </c>
      <c r="K916" s="88">
        <f t="shared" si="33"/>
        <v>5</v>
      </c>
      <c r="L916" s="16" t="s">
        <v>3543</v>
      </c>
      <c r="M916" s="16" t="s">
        <v>39</v>
      </c>
      <c r="N916" s="96" t="s">
        <v>21</v>
      </c>
    </row>
    <row r="917" spans="1:14" x14ac:dyDescent="0.35">
      <c r="A917" s="90" t="s">
        <v>3544</v>
      </c>
      <c r="B917" s="10" t="s">
        <v>13</v>
      </c>
      <c r="C917" s="11" t="s">
        <v>3545</v>
      </c>
      <c r="D917" s="11" t="s">
        <v>34</v>
      </c>
      <c r="E917" s="12" t="s">
        <v>82</v>
      </c>
      <c r="F917" s="10">
        <f>+YEAR(Tabla2[[#This Row],[Cosecha]])</f>
        <v>2024</v>
      </c>
      <c r="G917" s="11" t="s">
        <v>29</v>
      </c>
      <c r="H917" s="91">
        <f t="shared" si="32"/>
        <v>6</v>
      </c>
      <c r="I917" s="10" t="s">
        <v>18</v>
      </c>
      <c r="J917" s="11" t="s">
        <v>62</v>
      </c>
      <c r="K917" s="88">
        <f t="shared" si="33"/>
        <v>7</v>
      </c>
      <c r="L917" s="11" t="s">
        <v>3546</v>
      </c>
      <c r="M917" s="11" t="s">
        <v>130</v>
      </c>
      <c r="N917" s="92" t="s">
        <v>21</v>
      </c>
    </row>
    <row r="918" spans="1:14" x14ac:dyDescent="0.35">
      <c r="A918" s="94" t="s">
        <v>3547</v>
      </c>
      <c r="B918" s="15" t="s">
        <v>13</v>
      </c>
      <c r="C918" s="16" t="s">
        <v>3548</v>
      </c>
      <c r="D918" s="16" t="s">
        <v>34</v>
      </c>
      <c r="E918" s="17" t="s">
        <v>133</v>
      </c>
      <c r="F918" s="15">
        <f>+YEAR(Tabla2[[#This Row],[Cosecha]])</f>
        <v>2025</v>
      </c>
      <c r="G918" s="16" t="s">
        <v>113</v>
      </c>
      <c r="H918" s="95">
        <f t="shared" si="32"/>
        <v>8</v>
      </c>
      <c r="I918" s="15" t="s">
        <v>18</v>
      </c>
      <c r="J918" s="16" t="s">
        <v>23</v>
      </c>
      <c r="K918" s="88">
        <f t="shared" si="33"/>
        <v>9</v>
      </c>
      <c r="L918" s="16" t="s">
        <v>3549</v>
      </c>
      <c r="M918" s="16" t="s">
        <v>115</v>
      </c>
      <c r="N918" s="96" t="s">
        <v>26</v>
      </c>
    </row>
    <row r="919" spans="1:14" x14ac:dyDescent="0.35">
      <c r="A919" s="90" t="s">
        <v>3553</v>
      </c>
      <c r="B919" s="10" t="s">
        <v>13</v>
      </c>
      <c r="C919" s="11" t="s">
        <v>3554</v>
      </c>
      <c r="D919" s="11" t="s">
        <v>34</v>
      </c>
      <c r="E919" s="12" t="s">
        <v>36</v>
      </c>
      <c r="F919" s="10">
        <f>+YEAR(Tabla2[[#This Row],[Cosecha]])</f>
        <v>2025</v>
      </c>
      <c r="G919" s="11" t="s">
        <v>23</v>
      </c>
      <c r="H919" s="91">
        <f t="shared" si="32"/>
        <v>3</v>
      </c>
      <c r="I919" s="10" t="s">
        <v>18</v>
      </c>
      <c r="J919" s="11" t="s">
        <v>23</v>
      </c>
      <c r="K919" s="88">
        <f t="shared" si="33"/>
        <v>3</v>
      </c>
      <c r="L919" s="11" t="s">
        <v>3555</v>
      </c>
      <c r="M919" s="11" t="s">
        <v>44</v>
      </c>
      <c r="N919" s="92" t="s">
        <v>21</v>
      </c>
    </row>
    <row r="920" spans="1:14" x14ac:dyDescent="0.35">
      <c r="A920" s="94" t="s">
        <v>3556</v>
      </c>
      <c r="B920" s="15" t="s">
        <v>13</v>
      </c>
      <c r="C920" s="16" t="s">
        <v>3557</v>
      </c>
      <c r="D920" s="16" t="s">
        <v>34</v>
      </c>
      <c r="E920" s="17" t="s">
        <v>104</v>
      </c>
      <c r="F920" s="15">
        <f>+YEAR(Tabla2[[#This Row],[Cosecha]])</f>
        <v>2025</v>
      </c>
      <c r="G920" s="16" t="s">
        <v>118</v>
      </c>
      <c r="H920" s="95">
        <f t="shared" si="32"/>
        <v>4</v>
      </c>
      <c r="I920" s="15" t="s">
        <v>18</v>
      </c>
      <c r="J920" s="16" t="s">
        <v>36</v>
      </c>
      <c r="K920" s="88">
        <f t="shared" si="33"/>
        <v>5</v>
      </c>
      <c r="L920" s="16" t="s">
        <v>3558</v>
      </c>
      <c r="M920" s="16" t="s">
        <v>115</v>
      </c>
      <c r="N920" s="96" t="s">
        <v>21</v>
      </c>
    </row>
    <row r="921" spans="1:14" x14ac:dyDescent="0.35">
      <c r="A921" s="90" t="s">
        <v>3559</v>
      </c>
      <c r="B921" s="10" t="s">
        <v>13</v>
      </c>
      <c r="C921" s="11" t="s">
        <v>3560</v>
      </c>
      <c r="D921" s="11" t="s">
        <v>90</v>
      </c>
      <c r="E921" s="12" t="s">
        <v>104</v>
      </c>
      <c r="F921" s="10">
        <f>+YEAR(Tabla2[[#This Row],[Cosecha]])</f>
        <v>2025</v>
      </c>
      <c r="G921" s="11" t="s">
        <v>118</v>
      </c>
      <c r="H921" s="91">
        <f t="shared" si="32"/>
        <v>4</v>
      </c>
      <c r="I921" s="10" t="s">
        <v>18</v>
      </c>
      <c r="J921" s="11" t="s">
        <v>36</v>
      </c>
      <c r="K921" s="88">
        <f t="shared" si="33"/>
        <v>5</v>
      </c>
      <c r="L921" s="11" t="s">
        <v>3561</v>
      </c>
      <c r="M921" s="11" t="s">
        <v>39</v>
      </c>
      <c r="N921" s="92" t="s">
        <v>26</v>
      </c>
    </row>
    <row r="922" spans="1:14" x14ac:dyDescent="0.35">
      <c r="A922" s="94" t="s">
        <v>3562</v>
      </c>
      <c r="B922" s="15" t="s">
        <v>13</v>
      </c>
      <c r="C922" s="16" t="s">
        <v>3563</v>
      </c>
      <c r="D922" s="16" t="s">
        <v>34</v>
      </c>
      <c r="E922" s="17" t="s">
        <v>62</v>
      </c>
      <c r="F922" s="15">
        <f>+YEAR(Tabla2[[#This Row],[Cosecha]])</f>
        <v>2025</v>
      </c>
      <c r="G922" s="16" t="s">
        <v>37</v>
      </c>
      <c r="H922" s="95">
        <f t="shared" si="32"/>
        <v>4</v>
      </c>
      <c r="I922" s="15" t="s">
        <v>18</v>
      </c>
      <c r="J922" s="16" t="s">
        <v>30</v>
      </c>
      <c r="K922" s="88">
        <f t="shared" si="33"/>
        <v>8</v>
      </c>
      <c r="L922" s="16" t="s">
        <v>1984</v>
      </c>
      <c r="M922" s="16" t="s">
        <v>130</v>
      </c>
      <c r="N922" s="96" t="s">
        <v>21</v>
      </c>
    </row>
    <row r="923" spans="1:14" x14ac:dyDescent="0.35">
      <c r="A923" s="90" t="s">
        <v>3570</v>
      </c>
      <c r="B923" s="10" t="s">
        <v>13</v>
      </c>
      <c r="C923" s="11" t="s">
        <v>3571</v>
      </c>
      <c r="D923" s="11" t="s">
        <v>34</v>
      </c>
      <c r="E923" s="12" t="s">
        <v>133</v>
      </c>
      <c r="F923" s="10">
        <f>+YEAR(Tabla2[[#This Row],[Cosecha]])</f>
        <v>2025</v>
      </c>
      <c r="G923" s="11" t="s">
        <v>70</v>
      </c>
      <c r="H923" s="91">
        <f t="shared" si="32"/>
        <v>13</v>
      </c>
      <c r="I923" s="10" t="s">
        <v>18</v>
      </c>
      <c r="J923" s="11" t="s">
        <v>70</v>
      </c>
      <c r="K923" s="88">
        <f t="shared" si="33"/>
        <v>13</v>
      </c>
      <c r="L923" s="11" t="s">
        <v>3572</v>
      </c>
      <c r="M923" s="11" t="s">
        <v>44</v>
      </c>
      <c r="N923" s="92" t="s">
        <v>21</v>
      </c>
    </row>
    <row r="924" spans="1:14" x14ac:dyDescent="0.35">
      <c r="A924" s="94" t="s">
        <v>3573</v>
      </c>
      <c r="B924" s="15" t="s">
        <v>13</v>
      </c>
      <c r="C924" s="16" t="s">
        <v>3574</v>
      </c>
      <c r="D924" s="16" t="s">
        <v>78</v>
      </c>
      <c r="E924" s="17" t="s">
        <v>36</v>
      </c>
      <c r="F924" s="15">
        <f>+YEAR(Tabla2[[#This Row],[Cosecha]])</f>
        <v>2025</v>
      </c>
      <c r="G924" s="16" t="s">
        <v>52</v>
      </c>
      <c r="H924" s="95">
        <f t="shared" si="32"/>
        <v>4</v>
      </c>
      <c r="I924" s="15" t="s">
        <v>18</v>
      </c>
      <c r="J924" s="16" t="s">
        <v>30</v>
      </c>
      <c r="K924" s="88">
        <f t="shared" si="33"/>
        <v>5</v>
      </c>
      <c r="L924" s="16" t="s">
        <v>3575</v>
      </c>
      <c r="M924" s="16" t="s">
        <v>39</v>
      </c>
      <c r="N924" s="96" t="s">
        <v>26</v>
      </c>
    </row>
    <row r="925" spans="1:14" x14ac:dyDescent="0.35">
      <c r="A925" s="90" t="s">
        <v>3576</v>
      </c>
      <c r="B925" s="10" t="s">
        <v>13</v>
      </c>
      <c r="C925" s="11" t="s">
        <v>3577</v>
      </c>
      <c r="D925" s="11" t="s">
        <v>34</v>
      </c>
      <c r="E925" s="12" t="s">
        <v>47</v>
      </c>
      <c r="F925" s="10">
        <f>+YEAR(Tabla2[[#This Row],[Cosecha]])</f>
        <v>2025</v>
      </c>
      <c r="G925" s="11" t="s">
        <v>118</v>
      </c>
      <c r="H925" s="91">
        <f t="shared" si="32"/>
        <v>6</v>
      </c>
      <c r="I925" s="10" t="s">
        <v>18</v>
      </c>
      <c r="J925" s="11" t="s">
        <v>97</v>
      </c>
      <c r="K925" s="88">
        <f t="shared" si="33"/>
        <v>5</v>
      </c>
      <c r="L925" s="11" t="s">
        <v>3578</v>
      </c>
      <c r="M925" s="11" t="s">
        <v>130</v>
      </c>
      <c r="N925" s="92" t="s">
        <v>21</v>
      </c>
    </row>
    <row r="926" spans="1:14" x14ac:dyDescent="0.35">
      <c r="A926" s="94" t="s">
        <v>3579</v>
      </c>
      <c r="B926" s="15" t="s">
        <v>13</v>
      </c>
      <c r="C926" s="16" t="s">
        <v>3580</v>
      </c>
      <c r="D926" s="16" t="s">
        <v>15</v>
      </c>
      <c r="E926" s="17" t="s">
        <v>248</v>
      </c>
      <c r="F926" s="15">
        <f>+YEAR(Tabla2[[#This Row],[Cosecha]])</f>
        <v>2023</v>
      </c>
      <c r="G926" s="16" t="s">
        <v>52</v>
      </c>
      <c r="H926" s="95">
        <f t="shared" si="32"/>
        <v>27</v>
      </c>
      <c r="I926" s="15" t="s">
        <v>18</v>
      </c>
      <c r="J926" s="16" t="s">
        <v>30</v>
      </c>
      <c r="K926" s="88">
        <f t="shared" si="33"/>
        <v>28</v>
      </c>
      <c r="L926" s="16" t="s">
        <v>3581</v>
      </c>
      <c r="M926" s="16" t="s">
        <v>25</v>
      </c>
      <c r="N926" s="96" t="s">
        <v>21</v>
      </c>
    </row>
    <row r="927" spans="1:14" x14ac:dyDescent="0.35">
      <c r="A927" s="90" t="s">
        <v>3585</v>
      </c>
      <c r="B927" s="10" t="s">
        <v>13</v>
      </c>
      <c r="C927" s="11" t="s">
        <v>3586</v>
      </c>
      <c r="D927" s="11" t="s">
        <v>34</v>
      </c>
      <c r="E927" s="12" t="s">
        <v>47</v>
      </c>
      <c r="F927" s="10">
        <f>+YEAR(Tabla2[[#This Row],[Cosecha]])</f>
        <v>2025</v>
      </c>
      <c r="G927" s="11" t="s">
        <v>62</v>
      </c>
      <c r="H927" s="91">
        <f t="shared" si="32"/>
        <v>4</v>
      </c>
      <c r="I927" s="10" t="s">
        <v>18</v>
      </c>
      <c r="J927" s="11" t="s">
        <v>62</v>
      </c>
      <c r="K927" s="88">
        <f t="shared" si="33"/>
        <v>4</v>
      </c>
      <c r="L927" s="11" t="s">
        <v>3587</v>
      </c>
      <c r="M927" s="11" t="s">
        <v>44</v>
      </c>
      <c r="N927" s="92" t="s">
        <v>26</v>
      </c>
    </row>
    <row r="928" spans="1:14" x14ac:dyDescent="0.35">
      <c r="A928" s="94" t="s">
        <v>3588</v>
      </c>
      <c r="B928" s="15" t="s">
        <v>13</v>
      </c>
      <c r="C928" s="16" t="s">
        <v>3589</v>
      </c>
      <c r="D928" s="16" t="s">
        <v>34</v>
      </c>
      <c r="E928" s="17" t="s">
        <v>118</v>
      </c>
      <c r="F928" s="15">
        <f>+YEAR(Tabla2[[#This Row],[Cosecha]])</f>
        <v>2025</v>
      </c>
      <c r="G928" s="16" t="s">
        <v>23</v>
      </c>
      <c r="H928" s="95">
        <f t="shared" si="32"/>
        <v>4</v>
      </c>
      <c r="I928" s="15" t="s">
        <v>18</v>
      </c>
      <c r="J928" s="16" t="s">
        <v>23</v>
      </c>
      <c r="K928" s="88">
        <f t="shared" si="33"/>
        <v>4</v>
      </c>
      <c r="L928" s="16" t="s">
        <v>3590</v>
      </c>
      <c r="M928" s="16" t="s">
        <v>44</v>
      </c>
      <c r="N928" s="96" t="s">
        <v>21</v>
      </c>
    </row>
    <row r="929" spans="1:14" x14ac:dyDescent="0.35">
      <c r="A929" s="90" t="s">
        <v>3591</v>
      </c>
      <c r="B929" s="10" t="s">
        <v>13</v>
      </c>
      <c r="C929" s="11" t="s">
        <v>3592</v>
      </c>
      <c r="D929" s="11" t="s">
        <v>34</v>
      </c>
      <c r="E929" s="12" t="s">
        <v>51</v>
      </c>
      <c r="F929" s="10">
        <f>+YEAR(Tabla2[[#This Row],[Cosecha]])</f>
        <v>2025</v>
      </c>
      <c r="G929" s="11" t="s">
        <v>133</v>
      </c>
      <c r="H929" s="91">
        <f t="shared" si="32"/>
        <v>2</v>
      </c>
      <c r="I929" s="10" t="s">
        <v>18</v>
      </c>
      <c r="J929" s="11" t="s">
        <v>104</v>
      </c>
      <c r="K929" s="88">
        <f t="shared" si="33"/>
        <v>3</v>
      </c>
      <c r="L929" s="11" t="s">
        <v>3593</v>
      </c>
      <c r="M929" s="11" t="s">
        <v>44</v>
      </c>
      <c r="N929" s="92" t="s">
        <v>26</v>
      </c>
    </row>
    <row r="930" spans="1:14" x14ac:dyDescent="0.35">
      <c r="A930" s="94" t="s">
        <v>3594</v>
      </c>
      <c r="B930" s="15" t="s">
        <v>13</v>
      </c>
      <c r="C930" s="16" t="s">
        <v>3595</v>
      </c>
      <c r="D930" s="16" t="s">
        <v>34</v>
      </c>
      <c r="E930" s="17" t="s">
        <v>36</v>
      </c>
      <c r="F930" s="15">
        <f>+YEAR(Tabla2[[#This Row],[Cosecha]])</f>
        <v>2025</v>
      </c>
      <c r="G930" s="16" t="s">
        <v>30</v>
      </c>
      <c r="H930" s="95">
        <f t="shared" si="32"/>
        <v>5</v>
      </c>
      <c r="I930" s="15" t="s">
        <v>18</v>
      </c>
      <c r="J930" s="16" t="s">
        <v>30</v>
      </c>
      <c r="K930" s="88">
        <f t="shared" si="33"/>
        <v>5</v>
      </c>
      <c r="L930" s="16" t="s">
        <v>3596</v>
      </c>
      <c r="M930" s="16" t="s">
        <v>115</v>
      </c>
      <c r="N930" s="96" t="s">
        <v>26</v>
      </c>
    </row>
    <row r="931" spans="1:14" x14ac:dyDescent="0.35">
      <c r="A931" s="90" t="s">
        <v>3603</v>
      </c>
      <c r="B931" s="10" t="s">
        <v>13</v>
      </c>
      <c r="C931" s="11" t="s">
        <v>3604</v>
      </c>
      <c r="D931" s="11" t="s">
        <v>34</v>
      </c>
      <c r="E931" s="12" t="s">
        <v>149</v>
      </c>
      <c r="F931" s="10">
        <f>+YEAR(Tabla2[[#This Row],[Cosecha]])</f>
        <v>2024</v>
      </c>
      <c r="G931" s="11" t="s">
        <v>104</v>
      </c>
      <c r="H931" s="91">
        <f t="shared" si="32"/>
        <v>8</v>
      </c>
      <c r="I931" s="10" t="s">
        <v>18</v>
      </c>
      <c r="J931" s="11" t="s">
        <v>29</v>
      </c>
      <c r="K931" s="88">
        <f t="shared" si="33"/>
        <v>9</v>
      </c>
      <c r="L931" s="11" t="s">
        <v>3605</v>
      </c>
      <c r="M931" s="11" t="s">
        <v>293</v>
      </c>
      <c r="N931" s="92" t="s">
        <v>21</v>
      </c>
    </row>
    <row r="932" spans="1:14" x14ac:dyDescent="0.35">
      <c r="A932" s="94" t="s">
        <v>3609</v>
      </c>
      <c r="B932" s="15" t="s">
        <v>13</v>
      </c>
      <c r="C932" s="16" t="s">
        <v>3610</v>
      </c>
      <c r="D932" s="16" t="s">
        <v>78</v>
      </c>
      <c r="E932" s="17" t="s">
        <v>36</v>
      </c>
      <c r="F932" s="15">
        <f>+YEAR(Tabla2[[#This Row],[Cosecha]])</f>
        <v>2025</v>
      </c>
      <c r="G932" s="16" t="s">
        <v>17</v>
      </c>
      <c r="H932" s="95">
        <f t="shared" si="32"/>
        <v>6</v>
      </c>
      <c r="I932" s="15" t="s">
        <v>18</v>
      </c>
      <c r="J932" s="16" t="s">
        <v>17</v>
      </c>
      <c r="K932" s="88">
        <f t="shared" si="33"/>
        <v>6</v>
      </c>
      <c r="L932" s="16" t="s">
        <v>3611</v>
      </c>
      <c r="M932" s="16" t="s">
        <v>39</v>
      </c>
      <c r="N932" s="96" t="s">
        <v>26</v>
      </c>
    </row>
    <row r="933" spans="1:14" x14ac:dyDescent="0.35">
      <c r="A933" s="90" t="s">
        <v>3612</v>
      </c>
      <c r="B933" s="10" t="s">
        <v>13</v>
      </c>
      <c r="C933" s="11" t="s">
        <v>3613</v>
      </c>
      <c r="D933" s="11" t="s">
        <v>34</v>
      </c>
      <c r="E933" s="12" t="s">
        <v>29</v>
      </c>
      <c r="F933" s="10">
        <f>+YEAR(Tabla2[[#This Row],[Cosecha]])</f>
        <v>2025</v>
      </c>
      <c r="G933" s="11" t="s">
        <v>97</v>
      </c>
      <c r="H933" s="91">
        <f t="shared" si="32"/>
        <v>2</v>
      </c>
      <c r="I933" s="10" t="s">
        <v>18</v>
      </c>
      <c r="J933" s="11" t="s">
        <v>97</v>
      </c>
      <c r="K933" s="88">
        <f t="shared" si="33"/>
        <v>2</v>
      </c>
      <c r="L933" s="11" t="s">
        <v>3614</v>
      </c>
      <c r="M933" s="11" t="s">
        <v>25</v>
      </c>
      <c r="N933" s="92" t="s">
        <v>21</v>
      </c>
    </row>
    <row r="934" spans="1:14" x14ac:dyDescent="0.35">
      <c r="A934" s="94" t="s">
        <v>3615</v>
      </c>
      <c r="B934" s="15" t="s">
        <v>13</v>
      </c>
      <c r="C934" s="16" t="s">
        <v>3616</v>
      </c>
      <c r="D934" s="16" t="s">
        <v>34</v>
      </c>
      <c r="E934" s="17" t="s">
        <v>51</v>
      </c>
      <c r="F934" s="15">
        <f>+YEAR(Tabla2[[#This Row],[Cosecha]])</f>
        <v>2025</v>
      </c>
      <c r="G934" s="16" t="s">
        <v>52</v>
      </c>
      <c r="H934" s="95">
        <f t="shared" si="32"/>
        <v>12</v>
      </c>
      <c r="I934" s="15" t="s">
        <v>18</v>
      </c>
      <c r="J934" s="16" t="s">
        <v>52</v>
      </c>
      <c r="K934" s="88">
        <f t="shared" si="33"/>
        <v>12</v>
      </c>
      <c r="L934" s="16" t="s">
        <v>3617</v>
      </c>
      <c r="M934" s="16" t="s">
        <v>25</v>
      </c>
      <c r="N934" s="96" t="s">
        <v>21</v>
      </c>
    </row>
    <row r="935" spans="1:14" x14ac:dyDescent="0.35">
      <c r="A935" s="90" t="s">
        <v>3618</v>
      </c>
      <c r="B935" s="10" t="s">
        <v>13</v>
      </c>
      <c r="C935" s="11" t="s">
        <v>3619</v>
      </c>
      <c r="D935" s="11" t="s">
        <v>34</v>
      </c>
      <c r="E935" s="12" t="s">
        <v>66</v>
      </c>
      <c r="F935" s="10">
        <f>+YEAR(Tabla2[[#This Row],[Cosecha]])</f>
        <v>2025</v>
      </c>
      <c r="G935" s="11" t="s">
        <v>62</v>
      </c>
      <c r="H935" s="91">
        <f t="shared" si="32"/>
        <v>6</v>
      </c>
      <c r="I935" s="10" t="s">
        <v>18</v>
      </c>
      <c r="J935" s="11" t="s">
        <v>62</v>
      </c>
      <c r="K935" s="88">
        <f t="shared" si="33"/>
        <v>6</v>
      </c>
      <c r="L935" s="11" t="s">
        <v>3620</v>
      </c>
      <c r="M935" s="11" t="s">
        <v>130</v>
      </c>
      <c r="N935" s="92" t="s">
        <v>21</v>
      </c>
    </row>
    <row r="936" spans="1:14" x14ac:dyDescent="0.35">
      <c r="A936" s="94" t="s">
        <v>3621</v>
      </c>
      <c r="B936" s="15" t="s">
        <v>13</v>
      </c>
      <c r="C936" s="16" t="s">
        <v>3622</v>
      </c>
      <c r="D936" s="16" t="s">
        <v>90</v>
      </c>
      <c r="E936" s="17" t="s">
        <v>62</v>
      </c>
      <c r="F936" s="15">
        <f>+YEAR(Tabla2[[#This Row],[Cosecha]])</f>
        <v>2025</v>
      </c>
      <c r="G936" s="16" t="s">
        <v>37</v>
      </c>
      <c r="H936" s="95">
        <f t="shared" si="32"/>
        <v>4</v>
      </c>
      <c r="I936" s="15" t="s">
        <v>18</v>
      </c>
      <c r="J936" s="16" t="s">
        <v>23</v>
      </c>
      <c r="K936" s="88">
        <f t="shared" si="33"/>
        <v>6</v>
      </c>
      <c r="L936" s="16" t="s">
        <v>3623</v>
      </c>
      <c r="M936" s="16" t="s">
        <v>25</v>
      </c>
      <c r="N936" s="96" t="s">
        <v>26</v>
      </c>
    </row>
    <row r="937" spans="1:14" x14ac:dyDescent="0.35">
      <c r="A937" s="90" t="s">
        <v>3624</v>
      </c>
      <c r="B937" s="10" t="s">
        <v>13</v>
      </c>
      <c r="C937" s="11" t="s">
        <v>3625</v>
      </c>
      <c r="D937" s="11" t="s">
        <v>15</v>
      </c>
      <c r="E937" s="12" t="s">
        <v>457</v>
      </c>
      <c r="F937" s="10">
        <f>+YEAR(Tabla2[[#This Row],[Cosecha]])</f>
        <v>2024</v>
      </c>
      <c r="G937" s="11" t="s">
        <v>29</v>
      </c>
      <c r="H937" s="91">
        <f t="shared" si="32"/>
        <v>12</v>
      </c>
      <c r="I937" s="10" t="s">
        <v>18</v>
      </c>
      <c r="J937" s="11" t="s">
        <v>29</v>
      </c>
      <c r="K937" s="88">
        <f t="shared" si="33"/>
        <v>12</v>
      </c>
      <c r="L937" s="11" t="s">
        <v>3626</v>
      </c>
      <c r="M937" s="11" t="s">
        <v>25</v>
      </c>
      <c r="N937" s="92" t="s">
        <v>21</v>
      </c>
    </row>
    <row r="938" spans="1:14" x14ac:dyDescent="0.35">
      <c r="A938" s="94" t="s">
        <v>3627</v>
      </c>
      <c r="B938" s="15" t="s">
        <v>13</v>
      </c>
      <c r="C938" s="16" t="s">
        <v>3628</v>
      </c>
      <c r="D938" s="16" t="s">
        <v>34</v>
      </c>
      <c r="E938" s="17" t="s">
        <v>133</v>
      </c>
      <c r="F938" s="15">
        <f>+YEAR(Tabla2[[#This Row],[Cosecha]])</f>
        <v>2025</v>
      </c>
      <c r="G938" s="16" t="s">
        <v>17</v>
      </c>
      <c r="H938" s="95">
        <f t="shared" si="32"/>
        <v>12</v>
      </c>
      <c r="I938" s="15" t="s">
        <v>18</v>
      </c>
      <c r="J938" s="16" t="s">
        <v>17</v>
      </c>
      <c r="K938" s="88">
        <f t="shared" si="33"/>
        <v>12</v>
      </c>
      <c r="L938" s="16" t="s">
        <v>3629</v>
      </c>
      <c r="M938" s="16" t="s">
        <v>44</v>
      </c>
      <c r="N938" s="96" t="s">
        <v>21</v>
      </c>
    </row>
    <row r="939" spans="1:14" x14ac:dyDescent="0.35">
      <c r="A939" s="90" t="s">
        <v>3630</v>
      </c>
      <c r="B939" s="10" t="s">
        <v>13</v>
      </c>
      <c r="C939" s="11" t="s">
        <v>3631</v>
      </c>
      <c r="D939" s="11" t="s">
        <v>34</v>
      </c>
      <c r="E939" s="12" t="s">
        <v>35</v>
      </c>
      <c r="F939" s="10">
        <f>+YEAR(Tabla2[[#This Row],[Cosecha]])</f>
        <v>2024</v>
      </c>
      <c r="G939" s="11" t="s">
        <v>23</v>
      </c>
      <c r="H939" s="91">
        <f t="shared" si="32"/>
        <v>15</v>
      </c>
      <c r="I939" s="10" t="s">
        <v>18</v>
      </c>
      <c r="J939" s="11" t="s">
        <v>52</v>
      </c>
      <c r="K939" s="88">
        <f t="shared" si="33"/>
        <v>16</v>
      </c>
      <c r="L939" s="11" t="s">
        <v>3632</v>
      </c>
      <c r="M939" s="11" t="s">
        <v>25</v>
      </c>
      <c r="N939" s="92" t="s">
        <v>21</v>
      </c>
    </row>
    <row r="940" spans="1:14" x14ac:dyDescent="0.35">
      <c r="A940" s="94" t="s">
        <v>3633</v>
      </c>
      <c r="B940" s="15" t="s">
        <v>13</v>
      </c>
      <c r="C940" s="16" t="s">
        <v>3634</v>
      </c>
      <c r="D940" s="16" t="s">
        <v>15</v>
      </c>
      <c r="E940" s="17" t="s">
        <v>113</v>
      </c>
      <c r="F940" s="15">
        <f>+YEAR(Tabla2[[#This Row],[Cosecha]])</f>
        <v>2025</v>
      </c>
      <c r="G940" s="16" t="s">
        <v>30</v>
      </c>
      <c r="H940" s="95">
        <f t="shared" si="32"/>
        <v>3</v>
      </c>
      <c r="I940" s="15" t="s">
        <v>18</v>
      </c>
      <c r="J940" s="16" t="s">
        <v>30</v>
      </c>
      <c r="K940" s="88">
        <f t="shared" si="33"/>
        <v>3</v>
      </c>
      <c r="L940" s="16" t="s">
        <v>3635</v>
      </c>
      <c r="M940" s="16" t="s">
        <v>25</v>
      </c>
      <c r="N940" s="96" t="s">
        <v>21</v>
      </c>
    </row>
    <row r="941" spans="1:14" x14ac:dyDescent="0.35">
      <c r="A941" s="90" t="s">
        <v>3636</v>
      </c>
      <c r="B941" s="10" t="s">
        <v>13</v>
      </c>
      <c r="C941" s="11" t="s">
        <v>3637</v>
      </c>
      <c r="D941" s="11" t="s">
        <v>34</v>
      </c>
      <c r="E941" s="12" t="s">
        <v>36</v>
      </c>
      <c r="F941" s="10">
        <f>+YEAR(Tabla2[[#This Row],[Cosecha]])</f>
        <v>2025</v>
      </c>
      <c r="G941" s="11" t="s">
        <v>30</v>
      </c>
      <c r="H941" s="91">
        <f t="shared" si="32"/>
        <v>5</v>
      </c>
      <c r="I941" s="10" t="s">
        <v>18</v>
      </c>
      <c r="J941" s="11" t="s">
        <v>30</v>
      </c>
      <c r="K941" s="88">
        <f t="shared" si="33"/>
        <v>5</v>
      </c>
      <c r="L941" s="11" t="s">
        <v>1462</v>
      </c>
      <c r="M941" s="11" t="s">
        <v>25</v>
      </c>
      <c r="N941" s="92" t="s">
        <v>21</v>
      </c>
    </row>
    <row r="942" spans="1:14" x14ac:dyDescent="0.35">
      <c r="A942" s="94" t="s">
        <v>3638</v>
      </c>
      <c r="B942" s="15" t="s">
        <v>13</v>
      </c>
      <c r="C942" s="16" t="s">
        <v>3639</v>
      </c>
      <c r="D942" s="16" t="s">
        <v>15</v>
      </c>
      <c r="E942" s="17" t="s">
        <v>104</v>
      </c>
      <c r="F942" s="15">
        <f>+YEAR(Tabla2[[#This Row],[Cosecha]])</f>
        <v>2025</v>
      </c>
      <c r="G942" s="16" t="s">
        <v>97</v>
      </c>
      <c r="H942" s="95">
        <f t="shared" si="32"/>
        <v>3</v>
      </c>
      <c r="I942" s="15" t="s">
        <v>18</v>
      </c>
      <c r="J942" s="16" t="s">
        <v>97</v>
      </c>
      <c r="K942" s="88">
        <f t="shared" si="33"/>
        <v>3</v>
      </c>
      <c r="L942" s="16" t="s">
        <v>3640</v>
      </c>
      <c r="M942" s="16" t="s">
        <v>25</v>
      </c>
      <c r="N942" s="96" t="s">
        <v>26</v>
      </c>
    </row>
    <row r="943" spans="1:14" x14ac:dyDescent="0.35">
      <c r="A943" s="90" t="s">
        <v>3641</v>
      </c>
      <c r="B943" s="10" t="s">
        <v>13</v>
      </c>
      <c r="C943" s="11" t="s">
        <v>3642</v>
      </c>
      <c r="D943" s="11" t="s">
        <v>34</v>
      </c>
      <c r="E943" s="12" t="s">
        <v>97</v>
      </c>
      <c r="F943" s="10">
        <f>+YEAR(Tabla2[[#This Row],[Cosecha]])</f>
        <v>2025</v>
      </c>
      <c r="G943" s="11" t="s">
        <v>17</v>
      </c>
      <c r="H943" s="91">
        <f t="shared" si="32"/>
        <v>8</v>
      </c>
      <c r="I943" s="10" t="s">
        <v>18</v>
      </c>
      <c r="J943" s="11" t="s">
        <v>17</v>
      </c>
      <c r="K943" s="88">
        <f t="shared" si="33"/>
        <v>8</v>
      </c>
      <c r="L943" s="11" t="s">
        <v>3643</v>
      </c>
      <c r="M943" s="11" t="s">
        <v>115</v>
      </c>
      <c r="N943" s="92" t="s">
        <v>26</v>
      </c>
    </row>
    <row r="944" spans="1:14" x14ac:dyDescent="0.35">
      <c r="A944" s="94" t="s">
        <v>3644</v>
      </c>
      <c r="B944" s="15" t="s">
        <v>13</v>
      </c>
      <c r="C944" s="16" t="s">
        <v>3645</v>
      </c>
      <c r="D944" s="16" t="s">
        <v>34</v>
      </c>
      <c r="E944" s="17" t="s">
        <v>35</v>
      </c>
      <c r="F944" s="15">
        <f>+YEAR(Tabla2[[#This Row],[Cosecha]])</f>
        <v>2024</v>
      </c>
      <c r="G944" s="16" t="s">
        <v>52</v>
      </c>
      <c r="H944" s="95">
        <f t="shared" si="32"/>
        <v>16</v>
      </c>
      <c r="I944" s="15" t="s">
        <v>18</v>
      </c>
      <c r="J944" s="16" t="s">
        <v>17</v>
      </c>
      <c r="K944" s="88">
        <f t="shared" si="33"/>
        <v>18</v>
      </c>
      <c r="L944" s="16" t="s">
        <v>3646</v>
      </c>
      <c r="M944" s="16" t="s">
        <v>130</v>
      </c>
      <c r="N944" s="96" t="s">
        <v>21</v>
      </c>
    </row>
    <row r="945" spans="1:14" x14ac:dyDescent="0.35">
      <c r="A945" s="90" t="s">
        <v>3647</v>
      </c>
      <c r="B945" s="10" t="s">
        <v>13</v>
      </c>
      <c r="C945" s="11" t="s">
        <v>3648</v>
      </c>
      <c r="D945" s="11" t="s">
        <v>34</v>
      </c>
      <c r="E945" s="12" t="s">
        <v>104</v>
      </c>
      <c r="F945" s="10">
        <f>+YEAR(Tabla2[[#This Row],[Cosecha]])</f>
        <v>2025</v>
      </c>
      <c r="G945" s="11" t="s">
        <v>118</v>
      </c>
      <c r="H945" s="91">
        <f t="shared" si="32"/>
        <v>4</v>
      </c>
      <c r="I945" s="10" t="s">
        <v>18</v>
      </c>
      <c r="J945" s="11" t="s">
        <v>118</v>
      </c>
      <c r="K945" s="88">
        <f t="shared" si="33"/>
        <v>4</v>
      </c>
      <c r="L945" s="11" t="s">
        <v>3649</v>
      </c>
      <c r="M945" s="11" t="s">
        <v>25</v>
      </c>
      <c r="N945" s="92" t="s">
        <v>21</v>
      </c>
    </row>
    <row r="946" spans="1:14" x14ac:dyDescent="0.35">
      <c r="A946" s="94" t="s">
        <v>3650</v>
      </c>
      <c r="B946" s="15" t="s">
        <v>13</v>
      </c>
      <c r="C946" s="16" t="s">
        <v>3651</v>
      </c>
      <c r="D946" s="16" t="s">
        <v>34</v>
      </c>
      <c r="E946" s="17" t="s">
        <v>97</v>
      </c>
      <c r="F946" s="15">
        <f>+YEAR(Tabla2[[#This Row],[Cosecha]])</f>
        <v>2025</v>
      </c>
      <c r="G946" s="16" t="s">
        <v>52</v>
      </c>
      <c r="H946" s="95">
        <f t="shared" si="32"/>
        <v>6</v>
      </c>
      <c r="I946" s="15" t="s">
        <v>18</v>
      </c>
      <c r="J946" s="16" t="s">
        <v>52</v>
      </c>
      <c r="K946" s="88">
        <f t="shared" si="33"/>
        <v>6</v>
      </c>
      <c r="L946" s="16" t="s">
        <v>3652</v>
      </c>
      <c r="M946" s="16" t="s">
        <v>44</v>
      </c>
      <c r="N946" s="96" t="s">
        <v>21</v>
      </c>
    </row>
    <row r="947" spans="1:14" x14ac:dyDescent="0.35">
      <c r="A947" s="90" t="s">
        <v>3653</v>
      </c>
      <c r="B947" s="10" t="s">
        <v>13</v>
      </c>
      <c r="C947" s="11" t="s">
        <v>3654</v>
      </c>
      <c r="D947" s="11" t="s">
        <v>78</v>
      </c>
      <c r="E947" s="12" t="s">
        <v>133</v>
      </c>
      <c r="F947" s="10">
        <f>+YEAR(Tabla2[[#This Row],[Cosecha]])</f>
        <v>2025</v>
      </c>
      <c r="G947" s="11" t="s">
        <v>62</v>
      </c>
      <c r="H947" s="91">
        <f t="shared" si="32"/>
        <v>3</v>
      </c>
      <c r="I947" s="10" t="s">
        <v>18</v>
      </c>
      <c r="J947" s="11" t="s">
        <v>97</v>
      </c>
      <c r="K947" s="88">
        <f t="shared" si="33"/>
        <v>4</v>
      </c>
      <c r="L947" s="11" t="s">
        <v>3655</v>
      </c>
      <c r="M947" s="11" t="s">
        <v>39</v>
      </c>
      <c r="N947" s="92" t="s">
        <v>21</v>
      </c>
    </row>
    <row r="948" spans="1:14" x14ac:dyDescent="0.35">
      <c r="A948" s="94" t="s">
        <v>3656</v>
      </c>
      <c r="B948" s="15" t="s">
        <v>13</v>
      </c>
      <c r="C948" s="16" t="s">
        <v>3657</v>
      </c>
      <c r="D948" s="16" t="s">
        <v>34</v>
      </c>
      <c r="E948" s="17" t="s">
        <v>133</v>
      </c>
      <c r="F948" s="15">
        <f>+YEAR(Tabla2[[#This Row],[Cosecha]])</f>
        <v>2025</v>
      </c>
      <c r="G948" s="16" t="s">
        <v>62</v>
      </c>
      <c r="H948" s="95">
        <f t="shared" si="32"/>
        <v>3</v>
      </c>
      <c r="I948" s="15" t="s">
        <v>18</v>
      </c>
      <c r="J948" s="16" t="s">
        <v>97</v>
      </c>
      <c r="K948" s="88">
        <f t="shared" si="33"/>
        <v>4</v>
      </c>
      <c r="L948" s="16" t="s">
        <v>2973</v>
      </c>
      <c r="M948" s="16" t="s">
        <v>130</v>
      </c>
      <c r="N948" s="96" t="s">
        <v>26</v>
      </c>
    </row>
    <row r="949" spans="1:14" x14ac:dyDescent="0.35">
      <c r="A949" s="90" t="s">
        <v>3658</v>
      </c>
      <c r="B949" s="10" t="s">
        <v>13</v>
      </c>
      <c r="C949" s="11" t="s">
        <v>3659</v>
      </c>
      <c r="D949" s="11" t="s">
        <v>15</v>
      </c>
      <c r="E949" s="12" t="s">
        <v>780</v>
      </c>
      <c r="F949" s="10">
        <f>+YEAR(Tabla2[[#This Row],[Cosecha]])</f>
        <v>2023</v>
      </c>
      <c r="G949" s="11" t="s">
        <v>66</v>
      </c>
      <c r="H949" s="91">
        <f t="shared" si="32"/>
        <v>13</v>
      </c>
      <c r="I949" s="10" t="s">
        <v>18</v>
      </c>
      <c r="J949" s="11" t="s">
        <v>66</v>
      </c>
      <c r="K949" s="88">
        <f t="shared" si="33"/>
        <v>13</v>
      </c>
      <c r="L949" s="11" t="s">
        <v>3660</v>
      </c>
      <c r="M949" s="11" t="s">
        <v>25</v>
      </c>
      <c r="N949" s="92" t="s">
        <v>21</v>
      </c>
    </row>
    <row r="950" spans="1:14" x14ac:dyDescent="0.35">
      <c r="A950" s="94" t="s">
        <v>3664</v>
      </c>
      <c r="B950" s="15" t="s">
        <v>13</v>
      </c>
      <c r="C950" s="16" t="s">
        <v>3665</v>
      </c>
      <c r="D950" s="16" t="s">
        <v>78</v>
      </c>
      <c r="E950" s="17" t="s">
        <v>178</v>
      </c>
      <c r="F950" s="15">
        <f>+YEAR(Tabla2[[#This Row],[Cosecha]])</f>
        <v>2024</v>
      </c>
      <c r="G950" s="16" t="s">
        <v>17</v>
      </c>
      <c r="H950" s="95">
        <f t="shared" si="32"/>
        <v>17</v>
      </c>
      <c r="I950" s="15" t="s">
        <v>18</v>
      </c>
      <c r="J950" s="16" t="s">
        <v>17</v>
      </c>
      <c r="K950" s="88">
        <f t="shared" si="33"/>
        <v>17</v>
      </c>
      <c r="L950" s="16" t="s">
        <v>3666</v>
      </c>
      <c r="M950" s="16" t="s">
        <v>39</v>
      </c>
      <c r="N950" s="96" t="s">
        <v>21</v>
      </c>
    </row>
    <row r="951" spans="1:14" x14ac:dyDescent="0.35">
      <c r="A951" s="90" t="s">
        <v>3670</v>
      </c>
      <c r="B951" s="10" t="s">
        <v>13</v>
      </c>
      <c r="C951" s="11" t="s">
        <v>3671</v>
      </c>
      <c r="D951" s="11" t="s">
        <v>34</v>
      </c>
      <c r="E951" s="12" t="s">
        <v>178</v>
      </c>
      <c r="F951" s="10">
        <f>+YEAR(Tabla2[[#This Row],[Cosecha]])</f>
        <v>2024</v>
      </c>
      <c r="G951" s="11" t="s">
        <v>23</v>
      </c>
      <c r="H951" s="91">
        <f t="shared" si="32"/>
        <v>14</v>
      </c>
      <c r="I951" s="10" t="s">
        <v>18</v>
      </c>
      <c r="J951" s="11" t="s">
        <v>52</v>
      </c>
      <c r="K951" s="88">
        <f t="shared" si="33"/>
        <v>15</v>
      </c>
      <c r="L951" s="11" t="s">
        <v>3672</v>
      </c>
      <c r="M951" s="11" t="s">
        <v>130</v>
      </c>
      <c r="N951" s="92" t="s">
        <v>21</v>
      </c>
    </row>
    <row r="952" spans="1:14" x14ac:dyDescent="0.35">
      <c r="A952" s="94" t="s">
        <v>3680</v>
      </c>
      <c r="B952" s="15" t="s">
        <v>13</v>
      </c>
      <c r="C952" s="16" t="s">
        <v>3681</v>
      </c>
      <c r="D952" s="16" t="s">
        <v>34</v>
      </c>
      <c r="E952" s="17" t="s">
        <v>35</v>
      </c>
      <c r="F952" s="15">
        <f>+YEAR(Tabla2[[#This Row],[Cosecha]])</f>
        <v>2024</v>
      </c>
      <c r="G952" s="16" t="s">
        <v>52</v>
      </c>
      <c r="H952" s="95">
        <f t="shared" si="32"/>
        <v>16</v>
      </c>
      <c r="I952" s="15" t="s">
        <v>18</v>
      </c>
      <c r="J952" s="16" t="s">
        <v>17</v>
      </c>
      <c r="K952" s="88">
        <f t="shared" si="33"/>
        <v>18</v>
      </c>
      <c r="L952" s="16" t="s">
        <v>3682</v>
      </c>
      <c r="M952" s="16" t="s">
        <v>130</v>
      </c>
      <c r="N952" s="96" t="s">
        <v>21</v>
      </c>
    </row>
    <row r="953" spans="1:14" x14ac:dyDescent="0.35">
      <c r="A953" s="90" t="s">
        <v>3683</v>
      </c>
      <c r="B953" s="10" t="s">
        <v>13</v>
      </c>
      <c r="C953" s="11" t="s">
        <v>3684</v>
      </c>
      <c r="D953" s="11" t="s">
        <v>34</v>
      </c>
      <c r="E953" s="12" t="s">
        <v>118</v>
      </c>
      <c r="F953" s="10">
        <f>+YEAR(Tabla2[[#This Row],[Cosecha]])</f>
        <v>2025</v>
      </c>
      <c r="G953" s="11" t="s">
        <v>23</v>
      </c>
      <c r="H953" s="91">
        <f t="shared" si="32"/>
        <v>4</v>
      </c>
      <c r="I953" s="10" t="s">
        <v>18</v>
      </c>
      <c r="J953" s="11" t="s">
        <v>23</v>
      </c>
      <c r="K953" s="88">
        <f t="shared" si="33"/>
        <v>4</v>
      </c>
      <c r="L953" s="11" t="s">
        <v>3685</v>
      </c>
      <c r="M953" s="11" t="s">
        <v>44</v>
      </c>
      <c r="N953" s="92" t="s">
        <v>21</v>
      </c>
    </row>
    <row r="954" spans="1:14" x14ac:dyDescent="0.35">
      <c r="A954" s="94" t="s">
        <v>3686</v>
      </c>
      <c r="B954" s="15" t="s">
        <v>13</v>
      </c>
      <c r="C954" s="16" t="s">
        <v>3687</v>
      </c>
      <c r="D954" s="16" t="s">
        <v>15</v>
      </c>
      <c r="E954" s="17" t="s">
        <v>47</v>
      </c>
      <c r="F954" s="15">
        <f>+YEAR(Tabla2[[#This Row],[Cosecha]])</f>
        <v>2025</v>
      </c>
      <c r="G954" s="16" t="s">
        <v>113</v>
      </c>
      <c r="H954" s="95">
        <f t="shared" si="32"/>
        <v>9</v>
      </c>
      <c r="I954" s="15" t="s">
        <v>18</v>
      </c>
      <c r="J954" s="16" t="s">
        <v>23</v>
      </c>
      <c r="K954" s="88">
        <f t="shared" si="33"/>
        <v>10</v>
      </c>
      <c r="L954" s="16" t="s">
        <v>3688</v>
      </c>
      <c r="M954" s="16" t="s">
        <v>25</v>
      </c>
      <c r="N954" s="96" t="s">
        <v>21</v>
      </c>
    </row>
    <row r="955" spans="1:14" x14ac:dyDescent="0.35">
      <c r="A955" s="90" t="s">
        <v>3689</v>
      </c>
      <c r="B955" s="10" t="s">
        <v>13</v>
      </c>
      <c r="C955" s="11" t="s">
        <v>3690</v>
      </c>
      <c r="D955" s="11" t="s">
        <v>15</v>
      </c>
      <c r="E955" s="12" t="s">
        <v>275</v>
      </c>
      <c r="F955" s="10">
        <f>+YEAR(Tabla2[[#This Row],[Cosecha]])</f>
        <v>2024</v>
      </c>
      <c r="G955" s="11" t="s">
        <v>47</v>
      </c>
      <c r="H955" s="91">
        <f t="shared" si="32"/>
        <v>12</v>
      </c>
      <c r="I955" s="10" t="s">
        <v>18</v>
      </c>
      <c r="J955" s="11" t="s">
        <v>133</v>
      </c>
      <c r="K955" s="88">
        <f t="shared" si="33"/>
        <v>13</v>
      </c>
      <c r="L955" s="11" t="s">
        <v>1039</v>
      </c>
      <c r="M955" s="11" t="s">
        <v>241</v>
      </c>
      <c r="N955" s="92" t="s">
        <v>21</v>
      </c>
    </row>
    <row r="956" spans="1:14" x14ac:dyDescent="0.35">
      <c r="A956" s="94" t="s">
        <v>3694</v>
      </c>
      <c r="B956" s="15" t="s">
        <v>13</v>
      </c>
      <c r="C956" s="16" t="s">
        <v>3695</v>
      </c>
      <c r="D956" s="16" t="s">
        <v>15</v>
      </c>
      <c r="E956" s="17" t="s">
        <v>252</v>
      </c>
      <c r="F956" s="15">
        <f>+YEAR(Tabla2[[#This Row],[Cosecha]])</f>
        <v>2024</v>
      </c>
      <c r="G956" s="16" t="s">
        <v>66</v>
      </c>
      <c r="H956" s="95">
        <f t="shared" si="32"/>
        <v>6</v>
      </c>
      <c r="I956" s="15" t="s">
        <v>18</v>
      </c>
      <c r="J956" s="16" t="s">
        <v>66</v>
      </c>
      <c r="K956" s="88">
        <f t="shared" si="33"/>
        <v>6</v>
      </c>
      <c r="L956" s="16" t="s">
        <v>3696</v>
      </c>
      <c r="M956" s="16" t="s">
        <v>25</v>
      </c>
      <c r="N956" s="96" t="s">
        <v>21</v>
      </c>
    </row>
    <row r="957" spans="1:14" x14ac:dyDescent="0.35">
      <c r="A957" s="90" t="s">
        <v>3697</v>
      </c>
      <c r="B957" s="10" t="s">
        <v>13</v>
      </c>
      <c r="C957" s="11" t="s">
        <v>3698</v>
      </c>
      <c r="D957" s="11" t="s">
        <v>15</v>
      </c>
      <c r="E957" s="12" t="s">
        <v>97</v>
      </c>
      <c r="F957" s="10">
        <f>+YEAR(Tabla2[[#This Row],[Cosecha]])</f>
        <v>2025</v>
      </c>
      <c r="G957" s="11" t="s">
        <v>30</v>
      </c>
      <c r="H957" s="91">
        <f t="shared" si="32"/>
        <v>7</v>
      </c>
      <c r="I957" s="10" t="s">
        <v>18</v>
      </c>
      <c r="J957" s="11" t="s">
        <v>30</v>
      </c>
      <c r="K957" s="88">
        <f t="shared" si="33"/>
        <v>7</v>
      </c>
      <c r="L957" s="11" t="s">
        <v>3699</v>
      </c>
      <c r="M957" s="11" t="s">
        <v>25</v>
      </c>
      <c r="N957" s="92" t="s">
        <v>26</v>
      </c>
    </row>
    <row r="958" spans="1:14" x14ac:dyDescent="0.35">
      <c r="A958" s="94" t="s">
        <v>3700</v>
      </c>
      <c r="B958" s="15" t="s">
        <v>13</v>
      </c>
      <c r="C958" s="16" t="s">
        <v>3701</v>
      </c>
      <c r="D958" s="16" t="s">
        <v>34</v>
      </c>
      <c r="E958" s="17" t="s">
        <v>82</v>
      </c>
      <c r="F958" s="15">
        <f>+YEAR(Tabla2[[#This Row],[Cosecha]])</f>
        <v>2024</v>
      </c>
      <c r="G958" s="16" t="s">
        <v>47</v>
      </c>
      <c r="H958" s="95">
        <f t="shared" si="32"/>
        <v>3</v>
      </c>
      <c r="I958" s="15" t="s">
        <v>18</v>
      </c>
      <c r="J958" s="16" t="s">
        <v>47</v>
      </c>
      <c r="K958" s="88">
        <f t="shared" si="33"/>
        <v>3</v>
      </c>
      <c r="L958" s="16" t="s">
        <v>1342</v>
      </c>
      <c r="M958" s="16" t="s">
        <v>130</v>
      </c>
      <c r="N958" s="96" t="s">
        <v>26</v>
      </c>
    </row>
    <row r="959" spans="1:14" x14ac:dyDescent="0.35">
      <c r="A959" s="90" t="s">
        <v>3702</v>
      </c>
      <c r="B959" s="10" t="s">
        <v>13</v>
      </c>
      <c r="C959" s="11" t="s">
        <v>3703</v>
      </c>
      <c r="D959" s="11" t="s">
        <v>34</v>
      </c>
      <c r="E959" s="12" t="s">
        <v>133</v>
      </c>
      <c r="F959" s="10">
        <f>+YEAR(Tabla2[[#This Row],[Cosecha]])</f>
        <v>2025</v>
      </c>
      <c r="G959" s="11" t="s">
        <v>52</v>
      </c>
      <c r="H959" s="91">
        <f t="shared" si="32"/>
        <v>10</v>
      </c>
      <c r="I959" s="10" t="s">
        <v>18</v>
      </c>
      <c r="J959" s="11" t="s">
        <v>52</v>
      </c>
      <c r="K959" s="88">
        <f t="shared" si="33"/>
        <v>10</v>
      </c>
      <c r="L959" s="11" t="s">
        <v>3704</v>
      </c>
      <c r="M959" s="11" t="s">
        <v>115</v>
      </c>
      <c r="N959" s="92" t="s">
        <v>21</v>
      </c>
    </row>
    <row r="960" spans="1:14" x14ac:dyDescent="0.35">
      <c r="A960" s="94" t="s">
        <v>3705</v>
      </c>
      <c r="B960" s="15" t="s">
        <v>13</v>
      </c>
      <c r="C960" s="16" t="s">
        <v>3706</v>
      </c>
      <c r="D960" s="16" t="s">
        <v>34</v>
      </c>
      <c r="E960" s="17" t="s">
        <v>37</v>
      </c>
      <c r="F960" s="15">
        <f>+YEAR(Tabla2[[#This Row],[Cosecha]])</f>
        <v>2025</v>
      </c>
      <c r="G960" s="16" t="s">
        <v>70</v>
      </c>
      <c r="H960" s="95">
        <f t="shared" si="32"/>
        <v>6</v>
      </c>
      <c r="I960" s="15" t="s">
        <v>18</v>
      </c>
      <c r="J960" s="16" t="s">
        <v>70</v>
      </c>
      <c r="K960" s="88">
        <f t="shared" si="33"/>
        <v>6</v>
      </c>
      <c r="L960" s="16" t="s">
        <v>3707</v>
      </c>
      <c r="M960" s="16" t="s">
        <v>72</v>
      </c>
      <c r="N960" s="96" t="s">
        <v>21</v>
      </c>
    </row>
    <row r="961" spans="1:14" x14ac:dyDescent="0.35">
      <c r="A961" s="90" t="s">
        <v>3708</v>
      </c>
      <c r="B961" s="10" t="s">
        <v>13</v>
      </c>
      <c r="C961" s="11" t="s">
        <v>3709</v>
      </c>
      <c r="D961" s="11" t="s">
        <v>78</v>
      </c>
      <c r="E961" s="12" t="s">
        <v>302</v>
      </c>
      <c r="F961" s="10">
        <f>+YEAR(Tabla2[[#This Row],[Cosecha]])</f>
        <v>2023</v>
      </c>
      <c r="G961" s="11" t="s">
        <v>29</v>
      </c>
      <c r="H961" s="91">
        <f t="shared" si="32"/>
        <v>20</v>
      </c>
      <c r="I961" s="10" t="s">
        <v>18</v>
      </c>
      <c r="J961" s="11" t="s">
        <v>29</v>
      </c>
      <c r="K961" s="88">
        <f t="shared" si="33"/>
        <v>20</v>
      </c>
      <c r="L961" s="11" t="s">
        <v>3710</v>
      </c>
      <c r="M961" s="11" t="s">
        <v>25</v>
      </c>
      <c r="N961" s="92" t="s">
        <v>21</v>
      </c>
    </row>
    <row r="962" spans="1:14" x14ac:dyDescent="0.35">
      <c r="A962" s="94" t="s">
        <v>3711</v>
      </c>
      <c r="B962" s="15" t="s">
        <v>13</v>
      </c>
      <c r="C962" s="16" t="s">
        <v>3712</v>
      </c>
      <c r="D962" s="16" t="s">
        <v>34</v>
      </c>
      <c r="E962" s="17" t="s">
        <v>252</v>
      </c>
      <c r="F962" s="15">
        <f>+YEAR(Tabla2[[#This Row],[Cosecha]])</f>
        <v>2024</v>
      </c>
      <c r="G962" s="16" t="s">
        <v>37</v>
      </c>
      <c r="H962" s="95">
        <f t="shared" ref="H962:H979" si="34">(YEAR(G962)-YEAR(E962))*12+(MONTH(G962)-MONTH(E962))</f>
        <v>16</v>
      </c>
      <c r="I962" s="15" t="s">
        <v>18</v>
      </c>
      <c r="J962" s="16" t="s">
        <v>37</v>
      </c>
      <c r="K962" s="88">
        <f t="shared" ref="K962:K979" si="35">(YEAR(J962)-YEAR(E962))*12+(MONTH(J962)-MONTH(E962))</f>
        <v>16</v>
      </c>
      <c r="L962" s="16" t="s">
        <v>3713</v>
      </c>
      <c r="M962" s="16" t="s">
        <v>130</v>
      </c>
      <c r="N962" s="96" t="s">
        <v>26</v>
      </c>
    </row>
    <row r="963" spans="1:14" x14ac:dyDescent="0.35">
      <c r="A963" s="90" t="s">
        <v>3717</v>
      </c>
      <c r="B963" s="10" t="s">
        <v>13</v>
      </c>
      <c r="C963" s="11" t="s">
        <v>3718</v>
      </c>
      <c r="D963" s="11" t="s">
        <v>15</v>
      </c>
      <c r="E963" s="12" t="s">
        <v>36</v>
      </c>
      <c r="F963" s="10">
        <f>+YEAR(Tabla2[[#This Row],[Cosecha]])</f>
        <v>2025</v>
      </c>
      <c r="G963" s="11" t="s">
        <v>30</v>
      </c>
      <c r="H963" s="91">
        <f t="shared" si="34"/>
        <v>5</v>
      </c>
      <c r="I963" s="10" t="s">
        <v>18</v>
      </c>
      <c r="J963" s="11" t="s">
        <v>30</v>
      </c>
      <c r="K963" s="88">
        <f t="shared" si="35"/>
        <v>5</v>
      </c>
      <c r="L963" s="11" t="s">
        <v>3719</v>
      </c>
      <c r="M963" s="11" t="s">
        <v>25</v>
      </c>
      <c r="N963" s="92" t="s">
        <v>21</v>
      </c>
    </row>
    <row r="964" spans="1:14" x14ac:dyDescent="0.35">
      <c r="A964" s="94" t="s">
        <v>3720</v>
      </c>
      <c r="B964" s="15" t="s">
        <v>13</v>
      </c>
      <c r="C964" s="16" t="s">
        <v>3721</v>
      </c>
      <c r="D964" s="16" t="s">
        <v>34</v>
      </c>
      <c r="E964" s="17" t="s">
        <v>62</v>
      </c>
      <c r="F964" s="15">
        <f>+YEAR(Tabla2[[#This Row],[Cosecha]])</f>
        <v>2025</v>
      </c>
      <c r="G964" s="16" t="s">
        <v>30</v>
      </c>
      <c r="H964" s="95">
        <f t="shared" si="34"/>
        <v>8</v>
      </c>
      <c r="I964" s="15" t="s">
        <v>18</v>
      </c>
      <c r="J964" s="16" t="s">
        <v>70</v>
      </c>
      <c r="K964" s="88">
        <f t="shared" si="35"/>
        <v>10</v>
      </c>
      <c r="L964" s="16" t="s">
        <v>3722</v>
      </c>
      <c r="M964" s="16" t="s">
        <v>130</v>
      </c>
      <c r="N964" s="96" t="s">
        <v>21</v>
      </c>
    </row>
    <row r="965" spans="1:14" x14ac:dyDescent="0.35">
      <c r="A965" s="90" t="s">
        <v>3726</v>
      </c>
      <c r="B965" s="10" t="s">
        <v>13</v>
      </c>
      <c r="C965" s="11" t="s">
        <v>3727</v>
      </c>
      <c r="D965" s="11" t="s">
        <v>15</v>
      </c>
      <c r="E965" s="12" t="s">
        <v>133</v>
      </c>
      <c r="F965" s="10">
        <f>+YEAR(Tabla2[[#This Row],[Cosecha]])</f>
        <v>2025</v>
      </c>
      <c r="G965" s="11" t="s">
        <v>17</v>
      </c>
      <c r="H965" s="91">
        <f t="shared" si="34"/>
        <v>12</v>
      </c>
      <c r="I965" s="10" t="s">
        <v>18</v>
      </c>
      <c r="J965" s="11" t="s">
        <v>17</v>
      </c>
      <c r="K965" s="88">
        <f t="shared" si="35"/>
        <v>12</v>
      </c>
      <c r="L965" s="11" t="s">
        <v>3728</v>
      </c>
      <c r="M965" s="11" t="s">
        <v>25</v>
      </c>
      <c r="N965" s="92" t="s">
        <v>21</v>
      </c>
    </row>
    <row r="966" spans="1:14" x14ac:dyDescent="0.35">
      <c r="A966" s="94" t="s">
        <v>3729</v>
      </c>
      <c r="B966" s="15" t="s">
        <v>13</v>
      </c>
      <c r="C966" s="16" t="s">
        <v>3730</v>
      </c>
      <c r="D966" s="16" t="s">
        <v>34</v>
      </c>
      <c r="E966" s="17" t="s">
        <v>133</v>
      </c>
      <c r="F966" s="15">
        <f>+YEAR(Tabla2[[#This Row],[Cosecha]])</f>
        <v>2025</v>
      </c>
      <c r="G966" s="16" t="s">
        <v>30</v>
      </c>
      <c r="H966" s="95">
        <f t="shared" si="34"/>
        <v>11</v>
      </c>
      <c r="I966" s="15" t="s">
        <v>18</v>
      </c>
      <c r="J966" s="16" t="s">
        <v>30</v>
      </c>
      <c r="K966" s="88">
        <f t="shared" si="35"/>
        <v>11</v>
      </c>
      <c r="L966" s="16" t="s">
        <v>3731</v>
      </c>
      <c r="M966" s="16" t="s">
        <v>44</v>
      </c>
      <c r="N966" s="96" t="s">
        <v>21</v>
      </c>
    </row>
    <row r="967" spans="1:14" x14ac:dyDescent="0.35">
      <c r="A967" s="90" t="s">
        <v>3732</v>
      </c>
      <c r="B967" s="10" t="s">
        <v>13</v>
      </c>
      <c r="C967" s="11" t="s">
        <v>3733</v>
      </c>
      <c r="D967" s="11" t="s">
        <v>34</v>
      </c>
      <c r="E967" s="12" t="s">
        <v>47</v>
      </c>
      <c r="F967" s="10">
        <f>+YEAR(Tabla2[[#This Row],[Cosecha]])</f>
        <v>2025</v>
      </c>
      <c r="G967" s="11" t="s">
        <v>17</v>
      </c>
      <c r="H967" s="91">
        <f t="shared" si="34"/>
        <v>13</v>
      </c>
      <c r="I967" s="10" t="s">
        <v>18</v>
      </c>
      <c r="J967" s="11" t="s">
        <v>17</v>
      </c>
      <c r="K967" s="88">
        <f t="shared" si="35"/>
        <v>13</v>
      </c>
      <c r="L967" s="11" t="s">
        <v>3734</v>
      </c>
      <c r="M967" s="11" t="s">
        <v>44</v>
      </c>
      <c r="N967" s="92" t="s">
        <v>21</v>
      </c>
    </row>
    <row r="968" spans="1:14" x14ac:dyDescent="0.35">
      <c r="A968" s="94" t="s">
        <v>3735</v>
      </c>
      <c r="B968" s="15" t="s">
        <v>13</v>
      </c>
      <c r="C968" s="16" t="s">
        <v>3736</v>
      </c>
      <c r="D968" s="16" t="s">
        <v>34</v>
      </c>
      <c r="E968" s="17" t="s">
        <v>35</v>
      </c>
      <c r="F968" s="15">
        <f>+YEAR(Tabla2[[#This Row],[Cosecha]])</f>
        <v>2024</v>
      </c>
      <c r="G968" s="16" t="s">
        <v>97</v>
      </c>
      <c r="H968" s="95">
        <f t="shared" si="34"/>
        <v>10</v>
      </c>
      <c r="I968" s="15" t="s">
        <v>18</v>
      </c>
      <c r="J968" s="16" t="s">
        <v>97</v>
      </c>
      <c r="K968" s="88">
        <f t="shared" si="35"/>
        <v>10</v>
      </c>
      <c r="L968" s="16" t="s">
        <v>3737</v>
      </c>
      <c r="M968" s="16" t="s">
        <v>115</v>
      </c>
      <c r="N968" s="96" t="s">
        <v>21</v>
      </c>
    </row>
    <row r="969" spans="1:14" x14ac:dyDescent="0.35">
      <c r="A969" s="90" t="s">
        <v>3738</v>
      </c>
      <c r="B969" s="10" t="s">
        <v>13</v>
      </c>
      <c r="C969" s="11" t="s">
        <v>3739</v>
      </c>
      <c r="D969" s="11" t="s">
        <v>34</v>
      </c>
      <c r="E969" s="12" t="s">
        <v>47</v>
      </c>
      <c r="F969" s="10">
        <f>+YEAR(Tabla2[[#This Row],[Cosecha]])</f>
        <v>2025</v>
      </c>
      <c r="G969" s="11" t="s">
        <v>97</v>
      </c>
      <c r="H969" s="91">
        <f t="shared" si="34"/>
        <v>5</v>
      </c>
      <c r="I969" s="10" t="s">
        <v>18</v>
      </c>
      <c r="J969" s="11" t="s">
        <v>97</v>
      </c>
      <c r="K969" s="88">
        <f t="shared" si="35"/>
        <v>5</v>
      </c>
      <c r="L969" s="11" t="s">
        <v>3740</v>
      </c>
      <c r="M969" s="11" t="s">
        <v>44</v>
      </c>
      <c r="N969" s="92" t="s">
        <v>26</v>
      </c>
    </row>
    <row r="970" spans="1:14" x14ac:dyDescent="0.35">
      <c r="A970" s="94" t="s">
        <v>3741</v>
      </c>
      <c r="B970" s="15" t="s">
        <v>13</v>
      </c>
      <c r="C970" s="16" t="s">
        <v>3742</v>
      </c>
      <c r="D970" s="16" t="s">
        <v>34</v>
      </c>
      <c r="E970" s="17" t="s">
        <v>47</v>
      </c>
      <c r="F970" s="15">
        <f>+YEAR(Tabla2[[#This Row],[Cosecha]])</f>
        <v>2025</v>
      </c>
      <c r="G970" s="16" t="s">
        <v>62</v>
      </c>
      <c r="H970" s="95">
        <f t="shared" si="34"/>
        <v>4</v>
      </c>
      <c r="I970" s="15" t="s">
        <v>18</v>
      </c>
      <c r="J970" s="16" t="s">
        <v>62</v>
      </c>
      <c r="K970" s="88">
        <f t="shared" si="35"/>
        <v>4</v>
      </c>
      <c r="L970" s="16" t="s">
        <v>3743</v>
      </c>
      <c r="M970" s="16" t="s">
        <v>44</v>
      </c>
      <c r="N970" s="96" t="s">
        <v>26</v>
      </c>
    </row>
    <row r="971" spans="1:14" x14ac:dyDescent="0.35">
      <c r="A971" s="90" t="s">
        <v>3747</v>
      </c>
      <c r="B971" s="10" t="s">
        <v>13</v>
      </c>
      <c r="C971" s="11" t="s">
        <v>3748</v>
      </c>
      <c r="D971" s="11" t="s">
        <v>34</v>
      </c>
      <c r="E971" s="12" t="s">
        <v>97</v>
      </c>
      <c r="F971" s="10">
        <f>+YEAR(Tabla2[[#This Row],[Cosecha]])</f>
        <v>2025</v>
      </c>
      <c r="G971" s="11" t="s">
        <v>113</v>
      </c>
      <c r="H971" s="91">
        <f t="shared" si="34"/>
        <v>4</v>
      </c>
      <c r="I971" s="10" t="s">
        <v>18</v>
      </c>
      <c r="J971" s="11" t="s">
        <v>23</v>
      </c>
      <c r="K971" s="88">
        <f t="shared" si="35"/>
        <v>5</v>
      </c>
      <c r="L971" s="11" t="s">
        <v>3749</v>
      </c>
      <c r="M971" s="11" t="s">
        <v>115</v>
      </c>
      <c r="N971" s="92" t="s">
        <v>21</v>
      </c>
    </row>
    <row r="972" spans="1:14" x14ac:dyDescent="0.35">
      <c r="A972" s="94" t="s">
        <v>3750</v>
      </c>
      <c r="B972" s="15" t="s">
        <v>13</v>
      </c>
      <c r="C972" s="16" t="s">
        <v>3751</v>
      </c>
      <c r="D972" s="16" t="s">
        <v>34</v>
      </c>
      <c r="E972" s="17" t="s">
        <v>29</v>
      </c>
      <c r="F972" s="15">
        <f>+YEAR(Tabla2[[#This Row],[Cosecha]])</f>
        <v>2025</v>
      </c>
      <c r="G972" s="16" t="s">
        <v>37</v>
      </c>
      <c r="H972" s="95">
        <f t="shared" si="34"/>
        <v>5</v>
      </c>
      <c r="I972" s="15" t="s">
        <v>18</v>
      </c>
      <c r="J972" s="16" t="s">
        <v>113</v>
      </c>
      <c r="K972" s="88">
        <f t="shared" si="35"/>
        <v>6</v>
      </c>
      <c r="L972" s="16" t="s">
        <v>3752</v>
      </c>
      <c r="M972" s="16" t="s">
        <v>25</v>
      </c>
      <c r="N972" s="96" t="s">
        <v>26</v>
      </c>
    </row>
    <row r="973" spans="1:14" x14ac:dyDescent="0.35">
      <c r="A973" s="90" t="s">
        <v>3759</v>
      </c>
      <c r="B973" s="10" t="s">
        <v>13</v>
      </c>
      <c r="C973" s="11" t="s">
        <v>3760</v>
      </c>
      <c r="D973" s="11" t="s">
        <v>34</v>
      </c>
      <c r="E973" s="12" t="s">
        <v>82</v>
      </c>
      <c r="F973" s="10">
        <f>+YEAR(Tabla2[[#This Row],[Cosecha]])</f>
        <v>2024</v>
      </c>
      <c r="G973" s="11" t="s">
        <v>66</v>
      </c>
      <c r="H973" s="91">
        <f t="shared" si="34"/>
        <v>1</v>
      </c>
      <c r="I973" s="10" t="s">
        <v>18</v>
      </c>
      <c r="J973" s="11" t="s">
        <v>66</v>
      </c>
      <c r="K973" s="88">
        <f t="shared" si="35"/>
        <v>1</v>
      </c>
      <c r="L973" s="11" t="s">
        <v>2895</v>
      </c>
      <c r="M973" s="11" t="s">
        <v>130</v>
      </c>
      <c r="N973" s="92" t="s">
        <v>21</v>
      </c>
    </row>
    <row r="974" spans="1:14" x14ac:dyDescent="0.35">
      <c r="A974" s="94" t="s">
        <v>3761</v>
      </c>
      <c r="B974" s="15" t="s">
        <v>13</v>
      </c>
      <c r="C974" s="16" t="s">
        <v>3762</v>
      </c>
      <c r="D974" s="16" t="s">
        <v>34</v>
      </c>
      <c r="E974" s="17" t="s">
        <v>51</v>
      </c>
      <c r="F974" s="15">
        <f>+YEAR(Tabla2[[#This Row],[Cosecha]])</f>
        <v>2025</v>
      </c>
      <c r="G974" s="16" t="s">
        <v>23</v>
      </c>
      <c r="H974" s="95">
        <f t="shared" si="34"/>
        <v>11</v>
      </c>
      <c r="I974" s="15" t="s">
        <v>18</v>
      </c>
      <c r="J974" s="16" t="s">
        <v>23</v>
      </c>
      <c r="K974" s="88">
        <f t="shared" si="35"/>
        <v>11</v>
      </c>
      <c r="L974" s="16" t="s">
        <v>3763</v>
      </c>
      <c r="M974" s="16" t="s">
        <v>25</v>
      </c>
      <c r="N974" s="96" t="s">
        <v>21</v>
      </c>
    </row>
    <row r="975" spans="1:14" x14ac:dyDescent="0.35">
      <c r="A975" s="90" t="s">
        <v>3770</v>
      </c>
      <c r="B975" s="10" t="s">
        <v>13</v>
      </c>
      <c r="C975" s="11" t="s">
        <v>3771</v>
      </c>
      <c r="D975" s="11" t="s">
        <v>34</v>
      </c>
      <c r="E975" s="12" t="s">
        <v>104</v>
      </c>
      <c r="F975" s="10">
        <f>+YEAR(Tabla2[[#This Row],[Cosecha]])</f>
        <v>2025</v>
      </c>
      <c r="G975" s="11" t="s">
        <v>30</v>
      </c>
      <c r="H975" s="91">
        <f t="shared" si="34"/>
        <v>10</v>
      </c>
      <c r="I975" s="10" t="s">
        <v>18</v>
      </c>
      <c r="J975" s="11" t="s">
        <v>70</v>
      </c>
      <c r="K975" s="88">
        <f t="shared" si="35"/>
        <v>12</v>
      </c>
      <c r="L975" s="11" t="s">
        <v>3772</v>
      </c>
      <c r="M975" s="11" t="s">
        <v>115</v>
      </c>
      <c r="N975" s="92" t="s">
        <v>21</v>
      </c>
    </row>
    <row r="976" spans="1:14" x14ac:dyDescent="0.35">
      <c r="A976" s="94" t="s">
        <v>3773</v>
      </c>
      <c r="B976" s="15" t="s">
        <v>13</v>
      </c>
      <c r="C976" s="16" t="s">
        <v>3774</v>
      </c>
      <c r="D976" s="16" t="s">
        <v>15</v>
      </c>
      <c r="E976" s="17" t="s">
        <v>244</v>
      </c>
      <c r="F976" s="15">
        <f>+YEAR(Tabla2[[#This Row],[Cosecha]])</f>
        <v>2024</v>
      </c>
      <c r="G976" s="16" t="s">
        <v>118</v>
      </c>
      <c r="H976" s="95">
        <f t="shared" si="34"/>
        <v>16</v>
      </c>
      <c r="I976" s="15" t="s">
        <v>18</v>
      </c>
      <c r="J976" s="16" t="s">
        <v>36</v>
      </c>
      <c r="K976" s="88">
        <f t="shared" si="35"/>
        <v>17</v>
      </c>
      <c r="L976" s="16" t="s">
        <v>3775</v>
      </c>
      <c r="M976" s="16" t="s">
        <v>25</v>
      </c>
      <c r="N976" s="96" t="s">
        <v>21</v>
      </c>
    </row>
    <row r="977" spans="1:14" x14ac:dyDescent="0.35">
      <c r="A977" s="90" t="s">
        <v>3776</v>
      </c>
      <c r="B977" s="10" t="s">
        <v>13</v>
      </c>
      <c r="C977" s="11" t="s">
        <v>3777</v>
      </c>
      <c r="D977" s="11" t="s">
        <v>15</v>
      </c>
      <c r="E977" s="12" t="s">
        <v>35</v>
      </c>
      <c r="F977" s="10">
        <f>+YEAR(Tabla2[[#This Row],[Cosecha]])</f>
        <v>2024</v>
      </c>
      <c r="G977" s="11" t="s">
        <v>118</v>
      </c>
      <c r="H977" s="91">
        <f t="shared" si="34"/>
        <v>11</v>
      </c>
      <c r="I977" s="10" t="s">
        <v>18</v>
      </c>
      <c r="J977" s="11" t="s">
        <v>36</v>
      </c>
      <c r="K977" s="88">
        <f t="shared" si="35"/>
        <v>12</v>
      </c>
      <c r="L977" s="11" t="s">
        <v>3778</v>
      </c>
      <c r="M977" s="11" t="s">
        <v>25</v>
      </c>
      <c r="N977" s="92" t="s">
        <v>21</v>
      </c>
    </row>
    <row r="978" spans="1:14" x14ac:dyDescent="0.35">
      <c r="A978" s="94" t="s">
        <v>3779</v>
      </c>
      <c r="B978" s="15" t="s">
        <v>13</v>
      </c>
      <c r="C978" s="16" t="s">
        <v>3780</v>
      </c>
      <c r="D978" s="16" t="s">
        <v>34</v>
      </c>
      <c r="E978" s="17" t="s">
        <v>47</v>
      </c>
      <c r="F978" s="15">
        <f>+YEAR(Tabla2[[#This Row],[Cosecha]])</f>
        <v>2025</v>
      </c>
      <c r="G978" s="16" t="s">
        <v>29</v>
      </c>
      <c r="H978" s="95">
        <f t="shared" si="34"/>
        <v>3</v>
      </c>
      <c r="I978" s="15" t="s">
        <v>18</v>
      </c>
      <c r="J978" s="16" t="s">
        <v>29</v>
      </c>
      <c r="K978" s="88">
        <f t="shared" si="35"/>
        <v>3</v>
      </c>
      <c r="L978" s="16" t="s">
        <v>3781</v>
      </c>
      <c r="M978" s="16" t="s">
        <v>130</v>
      </c>
      <c r="N978" s="96" t="s">
        <v>21</v>
      </c>
    </row>
    <row r="979" spans="1:14" x14ac:dyDescent="0.35">
      <c r="A979" s="148" t="s">
        <v>3782</v>
      </c>
      <c r="B979" s="149" t="s">
        <v>13</v>
      </c>
      <c r="C979" s="150" t="s">
        <v>3783</v>
      </c>
      <c r="D979" s="150" t="s">
        <v>34</v>
      </c>
      <c r="E979" s="151" t="s">
        <v>104</v>
      </c>
      <c r="F979" s="149">
        <f>+YEAR(Tabla2[[#This Row],[Cosecha]])</f>
        <v>2025</v>
      </c>
      <c r="G979" s="150" t="s">
        <v>36</v>
      </c>
      <c r="H979" s="152">
        <f t="shared" si="34"/>
        <v>5</v>
      </c>
      <c r="I979" s="149" t="s">
        <v>18</v>
      </c>
      <c r="J979" s="150" t="s">
        <v>36</v>
      </c>
      <c r="K979" s="88">
        <f t="shared" si="35"/>
        <v>5</v>
      </c>
      <c r="L979" s="150" t="s">
        <v>3784</v>
      </c>
      <c r="M979" s="150" t="s">
        <v>115</v>
      </c>
      <c r="N979" s="153" t="s">
        <v>21</v>
      </c>
    </row>
  </sheetData>
  <conditionalFormatting sqref="I2:I979">
    <cfRule type="containsText" dxfId="0" priority="2" operator="containsText" text="Efectivo">
      <formula>NOT(ISERROR(SEARCH("Efectivo",I2)))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BA62"/>
  <sheetViews>
    <sheetView topLeftCell="U1" zoomScale="63" zoomScaleNormal="63" workbookViewId="0">
      <selection activeCell="AO10" sqref="AO10:AR10"/>
    </sheetView>
  </sheetViews>
  <sheetFormatPr baseColWidth="10" defaultColWidth="10.54296875" defaultRowHeight="14.5" outlineLevelRow="3" outlineLevelCol="1" x14ac:dyDescent="0.35"/>
  <cols>
    <col min="45" max="52" width="9.08984375" hidden="1" customWidth="1" outlineLevel="1"/>
    <col min="53" max="53" width="10.90625" customWidth="1" collapsed="1"/>
  </cols>
  <sheetData>
    <row r="4" spans="2:52" s="154" customFormat="1" ht="15" customHeight="1" x14ac:dyDescent="0.45">
      <c r="B4" s="155"/>
      <c r="C4" s="156" t="s">
        <v>3822</v>
      </c>
      <c r="D4" s="156" t="s">
        <v>3823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</row>
    <row r="5" spans="2:52" s="154" customFormat="1" ht="5.25" customHeight="1" x14ac:dyDescent="0.45"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</row>
    <row r="6" spans="2:52" s="154" customFormat="1" ht="15" customHeight="1" x14ac:dyDescent="0.45">
      <c r="B6" s="159" t="s">
        <v>3824</v>
      </c>
      <c r="C6" s="159"/>
      <c r="D6" s="159"/>
      <c r="E6" s="160">
        <v>44927</v>
      </c>
      <c r="F6" s="160">
        <v>44958</v>
      </c>
      <c r="G6" s="160">
        <v>44986</v>
      </c>
      <c r="H6" s="160">
        <v>45017</v>
      </c>
      <c r="I6" s="160">
        <v>45047</v>
      </c>
      <c r="J6" s="160">
        <v>45078</v>
      </c>
      <c r="K6" s="160">
        <v>45108</v>
      </c>
      <c r="L6" s="160">
        <v>45139</v>
      </c>
      <c r="M6" s="160">
        <v>45170</v>
      </c>
      <c r="N6" s="160">
        <v>45200</v>
      </c>
      <c r="O6" s="160">
        <v>45231</v>
      </c>
      <c r="P6" s="160">
        <v>45261</v>
      </c>
      <c r="Q6" s="161">
        <v>45292</v>
      </c>
      <c r="R6" s="160">
        <f t="shared" ref="R6:AB6" si="0">+Q7+1</f>
        <v>45323</v>
      </c>
      <c r="S6" s="160">
        <f t="shared" si="0"/>
        <v>45352</v>
      </c>
      <c r="T6" s="160">
        <f t="shared" si="0"/>
        <v>45383</v>
      </c>
      <c r="U6" s="160">
        <f t="shared" si="0"/>
        <v>45413</v>
      </c>
      <c r="V6" s="160">
        <f t="shared" si="0"/>
        <v>45444</v>
      </c>
      <c r="W6" s="160">
        <f t="shared" si="0"/>
        <v>45474</v>
      </c>
      <c r="X6" s="160">
        <f t="shared" si="0"/>
        <v>45505</v>
      </c>
      <c r="Y6" s="160">
        <f t="shared" si="0"/>
        <v>45536</v>
      </c>
      <c r="Z6" s="160">
        <f t="shared" si="0"/>
        <v>45566</v>
      </c>
      <c r="AA6" s="160">
        <f t="shared" si="0"/>
        <v>45597</v>
      </c>
      <c r="AB6" s="160">
        <f t="shared" si="0"/>
        <v>45627</v>
      </c>
      <c r="AC6" s="161">
        <v>45658</v>
      </c>
      <c r="AD6" s="160">
        <f t="shared" ref="AD6:AZ6" si="1">+AC7+1</f>
        <v>45689</v>
      </c>
      <c r="AE6" s="160">
        <f t="shared" si="1"/>
        <v>45717</v>
      </c>
      <c r="AF6" s="160">
        <f t="shared" si="1"/>
        <v>45748</v>
      </c>
      <c r="AG6" s="160">
        <f t="shared" si="1"/>
        <v>45778</v>
      </c>
      <c r="AH6" s="160">
        <f t="shared" si="1"/>
        <v>45809</v>
      </c>
      <c r="AI6" s="160">
        <f t="shared" si="1"/>
        <v>45839</v>
      </c>
      <c r="AJ6" s="160">
        <f t="shared" si="1"/>
        <v>45870</v>
      </c>
      <c r="AK6" s="160">
        <f t="shared" si="1"/>
        <v>45901</v>
      </c>
      <c r="AL6" s="160">
        <f t="shared" si="1"/>
        <v>45931</v>
      </c>
      <c r="AM6" s="160">
        <f t="shared" si="1"/>
        <v>45962</v>
      </c>
      <c r="AN6" s="160">
        <f t="shared" si="1"/>
        <v>45992</v>
      </c>
      <c r="AO6" s="160">
        <f t="shared" si="1"/>
        <v>46023</v>
      </c>
      <c r="AP6" s="160">
        <f t="shared" si="1"/>
        <v>46054</v>
      </c>
      <c r="AQ6" s="160">
        <f t="shared" si="1"/>
        <v>46082</v>
      </c>
      <c r="AR6" s="160">
        <f t="shared" si="1"/>
        <v>46113</v>
      </c>
      <c r="AS6" s="160">
        <f t="shared" si="1"/>
        <v>46143</v>
      </c>
      <c r="AT6" s="160">
        <f t="shared" si="1"/>
        <v>46174</v>
      </c>
      <c r="AU6" s="160">
        <f t="shared" si="1"/>
        <v>46204</v>
      </c>
      <c r="AV6" s="160">
        <f t="shared" si="1"/>
        <v>46235</v>
      </c>
      <c r="AW6" s="160">
        <f t="shared" si="1"/>
        <v>46266</v>
      </c>
      <c r="AX6" s="160">
        <f t="shared" si="1"/>
        <v>46296</v>
      </c>
      <c r="AY6" s="160">
        <f t="shared" si="1"/>
        <v>46327</v>
      </c>
      <c r="AZ6" s="160">
        <f t="shared" si="1"/>
        <v>46357</v>
      </c>
    </row>
    <row r="7" spans="2:52" s="154" customFormat="1" ht="15" customHeight="1" x14ac:dyDescent="0.45">
      <c r="B7" s="159" t="s">
        <v>3825</v>
      </c>
      <c r="C7" s="159"/>
      <c r="D7" s="159"/>
      <c r="E7" s="160">
        <v>44957</v>
      </c>
      <c r="F7" s="160">
        <v>44985</v>
      </c>
      <c r="G7" s="160">
        <v>45016</v>
      </c>
      <c r="H7" s="160">
        <v>45046</v>
      </c>
      <c r="I7" s="160">
        <v>45077</v>
      </c>
      <c r="J7" s="160">
        <v>45107</v>
      </c>
      <c r="K7" s="160">
        <v>45138</v>
      </c>
      <c r="L7" s="160">
        <v>45169</v>
      </c>
      <c r="M7" s="160">
        <v>45199</v>
      </c>
      <c r="N7" s="160">
        <v>45230</v>
      </c>
      <c r="O7" s="160">
        <v>45260</v>
      </c>
      <c r="P7" s="160">
        <v>45291</v>
      </c>
      <c r="Q7" s="160">
        <f>+EOMONTH(Q6,0)</f>
        <v>45322</v>
      </c>
      <c r="R7" s="160">
        <f t="shared" ref="R7:AB7" si="2">+EOMONTH(Q7,1)</f>
        <v>45351</v>
      </c>
      <c r="S7" s="160">
        <f t="shared" si="2"/>
        <v>45382</v>
      </c>
      <c r="T7" s="160">
        <f t="shared" si="2"/>
        <v>45412</v>
      </c>
      <c r="U7" s="160">
        <f t="shared" si="2"/>
        <v>45443</v>
      </c>
      <c r="V7" s="160">
        <f t="shared" si="2"/>
        <v>45473</v>
      </c>
      <c r="W7" s="160">
        <f t="shared" si="2"/>
        <v>45504</v>
      </c>
      <c r="X7" s="160">
        <f t="shared" si="2"/>
        <v>45535</v>
      </c>
      <c r="Y7" s="160">
        <f t="shared" si="2"/>
        <v>45565</v>
      </c>
      <c r="Z7" s="160">
        <f t="shared" si="2"/>
        <v>45596</v>
      </c>
      <c r="AA7" s="160">
        <f t="shared" si="2"/>
        <v>45626</v>
      </c>
      <c r="AB7" s="160">
        <f t="shared" si="2"/>
        <v>45657</v>
      </c>
      <c r="AC7" s="160">
        <f t="shared" ref="AC7:AZ7" si="3">+EOMONTH(AC6,0)</f>
        <v>45688</v>
      </c>
      <c r="AD7" s="160">
        <f t="shared" si="3"/>
        <v>45716</v>
      </c>
      <c r="AE7" s="160">
        <f t="shared" si="3"/>
        <v>45747</v>
      </c>
      <c r="AF7" s="160">
        <f t="shared" si="3"/>
        <v>45777</v>
      </c>
      <c r="AG7" s="160">
        <f t="shared" si="3"/>
        <v>45808</v>
      </c>
      <c r="AH7" s="160">
        <f t="shared" si="3"/>
        <v>45838</v>
      </c>
      <c r="AI7" s="160">
        <f t="shared" si="3"/>
        <v>45869</v>
      </c>
      <c r="AJ7" s="160">
        <f t="shared" si="3"/>
        <v>45900</v>
      </c>
      <c r="AK7" s="160">
        <f t="shared" si="3"/>
        <v>45930</v>
      </c>
      <c r="AL7" s="160">
        <f t="shared" si="3"/>
        <v>45961</v>
      </c>
      <c r="AM7" s="160">
        <f t="shared" si="3"/>
        <v>45991</v>
      </c>
      <c r="AN7" s="160">
        <f t="shared" si="3"/>
        <v>46022</v>
      </c>
      <c r="AO7" s="160">
        <f t="shared" si="3"/>
        <v>46053</v>
      </c>
      <c r="AP7" s="160">
        <f t="shared" si="3"/>
        <v>46081</v>
      </c>
      <c r="AQ7" s="160">
        <f t="shared" si="3"/>
        <v>46112</v>
      </c>
      <c r="AR7" s="160">
        <f t="shared" si="3"/>
        <v>46142</v>
      </c>
      <c r="AS7" s="160">
        <f t="shared" si="3"/>
        <v>46173</v>
      </c>
      <c r="AT7" s="160">
        <f t="shared" si="3"/>
        <v>46203</v>
      </c>
      <c r="AU7" s="160">
        <f t="shared" si="3"/>
        <v>46234</v>
      </c>
      <c r="AV7" s="160">
        <f t="shared" si="3"/>
        <v>46265</v>
      </c>
      <c r="AW7" s="160">
        <f t="shared" si="3"/>
        <v>46295</v>
      </c>
      <c r="AX7" s="160">
        <f t="shared" si="3"/>
        <v>46326</v>
      </c>
      <c r="AY7" s="160">
        <f t="shared" si="3"/>
        <v>46356</v>
      </c>
      <c r="AZ7" s="160">
        <f t="shared" si="3"/>
        <v>46387</v>
      </c>
    </row>
    <row r="8" spans="2:52" s="154" customFormat="1" ht="15" customHeight="1" x14ac:dyDescent="0.45">
      <c r="B8" s="162" t="s">
        <v>3826</v>
      </c>
      <c r="C8" s="162"/>
      <c r="D8" s="162"/>
      <c r="E8" s="163">
        <v>2023</v>
      </c>
      <c r="F8" s="163">
        <v>2023</v>
      </c>
      <c r="G8" s="163">
        <v>2023</v>
      </c>
      <c r="H8" s="163">
        <v>2023</v>
      </c>
      <c r="I8" s="163">
        <v>2023</v>
      </c>
      <c r="J8" s="163">
        <v>2023</v>
      </c>
      <c r="K8" s="163">
        <v>2023</v>
      </c>
      <c r="L8" s="163">
        <v>2023</v>
      </c>
      <c r="M8" s="163">
        <v>2023</v>
      </c>
      <c r="N8" s="163">
        <v>2023</v>
      </c>
      <c r="O8" s="163">
        <v>2023</v>
      </c>
      <c r="P8" s="163">
        <v>2023</v>
      </c>
      <c r="Q8" s="163">
        <f t="shared" ref="Q8:AZ8" si="4">+YEAR(Q7)</f>
        <v>2024</v>
      </c>
      <c r="R8" s="163">
        <f t="shared" si="4"/>
        <v>2024</v>
      </c>
      <c r="S8" s="163">
        <f t="shared" si="4"/>
        <v>2024</v>
      </c>
      <c r="T8" s="163">
        <f t="shared" si="4"/>
        <v>2024</v>
      </c>
      <c r="U8" s="163">
        <f t="shared" si="4"/>
        <v>2024</v>
      </c>
      <c r="V8" s="163">
        <f t="shared" si="4"/>
        <v>2024</v>
      </c>
      <c r="W8" s="163">
        <f t="shared" si="4"/>
        <v>2024</v>
      </c>
      <c r="X8" s="163">
        <f t="shared" si="4"/>
        <v>2024</v>
      </c>
      <c r="Y8" s="163">
        <f t="shared" si="4"/>
        <v>2024</v>
      </c>
      <c r="Z8" s="163">
        <f t="shared" si="4"/>
        <v>2024</v>
      </c>
      <c r="AA8" s="163">
        <f t="shared" si="4"/>
        <v>2024</v>
      </c>
      <c r="AB8" s="163">
        <f t="shared" si="4"/>
        <v>2024</v>
      </c>
      <c r="AC8" s="163">
        <f t="shared" si="4"/>
        <v>2025</v>
      </c>
      <c r="AD8" s="163">
        <f t="shared" si="4"/>
        <v>2025</v>
      </c>
      <c r="AE8" s="163">
        <f t="shared" si="4"/>
        <v>2025</v>
      </c>
      <c r="AF8" s="163">
        <f t="shared" si="4"/>
        <v>2025</v>
      </c>
      <c r="AG8" s="163">
        <f t="shared" si="4"/>
        <v>2025</v>
      </c>
      <c r="AH8" s="163">
        <f t="shared" si="4"/>
        <v>2025</v>
      </c>
      <c r="AI8" s="163">
        <f t="shared" si="4"/>
        <v>2025</v>
      </c>
      <c r="AJ8" s="163">
        <f t="shared" si="4"/>
        <v>2025</v>
      </c>
      <c r="AK8" s="163">
        <f t="shared" si="4"/>
        <v>2025</v>
      </c>
      <c r="AL8" s="163">
        <f t="shared" si="4"/>
        <v>2025</v>
      </c>
      <c r="AM8" s="163">
        <f t="shared" si="4"/>
        <v>2025</v>
      </c>
      <c r="AN8" s="163">
        <f t="shared" si="4"/>
        <v>2025</v>
      </c>
      <c r="AO8" s="163">
        <f t="shared" si="4"/>
        <v>2026</v>
      </c>
      <c r="AP8" s="163">
        <f t="shared" si="4"/>
        <v>2026</v>
      </c>
      <c r="AQ8" s="163">
        <f t="shared" si="4"/>
        <v>2026</v>
      </c>
      <c r="AR8" s="163">
        <f t="shared" si="4"/>
        <v>2026</v>
      </c>
      <c r="AS8" s="163">
        <f t="shared" si="4"/>
        <v>2026</v>
      </c>
      <c r="AT8" s="163">
        <f t="shared" si="4"/>
        <v>2026</v>
      </c>
      <c r="AU8" s="163">
        <f t="shared" si="4"/>
        <v>2026</v>
      </c>
      <c r="AV8" s="163">
        <f t="shared" si="4"/>
        <v>2026</v>
      </c>
      <c r="AW8" s="163">
        <f t="shared" si="4"/>
        <v>2026</v>
      </c>
      <c r="AX8" s="163">
        <f t="shared" si="4"/>
        <v>2026</v>
      </c>
      <c r="AY8" s="163">
        <f t="shared" si="4"/>
        <v>2026</v>
      </c>
      <c r="AZ8" s="163">
        <f t="shared" si="4"/>
        <v>2026</v>
      </c>
    </row>
    <row r="9" spans="2:52" s="154" customFormat="1" ht="15" customHeight="1" x14ac:dyDescent="0.45">
      <c r="B9" s="162" t="s">
        <v>3827</v>
      </c>
      <c r="C9" s="162"/>
      <c r="D9" s="162"/>
      <c r="E9" s="163" t="str">
        <f t="shared" ref="E9:AZ9" si="5">+UPPER(TEXT(E7, "mmm"))</f>
        <v>ENE</v>
      </c>
      <c r="F9" s="163" t="str">
        <f t="shared" si="5"/>
        <v>FEB</v>
      </c>
      <c r="G9" s="163" t="str">
        <f t="shared" si="5"/>
        <v>MAR</v>
      </c>
      <c r="H9" s="163" t="str">
        <f t="shared" si="5"/>
        <v>ABR</v>
      </c>
      <c r="I9" s="163" t="str">
        <f t="shared" si="5"/>
        <v>MAY</v>
      </c>
      <c r="J9" s="163" t="str">
        <f t="shared" si="5"/>
        <v>JUN</v>
      </c>
      <c r="K9" s="163" t="str">
        <f t="shared" si="5"/>
        <v>JUL</v>
      </c>
      <c r="L9" s="163" t="str">
        <f t="shared" si="5"/>
        <v>AGO</v>
      </c>
      <c r="M9" s="163" t="str">
        <f t="shared" si="5"/>
        <v>SEP</v>
      </c>
      <c r="N9" s="163" t="str">
        <f t="shared" si="5"/>
        <v>OCT</v>
      </c>
      <c r="O9" s="163" t="str">
        <f t="shared" si="5"/>
        <v>NOV</v>
      </c>
      <c r="P9" s="163" t="str">
        <f t="shared" si="5"/>
        <v>DIC</v>
      </c>
      <c r="Q9" s="163" t="str">
        <f t="shared" si="5"/>
        <v>ENE</v>
      </c>
      <c r="R9" s="163" t="str">
        <f t="shared" si="5"/>
        <v>FEB</v>
      </c>
      <c r="S9" s="163" t="str">
        <f t="shared" si="5"/>
        <v>MAR</v>
      </c>
      <c r="T9" s="163" t="str">
        <f t="shared" si="5"/>
        <v>ABR</v>
      </c>
      <c r="U9" s="163" t="str">
        <f t="shared" si="5"/>
        <v>MAY</v>
      </c>
      <c r="V9" s="163" t="str">
        <f t="shared" si="5"/>
        <v>JUN</v>
      </c>
      <c r="W9" s="163" t="str">
        <f t="shared" si="5"/>
        <v>JUL</v>
      </c>
      <c r="X9" s="163" t="str">
        <f t="shared" si="5"/>
        <v>AGO</v>
      </c>
      <c r="Y9" s="163" t="str">
        <f t="shared" si="5"/>
        <v>SEP</v>
      </c>
      <c r="Z9" s="163" t="str">
        <f t="shared" si="5"/>
        <v>OCT</v>
      </c>
      <c r="AA9" s="163" t="str">
        <f t="shared" si="5"/>
        <v>NOV</v>
      </c>
      <c r="AB9" s="163" t="str">
        <f t="shared" si="5"/>
        <v>DIC</v>
      </c>
      <c r="AC9" s="163" t="str">
        <f t="shared" si="5"/>
        <v>ENE</v>
      </c>
      <c r="AD9" s="163" t="str">
        <f t="shared" si="5"/>
        <v>FEB</v>
      </c>
      <c r="AE9" s="163" t="str">
        <f t="shared" si="5"/>
        <v>MAR</v>
      </c>
      <c r="AF9" s="163" t="str">
        <f t="shared" si="5"/>
        <v>ABR</v>
      </c>
      <c r="AG9" s="163" t="str">
        <f t="shared" si="5"/>
        <v>MAY</v>
      </c>
      <c r="AH9" s="163" t="str">
        <f t="shared" si="5"/>
        <v>JUN</v>
      </c>
      <c r="AI9" s="163" t="str">
        <f t="shared" si="5"/>
        <v>JUL</v>
      </c>
      <c r="AJ9" s="163" t="str">
        <f t="shared" si="5"/>
        <v>AGO</v>
      </c>
      <c r="AK9" s="163" t="str">
        <f t="shared" si="5"/>
        <v>SEP</v>
      </c>
      <c r="AL9" s="163" t="str">
        <f t="shared" si="5"/>
        <v>OCT</v>
      </c>
      <c r="AM9" s="163" t="str">
        <f t="shared" si="5"/>
        <v>NOV</v>
      </c>
      <c r="AN9" s="163" t="str">
        <f t="shared" si="5"/>
        <v>DIC</v>
      </c>
      <c r="AO9" s="163" t="str">
        <f t="shared" si="5"/>
        <v>ENE</v>
      </c>
      <c r="AP9" s="163" t="str">
        <f t="shared" si="5"/>
        <v>FEB</v>
      </c>
      <c r="AQ9" s="163" t="str">
        <f t="shared" si="5"/>
        <v>MAR</v>
      </c>
      <c r="AR9" s="163" t="str">
        <f t="shared" si="5"/>
        <v>ABR</v>
      </c>
      <c r="AS9" s="163" t="str">
        <f t="shared" si="5"/>
        <v>MAY</v>
      </c>
      <c r="AT9" s="163" t="str">
        <f t="shared" si="5"/>
        <v>JUN</v>
      </c>
      <c r="AU9" s="163" t="str">
        <f t="shared" si="5"/>
        <v>JUL</v>
      </c>
      <c r="AV9" s="163" t="str">
        <f t="shared" si="5"/>
        <v>AGO</v>
      </c>
      <c r="AW9" s="163" t="str">
        <f t="shared" si="5"/>
        <v>SEP</v>
      </c>
      <c r="AX9" s="163" t="str">
        <f t="shared" si="5"/>
        <v>OCT</v>
      </c>
      <c r="AY9" s="163" t="str">
        <f t="shared" si="5"/>
        <v>NOV</v>
      </c>
      <c r="AZ9" s="163" t="str">
        <f t="shared" si="5"/>
        <v>DIC</v>
      </c>
    </row>
    <row r="10" spans="2:52" s="154" customFormat="1" ht="15" customHeight="1" outlineLevel="1" x14ac:dyDescent="0.45">
      <c r="B10" s="162" t="s">
        <v>3828</v>
      </c>
      <c r="C10" s="162"/>
      <c r="D10" s="162"/>
      <c r="E10" s="164" t="s">
        <v>3829</v>
      </c>
      <c r="F10" s="164" t="s">
        <v>3829</v>
      </c>
      <c r="G10" s="164" t="s">
        <v>3829</v>
      </c>
      <c r="H10" s="164" t="s">
        <v>3830</v>
      </c>
      <c r="I10" s="164" t="s">
        <v>3830</v>
      </c>
      <c r="J10" s="164" t="s">
        <v>3830</v>
      </c>
      <c r="K10" s="164" t="s">
        <v>3831</v>
      </c>
      <c r="L10" s="164" t="s">
        <v>3831</v>
      </c>
      <c r="M10" s="164" t="s">
        <v>3831</v>
      </c>
      <c r="N10" s="164" t="s">
        <v>3832</v>
      </c>
      <c r="O10" s="164" t="s">
        <v>3832</v>
      </c>
      <c r="P10" s="164" t="s">
        <v>3832</v>
      </c>
      <c r="Q10" s="164" t="s">
        <v>3829</v>
      </c>
      <c r="R10" s="164" t="s">
        <v>3829</v>
      </c>
      <c r="S10" s="164" t="s">
        <v>3829</v>
      </c>
      <c r="T10" s="164" t="s">
        <v>3830</v>
      </c>
      <c r="U10" s="164" t="s">
        <v>3830</v>
      </c>
      <c r="V10" s="164" t="s">
        <v>3830</v>
      </c>
      <c r="W10" s="164" t="s">
        <v>3831</v>
      </c>
      <c r="X10" s="164" t="s">
        <v>3831</v>
      </c>
      <c r="Y10" s="164" t="s">
        <v>3831</v>
      </c>
      <c r="Z10" s="164" t="s">
        <v>3832</v>
      </c>
      <c r="AA10" s="164" t="s">
        <v>3832</v>
      </c>
      <c r="AB10" s="164" t="s">
        <v>3832</v>
      </c>
      <c r="AC10" s="164" t="s">
        <v>3829</v>
      </c>
      <c r="AD10" s="164" t="s">
        <v>3829</v>
      </c>
      <c r="AE10" s="164" t="s">
        <v>3829</v>
      </c>
      <c r="AF10" s="164" t="s">
        <v>3830</v>
      </c>
      <c r="AG10" s="164" t="s">
        <v>3830</v>
      </c>
      <c r="AH10" s="164" t="s">
        <v>3830</v>
      </c>
      <c r="AI10" s="164" t="s">
        <v>3831</v>
      </c>
      <c r="AJ10" s="164" t="s">
        <v>3831</v>
      </c>
      <c r="AK10" s="164" t="s">
        <v>3831</v>
      </c>
      <c r="AL10" s="164" t="s">
        <v>3832</v>
      </c>
      <c r="AM10" s="164" t="s">
        <v>3832</v>
      </c>
      <c r="AN10" s="164" t="s">
        <v>3832</v>
      </c>
      <c r="AO10" s="164" t="s">
        <v>3829</v>
      </c>
      <c r="AP10" s="164" t="s">
        <v>3829</v>
      </c>
      <c r="AQ10" s="164" t="s">
        <v>3829</v>
      </c>
      <c r="AR10" s="164" t="s">
        <v>3830</v>
      </c>
      <c r="AS10" s="164" t="e">
        <v>#NAME?</v>
      </c>
      <c r="AT10" s="164" t="e">
        <v>#NAME?</v>
      </c>
      <c r="AU10" s="164" t="e">
        <v>#NAME?</v>
      </c>
      <c r="AV10" s="164" t="e">
        <v>#NAME?</v>
      </c>
      <c r="AW10" s="164" t="e">
        <v>#NAME?</v>
      </c>
      <c r="AX10" s="164" t="e">
        <v>#NAME?</v>
      </c>
      <c r="AY10" s="164" t="e">
        <v>#NAME?</v>
      </c>
      <c r="AZ10" s="164" t="e">
        <v>#NAME?</v>
      </c>
    </row>
    <row r="11" spans="2:52" s="154" customFormat="1" ht="15" customHeight="1" outlineLevel="1" x14ac:dyDescent="0.45">
      <c r="B11" s="162" t="s">
        <v>3833</v>
      </c>
      <c r="C11" s="162"/>
      <c r="D11" s="162"/>
      <c r="E11" s="163">
        <f t="shared" ref="E11:AZ11" si="6">+(E7-E6+1)-NETWORKDAYS.INTL(E6,E7,16)</f>
        <v>4</v>
      </c>
      <c r="F11" s="163">
        <f t="shared" si="6"/>
        <v>4</v>
      </c>
      <c r="G11" s="163">
        <f t="shared" si="6"/>
        <v>5</v>
      </c>
      <c r="H11" s="163">
        <f t="shared" si="6"/>
        <v>4</v>
      </c>
      <c r="I11" s="163">
        <f t="shared" si="6"/>
        <v>4</v>
      </c>
      <c r="J11" s="163">
        <f t="shared" si="6"/>
        <v>5</v>
      </c>
      <c r="K11" s="163">
        <f t="shared" si="6"/>
        <v>4</v>
      </c>
      <c r="L11" s="163">
        <f t="shared" si="6"/>
        <v>4</v>
      </c>
      <c r="M11" s="163">
        <f t="shared" si="6"/>
        <v>5</v>
      </c>
      <c r="N11" s="163">
        <f t="shared" si="6"/>
        <v>4</v>
      </c>
      <c r="O11" s="163">
        <f t="shared" si="6"/>
        <v>4</v>
      </c>
      <c r="P11" s="163">
        <f t="shared" si="6"/>
        <v>5</v>
      </c>
      <c r="Q11" s="163">
        <f t="shared" si="6"/>
        <v>4</v>
      </c>
      <c r="R11" s="163">
        <f t="shared" si="6"/>
        <v>4</v>
      </c>
      <c r="S11" s="163">
        <f t="shared" si="6"/>
        <v>5</v>
      </c>
      <c r="T11" s="163">
        <f t="shared" si="6"/>
        <v>4</v>
      </c>
      <c r="U11" s="163">
        <f t="shared" si="6"/>
        <v>5</v>
      </c>
      <c r="V11" s="163">
        <f t="shared" si="6"/>
        <v>4</v>
      </c>
      <c r="W11" s="163">
        <f t="shared" si="6"/>
        <v>4</v>
      </c>
      <c r="X11" s="163">
        <f t="shared" si="6"/>
        <v>5</v>
      </c>
      <c r="Y11" s="163">
        <f t="shared" si="6"/>
        <v>4</v>
      </c>
      <c r="Z11" s="163">
        <f t="shared" si="6"/>
        <v>4</v>
      </c>
      <c r="AA11" s="163">
        <f t="shared" si="6"/>
        <v>5</v>
      </c>
      <c r="AB11" s="163">
        <f t="shared" si="6"/>
        <v>4</v>
      </c>
      <c r="AC11" s="163">
        <f t="shared" si="6"/>
        <v>5</v>
      </c>
      <c r="AD11" s="163">
        <f t="shared" si="6"/>
        <v>4</v>
      </c>
      <c r="AE11" s="163">
        <f t="shared" si="6"/>
        <v>4</v>
      </c>
      <c r="AF11" s="163">
        <f t="shared" si="6"/>
        <v>4</v>
      </c>
      <c r="AG11" s="163">
        <f t="shared" si="6"/>
        <v>5</v>
      </c>
      <c r="AH11" s="163">
        <f t="shared" si="6"/>
        <v>4</v>
      </c>
      <c r="AI11" s="163">
        <f t="shared" si="6"/>
        <v>4</v>
      </c>
      <c r="AJ11" s="163">
        <f t="shared" si="6"/>
        <v>5</v>
      </c>
      <c r="AK11" s="163">
        <f t="shared" si="6"/>
        <v>4</v>
      </c>
      <c r="AL11" s="163">
        <f t="shared" si="6"/>
        <v>5</v>
      </c>
      <c r="AM11" s="163">
        <f t="shared" si="6"/>
        <v>4</v>
      </c>
      <c r="AN11" s="163">
        <f t="shared" si="6"/>
        <v>4</v>
      </c>
      <c r="AO11" s="163">
        <f t="shared" si="6"/>
        <v>5</v>
      </c>
      <c r="AP11" s="163">
        <f t="shared" si="6"/>
        <v>4</v>
      </c>
      <c r="AQ11" s="163">
        <f t="shared" si="6"/>
        <v>4</v>
      </c>
      <c r="AR11" s="163">
        <f t="shared" si="6"/>
        <v>4</v>
      </c>
      <c r="AS11" s="163">
        <f t="shared" si="6"/>
        <v>5</v>
      </c>
      <c r="AT11" s="163">
        <f t="shared" si="6"/>
        <v>4</v>
      </c>
      <c r="AU11" s="163">
        <f t="shared" si="6"/>
        <v>5</v>
      </c>
      <c r="AV11" s="163">
        <f t="shared" si="6"/>
        <v>4</v>
      </c>
      <c r="AW11" s="163">
        <f t="shared" si="6"/>
        <v>4</v>
      </c>
      <c r="AX11" s="163">
        <f t="shared" si="6"/>
        <v>5</v>
      </c>
      <c r="AY11" s="163">
        <f t="shared" si="6"/>
        <v>4</v>
      </c>
      <c r="AZ11" s="163">
        <f t="shared" si="6"/>
        <v>4</v>
      </c>
    </row>
    <row r="12" spans="2:52" s="154" customFormat="1" ht="15" customHeight="1" outlineLevel="1" x14ac:dyDescent="0.45">
      <c r="B12" s="162" t="s">
        <v>3834</v>
      </c>
      <c r="C12" s="162"/>
      <c r="D12" s="162"/>
      <c r="E12" s="164" t="s">
        <v>3834</v>
      </c>
      <c r="F12" s="164" t="s">
        <v>3834</v>
      </c>
      <c r="G12" s="164" t="s">
        <v>3834</v>
      </c>
      <c r="H12" s="164" t="s">
        <v>3834</v>
      </c>
      <c r="I12" s="164" t="s">
        <v>3834</v>
      </c>
      <c r="J12" s="164" t="s">
        <v>3834</v>
      </c>
      <c r="K12" s="164" t="s">
        <v>3834</v>
      </c>
      <c r="L12" s="164" t="s">
        <v>3834</v>
      </c>
      <c r="M12" s="164" t="s">
        <v>3834</v>
      </c>
      <c r="N12" s="164" t="s">
        <v>3834</v>
      </c>
      <c r="O12" s="164" t="s">
        <v>3834</v>
      </c>
      <c r="P12" s="164" t="s">
        <v>3834</v>
      </c>
      <c r="Q12" s="164" t="s">
        <v>3834</v>
      </c>
      <c r="R12" s="164" t="s">
        <v>3834</v>
      </c>
      <c r="S12" s="164" t="s">
        <v>3834</v>
      </c>
      <c r="T12" s="164" t="s">
        <v>3834</v>
      </c>
      <c r="U12" s="164" t="s">
        <v>3834</v>
      </c>
      <c r="V12" s="164" t="s">
        <v>3834</v>
      </c>
      <c r="W12" s="164" t="s">
        <v>3834</v>
      </c>
      <c r="X12" s="164" t="s">
        <v>3834</v>
      </c>
      <c r="Y12" s="164" t="s">
        <v>3834</v>
      </c>
      <c r="Z12" s="164" t="s">
        <v>3834</v>
      </c>
      <c r="AA12" s="164" t="s">
        <v>3834</v>
      </c>
      <c r="AB12" s="164" t="s">
        <v>3834</v>
      </c>
      <c r="AC12" s="164" t="s">
        <v>3834</v>
      </c>
      <c r="AD12" s="164" t="s">
        <v>3834</v>
      </c>
      <c r="AE12" s="164" t="s">
        <v>3834</v>
      </c>
      <c r="AF12" s="164" t="s">
        <v>3834</v>
      </c>
      <c r="AG12" s="164" t="s">
        <v>3834</v>
      </c>
      <c r="AH12" s="164" t="s">
        <v>3834</v>
      </c>
      <c r="AI12" s="164" t="s">
        <v>3834</v>
      </c>
      <c r="AJ12" s="164" t="s">
        <v>3834</v>
      </c>
      <c r="AK12" s="164" t="s">
        <v>3834</v>
      </c>
      <c r="AL12" s="164" t="s">
        <v>3834</v>
      </c>
      <c r="AM12" s="164" t="s">
        <v>3834</v>
      </c>
      <c r="AN12" s="164" t="s">
        <v>3834</v>
      </c>
      <c r="AO12" s="164" t="s">
        <v>3834</v>
      </c>
      <c r="AP12" s="164" t="s">
        <v>3834</v>
      </c>
      <c r="AQ12" s="164" t="s">
        <v>3834</v>
      </c>
      <c r="AR12" s="164" t="s">
        <v>3834</v>
      </c>
      <c r="AS12" s="164" t="e">
        <v>#NAME?</v>
      </c>
      <c r="AT12" s="164" t="e">
        <v>#NAME?</v>
      </c>
      <c r="AU12" s="164" t="e">
        <v>#NAME?</v>
      </c>
      <c r="AV12" s="164" t="e">
        <v>#NAME?</v>
      </c>
      <c r="AW12" s="164" t="e">
        <v>#NAME?</v>
      </c>
      <c r="AX12" s="164" t="e">
        <v>#NAME?</v>
      </c>
      <c r="AY12" s="164" t="e">
        <v>#NAME?</v>
      </c>
      <c r="AZ12" s="164" t="e">
        <v>#NAME?</v>
      </c>
    </row>
    <row r="13" spans="2:52" s="154" customFormat="1" ht="15" customHeight="1" x14ac:dyDescent="0.45"/>
    <row r="14" spans="2:52" s="154" customFormat="1" ht="15" customHeight="1" x14ac:dyDescent="0.45">
      <c r="B14" s="165" t="s">
        <v>3835</v>
      </c>
      <c r="C14" s="165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</row>
    <row r="15" spans="2:52" s="154" customFormat="1" ht="15" customHeight="1" outlineLevel="1" x14ac:dyDescent="0.45"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</row>
    <row r="16" spans="2:52" s="154" customFormat="1" ht="15" customHeight="1" outlineLevel="1" x14ac:dyDescent="0.45">
      <c r="B16" s="155" t="s">
        <v>3836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</row>
    <row r="17" spans="2:52" s="154" customFormat="1" ht="15" customHeight="1" outlineLevel="2" x14ac:dyDescent="0.45"/>
    <row r="18" spans="2:52" s="154" customFormat="1" ht="15" customHeight="1" outlineLevel="2" x14ac:dyDescent="0.45">
      <c r="B18" s="171" t="s">
        <v>3837</v>
      </c>
      <c r="C18" s="172" t="s">
        <v>3838</v>
      </c>
      <c r="D18" s="173"/>
      <c r="E18" s="174">
        <f t="shared" ref="E18:AZ18" si="7">+SUM(E19:E21)</f>
        <v>36</v>
      </c>
      <c r="F18" s="174">
        <f t="shared" si="7"/>
        <v>31</v>
      </c>
      <c r="G18" s="174">
        <f t="shared" si="7"/>
        <v>30</v>
      </c>
      <c r="H18" s="174">
        <f t="shared" si="7"/>
        <v>27</v>
      </c>
      <c r="I18" s="174">
        <f t="shared" si="7"/>
        <v>28</v>
      </c>
      <c r="J18" s="174">
        <f t="shared" si="7"/>
        <v>44</v>
      </c>
      <c r="K18" s="174">
        <f t="shared" si="7"/>
        <v>43</v>
      </c>
      <c r="L18" s="174">
        <f t="shared" si="7"/>
        <v>50</v>
      </c>
      <c r="M18" s="174">
        <f t="shared" si="7"/>
        <v>55</v>
      </c>
      <c r="N18" s="174">
        <f t="shared" si="7"/>
        <v>51</v>
      </c>
      <c r="O18" s="174">
        <f t="shared" si="7"/>
        <v>58</v>
      </c>
      <c r="P18" s="174">
        <f t="shared" si="7"/>
        <v>36</v>
      </c>
      <c r="Q18" s="174">
        <f t="shared" si="7"/>
        <v>63</v>
      </c>
      <c r="R18" s="174">
        <f t="shared" si="7"/>
        <v>68</v>
      </c>
      <c r="S18" s="174">
        <f t="shared" si="7"/>
        <v>60</v>
      </c>
      <c r="T18" s="174">
        <f t="shared" si="7"/>
        <v>73</v>
      </c>
      <c r="U18" s="174">
        <f t="shared" si="7"/>
        <v>94</v>
      </c>
      <c r="V18" s="174">
        <f t="shared" si="7"/>
        <v>103</v>
      </c>
      <c r="W18" s="174">
        <f t="shared" si="7"/>
        <v>119</v>
      </c>
      <c r="X18" s="174">
        <f t="shared" si="7"/>
        <v>114</v>
      </c>
      <c r="Y18" s="174">
        <f t="shared" si="7"/>
        <v>112</v>
      </c>
      <c r="Z18" s="174">
        <f t="shared" si="7"/>
        <v>120</v>
      </c>
      <c r="AA18" s="174">
        <f t="shared" si="7"/>
        <v>95</v>
      </c>
      <c r="AB18" s="174">
        <f t="shared" si="7"/>
        <v>105</v>
      </c>
      <c r="AC18" s="174">
        <f t="shared" si="7"/>
        <v>97</v>
      </c>
      <c r="AD18" s="174">
        <f t="shared" si="7"/>
        <v>99</v>
      </c>
      <c r="AE18" s="174">
        <f t="shared" si="7"/>
        <v>136</v>
      </c>
      <c r="AF18" s="174">
        <f t="shared" si="7"/>
        <v>161</v>
      </c>
      <c r="AG18" s="174">
        <f t="shared" si="7"/>
        <v>157</v>
      </c>
      <c r="AH18" s="174">
        <f t="shared" si="7"/>
        <v>195</v>
      </c>
      <c r="AI18" s="174">
        <f t="shared" si="7"/>
        <v>199</v>
      </c>
      <c r="AJ18" s="174">
        <f t="shared" si="7"/>
        <v>166</v>
      </c>
      <c r="AK18" s="174">
        <f t="shared" si="7"/>
        <v>180</v>
      </c>
      <c r="AL18" s="174">
        <f t="shared" si="7"/>
        <v>206</v>
      </c>
      <c r="AM18" s="174">
        <f t="shared" si="7"/>
        <v>211</v>
      </c>
      <c r="AN18" s="174">
        <f t="shared" si="7"/>
        <v>215</v>
      </c>
      <c r="AO18" s="174">
        <f t="shared" si="7"/>
        <v>175</v>
      </c>
      <c r="AP18" s="174">
        <f t="shared" si="7"/>
        <v>201</v>
      </c>
      <c r="AQ18" s="174">
        <f t="shared" si="7"/>
        <v>177</v>
      </c>
      <c r="AR18" s="174">
        <f t="shared" si="7"/>
        <v>218</v>
      </c>
      <c r="AS18" s="174">
        <f t="shared" si="7"/>
        <v>0</v>
      </c>
      <c r="AT18" s="174">
        <f t="shared" si="7"/>
        <v>0</v>
      </c>
      <c r="AU18" s="174">
        <f t="shared" si="7"/>
        <v>0</v>
      </c>
      <c r="AV18" s="174">
        <f t="shared" si="7"/>
        <v>0</v>
      </c>
      <c r="AW18" s="174">
        <f t="shared" si="7"/>
        <v>0</v>
      </c>
      <c r="AX18" s="174">
        <f t="shared" si="7"/>
        <v>0</v>
      </c>
      <c r="AY18" s="174">
        <f t="shared" si="7"/>
        <v>0</v>
      </c>
      <c r="AZ18" s="174">
        <f t="shared" si="7"/>
        <v>0</v>
      </c>
    </row>
    <row r="19" spans="2:52" s="154" customFormat="1" ht="15" customHeight="1" outlineLevel="3" x14ac:dyDescent="0.45">
      <c r="B19" s="175" t="s">
        <v>3839</v>
      </c>
      <c r="C19" s="176" t="s">
        <v>3838</v>
      </c>
      <c r="D19" s="177" t="s">
        <v>3840</v>
      </c>
      <c r="E19" s="178">
        <v>36</v>
      </c>
      <c r="F19" s="178">
        <v>31</v>
      </c>
      <c r="G19" s="178">
        <v>24</v>
      </c>
      <c r="H19" s="178">
        <v>17</v>
      </c>
      <c r="I19" s="178">
        <v>21</v>
      </c>
      <c r="J19" s="178">
        <v>37</v>
      </c>
      <c r="K19" s="178">
        <v>38</v>
      </c>
      <c r="L19" s="178">
        <v>36</v>
      </c>
      <c r="M19" s="178">
        <v>38</v>
      </c>
      <c r="N19" s="178">
        <v>33</v>
      </c>
      <c r="O19" s="178">
        <v>46</v>
      </c>
      <c r="P19" s="178">
        <v>30</v>
      </c>
      <c r="Q19" s="179">
        <v>46</v>
      </c>
      <c r="R19" s="179">
        <v>44</v>
      </c>
      <c r="S19" s="179">
        <v>37</v>
      </c>
      <c r="T19" s="179">
        <v>49</v>
      </c>
      <c r="U19" s="179">
        <v>62</v>
      </c>
      <c r="V19" s="179">
        <v>47</v>
      </c>
      <c r="W19" s="179">
        <v>60</v>
      </c>
      <c r="X19" s="179">
        <v>57</v>
      </c>
      <c r="Y19" s="179">
        <v>72</v>
      </c>
      <c r="Z19" s="179">
        <v>75</v>
      </c>
      <c r="AA19" s="179">
        <v>38</v>
      </c>
      <c r="AB19" s="179">
        <v>13</v>
      </c>
      <c r="AC19" s="180">
        <v>29</v>
      </c>
      <c r="AD19" s="180">
        <v>44</v>
      </c>
      <c r="AE19" s="180">
        <v>29</v>
      </c>
      <c r="AF19" s="180">
        <v>50</v>
      </c>
      <c r="AG19" s="180">
        <v>66</v>
      </c>
      <c r="AH19" s="180">
        <v>98</v>
      </c>
      <c r="AI19" s="180">
        <v>70</v>
      </c>
      <c r="AJ19" s="180">
        <v>57</v>
      </c>
      <c r="AK19" s="180">
        <f>50+15</f>
        <v>65</v>
      </c>
      <c r="AL19" s="180">
        <v>113</v>
      </c>
      <c r="AM19" s="180">
        <v>98</v>
      </c>
      <c r="AN19" s="180">
        <v>105</v>
      </c>
      <c r="AO19" s="180">
        <v>75</v>
      </c>
      <c r="AP19" s="180">
        <v>74</v>
      </c>
      <c r="AQ19" s="180">
        <v>59</v>
      </c>
      <c r="AR19" s="180">
        <v>69</v>
      </c>
      <c r="AS19" s="180"/>
      <c r="AT19" s="180"/>
      <c r="AU19" s="180"/>
      <c r="AV19" s="180"/>
      <c r="AW19" s="180"/>
      <c r="AX19" s="180"/>
      <c r="AY19" s="180"/>
      <c r="AZ19" s="180"/>
    </row>
    <row r="20" spans="2:52" s="154" customFormat="1" ht="15" customHeight="1" outlineLevel="3" x14ac:dyDescent="0.45">
      <c r="B20" s="154" t="s">
        <v>3841</v>
      </c>
      <c r="C20" s="181" t="s">
        <v>3838</v>
      </c>
      <c r="D20" s="169" t="s">
        <v>3840</v>
      </c>
      <c r="E20" s="178">
        <v>0</v>
      </c>
      <c r="F20" s="178">
        <v>0</v>
      </c>
      <c r="G20" s="178">
        <v>6</v>
      </c>
      <c r="H20" s="178">
        <v>7</v>
      </c>
      <c r="I20" s="178">
        <v>3</v>
      </c>
      <c r="J20" s="178">
        <v>5</v>
      </c>
      <c r="K20" s="178">
        <v>3</v>
      </c>
      <c r="L20" s="178">
        <v>8</v>
      </c>
      <c r="M20" s="178">
        <v>17</v>
      </c>
      <c r="N20" s="178">
        <v>14</v>
      </c>
      <c r="O20" s="178">
        <v>8</v>
      </c>
      <c r="P20" s="178">
        <v>5</v>
      </c>
      <c r="Q20" s="179">
        <v>2</v>
      </c>
      <c r="R20" s="179">
        <v>10</v>
      </c>
      <c r="S20" s="179">
        <v>4</v>
      </c>
      <c r="T20" s="179">
        <v>5</v>
      </c>
      <c r="U20" s="179">
        <v>4</v>
      </c>
      <c r="V20" s="179">
        <v>3</v>
      </c>
      <c r="W20" s="179">
        <v>8</v>
      </c>
      <c r="X20" s="179">
        <v>10</v>
      </c>
      <c r="Y20" s="179">
        <v>3</v>
      </c>
      <c r="Z20" s="179">
        <v>1</v>
      </c>
      <c r="AA20" s="179">
        <v>0</v>
      </c>
      <c r="AB20" s="179">
        <v>0</v>
      </c>
      <c r="AC20" s="180">
        <v>0</v>
      </c>
      <c r="AD20" s="180">
        <v>0</v>
      </c>
      <c r="AE20" s="180">
        <v>0</v>
      </c>
      <c r="AF20" s="180">
        <v>0</v>
      </c>
      <c r="AG20" s="180">
        <v>0</v>
      </c>
      <c r="AH20" s="180">
        <v>0</v>
      </c>
      <c r="AI20" s="180">
        <v>0</v>
      </c>
      <c r="AJ20" s="180">
        <v>0</v>
      </c>
      <c r="AK20" s="180">
        <v>0</v>
      </c>
      <c r="AL20" s="180">
        <v>0</v>
      </c>
      <c r="AM20" s="180">
        <v>0</v>
      </c>
      <c r="AN20" s="180">
        <v>0</v>
      </c>
      <c r="AO20" s="180">
        <v>0</v>
      </c>
      <c r="AP20" s="180">
        <v>0</v>
      </c>
      <c r="AQ20" s="180">
        <v>0</v>
      </c>
      <c r="AR20" s="180">
        <v>0</v>
      </c>
      <c r="AS20" s="180"/>
      <c r="AT20" s="180"/>
      <c r="AU20" s="180"/>
      <c r="AV20" s="180"/>
      <c r="AW20" s="180"/>
      <c r="AX20" s="180"/>
      <c r="AY20" s="180"/>
      <c r="AZ20" s="180"/>
    </row>
    <row r="21" spans="2:52" s="154" customFormat="1" ht="15" customHeight="1" outlineLevel="3" x14ac:dyDescent="0.45">
      <c r="B21" s="182" t="s">
        <v>3842</v>
      </c>
      <c r="C21" s="183" t="s">
        <v>3838</v>
      </c>
      <c r="D21" s="184" t="s">
        <v>3840</v>
      </c>
      <c r="E21" s="185">
        <v>0</v>
      </c>
      <c r="F21" s="185">
        <v>0</v>
      </c>
      <c r="G21" s="185">
        <v>0</v>
      </c>
      <c r="H21" s="185">
        <v>3</v>
      </c>
      <c r="I21" s="185">
        <v>4</v>
      </c>
      <c r="J21" s="185">
        <v>2</v>
      </c>
      <c r="K21" s="185">
        <v>2</v>
      </c>
      <c r="L21" s="185">
        <v>6</v>
      </c>
      <c r="M21" s="185">
        <v>0</v>
      </c>
      <c r="N21" s="185">
        <v>4</v>
      </c>
      <c r="O21" s="185">
        <v>4</v>
      </c>
      <c r="P21" s="185">
        <v>1</v>
      </c>
      <c r="Q21" s="186">
        <v>15</v>
      </c>
      <c r="R21" s="186">
        <v>14</v>
      </c>
      <c r="S21" s="186">
        <v>19</v>
      </c>
      <c r="T21" s="186">
        <v>19</v>
      </c>
      <c r="U21" s="187">
        <v>28</v>
      </c>
      <c r="V21" s="186">
        <v>53</v>
      </c>
      <c r="W21" s="186">
        <v>51</v>
      </c>
      <c r="X21" s="186">
        <v>47</v>
      </c>
      <c r="Y21" s="186">
        <v>37</v>
      </c>
      <c r="Z21" s="186">
        <v>44</v>
      </c>
      <c r="AA21" s="186">
        <v>57</v>
      </c>
      <c r="AB21" s="186">
        <v>92</v>
      </c>
      <c r="AC21" s="188">
        <v>68</v>
      </c>
      <c r="AD21" s="188">
        <v>55</v>
      </c>
      <c r="AE21" s="188">
        <v>107</v>
      </c>
      <c r="AF21" s="188">
        <v>111</v>
      </c>
      <c r="AG21" s="188">
        <v>91</v>
      </c>
      <c r="AH21" s="188">
        <v>97</v>
      </c>
      <c r="AI21" s="188">
        <v>129</v>
      </c>
      <c r="AJ21" s="188">
        <f>93+16</f>
        <v>109</v>
      </c>
      <c r="AK21" s="188">
        <f>122-16+9</f>
        <v>115</v>
      </c>
      <c r="AL21" s="188">
        <v>93</v>
      </c>
      <c r="AM21" s="188">
        <v>113</v>
      </c>
      <c r="AN21" s="188">
        <v>110</v>
      </c>
      <c r="AO21" s="188">
        <v>100</v>
      </c>
      <c r="AP21" s="188">
        <v>127</v>
      </c>
      <c r="AQ21" s="188">
        <v>118</v>
      </c>
      <c r="AR21" s="188">
        <v>149</v>
      </c>
      <c r="AS21" s="188"/>
      <c r="AT21" s="188"/>
      <c r="AU21" s="188"/>
      <c r="AV21" s="188"/>
      <c r="AW21" s="188"/>
      <c r="AX21" s="188"/>
      <c r="AY21" s="188"/>
      <c r="AZ21" s="188"/>
    </row>
    <row r="22" spans="2:52" s="154" customFormat="1" ht="15" customHeight="1" outlineLevel="2" x14ac:dyDescent="0.45">
      <c r="B22" s="182"/>
      <c r="C22" s="182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</row>
    <row r="23" spans="2:52" s="154" customFormat="1" ht="15" customHeight="1" outlineLevel="2" x14ac:dyDescent="0.45">
      <c r="B23" s="171" t="s">
        <v>3837</v>
      </c>
      <c r="C23" s="172" t="s">
        <v>3843</v>
      </c>
      <c r="D23" s="173"/>
      <c r="E23" s="190">
        <f t="shared" ref="E23:AZ23" si="8">+SUM(E24:E26)</f>
        <v>1</v>
      </c>
      <c r="F23" s="190">
        <f t="shared" si="8"/>
        <v>1</v>
      </c>
      <c r="G23" s="190">
        <f t="shared" si="8"/>
        <v>1</v>
      </c>
      <c r="H23" s="190">
        <f t="shared" si="8"/>
        <v>1</v>
      </c>
      <c r="I23" s="190">
        <f t="shared" si="8"/>
        <v>1</v>
      </c>
      <c r="J23" s="190">
        <f t="shared" si="8"/>
        <v>1</v>
      </c>
      <c r="K23" s="190">
        <f t="shared" si="8"/>
        <v>1</v>
      </c>
      <c r="L23" s="190">
        <f t="shared" si="8"/>
        <v>1</v>
      </c>
      <c r="M23" s="190">
        <f t="shared" si="8"/>
        <v>1</v>
      </c>
      <c r="N23" s="190">
        <f t="shared" si="8"/>
        <v>1</v>
      </c>
      <c r="O23" s="190">
        <f t="shared" si="8"/>
        <v>1</v>
      </c>
      <c r="P23" s="190">
        <f t="shared" si="8"/>
        <v>1</v>
      </c>
      <c r="Q23" s="190">
        <f t="shared" si="8"/>
        <v>1</v>
      </c>
      <c r="R23" s="190">
        <f t="shared" si="8"/>
        <v>1</v>
      </c>
      <c r="S23" s="190">
        <f t="shared" si="8"/>
        <v>1</v>
      </c>
      <c r="T23" s="190">
        <f t="shared" si="8"/>
        <v>1</v>
      </c>
      <c r="U23" s="190">
        <f t="shared" si="8"/>
        <v>0.99999999999999989</v>
      </c>
      <c r="V23" s="190">
        <f t="shared" si="8"/>
        <v>1</v>
      </c>
      <c r="W23" s="190">
        <f t="shared" si="8"/>
        <v>1</v>
      </c>
      <c r="X23" s="190">
        <f t="shared" si="8"/>
        <v>1</v>
      </c>
      <c r="Y23" s="190">
        <f t="shared" si="8"/>
        <v>1</v>
      </c>
      <c r="Z23" s="190">
        <f t="shared" si="8"/>
        <v>1</v>
      </c>
      <c r="AA23" s="190">
        <f t="shared" si="8"/>
        <v>1</v>
      </c>
      <c r="AB23" s="190">
        <f t="shared" si="8"/>
        <v>1</v>
      </c>
      <c r="AC23" s="190">
        <f t="shared" si="8"/>
        <v>1</v>
      </c>
      <c r="AD23" s="190">
        <f t="shared" si="8"/>
        <v>1</v>
      </c>
      <c r="AE23" s="190">
        <f t="shared" si="8"/>
        <v>1</v>
      </c>
      <c r="AF23" s="190">
        <f t="shared" si="8"/>
        <v>1</v>
      </c>
      <c r="AG23" s="190">
        <f t="shared" si="8"/>
        <v>1</v>
      </c>
      <c r="AH23" s="190">
        <f t="shared" si="8"/>
        <v>1</v>
      </c>
      <c r="AI23" s="190">
        <f t="shared" si="8"/>
        <v>1</v>
      </c>
      <c r="AJ23" s="190">
        <f t="shared" si="8"/>
        <v>1</v>
      </c>
      <c r="AK23" s="190">
        <f t="shared" si="8"/>
        <v>1</v>
      </c>
      <c r="AL23" s="190">
        <f t="shared" si="8"/>
        <v>1</v>
      </c>
      <c r="AM23" s="190">
        <f t="shared" si="8"/>
        <v>1</v>
      </c>
      <c r="AN23" s="190">
        <f t="shared" si="8"/>
        <v>1</v>
      </c>
      <c r="AO23" s="190">
        <f t="shared" si="8"/>
        <v>1</v>
      </c>
      <c r="AP23" s="190">
        <f t="shared" si="8"/>
        <v>1</v>
      </c>
      <c r="AQ23" s="190">
        <f t="shared" si="8"/>
        <v>1</v>
      </c>
      <c r="AR23" s="190">
        <f t="shared" si="8"/>
        <v>1</v>
      </c>
      <c r="AS23" s="190">
        <f t="shared" si="8"/>
        <v>0</v>
      </c>
      <c r="AT23" s="190">
        <f t="shared" si="8"/>
        <v>0</v>
      </c>
      <c r="AU23" s="190">
        <f t="shared" si="8"/>
        <v>0</v>
      </c>
      <c r="AV23" s="190">
        <f t="shared" si="8"/>
        <v>0</v>
      </c>
      <c r="AW23" s="190">
        <f t="shared" si="8"/>
        <v>0</v>
      </c>
      <c r="AX23" s="190">
        <f t="shared" si="8"/>
        <v>0</v>
      </c>
      <c r="AY23" s="190">
        <f t="shared" si="8"/>
        <v>0</v>
      </c>
      <c r="AZ23" s="190">
        <f t="shared" si="8"/>
        <v>0</v>
      </c>
    </row>
    <row r="24" spans="2:52" s="154" customFormat="1" ht="15" customHeight="1" outlineLevel="3" x14ac:dyDescent="0.45">
      <c r="B24" s="175" t="s">
        <v>3839</v>
      </c>
      <c r="C24" s="176" t="s">
        <v>3843</v>
      </c>
      <c r="D24" s="175"/>
      <c r="E24" s="191">
        <f t="shared" ref="E24:AZ24" si="9">+IFERROR(E19/E$18,"0")</f>
        <v>1</v>
      </c>
      <c r="F24" s="191">
        <f t="shared" si="9"/>
        <v>1</v>
      </c>
      <c r="G24" s="191">
        <f t="shared" si="9"/>
        <v>0.8</v>
      </c>
      <c r="H24" s="191">
        <f t="shared" si="9"/>
        <v>0.62962962962962965</v>
      </c>
      <c r="I24" s="191">
        <f t="shared" si="9"/>
        <v>0.75</v>
      </c>
      <c r="J24" s="191">
        <f t="shared" si="9"/>
        <v>0.84090909090909094</v>
      </c>
      <c r="K24" s="191">
        <f t="shared" si="9"/>
        <v>0.88372093023255816</v>
      </c>
      <c r="L24" s="191">
        <f t="shared" si="9"/>
        <v>0.72</v>
      </c>
      <c r="M24" s="191">
        <f t="shared" si="9"/>
        <v>0.69090909090909092</v>
      </c>
      <c r="N24" s="191">
        <f t="shared" si="9"/>
        <v>0.6470588235294118</v>
      </c>
      <c r="O24" s="191">
        <f t="shared" si="9"/>
        <v>0.7931034482758621</v>
      </c>
      <c r="P24" s="191">
        <f t="shared" si="9"/>
        <v>0.83333333333333337</v>
      </c>
      <c r="Q24" s="191">
        <f t="shared" si="9"/>
        <v>0.73015873015873012</v>
      </c>
      <c r="R24" s="191">
        <f t="shared" si="9"/>
        <v>0.6470588235294118</v>
      </c>
      <c r="S24" s="191">
        <f t="shared" si="9"/>
        <v>0.6166666666666667</v>
      </c>
      <c r="T24" s="191">
        <f t="shared" si="9"/>
        <v>0.67123287671232879</v>
      </c>
      <c r="U24" s="191">
        <f t="shared" si="9"/>
        <v>0.65957446808510634</v>
      </c>
      <c r="V24" s="191">
        <f t="shared" si="9"/>
        <v>0.4563106796116505</v>
      </c>
      <c r="W24" s="191">
        <f t="shared" si="9"/>
        <v>0.50420168067226889</v>
      </c>
      <c r="X24" s="191">
        <f t="shared" si="9"/>
        <v>0.5</v>
      </c>
      <c r="Y24" s="191">
        <f t="shared" si="9"/>
        <v>0.6428571428571429</v>
      </c>
      <c r="Z24" s="191">
        <f t="shared" si="9"/>
        <v>0.625</v>
      </c>
      <c r="AA24" s="191">
        <f t="shared" si="9"/>
        <v>0.4</v>
      </c>
      <c r="AB24" s="191">
        <f t="shared" si="9"/>
        <v>0.12380952380952381</v>
      </c>
      <c r="AC24" s="192">
        <f t="shared" si="9"/>
        <v>0.29896907216494845</v>
      </c>
      <c r="AD24" s="192">
        <f t="shared" si="9"/>
        <v>0.44444444444444442</v>
      </c>
      <c r="AE24" s="192">
        <f t="shared" si="9"/>
        <v>0.21323529411764705</v>
      </c>
      <c r="AF24" s="192">
        <f t="shared" si="9"/>
        <v>0.3105590062111801</v>
      </c>
      <c r="AG24" s="192">
        <f t="shared" si="9"/>
        <v>0.42038216560509556</v>
      </c>
      <c r="AH24" s="192">
        <f t="shared" si="9"/>
        <v>0.50256410256410255</v>
      </c>
      <c r="AI24" s="192">
        <f t="shared" si="9"/>
        <v>0.35175879396984927</v>
      </c>
      <c r="AJ24" s="192">
        <f t="shared" si="9"/>
        <v>0.34337349397590361</v>
      </c>
      <c r="AK24" s="192">
        <f t="shared" si="9"/>
        <v>0.3611111111111111</v>
      </c>
      <c r="AL24" s="192">
        <f t="shared" si="9"/>
        <v>0.54854368932038833</v>
      </c>
      <c r="AM24" s="192">
        <f t="shared" si="9"/>
        <v>0.46445497630331756</v>
      </c>
      <c r="AN24" s="192">
        <f t="shared" si="9"/>
        <v>0.48837209302325579</v>
      </c>
      <c r="AO24" s="192">
        <f t="shared" si="9"/>
        <v>0.42857142857142855</v>
      </c>
      <c r="AP24" s="192">
        <f t="shared" si="9"/>
        <v>0.36815920398009949</v>
      </c>
      <c r="AQ24" s="192">
        <f t="shared" si="9"/>
        <v>0.33333333333333331</v>
      </c>
      <c r="AR24" s="192">
        <f t="shared" si="9"/>
        <v>0.3165137614678899</v>
      </c>
      <c r="AS24" s="192" t="str">
        <f t="shared" si="9"/>
        <v>0</v>
      </c>
      <c r="AT24" s="192" t="str">
        <f t="shared" si="9"/>
        <v>0</v>
      </c>
      <c r="AU24" s="192" t="str">
        <f t="shared" si="9"/>
        <v>0</v>
      </c>
      <c r="AV24" s="192" t="str">
        <f t="shared" si="9"/>
        <v>0</v>
      </c>
      <c r="AW24" s="192" t="str">
        <f t="shared" si="9"/>
        <v>0</v>
      </c>
      <c r="AX24" s="192" t="str">
        <f t="shared" si="9"/>
        <v>0</v>
      </c>
      <c r="AY24" s="192" t="str">
        <f t="shared" si="9"/>
        <v>0</v>
      </c>
      <c r="AZ24" s="192" t="str">
        <f t="shared" si="9"/>
        <v>0</v>
      </c>
    </row>
    <row r="25" spans="2:52" s="154" customFormat="1" ht="15" customHeight="1" outlineLevel="3" x14ac:dyDescent="0.45">
      <c r="B25" s="154" t="s">
        <v>3841</v>
      </c>
      <c r="C25" s="181" t="s">
        <v>3843</v>
      </c>
      <c r="E25" s="193">
        <f t="shared" ref="E25:AZ25" si="10">+IFERROR(E20/E$18,"0")</f>
        <v>0</v>
      </c>
      <c r="F25" s="193">
        <f t="shared" si="10"/>
        <v>0</v>
      </c>
      <c r="G25" s="193">
        <f t="shared" si="10"/>
        <v>0.2</v>
      </c>
      <c r="H25" s="193">
        <f t="shared" si="10"/>
        <v>0.25925925925925924</v>
      </c>
      <c r="I25" s="193">
        <f t="shared" si="10"/>
        <v>0.10714285714285714</v>
      </c>
      <c r="J25" s="193">
        <f t="shared" si="10"/>
        <v>0.11363636363636363</v>
      </c>
      <c r="K25" s="193">
        <f t="shared" si="10"/>
        <v>6.9767441860465115E-2</v>
      </c>
      <c r="L25" s="193">
        <f t="shared" si="10"/>
        <v>0.16</v>
      </c>
      <c r="M25" s="193">
        <f t="shared" si="10"/>
        <v>0.30909090909090908</v>
      </c>
      <c r="N25" s="193">
        <f t="shared" si="10"/>
        <v>0.27450980392156865</v>
      </c>
      <c r="O25" s="193">
        <f t="shared" si="10"/>
        <v>0.13793103448275862</v>
      </c>
      <c r="P25" s="193">
        <f t="shared" si="10"/>
        <v>0.1388888888888889</v>
      </c>
      <c r="Q25" s="193">
        <f t="shared" si="10"/>
        <v>3.1746031746031744E-2</v>
      </c>
      <c r="R25" s="193">
        <f t="shared" si="10"/>
        <v>0.14705882352941177</v>
      </c>
      <c r="S25" s="193">
        <f t="shared" si="10"/>
        <v>6.6666666666666666E-2</v>
      </c>
      <c r="T25" s="193">
        <f t="shared" si="10"/>
        <v>6.8493150684931503E-2</v>
      </c>
      <c r="U25" s="193">
        <f t="shared" si="10"/>
        <v>4.2553191489361701E-2</v>
      </c>
      <c r="V25" s="193">
        <f t="shared" si="10"/>
        <v>2.9126213592233011E-2</v>
      </c>
      <c r="W25" s="193">
        <f t="shared" si="10"/>
        <v>6.7226890756302518E-2</v>
      </c>
      <c r="X25" s="193">
        <f t="shared" si="10"/>
        <v>8.771929824561403E-2</v>
      </c>
      <c r="Y25" s="193">
        <f t="shared" si="10"/>
        <v>2.6785714285714284E-2</v>
      </c>
      <c r="Z25" s="193">
        <f t="shared" si="10"/>
        <v>8.3333333333333332E-3</v>
      </c>
      <c r="AA25" s="193">
        <f t="shared" si="10"/>
        <v>0</v>
      </c>
      <c r="AB25" s="193">
        <f t="shared" si="10"/>
        <v>0</v>
      </c>
      <c r="AC25" s="194">
        <f t="shared" si="10"/>
        <v>0</v>
      </c>
      <c r="AD25" s="194">
        <f t="shared" si="10"/>
        <v>0</v>
      </c>
      <c r="AE25" s="194">
        <f t="shared" si="10"/>
        <v>0</v>
      </c>
      <c r="AF25" s="194">
        <f t="shared" si="10"/>
        <v>0</v>
      </c>
      <c r="AG25" s="194">
        <f t="shared" si="10"/>
        <v>0</v>
      </c>
      <c r="AH25" s="194">
        <f t="shared" si="10"/>
        <v>0</v>
      </c>
      <c r="AI25" s="194">
        <f t="shared" si="10"/>
        <v>0</v>
      </c>
      <c r="AJ25" s="194">
        <f t="shared" si="10"/>
        <v>0</v>
      </c>
      <c r="AK25" s="194">
        <f t="shared" si="10"/>
        <v>0</v>
      </c>
      <c r="AL25" s="194">
        <f t="shared" si="10"/>
        <v>0</v>
      </c>
      <c r="AM25" s="194">
        <f t="shared" si="10"/>
        <v>0</v>
      </c>
      <c r="AN25" s="194">
        <f t="shared" si="10"/>
        <v>0</v>
      </c>
      <c r="AO25" s="194">
        <f t="shared" si="10"/>
        <v>0</v>
      </c>
      <c r="AP25" s="194">
        <f t="shared" si="10"/>
        <v>0</v>
      </c>
      <c r="AQ25" s="194">
        <f t="shared" si="10"/>
        <v>0</v>
      </c>
      <c r="AR25" s="194">
        <f t="shared" si="10"/>
        <v>0</v>
      </c>
      <c r="AS25" s="194" t="str">
        <f t="shared" si="10"/>
        <v>0</v>
      </c>
      <c r="AT25" s="194" t="str">
        <f t="shared" si="10"/>
        <v>0</v>
      </c>
      <c r="AU25" s="194" t="str">
        <f t="shared" si="10"/>
        <v>0</v>
      </c>
      <c r="AV25" s="194" t="str">
        <f t="shared" si="10"/>
        <v>0</v>
      </c>
      <c r="AW25" s="194" t="str">
        <f t="shared" si="10"/>
        <v>0</v>
      </c>
      <c r="AX25" s="194" t="str">
        <f t="shared" si="10"/>
        <v>0</v>
      </c>
      <c r="AY25" s="194" t="str">
        <f t="shared" si="10"/>
        <v>0</v>
      </c>
      <c r="AZ25" s="194" t="str">
        <f t="shared" si="10"/>
        <v>0</v>
      </c>
    </row>
    <row r="26" spans="2:52" s="154" customFormat="1" ht="15" customHeight="1" outlineLevel="3" x14ac:dyDescent="0.45">
      <c r="B26" s="182" t="s">
        <v>3842</v>
      </c>
      <c r="C26" s="183" t="s">
        <v>3843</v>
      </c>
      <c r="D26" s="182"/>
      <c r="E26" s="195">
        <f t="shared" ref="E26:AZ26" si="11">+IFERROR(E21/E$18,"0")</f>
        <v>0</v>
      </c>
      <c r="F26" s="195">
        <f t="shared" si="11"/>
        <v>0</v>
      </c>
      <c r="G26" s="195">
        <f t="shared" si="11"/>
        <v>0</v>
      </c>
      <c r="H26" s="195">
        <f t="shared" si="11"/>
        <v>0.1111111111111111</v>
      </c>
      <c r="I26" s="195">
        <f t="shared" si="11"/>
        <v>0.14285714285714285</v>
      </c>
      <c r="J26" s="195">
        <f t="shared" si="11"/>
        <v>4.5454545454545456E-2</v>
      </c>
      <c r="K26" s="195">
        <f t="shared" si="11"/>
        <v>4.6511627906976744E-2</v>
      </c>
      <c r="L26" s="195">
        <f t="shared" si="11"/>
        <v>0.12</v>
      </c>
      <c r="M26" s="195">
        <f t="shared" si="11"/>
        <v>0</v>
      </c>
      <c r="N26" s="195">
        <f t="shared" si="11"/>
        <v>7.8431372549019607E-2</v>
      </c>
      <c r="O26" s="195">
        <f t="shared" si="11"/>
        <v>6.8965517241379309E-2</v>
      </c>
      <c r="P26" s="195">
        <f t="shared" si="11"/>
        <v>2.7777777777777776E-2</v>
      </c>
      <c r="Q26" s="195">
        <f t="shared" si="11"/>
        <v>0.23809523809523808</v>
      </c>
      <c r="R26" s="195">
        <f t="shared" si="11"/>
        <v>0.20588235294117646</v>
      </c>
      <c r="S26" s="195">
        <f t="shared" si="11"/>
        <v>0.31666666666666665</v>
      </c>
      <c r="T26" s="195">
        <f t="shared" si="11"/>
        <v>0.26027397260273971</v>
      </c>
      <c r="U26" s="195">
        <f t="shared" si="11"/>
        <v>0.2978723404255319</v>
      </c>
      <c r="V26" s="195">
        <f t="shared" si="11"/>
        <v>0.5145631067961165</v>
      </c>
      <c r="W26" s="195">
        <f t="shared" si="11"/>
        <v>0.42857142857142855</v>
      </c>
      <c r="X26" s="195">
        <f t="shared" si="11"/>
        <v>0.41228070175438597</v>
      </c>
      <c r="Y26" s="195">
        <f t="shared" si="11"/>
        <v>0.33035714285714285</v>
      </c>
      <c r="Z26" s="195">
        <f t="shared" si="11"/>
        <v>0.36666666666666664</v>
      </c>
      <c r="AA26" s="195">
        <f t="shared" si="11"/>
        <v>0.6</v>
      </c>
      <c r="AB26" s="195">
        <f t="shared" si="11"/>
        <v>0.87619047619047619</v>
      </c>
      <c r="AC26" s="196">
        <f t="shared" si="11"/>
        <v>0.7010309278350515</v>
      </c>
      <c r="AD26" s="196">
        <f t="shared" si="11"/>
        <v>0.55555555555555558</v>
      </c>
      <c r="AE26" s="196">
        <f t="shared" si="11"/>
        <v>0.78676470588235292</v>
      </c>
      <c r="AF26" s="196">
        <f t="shared" si="11"/>
        <v>0.68944099378881984</v>
      </c>
      <c r="AG26" s="196">
        <f t="shared" si="11"/>
        <v>0.57961783439490444</v>
      </c>
      <c r="AH26" s="196">
        <f t="shared" si="11"/>
        <v>0.49743589743589745</v>
      </c>
      <c r="AI26" s="196">
        <f t="shared" si="11"/>
        <v>0.64824120603015079</v>
      </c>
      <c r="AJ26" s="196">
        <f t="shared" si="11"/>
        <v>0.65662650602409633</v>
      </c>
      <c r="AK26" s="196">
        <f t="shared" si="11"/>
        <v>0.63888888888888884</v>
      </c>
      <c r="AL26" s="196">
        <f t="shared" si="11"/>
        <v>0.45145631067961167</v>
      </c>
      <c r="AM26" s="196">
        <f t="shared" si="11"/>
        <v>0.53554502369668244</v>
      </c>
      <c r="AN26" s="196">
        <f t="shared" si="11"/>
        <v>0.51162790697674421</v>
      </c>
      <c r="AO26" s="196">
        <f t="shared" si="11"/>
        <v>0.5714285714285714</v>
      </c>
      <c r="AP26" s="196">
        <f t="shared" si="11"/>
        <v>0.63184079601990051</v>
      </c>
      <c r="AQ26" s="196">
        <f t="shared" si="11"/>
        <v>0.66666666666666663</v>
      </c>
      <c r="AR26" s="196">
        <f t="shared" si="11"/>
        <v>0.6834862385321101</v>
      </c>
      <c r="AS26" s="196" t="str">
        <f t="shared" si="11"/>
        <v>0</v>
      </c>
      <c r="AT26" s="196" t="str">
        <f t="shared" si="11"/>
        <v>0</v>
      </c>
      <c r="AU26" s="196" t="str">
        <f t="shared" si="11"/>
        <v>0</v>
      </c>
      <c r="AV26" s="196" t="str">
        <f t="shared" si="11"/>
        <v>0</v>
      </c>
      <c r="AW26" s="196" t="str">
        <f t="shared" si="11"/>
        <v>0</v>
      </c>
      <c r="AX26" s="196" t="str">
        <f t="shared" si="11"/>
        <v>0</v>
      </c>
      <c r="AY26" s="196" t="str">
        <f t="shared" si="11"/>
        <v>0</v>
      </c>
      <c r="AZ26" s="196" t="str">
        <f t="shared" si="11"/>
        <v>0</v>
      </c>
    </row>
    <row r="27" spans="2:52" s="154" customFormat="1" ht="15" customHeight="1" outlineLevel="2" x14ac:dyDescent="0.45"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</row>
    <row r="28" spans="2:52" s="154" customFormat="1" ht="15" customHeight="1" outlineLevel="2" x14ac:dyDescent="0.45">
      <c r="B28" s="171" t="s">
        <v>3844</v>
      </c>
      <c r="C28" s="172" t="s">
        <v>3838</v>
      </c>
      <c r="D28" s="173"/>
      <c r="E28" s="197">
        <f t="shared" ref="E28:AB28" si="12">+SUM(E29:E30)</f>
        <v>36</v>
      </c>
      <c r="F28" s="197">
        <f t="shared" si="12"/>
        <v>31</v>
      </c>
      <c r="G28" s="197">
        <f t="shared" si="12"/>
        <v>30</v>
      </c>
      <c r="H28" s="197">
        <f t="shared" si="12"/>
        <v>27</v>
      </c>
      <c r="I28" s="197">
        <f t="shared" si="12"/>
        <v>28</v>
      </c>
      <c r="J28" s="197">
        <f t="shared" si="12"/>
        <v>44</v>
      </c>
      <c r="K28" s="197">
        <f t="shared" si="12"/>
        <v>43</v>
      </c>
      <c r="L28" s="197">
        <f t="shared" si="12"/>
        <v>50</v>
      </c>
      <c r="M28" s="197">
        <f t="shared" si="12"/>
        <v>55</v>
      </c>
      <c r="N28" s="197">
        <f t="shared" si="12"/>
        <v>51</v>
      </c>
      <c r="O28" s="197">
        <f t="shared" si="12"/>
        <v>58</v>
      </c>
      <c r="P28" s="197">
        <f t="shared" si="12"/>
        <v>36</v>
      </c>
      <c r="Q28" s="198">
        <f t="shared" si="12"/>
        <v>63</v>
      </c>
      <c r="R28" s="198">
        <f t="shared" si="12"/>
        <v>68</v>
      </c>
      <c r="S28" s="198">
        <f t="shared" si="12"/>
        <v>59</v>
      </c>
      <c r="T28" s="198">
        <f t="shared" si="12"/>
        <v>72</v>
      </c>
      <c r="U28" s="198">
        <f t="shared" si="12"/>
        <v>93</v>
      </c>
      <c r="V28" s="198">
        <f t="shared" si="12"/>
        <v>103</v>
      </c>
      <c r="W28" s="198">
        <f t="shared" si="12"/>
        <v>117</v>
      </c>
      <c r="X28" s="198">
        <f t="shared" si="12"/>
        <v>98</v>
      </c>
      <c r="Y28" s="198">
        <f t="shared" si="12"/>
        <v>93</v>
      </c>
      <c r="Z28" s="198">
        <f t="shared" si="12"/>
        <v>100</v>
      </c>
      <c r="AA28" s="198">
        <f t="shared" si="12"/>
        <v>78</v>
      </c>
      <c r="AB28" s="198">
        <f t="shared" si="12"/>
        <v>105</v>
      </c>
      <c r="AC28" s="198">
        <f t="shared" ref="AC28:AZ28" si="13">+SUM(AC29:AC31)</f>
        <v>97</v>
      </c>
      <c r="AD28" s="198">
        <f t="shared" si="13"/>
        <v>99</v>
      </c>
      <c r="AE28" s="198">
        <f t="shared" si="13"/>
        <v>136</v>
      </c>
      <c r="AF28" s="198">
        <f t="shared" si="13"/>
        <v>161</v>
      </c>
      <c r="AG28" s="198">
        <f t="shared" si="13"/>
        <v>157</v>
      </c>
      <c r="AH28" s="198">
        <f t="shared" si="13"/>
        <v>195</v>
      </c>
      <c r="AI28" s="198">
        <f t="shared" si="13"/>
        <v>199</v>
      </c>
      <c r="AJ28" s="198">
        <f t="shared" si="13"/>
        <v>166</v>
      </c>
      <c r="AK28" s="198">
        <f t="shared" si="13"/>
        <v>180</v>
      </c>
      <c r="AL28" s="198">
        <f t="shared" si="13"/>
        <v>206</v>
      </c>
      <c r="AM28" s="198">
        <f t="shared" si="13"/>
        <v>211</v>
      </c>
      <c r="AN28" s="198">
        <f t="shared" si="13"/>
        <v>215</v>
      </c>
      <c r="AO28" s="198">
        <f t="shared" si="13"/>
        <v>175</v>
      </c>
      <c r="AP28" s="198">
        <f t="shared" si="13"/>
        <v>201</v>
      </c>
      <c r="AQ28" s="198">
        <f t="shared" si="13"/>
        <v>177</v>
      </c>
      <c r="AR28" s="198">
        <f t="shared" si="13"/>
        <v>218</v>
      </c>
      <c r="AS28" s="198">
        <f t="shared" si="13"/>
        <v>0</v>
      </c>
      <c r="AT28" s="198">
        <f t="shared" si="13"/>
        <v>0</v>
      </c>
      <c r="AU28" s="198">
        <f t="shared" si="13"/>
        <v>0</v>
      </c>
      <c r="AV28" s="198">
        <f t="shared" si="13"/>
        <v>0</v>
      </c>
      <c r="AW28" s="198">
        <f t="shared" si="13"/>
        <v>0</v>
      </c>
      <c r="AX28" s="198">
        <f t="shared" si="13"/>
        <v>0</v>
      </c>
      <c r="AY28" s="198">
        <f t="shared" si="13"/>
        <v>0</v>
      </c>
      <c r="AZ28" s="198">
        <f t="shared" si="13"/>
        <v>0</v>
      </c>
    </row>
    <row r="29" spans="2:52" s="154" customFormat="1" ht="15" customHeight="1" outlineLevel="3" x14ac:dyDescent="0.45">
      <c r="B29" s="175" t="s">
        <v>3845</v>
      </c>
      <c r="C29" s="176" t="s">
        <v>3838</v>
      </c>
      <c r="D29" s="177" t="s">
        <v>3840</v>
      </c>
      <c r="E29" s="178">
        <f t="shared" ref="E29:AB29" si="14">E32</f>
        <v>36</v>
      </c>
      <c r="F29" s="178">
        <f t="shared" si="14"/>
        <v>31</v>
      </c>
      <c r="G29" s="178">
        <f t="shared" si="14"/>
        <v>30</v>
      </c>
      <c r="H29" s="178">
        <f t="shared" si="14"/>
        <v>27</v>
      </c>
      <c r="I29" s="178">
        <f t="shared" si="14"/>
        <v>28</v>
      </c>
      <c r="J29" s="178">
        <f t="shared" si="14"/>
        <v>44</v>
      </c>
      <c r="K29" s="178">
        <f t="shared" si="14"/>
        <v>43</v>
      </c>
      <c r="L29" s="178">
        <f t="shared" si="14"/>
        <v>50</v>
      </c>
      <c r="M29" s="178">
        <f t="shared" si="14"/>
        <v>55</v>
      </c>
      <c r="N29" s="178">
        <f t="shared" si="14"/>
        <v>51</v>
      </c>
      <c r="O29" s="178">
        <f t="shared" si="14"/>
        <v>58</v>
      </c>
      <c r="P29" s="178">
        <f t="shared" si="14"/>
        <v>36</v>
      </c>
      <c r="Q29" s="178">
        <f t="shared" si="14"/>
        <v>63</v>
      </c>
      <c r="R29" s="178">
        <f t="shared" si="14"/>
        <v>68</v>
      </c>
      <c r="S29" s="178">
        <f t="shared" si="14"/>
        <v>59</v>
      </c>
      <c r="T29" s="178">
        <f t="shared" si="14"/>
        <v>72</v>
      </c>
      <c r="U29" s="178">
        <f t="shared" si="14"/>
        <v>93</v>
      </c>
      <c r="V29" s="178">
        <f t="shared" si="14"/>
        <v>103</v>
      </c>
      <c r="W29" s="178">
        <f t="shared" si="14"/>
        <v>117</v>
      </c>
      <c r="X29" s="178">
        <f t="shared" si="14"/>
        <v>98</v>
      </c>
      <c r="Y29" s="178">
        <f t="shared" si="14"/>
        <v>93</v>
      </c>
      <c r="Z29" s="178">
        <f t="shared" si="14"/>
        <v>100</v>
      </c>
      <c r="AA29" s="178">
        <f t="shared" si="14"/>
        <v>78</v>
      </c>
      <c r="AB29" s="178">
        <f t="shared" si="14"/>
        <v>89</v>
      </c>
      <c r="AC29" s="199">
        <v>74</v>
      </c>
      <c r="AD29" s="199">
        <v>75</v>
      </c>
      <c r="AE29" s="199">
        <v>121</v>
      </c>
      <c r="AF29" s="199">
        <v>124</v>
      </c>
      <c r="AG29" s="199">
        <v>97</v>
      </c>
      <c r="AH29" s="199">
        <v>153</v>
      </c>
      <c r="AI29" s="199">
        <v>147</v>
      </c>
      <c r="AJ29" s="199">
        <f>117+16</f>
        <v>133</v>
      </c>
      <c r="AK29" s="199">
        <v>134</v>
      </c>
      <c r="AL29" s="199">
        <v>154</v>
      </c>
      <c r="AM29" s="199">
        <v>161</v>
      </c>
      <c r="AN29" s="199">
        <v>166</v>
      </c>
      <c r="AO29" s="199">
        <v>121</v>
      </c>
      <c r="AP29" s="199">
        <v>157</v>
      </c>
      <c r="AQ29" s="199">
        <v>124</v>
      </c>
      <c r="AR29" s="199">
        <v>165</v>
      </c>
      <c r="AS29" s="199"/>
      <c r="AT29" s="199"/>
      <c r="AU29" s="199"/>
      <c r="AV29" s="199"/>
      <c r="AW29" s="199"/>
      <c r="AX29" s="199"/>
      <c r="AY29" s="199"/>
      <c r="AZ29" s="199"/>
    </row>
    <row r="30" spans="2:52" s="154" customFormat="1" ht="15" customHeight="1" outlineLevel="3" x14ac:dyDescent="0.45">
      <c r="B30" s="182" t="s">
        <v>3846</v>
      </c>
      <c r="C30" s="183" t="s">
        <v>3838</v>
      </c>
      <c r="D30" s="184" t="s">
        <v>3840</v>
      </c>
      <c r="E30" s="185">
        <f t="shared" ref="E30:AB30" si="15">E37</f>
        <v>0</v>
      </c>
      <c r="F30" s="185">
        <f t="shared" si="15"/>
        <v>0</v>
      </c>
      <c r="G30" s="185">
        <f t="shared" si="15"/>
        <v>0</v>
      </c>
      <c r="H30" s="185">
        <f t="shared" si="15"/>
        <v>0</v>
      </c>
      <c r="I30" s="185">
        <f t="shared" si="15"/>
        <v>0</v>
      </c>
      <c r="J30" s="185">
        <f t="shared" si="15"/>
        <v>0</v>
      </c>
      <c r="K30" s="185">
        <f t="shared" si="15"/>
        <v>0</v>
      </c>
      <c r="L30" s="185">
        <f t="shared" si="15"/>
        <v>0</v>
      </c>
      <c r="M30" s="185">
        <f t="shared" si="15"/>
        <v>0</v>
      </c>
      <c r="N30" s="185">
        <f t="shared" si="15"/>
        <v>0</v>
      </c>
      <c r="O30" s="185">
        <f t="shared" si="15"/>
        <v>0</v>
      </c>
      <c r="P30" s="185">
        <f t="shared" si="15"/>
        <v>0</v>
      </c>
      <c r="Q30" s="185">
        <f t="shared" si="15"/>
        <v>0</v>
      </c>
      <c r="R30" s="185">
        <f t="shared" si="15"/>
        <v>0</v>
      </c>
      <c r="S30" s="185">
        <f t="shared" si="15"/>
        <v>0</v>
      </c>
      <c r="T30" s="185">
        <f t="shared" si="15"/>
        <v>0</v>
      </c>
      <c r="U30" s="185">
        <f t="shared" si="15"/>
        <v>0</v>
      </c>
      <c r="V30" s="185">
        <f t="shared" si="15"/>
        <v>0</v>
      </c>
      <c r="W30" s="185">
        <f t="shared" si="15"/>
        <v>0</v>
      </c>
      <c r="X30" s="185">
        <f t="shared" si="15"/>
        <v>0</v>
      </c>
      <c r="Y30" s="185">
        <f t="shared" si="15"/>
        <v>0</v>
      </c>
      <c r="Z30" s="185">
        <f t="shared" si="15"/>
        <v>0</v>
      </c>
      <c r="AA30" s="185">
        <f t="shared" si="15"/>
        <v>0</v>
      </c>
      <c r="AB30" s="185">
        <f t="shared" si="15"/>
        <v>16</v>
      </c>
      <c r="AC30" s="189">
        <v>23</v>
      </c>
      <c r="AD30" s="189">
        <v>24</v>
      </c>
      <c r="AE30" s="189">
        <v>15</v>
      </c>
      <c r="AF30" s="189">
        <v>37</v>
      </c>
      <c r="AG30" s="189">
        <v>60</v>
      </c>
      <c r="AH30" s="189">
        <v>42</v>
      </c>
      <c r="AI30" s="189">
        <v>52</v>
      </c>
      <c r="AJ30" s="189">
        <v>33</v>
      </c>
      <c r="AK30" s="189">
        <v>46</v>
      </c>
      <c r="AL30" s="189">
        <v>52</v>
      </c>
      <c r="AM30" s="189">
        <v>50</v>
      </c>
      <c r="AN30" s="189">
        <v>49</v>
      </c>
      <c r="AO30" s="189">
        <v>54</v>
      </c>
      <c r="AP30" s="189">
        <v>44</v>
      </c>
      <c r="AQ30" s="189">
        <v>53</v>
      </c>
      <c r="AR30" s="189">
        <v>53</v>
      </c>
      <c r="AS30" s="189"/>
      <c r="AT30" s="189"/>
      <c r="AU30" s="189"/>
      <c r="AV30" s="189"/>
      <c r="AW30" s="189"/>
      <c r="AX30" s="189"/>
      <c r="AY30" s="189"/>
      <c r="AZ30" s="189"/>
    </row>
    <row r="31" spans="2:52" s="154" customFormat="1" ht="15" customHeight="1" outlineLevel="2" x14ac:dyDescent="0.45"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</row>
    <row r="32" spans="2:52" s="154" customFormat="1" ht="15" customHeight="1" outlineLevel="2" x14ac:dyDescent="0.45">
      <c r="B32" s="171" t="s">
        <v>3847</v>
      </c>
      <c r="C32" s="172" t="s">
        <v>3838</v>
      </c>
      <c r="D32" s="173"/>
      <c r="E32" s="197">
        <f t="shared" ref="E32:AZ32" si="16">+SUM(E33:E35)</f>
        <v>36</v>
      </c>
      <c r="F32" s="197">
        <f t="shared" si="16"/>
        <v>31</v>
      </c>
      <c r="G32" s="197">
        <f t="shared" si="16"/>
        <v>30</v>
      </c>
      <c r="H32" s="197">
        <f t="shared" si="16"/>
        <v>27</v>
      </c>
      <c r="I32" s="197">
        <f t="shared" si="16"/>
        <v>28</v>
      </c>
      <c r="J32" s="197">
        <f t="shared" si="16"/>
        <v>44</v>
      </c>
      <c r="K32" s="197">
        <f t="shared" si="16"/>
        <v>43</v>
      </c>
      <c r="L32" s="197">
        <f t="shared" si="16"/>
        <v>50</v>
      </c>
      <c r="M32" s="197">
        <f t="shared" si="16"/>
        <v>55</v>
      </c>
      <c r="N32" s="197">
        <f t="shared" si="16"/>
        <v>51</v>
      </c>
      <c r="O32" s="197">
        <f t="shared" si="16"/>
        <v>58</v>
      </c>
      <c r="P32" s="197">
        <f t="shared" si="16"/>
        <v>36</v>
      </c>
      <c r="Q32" s="197">
        <f t="shared" si="16"/>
        <v>63</v>
      </c>
      <c r="R32" s="197">
        <f t="shared" si="16"/>
        <v>68</v>
      </c>
      <c r="S32" s="197">
        <f t="shared" si="16"/>
        <v>59</v>
      </c>
      <c r="T32" s="197">
        <f t="shared" si="16"/>
        <v>72</v>
      </c>
      <c r="U32" s="197">
        <f t="shared" si="16"/>
        <v>93</v>
      </c>
      <c r="V32" s="197">
        <f t="shared" si="16"/>
        <v>103</v>
      </c>
      <c r="W32" s="197">
        <f t="shared" si="16"/>
        <v>117</v>
      </c>
      <c r="X32" s="197">
        <f t="shared" si="16"/>
        <v>98</v>
      </c>
      <c r="Y32" s="197">
        <f t="shared" si="16"/>
        <v>93</v>
      </c>
      <c r="Z32" s="197">
        <f t="shared" si="16"/>
        <v>100</v>
      </c>
      <c r="AA32" s="197">
        <f t="shared" si="16"/>
        <v>78</v>
      </c>
      <c r="AB32" s="197">
        <f t="shared" si="16"/>
        <v>89</v>
      </c>
      <c r="AC32" s="198">
        <f t="shared" si="16"/>
        <v>74</v>
      </c>
      <c r="AD32" s="198">
        <f t="shared" si="16"/>
        <v>75</v>
      </c>
      <c r="AE32" s="198">
        <f t="shared" si="16"/>
        <v>121</v>
      </c>
      <c r="AF32" s="198">
        <f t="shared" si="16"/>
        <v>124</v>
      </c>
      <c r="AG32" s="198">
        <f t="shared" si="16"/>
        <v>97</v>
      </c>
      <c r="AH32" s="198">
        <f t="shared" si="16"/>
        <v>153</v>
      </c>
      <c r="AI32" s="198">
        <f t="shared" si="16"/>
        <v>147</v>
      </c>
      <c r="AJ32" s="198">
        <f t="shared" si="16"/>
        <v>133</v>
      </c>
      <c r="AK32" s="198">
        <f t="shared" si="16"/>
        <v>134</v>
      </c>
      <c r="AL32" s="198">
        <f t="shared" si="16"/>
        <v>154</v>
      </c>
      <c r="AM32" s="198">
        <f t="shared" si="16"/>
        <v>161</v>
      </c>
      <c r="AN32" s="198">
        <f t="shared" si="16"/>
        <v>166</v>
      </c>
      <c r="AO32" s="198">
        <f t="shared" si="16"/>
        <v>121</v>
      </c>
      <c r="AP32" s="198">
        <f t="shared" si="16"/>
        <v>157</v>
      </c>
      <c r="AQ32" s="198">
        <f t="shared" si="16"/>
        <v>124</v>
      </c>
      <c r="AR32" s="198">
        <f t="shared" si="16"/>
        <v>165</v>
      </c>
      <c r="AS32" s="198">
        <f t="shared" si="16"/>
        <v>0</v>
      </c>
      <c r="AT32" s="198">
        <f t="shared" si="16"/>
        <v>0</v>
      </c>
      <c r="AU32" s="198">
        <f t="shared" si="16"/>
        <v>0</v>
      </c>
      <c r="AV32" s="198">
        <f t="shared" si="16"/>
        <v>0</v>
      </c>
      <c r="AW32" s="198">
        <f t="shared" si="16"/>
        <v>0</v>
      </c>
      <c r="AX32" s="198">
        <f t="shared" si="16"/>
        <v>0</v>
      </c>
      <c r="AY32" s="198">
        <f t="shared" si="16"/>
        <v>0</v>
      </c>
      <c r="AZ32" s="198">
        <f t="shared" si="16"/>
        <v>0</v>
      </c>
    </row>
    <row r="33" spans="1:52" s="154" customFormat="1" ht="15" customHeight="1" outlineLevel="3" x14ac:dyDescent="0.45">
      <c r="B33" s="175" t="s">
        <v>3839</v>
      </c>
      <c r="C33" s="176" t="s">
        <v>3838</v>
      </c>
      <c r="D33" s="177" t="s">
        <v>3840</v>
      </c>
      <c r="E33" s="201">
        <v>36</v>
      </c>
      <c r="F33" s="201">
        <v>31</v>
      </c>
      <c r="G33" s="201">
        <v>24</v>
      </c>
      <c r="H33" s="201">
        <v>17</v>
      </c>
      <c r="I33" s="201">
        <v>21</v>
      </c>
      <c r="J33" s="201">
        <v>37</v>
      </c>
      <c r="K33" s="201">
        <v>38</v>
      </c>
      <c r="L33" s="201">
        <v>36</v>
      </c>
      <c r="M33" s="201">
        <v>38</v>
      </c>
      <c r="N33" s="201">
        <v>33</v>
      </c>
      <c r="O33" s="201">
        <v>46</v>
      </c>
      <c r="P33" s="201">
        <v>30</v>
      </c>
      <c r="Q33" s="201">
        <v>46</v>
      </c>
      <c r="R33" s="201">
        <v>44</v>
      </c>
      <c r="S33" s="201">
        <v>36</v>
      </c>
      <c r="T33" s="201">
        <v>48</v>
      </c>
      <c r="U33" s="201">
        <v>61</v>
      </c>
      <c r="V33" s="201">
        <v>47</v>
      </c>
      <c r="W33" s="201">
        <v>60</v>
      </c>
      <c r="X33" s="201">
        <v>57</v>
      </c>
      <c r="Y33" s="201">
        <v>72</v>
      </c>
      <c r="Z33" s="201">
        <v>73</v>
      </c>
      <c r="AA33" s="201">
        <v>37</v>
      </c>
      <c r="AB33" s="201">
        <v>13</v>
      </c>
      <c r="AC33" s="199">
        <v>29</v>
      </c>
      <c r="AD33" s="199">
        <v>43</v>
      </c>
      <c r="AE33" s="199">
        <v>28</v>
      </c>
      <c r="AF33" s="199">
        <v>48</v>
      </c>
      <c r="AG33" s="199">
        <v>38</v>
      </c>
      <c r="AH33" s="199">
        <v>68</v>
      </c>
      <c r="AI33" s="199">
        <v>49</v>
      </c>
      <c r="AJ33" s="199">
        <v>41</v>
      </c>
      <c r="AK33" s="199">
        <v>44</v>
      </c>
      <c r="AL33" s="199">
        <v>78</v>
      </c>
      <c r="AM33" s="199">
        <v>63</v>
      </c>
      <c r="AN33" s="199">
        <v>78</v>
      </c>
      <c r="AO33" s="199">
        <v>49</v>
      </c>
      <c r="AP33" s="199">
        <v>56</v>
      </c>
      <c r="AQ33" s="199">
        <v>41</v>
      </c>
      <c r="AR33" s="199">
        <v>58</v>
      </c>
      <c r="AS33" s="199"/>
      <c r="AT33" s="199"/>
      <c r="AU33" s="199"/>
      <c r="AV33" s="199"/>
      <c r="AW33" s="199"/>
      <c r="AX33" s="199"/>
      <c r="AY33" s="199"/>
      <c r="AZ33" s="199"/>
    </row>
    <row r="34" spans="1:52" s="154" customFormat="1" ht="15" customHeight="1" outlineLevel="3" x14ac:dyDescent="0.45">
      <c r="B34" s="154" t="s">
        <v>3841</v>
      </c>
      <c r="C34" s="181" t="s">
        <v>3838</v>
      </c>
      <c r="D34" s="169" t="s">
        <v>3840</v>
      </c>
      <c r="E34" s="201">
        <v>0</v>
      </c>
      <c r="F34" s="201">
        <v>0</v>
      </c>
      <c r="G34" s="201">
        <v>6</v>
      </c>
      <c r="H34" s="201">
        <v>7</v>
      </c>
      <c r="I34" s="201">
        <v>3</v>
      </c>
      <c r="J34" s="201">
        <v>5</v>
      </c>
      <c r="K34" s="201">
        <v>3</v>
      </c>
      <c r="L34" s="201">
        <v>8</v>
      </c>
      <c r="M34" s="201">
        <v>17</v>
      </c>
      <c r="N34" s="201">
        <v>14</v>
      </c>
      <c r="O34" s="201">
        <v>8</v>
      </c>
      <c r="P34" s="201">
        <v>5</v>
      </c>
      <c r="Q34" s="201">
        <v>2</v>
      </c>
      <c r="R34" s="201">
        <v>10</v>
      </c>
      <c r="S34" s="201">
        <v>4</v>
      </c>
      <c r="T34" s="201">
        <v>5</v>
      </c>
      <c r="U34" s="201">
        <v>4</v>
      </c>
      <c r="V34" s="201">
        <v>3</v>
      </c>
      <c r="W34" s="201">
        <v>8</v>
      </c>
      <c r="X34" s="201">
        <v>10</v>
      </c>
      <c r="Y34" s="201">
        <v>3</v>
      </c>
      <c r="Z34" s="201">
        <v>1</v>
      </c>
      <c r="AA34" s="201">
        <v>0</v>
      </c>
      <c r="AB34" s="201">
        <v>0</v>
      </c>
      <c r="AC34" s="199">
        <v>0</v>
      </c>
      <c r="AD34" s="199">
        <v>0</v>
      </c>
      <c r="AE34" s="199">
        <v>0</v>
      </c>
      <c r="AF34" s="199">
        <v>0</v>
      </c>
      <c r="AG34" s="199">
        <v>0</v>
      </c>
      <c r="AH34" s="199">
        <v>0</v>
      </c>
      <c r="AI34" s="199">
        <v>0</v>
      </c>
      <c r="AJ34" s="199">
        <v>0</v>
      </c>
      <c r="AK34" s="199">
        <v>0</v>
      </c>
      <c r="AL34" s="199">
        <v>0</v>
      </c>
      <c r="AM34" s="199">
        <v>0</v>
      </c>
      <c r="AN34" s="199">
        <v>0</v>
      </c>
      <c r="AO34" s="199">
        <v>0</v>
      </c>
      <c r="AP34" s="199">
        <v>0</v>
      </c>
      <c r="AQ34" s="199">
        <v>0</v>
      </c>
      <c r="AR34" s="199">
        <v>0</v>
      </c>
      <c r="AS34" s="199"/>
      <c r="AT34" s="199"/>
      <c r="AU34" s="199"/>
      <c r="AV34" s="199"/>
      <c r="AW34" s="199"/>
      <c r="AX34" s="199"/>
      <c r="AY34" s="199"/>
      <c r="AZ34" s="199"/>
    </row>
    <row r="35" spans="1:52" s="154" customFormat="1" ht="15" customHeight="1" outlineLevel="3" x14ac:dyDescent="0.45">
      <c r="B35" s="182" t="s">
        <v>3842</v>
      </c>
      <c r="C35" s="183" t="s">
        <v>3838</v>
      </c>
      <c r="D35" s="184" t="s">
        <v>3840</v>
      </c>
      <c r="E35" s="202">
        <v>0</v>
      </c>
      <c r="F35" s="202">
        <v>0</v>
      </c>
      <c r="G35" s="202">
        <v>0</v>
      </c>
      <c r="H35" s="202">
        <v>3</v>
      </c>
      <c r="I35" s="202">
        <v>4</v>
      </c>
      <c r="J35" s="202">
        <v>2</v>
      </c>
      <c r="K35" s="202">
        <v>2</v>
      </c>
      <c r="L35" s="202">
        <v>6</v>
      </c>
      <c r="M35" s="202">
        <v>0</v>
      </c>
      <c r="N35" s="202">
        <v>4</v>
      </c>
      <c r="O35" s="202">
        <v>4</v>
      </c>
      <c r="P35" s="202">
        <v>1</v>
      </c>
      <c r="Q35" s="202">
        <v>15</v>
      </c>
      <c r="R35" s="202">
        <v>14</v>
      </c>
      <c r="S35" s="202">
        <v>19</v>
      </c>
      <c r="T35" s="202">
        <v>19</v>
      </c>
      <c r="U35" s="202">
        <v>28</v>
      </c>
      <c r="V35" s="202">
        <v>53</v>
      </c>
      <c r="W35" s="202">
        <v>49</v>
      </c>
      <c r="X35" s="202">
        <v>31</v>
      </c>
      <c r="Y35" s="202">
        <v>18</v>
      </c>
      <c r="Z35" s="202">
        <v>26</v>
      </c>
      <c r="AA35" s="202">
        <v>41</v>
      </c>
      <c r="AB35" s="202">
        <v>76</v>
      </c>
      <c r="AC35" s="189">
        <v>45</v>
      </c>
      <c r="AD35" s="189">
        <v>32</v>
      </c>
      <c r="AE35" s="189">
        <v>93</v>
      </c>
      <c r="AF35" s="189">
        <v>76</v>
      </c>
      <c r="AG35" s="189">
        <v>59</v>
      </c>
      <c r="AH35" s="189">
        <v>85</v>
      </c>
      <c r="AI35" s="189">
        <v>98</v>
      </c>
      <c r="AJ35" s="189">
        <f>76+16</f>
        <v>92</v>
      </c>
      <c r="AK35" s="189">
        <v>90</v>
      </c>
      <c r="AL35" s="189">
        <v>76</v>
      </c>
      <c r="AM35" s="189">
        <v>98</v>
      </c>
      <c r="AN35" s="189">
        <v>88</v>
      </c>
      <c r="AO35" s="189">
        <v>72</v>
      </c>
      <c r="AP35" s="189">
        <v>101</v>
      </c>
      <c r="AQ35" s="189">
        <v>83</v>
      </c>
      <c r="AR35" s="189">
        <v>107</v>
      </c>
      <c r="AS35" s="189"/>
      <c r="AT35" s="189"/>
      <c r="AU35" s="189"/>
      <c r="AV35" s="189"/>
      <c r="AW35" s="189"/>
      <c r="AX35" s="189"/>
      <c r="AY35" s="189"/>
      <c r="AZ35" s="189"/>
    </row>
    <row r="36" spans="1:52" s="154" customFormat="1" ht="15" customHeight="1" outlineLevel="2" x14ac:dyDescent="0.45"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</row>
    <row r="37" spans="1:52" s="154" customFormat="1" ht="15" customHeight="1" outlineLevel="2" x14ac:dyDescent="0.45">
      <c r="B37" s="171" t="s">
        <v>3848</v>
      </c>
      <c r="C37" s="172" t="s">
        <v>3838</v>
      </c>
      <c r="D37" s="173"/>
      <c r="E37" s="204">
        <f t="shared" ref="E37:AZ37" si="17">+SUM(E38:E40)</f>
        <v>0</v>
      </c>
      <c r="F37" s="204">
        <f t="shared" si="17"/>
        <v>0</v>
      </c>
      <c r="G37" s="204">
        <f t="shared" si="17"/>
        <v>0</v>
      </c>
      <c r="H37" s="204">
        <f t="shared" si="17"/>
        <v>0</v>
      </c>
      <c r="I37" s="204">
        <f t="shared" si="17"/>
        <v>0</v>
      </c>
      <c r="J37" s="204">
        <f t="shared" si="17"/>
        <v>0</v>
      </c>
      <c r="K37" s="204">
        <f t="shared" si="17"/>
        <v>0</v>
      </c>
      <c r="L37" s="204">
        <f t="shared" si="17"/>
        <v>0</v>
      </c>
      <c r="M37" s="204">
        <f t="shared" si="17"/>
        <v>0</v>
      </c>
      <c r="N37" s="204">
        <f t="shared" si="17"/>
        <v>0</v>
      </c>
      <c r="O37" s="204">
        <f t="shared" si="17"/>
        <v>0</v>
      </c>
      <c r="P37" s="204">
        <f t="shared" si="17"/>
        <v>0</v>
      </c>
      <c r="Q37" s="204">
        <f t="shared" si="17"/>
        <v>0</v>
      </c>
      <c r="R37" s="204">
        <f t="shared" si="17"/>
        <v>0</v>
      </c>
      <c r="S37" s="204">
        <f t="shared" si="17"/>
        <v>0</v>
      </c>
      <c r="T37" s="204">
        <f t="shared" si="17"/>
        <v>0</v>
      </c>
      <c r="U37" s="204">
        <f t="shared" si="17"/>
        <v>0</v>
      </c>
      <c r="V37" s="204">
        <f t="shared" si="17"/>
        <v>0</v>
      </c>
      <c r="W37" s="204">
        <f t="shared" si="17"/>
        <v>0</v>
      </c>
      <c r="X37" s="204">
        <f t="shared" si="17"/>
        <v>0</v>
      </c>
      <c r="Y37" s="204">
        <f t="shared" si="17"/>
        <v>0</v>
      </c>
      <c r="Z37" s="204">
        <f t="shared" si="17"/>
        <v>0</v>
      </c>
      <c r="AA37" s="204">
        <f t="shared" si="17"/>
        <v>0</v>
      </c>
      <c r="AB37" s="198">
        <f t="shared" si="17"/>
        <v>16</v>
      </c>
      <c r="AC37" s="198">
        <f t="shared" si="17"/>
        <v>23</v>
      </c>
      <c r="AD37" s="198">
        <f t="shared" si="17"/>
        <v>24</v>
      </c>
      <c r="AE37" s="198">
        <f t="shared" si="17"/>
        <v>15</v>
      </c>
      <c r="AF37" s="198">
        <f t="shared" si="17"/>
        <v>37</v>
      </c>
      <c r="AG37" s="198">
        <f t="shared" si="17"/>
        <v>60</v>
      </c>
      <c r="AH37" s="198">
        <f t="shared" si="17"/>
        <v>42</v>
      </c>
      <c r="AI37" s="198">
        <f t="shared" si="17"/>
        <v>52</v>
      </c>
      <c r="AJ37" s="198">
        <f t="shared" si="17"/>
        <v>33</v>
      </c>
      <c r="AK37" s="198">
        <f t="shared" si="17"/>
        <v>46</v>
      </c>
      <c r="AL37" s="198">
        <f t="shared" si="17"/>
        <v>52</v>
      </c>
      <c r="AM37" s="198">
        <f t="shared" si="17"/>
        <v>50</v>
      </c>
      <c r="AN37" s="198">
        <f t="shared" si="17"/>
        <v>49</v>
      </c>
      <c r="AO37" s="198">
        <f t="shared" si="17"/>
        <v>54</v>
      </c>
      <c r="AP37" s="198">
        <f t="shared" si="17"/>
        <v>44</v>
      </c>
      <c r="AQ37" s="198">
        <f t="shared" si="17"/>
        <v>53</v>
      </c>
      <c r="AR37" s="198">
        <f t="shared" si="17"/>
        <v>53</v>
      </c>
      <c r="AS37" s="198">
        <f t="shared" si="17"/>
        <v>0</v>
      </c>
      <c r="AT37" s="198">
        <f t="shared" si="17"/>
        <v>0</v>
      </c>
      <c r="AU37" s="198">
        <f t="shared" si="17"/>
        <v>0</v>
      </c>
      <c r="AV37" s="198">
        <f t="shared" si="17"/>
        <v>0</v>
      </c>
      <c r="AW37" s="198">
        <f t="shared" si="17"/>
        <v>0</v>
      </c>
      <c r="AX37" s="198">
        <f t="shared" si="17"/>
        <v>0</v>
      </c>
      <c r="AY37" s="198">
        <f t="shared" si="17"/>
        <v>0</v>
      </c>
      <c r="AZ37" s="198">
        <f t="shared" si="17"/>
        <v>0</v>
      </c>
    </row>
    <row r="38" spans="1:52" s="154" customFormat="1" ht="15" customHeight="1" outlineLevel="3" x14ac:dyDescent="0.45">
      <c r="B38" s="175" t="s">
        <v>3839</v>
      </c>
      <c r="C38" s="176" t="s">
        <v>3838</v>
      </c>
      <c r="D38" s="177" t="s">
        <v>3840</v>
      </c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205">
        <v>0</v>
      </c>
      <c r="R38" s="205">
        <v>0</v>
      </c>
      <c r="S38" s="205">
        <v>0</v>
      </c>
      <c r="T38" s="205">
        <v>0</v>
      </c>
      <c r="U38" s="205">
        <v>0</v>
      </c>
      <c r="V38" s="205">
        <v>0</v>
      </c>
      <c r="W38" s="205">
        <v>0</v>
      </c>
      <c r="X38" s="205">
        <v>0</v>
      </c>
      <c r="Y38" s="205">
        <v>0</v>
      </c>
      <c r="Z38" s="205">
        <v>0</v>
      </c>
      <c r="AA38" s="205">
        <v>0</v>
      </c>
      <c r="AB38" s="206">
        <v>0</v>
      </c>
      <c r="AC38" s="199">
        <v>0</v>
      </c>
      <c r="AD38" s="199">
        <v>1</v>
      </c>
      <c r="AE38" s="199">
        <v>1</v>
      </c>
      <c r="AF38" s="199">
        <v>2</v>
      </c>
      <c r="AG38" s="199">
        <v>28</v>
      </c>
      <c r="AH38" s="199">
        <v>30</v>
      </c>
      <c r="AI38" s="199">
        <v>21</v>
      </c>
      <c r="AJ38" s="199">
        <v>16</v>
      </c>
      <c r="AK38" s="199">
        <v>21</v>
      </c>
      <c r="AL38" s="199">
        <v>35</v>
      </c>
      <c r="AM38" s="199">
        <v>35</v>
      </c>
      <c r="AN38" s="199">
        <v>27</v>
      </c>
      <c r="AO38" s="199">
        <v>26</v>
      </c>
      <c r="AP38" s="199">
        <v>18</v>
      </c>
      <c r="AQ38" s="199">
        <v>18</v>
      </c>
      <c r="AR38" s="199">
        <v>11</v>
      </c>
      <c r="AS38" s="199"/>
      <c r="AT38" s="199"/>
      <c r="AU38" s="199"/>
      <c r="AV38" s="199"/>
      <c r="AW38" s="199"/>
      <c r="AX38" s="199"/>
      <c r="AY38" s="199"/>
      <c r="AZ38" s="199"/>
    </row>
    <row r="39" spans="1:52" s="154" customFormat="1" ht="15" customHeight="1" outlineLevel="3" x14ac:dyDescent="0.45">
      <c r="B39" s="154" t="s">
        <v>3841</v>
      </c>
      <c r="C39" s="181" t="s">
        <v>3838</v>
      </c>
      <c r="D39" s="169" t="s">
        <v>3840</v>
      </c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207">
        <v>0</v>
      </c>
      <c r="R39" s="207">
        <v>0</v>
      </c>
      <c r="S39" s="207">
        <v>0</v>
      </c>
      <c r="T39" s="207">
        <v>0</v>
      </c>
      <c r="U39" s="207">
        <v>0</v>
      </c>
      <c r="V39" s="207">
        <v>0</v>
      </c>
      <c r="W39" s="207">
        <v>0</v>
      </c>
      <c r="X39" s="207">
        <v>0</v>
      </c>
      <c r="Y39" s="207">
        <v>0</v>
      </c>
      <c r="Z39" s="207">
        <v>0</v>
      </c>
      <c r="AA39" s="207">
        <v>0</v>
      </c>
      <c r="AB39" s="199">
        <v>0</v>
      </c>
      <c r="AC39" s="199">
        <v>0</v>
      </c>
      <c r="AD39" s="199">
        <v>0</v>
      </c>
      <c r="AE39" s="199">
        <v>0</v>
      </c>
      <c r="AF39" s="199">
        <v>0</v>
      </c>
      <c r="AG39" s="199">
        <v>0</v>
      </c>
      <c r="AH39" s="199">
        <v>0</v>
      </c>
      <c r="AI39" s="199">
        <v>0</v>
      </c>
      <c r="AJ39" s="199">
        <v>0</v>
      </c>
      <c r="AK39" s="199">
        <v>0</v>
      </c>
      <c r="AL39" s="199">
        <v>0</v>
      </c>
      <c r="AM39" s="199">
        <v>0</v>
      </c>
      <c r="AN39" s="199">
        <v>0</v>
      </c>
      <c r="AO39" s="199">
        <v>0</v>
      </c>
      <c r="AP39" s="199">
        <v>0</v>
      </c>
      <c r="AQ39" s="199">
        <v>0</v>
      </c>
      <c r="AR39" s="199">
        <v>0</v>
      </c>
      <c r="AS39" s="199"/>
      <c r="AT39" s="199"/>
      <c r="AU39" s="199"/>
      <c r="AV39" s="199"/>
      <c r="AW39" s="199"/>
      <c r="AX39" s="199"/>
      <c r="AY39" s="199"/>
      <c r="AZ39" s="199"/>
    </row>
    <row r="40" spans="1:52" s="154" customFormat="1" ht="15" customHeight="1" outlineLevel="3" x14ac:dyDescent="0.45">
      <c r="B40" s="182" t="s">
        <v>3842</v>
      </c>
      <c r="C40" s="183" t="s">
        <v>3838</v>
      </c>
      <c r="D40" s="184" t="s">
        <v>3840</v>
      </c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208">
        <v>0</v>
      </c>
      <c r="R40" s="208">
        <v>0</v>
      </c>
      <c r="S40" s="208">
        <v>0</v>
      </c>
      <c r="T40" s="208">
        <v>0</v>
      </c>
      <c r="U40" s="208">
        <v>0</v>
      </c>
      <c r="V40" s="208">
        <v>0</v>
      </c>
      <c r="W40" s="208">
        <v>0</v>
      </c>
      <c r="X40" s="208">
        <v>0</v>
      </c>
      <c r="Y40" s="208">
        <v>0</v>
      </c>
      <c r="Z40" s="208">
        <v>0</v>
      </c>
      <c r="AA40" s="208">
        <v>0</v>
      </c>
      <c r="AB40" s="189">
        <v>16</v>
      </c>
      <c r="AC40" s="189">
        <v>23</v>
      </c>
      <c r="AD40" s="189">
        <v>23</v>
      </c>
      <c r="AE40" s="189">
        <v>14</v>
      </c>
      <c r="AF40" s="189">
        <v>35</v>
      </c>
      <c r="AG40" s="189">
        <v>32</v>
      </c>
      <c r="AH40" s="189">
        <v>12</v>
      </c>
      <c r="AI40" s="189">
        <v>31</v>
      </c>
      <c r="AJ40" s="189">
        <v>17</v>
      </c>
      <c r="AK40" s="189">
        <v>25</v>
      </c>
      <c r="AL40" s="189">
        <v>17</v>
      </c>
      <c r="AM40" s="189">
        <v>15</v>
      </c>
      <c r="AN40" s="189">
        <v>22</v>
      </c>
      <c r="AO40" s="189">
        <v>28</v>
      </c>
      <c r="AP40" s="189">
        <v>26</v>
      </c>
      <c r="AQ40" s="189">
        <v>35</v>
      </c>
      <c r="AR40" s="189">
        <v>42</v>
      </c>
      <c r="AS40" s="189"/>
      <c r="AT40" s="189"/>
      <c r="AU40" s="189"/>
      <c r="AV40" s="189"/>
      <c r="AW40" s="189"/>
      <c r="AX40" s="189"/>
      <c r="AY40" s="189"/>
      <c r="AZ40" s="189"/>
    </row>
    <row r="42" spans="1:52" ht="15" customHeight="1" outlineLevel="1" x14ac:dyDescent="0.45">
      <c r="A42" s="154"/>
      <c r="B42" s="155" t="s">
        <v>3849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</row>
    <row r="43" spans="1:52" ht="15" customHeight="1" outlineLevel="2" x14ac:dyDescent="0.45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</row>
    <row r="44" spans="1:52" ht="15" customHeight="1" outlineLevel="2" x14ac:dyDescent="0.45">
      <c r="A44" s="154"/>
      <c r="B44" s="171" t="s">
        <v>3850</v>
      </c>
      <c r="C44" s="172" t="s">
        <v>3838</v>
      </c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209">
        <f t="shared" ref="Q44:AZ44" si="18">SUM(Q45:Q47)</f>
        <v>0</v>
      </c>
      <c r="R44" s="209">
        <f t="shared" si="18"/>
        <v>0</v>
      </c>
      <c r="S44" s="209">
        <f t="shared" si="18"/>
        <v>0</v>
      </c>
      <c r="T44" s="209">
        <f t="shared" si="18"/>
        <v>0</v>
      </c>
      <c r="U44" s="209">
        <f t="shared" si="18"/>
        <v>0</v>
      </c>
      <c r="V44" s="209">
        <f t="shared" si="18"/>
        <v>0</v>
      </c>
      <c r="W44" s="209">
        <f t="shared" si="18"/>
        <v>0</v>
      </c>
      <c r="X44" s="209">
        <f t="shared" si="18"/>
        <v>0</v>
      </c>
      <c r="Y44" s="209">
        <f t="shared" si="18"/>
        <v>0</v>
      </c>
      <c r="Z44" s="209">
        <f t="shared" si="18"/>
        <v>0</v>
      </c>
      <c r="AA44" s="172">
        <f t="shared" si="18"/>
        <v>12</v>
      </c>
      <c r="AB44" s="172">
        <f t="shared" si="18"/>
        <v>11</v>
      </c>
      <c r="AC44" s="172">
        <f t="shared" si="18"/>
        <v>8</v>
      </c>
      <c r="AD44" s="172">
        <f t="shared" si="18"/>
        <v>14</v>
      </c>
      <c r="AE44" s="172">
        <f t="shared" si="18"/>
        <v>19</v>
      </c>
      <c r="AF44" s="172">
        <f t="shared" si="18"/>
        <v>18</v>
      </c>
      <c r="AG44" s="172">
        <f t="shared" si="18"/>
        <v>20</v>
      </c>
      <c r="AH44" s="172">
        <f t="shared" si="18"/>
        <v>23</v>
      </c>
      <c r="AI44" s="172">
        <f t="shared" si="18"/>
        <v>33</v>
      </c>
      <c r="AJ44" s="172">
        <f t="shared" si="18"/>
        <v>31</v>
      </c>
      <c r="AK44" s="172">
        <f t="shared" si="18"/>
        <v>22</v>
      </c>
      <c r="AL44" s="172">
        <f t="shared" si="18"/>
        <v>26</v>
      </c>
      <c r="AM44" s="172">
        <f t="shared" si="18"/>
        <v>19</v>
      </c>
      <c r="AN44" s="172">
        <f t="shared" si="18"/>
        <v>16</v>
      </c>
      <c r="AO44" s="172">
        <f t="shared" si="18"/>
        <v>28</v>
      </c>
      <c r="AP44" s="172">
        <f t="shared" si="18"/>
        <v>45</v>
      </c>
      <c r="AQ44" s="172">
        <f t="shared" si="18"/>
        <v>52</v>
      </c>
      <c r="AR44" s="172">
        <f t="shared" si="18"/>
        <v>34</v>
      </c>
      <c r="AS44" s="172">
        <f t="shared" si="18"/>
        <v>0</v>
      </c>
      <c r="AT44" s="172">
        <f t="shared" si="18"/>
        <v>0</v>
      </c>
      <c r="AU44" s="172">
        <f t="shared" si="18"/>
        <v>0</v>
      </c>
      <c r="AV44" s="172">
        <f t="shared" si="18"/>
        <v>0</v>
      </c>
      <c r="AW44" s="172">
        <f t="shared" si="18"/>
        <v>0</v>
      </c>
      <c r="AX44" s="172">
        <f t="shared" si="18"/>
        <v>0</v>
      </c>
      <c r="AY44" s="172">
        <f t="shared" si="18"/>
        <v>0</v>
      </c>
      <c r="AZ44" s="172">
        <f t="shared" si="18"/>
        <v>0</v>
      </c>
    </row>
    <row r="45" spans="1:52" ht="15" customHeight="1" outlineLevel="3" x14ac:dyDescent="0.45">
      <c r="A45" s="154"/>
      <c r="B45" s="154" t="s">
        <v>3839</v>
      </c>
      <c r="C45" s="181" t="s">
        <v>3838</v>
      </c>
      <c r="D45" s="169" t="s">
        <v>3840</v>
      </c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205">
        <v>0</v>
      </c>
      <c r="R45" s="205">
        <v>0</v>
      </c>
      <c r="S45" s="205">
        <v>0</v>
      </c>
      <c r="T45" s="205">
        <v>0</v>
      </c>
      <c r="U45" s="205">
        <v>0</v>
      </c>
      <c r="V45" s="205">
        <v>0</v>
      </c>
      <c r="W45" s="205">
        <v>0</v>
      </c>
      <c r="X45" s="205">
        <v>0</v>
      </c>
      <c r="Y45" s="205">
        <v>0</v>
      </c>
      <c r="Z45" s="205">
        <v>0</v>
      </c>
      <c r="AA45" s="206">
        <v>10</v>
      </c>
      <c r="AB45" s="206">
        <v>9</v>
      </c>
      <c r="AC45" s="206">
        <v>5</v>
      </c>
      <c r="AD45" s="206">
        <v>10</v>
      </c>
      <c r="AE45" s="206">
        <v>15</v>
      </c>
      <c r="AF45" s="206">
        <v>7</v>
      </c>
      <c r="AG45" s="206">
        <v>1</v>
      </c>
      <c r="AH45" s="206">
        <v>7</v>
      </c>
      <c r="AI45" s="206">
        <v>9</v>
      </c>
      <c r="AJ45" s="206">
        <v>9</v>
      </c>
      <c r="AK45" s="206">
        <v>2</v>
      </c>
      <c r="AL45" s="206">
        <v>5</v>
      </c>
      <c r="AM45" s="206">
        <v>4</v>
      </c>
      <c r="AN45" s="206">
        <v>3</v>
      </c>
      <c r="AO45" s="206">
        <v>6</v>
      </c>
      <c r="AP45" s="206">
        <v>2</v>
      </c>
      <c r="AQ45" s="206">
        <v>11</v>
      </c>
      <c r="AR45" s="206">
        <v>4</v>
      </c>
      <c r="AS45" s="206"/>
      <c r="AT45" s="206"/>
      <c r="AU45" s="206"/>
      <c r="AV45" s="206"/>
      <c r="AW45" s="206"/>
      <c r="AX45" s="206"/>
      <c r="AY45" s="206"/>
      <c r="AZ45" s="206"/>
    </row>
    <row r="46" spans="1:52" ht="15" customHeight="1" outlineLevel="3" x14ac:dyDescent="0.45">
      <c r="A46" s="154"/>
      <c r="B46" s="154" t="s">
        <v>3841</v>
      </c>
      <c r="C46" s="181" t="s">
        <v>3838</v>
      </c>
      <c r="D46" s="169" t="s">
        <v>3840</v>
      </c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Z46" s="207">
        <v>0</v>
      </c>
      <c r="AA46" s="199">
        <v>0</v>
      </c>
      <c r="AB46" s="199">
        <v>2</v>
      </c>
      <c r="AC46" s="199">
        <v>3</v>
      </c>
      <c r="AD46" s="199">
        <v>0</v>
      </c>
      <c r="AE46" s="199">
        <v>1</v>
      </c>
      <c r="AF46" s="199">
        <v>2</v>
      </c>
      <c r="AG46" s="199">
        <v>1</v>
      </c>
      <c r="AH46" s="199">
        <v>1</v>
      </c>
      <c r="AI46" s="199">
        <v>1</v>
      </c>
      <c r="AJ46" s="199">
        <v>0</v>
      </c>
      <c r="AK46" s="199">
        <v>0</v>
      </c>
      <c r="AL46" s="199">
        <v>0</v>
      </c>
      <c r="AM46" s="199">
        <v>0</v>
      </c>
      <c r="AN46" s="199">
        <v>0</v>
      </c>
      <c r="AO46" s="199">
        <v>0</v>
      </c>
      <c r="AP46" s="199">
        <v>1</v>
      </c>
      <c r="AQ46" s="199">
        <v>1</v>
      </c>
      <c r="AR46" s="199">
        <v>0</v>
      </c>
      <c r="AS46" s="199"/>
      <c r="AT46" s="199"/>
      <c r="AU46" s="199"/>
      <c r="AV46" s="199"/>
      <c r="AW46" s="199"/>
      <c r="AX46" s="199"/>
      <c r="AY46" s="199"/>
      <c r="AZ46" s="199"/>
    </row>
    <row r="47" spans="1:52" ht="15" customHeight="1" outlineLevel="3" x14ac:dyDescent="0.45">
      <c r="A47" s="154"/>
      <c r="B47" s="182" t="s">
        <v>3842</v>
      </c>
      <c r="C47" s="183" t="s">
        <v>3838</v>
      </c>
      <c r="D47" s="184" t="s">
        <v>3840</v>
      </c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208">
        <v>0</v>
      </c>
      <c r="R47" s="208">
        <v>0</v>
      </c>
      <c r="S47" s="208">
        <v>0</v>
      </c>
      <c r="T47" s="208">
        <v>0</v>
      </c>
      <c r="U47" s="208">
        <v>0</v>
      </c>
      <c r="V47" s="208">
        <v>0</v>
      </c>
      <c r="W47" s="208">
        <v>0</v>
      </c>
      <c r="X47" s="208">
        <v>0</v>
      </c>
      <c r="Y47" s="208">
        <v>0</v>
      </c>
      <c r="Z47" s="208">
        <v>0</v>
      </c>
      <c r="AA47" s="189">
        <v>2</v>
      </c>
      <c r="AB47" s="189">
        <v>0</v>
      </c>
      <c r="AC47" s="189">
        <v>0</v>
      </c>
      <c r="AD47" s="189">
        <v>4</v>
      </c>
      <c r="AE47" s="189">
        <v>3</v>
      </c>
      <c r="AF47" s="189">
        <v>9</v>
      </c>
      <c r="AG47" s="189">
        <v>18</v>
      </c>
      <c r="AH47" s="189">
        <v>15</v>
      </c>
      <c r="AI47" s="189">
        <v>23</v>
      </c>
      <c r="AJ47" s="189">
        <v>22</v>
      </c>
      <c r="AK47" s="189">
        <v>20</v>
      </c>
      <c r="AL47" s="189">
        <v>21</v>
      </c>
      <c r="AM47" s="189">
        <v>15</v>
      </c>
      <c r="AN47" s="189">
        <v>13</v>
      </c>
      <c r="AO47" s="189">
        <v>22</v>
      </c>
      <c r="AP47" s="189">
        <v>42</v>
      </c>
      <c r="AQ47" s="189">
        <v>40</v>
      </c>
      <c r="AR47" s="189">
        <v>30</v>
      </c>
      <c r="AS47" s="189"/>
      <c r="AT47" s="189"/>
      <c r="AU47" s="189"/>
      <c r="AV47" s="189"/>
      <c r="AW47" s="189"/>
      <c r="AX47" s="189"/>
      <c r="AY47" s="189"/>
      <c r="AZ47" s="189"/>
    </row>
    <row r="48" spans="1:52" ht="15" customHeight="1" outlineLevel="2" x14ac:dyDescent="0.45">
      <c r="A48" s="154"/>
      <c r="B48" s="154"/>
      <c r="C48" s="154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54"/>
      <c r="R48" s="154"/>
      <c r="S48" s="154"/>
      <c r="T48" s="158"/>
      <c r="U48" s="210"/>
      <c r="V48" s="154"/>
      <c r="W48" s="154"/>
      <c r="X48" s="154"/>
      <c r="Y48" s="154"/>
      <c r="Z48" s="154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199"/>
      <c r="AY48" s="199"/>
      <c r="AZ48" s="199"/>
    </row>
    <row r="49" spans="1:52" ht="15" customHeight="1" outlineLevel="2" x14ac:dyDescent="0.45">
      <c r="A49" s="154"/>
      <c r="B49" s="171" t="s">
        <v>3851</v>
      </c>
      <c r="C49" s="172" t="s">
        <v>3838</v>
      </c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211" t="e">
        <f t="shared" ref="Q49:AB49" si="19">+Q44/Q14</f>
        <v>#DIV/0!</v>
      </c>
      <c r="R49" s="211" t="e">
        <f t="shared" si="19"/>
        <v>#DIV/0!</v>
      </c>
      <c r="S49" s="211" t="e">
        <f t="shared" si="19"/>
        <v>#DIV/0!</v>
      </c>
      <c r="T49" s="211" t="e">
        <f t="shared" si="19"/>
        <v>#DIV/0!</v>
      </c>
      <c r="U49" s="211" t="e">
        <f t="shared" si="19"/>
        <v>#DIV/0!</v>
      </c>
      <c r="V49" s="211" t="e">
        <f t="shared" si="19"/>
        <v>#DIV/0!</v>
      </c>
      <c r="W49" s="211" t="e">
        <f t="shared" si="19"/>
        <v>#DIV/0!</v>
      </c>
      <c r="X49" s="211" t="e">
        <f t="shared" si="19"/>
        <v>#DIV/0!</v>
      </c>
      <c r="Y49" s="211" t="e">
        <f t="shared" si="19"/>
        <v>#DIV/0!</v>
      </c>
      <c r="Z49" s="211" t="e">
        <f t="shared" si="19"/>
        <v>#DIV/0!</v>
      </c>
      <c r="AA49" s="212" t="e">
        <f t="shared" si="19"/>
        <v>#DIV/0!</v>
      </c>
      <c r="AB49" s="212" t="e">
        <f t="shared" si="19"/>
        <v>#DIV/0!</v>
      </c>
      <c r="AC49" s="212">
        <f t="shared" ref="AC49:AJ49" si="20">+AC44/AC18</f>
        <v>8.247422680412371E-2</v>
      </c>
      <c r="AD49" s="212">
        <f t="shared" si="20"/>
        <v>0.14141414141414141</v>
      </c>
      <c r="AE49" s="212">
        <f t="shared" si="20"/>
        <v>0.13970588235294118</v>
      </c>
      <c r="AF49" s="212">
        <f t="shared" si="20"/>
        <v>0.11180124223602485</v>
      </c>
      <c r="AG49" s="212">
        <f t="shared" si="20"/>
        <v>0.12738853503184713</v>
      </c>
      <c r="AH49" s="212">
        <f t="shared" si="20"/>
        <v>0.11794871794871795</v>
      </c>
      <c r="AI49" s="212">
        <f t="shared" si="20"/>
        <v>0.16582914572864321</v>
      </c>
      <c r="AJ49" s="212">
        <f t="shared" si="20"/>
        <v>0.18674698795180722</v>
      </c>
      <c r="AK49" s="212">
        <f t="shared" ref="AK49:AZ49" si="21">+SUM(AK50:AK52)</f>
        <v>1</v>
      </c>
      <c r="AL49" s="212">
        <f t="shared" si="21"/>
        <v>1</v>
      </c>
      <c r="AM49" s="212">
        <f t="shared" si="21"/>
        <v>1</v>
      </c>
      <c r="AN49" s="212">
        <f t="shared" si="21"/>
        <v>1</v>
      </c>
      <c r="AO49" s="212">
        <f t="shared" si="21"/>
        <v>1</v>
      </c>
      <c r="AP49" s="212">
        <f t="shared" si="21"/>
        <v>1</v>
      </c>
      <c r="AQ49" s="212">
        <f t="shared" si="21"/>
        <v>1</v>
      </c>
      <c r="AR49" s="212">
        <f t="shared" si="21"/>
        <v>1</v>
      </c>
      <c r="AS49" s="212">
        <f t="shared" si="21"/>
        <v>0</v>
      </c>
      <c r="AT49" s="212">
        <f t="shared" si="21"/>
        <v>0</v>
      </c>
      <c r="AU49" s="212">
        <f t="shared" si="21"/>
        <v>0</v>
      </c>
      <c r="AV49" s="212">
        <f t="shared" si="21"/>
        <v>0</v>
      </c>
      <c r="AW49" s="212">
        <f t="shared" si="21"/>
        <v>0</v>
      </c>
      <c r="AX49" s="212">
        <f t="shared" si="21"/>
        <v>0</v>
      </c>
      <c r="AY49" s="212">
        <f t="shared" si="21"/>
        <v>0</v>
      </c>
      <c r="AZ49" s="212">
        <f t="shared" si="21"/>
        <v>0</v>
      </c>
    </row>
    <row r="50" spans="1:52" ht="15" customHeight="1" outlineLevel="3" x14ac:dyDescent="0.45">
      <c r="A50" s="154"/>
      <c r="B50" s="175" t="s">
        <v>3839</v>
      </c>
      <c r="C50" s="176" t="s">
        <v>3838</v>
      </c>
      <c r="D50" s="177" t="s">
        <v>3840</v>
      </c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213">
        <f t="shared" ref="Q50:AB50" si="22">IFERROR(Q45/Q$18,0)</f>
        <v>0</v>
      </c>
      <c r="R50" s="213">
        <f t="shared" si="22"/>
        <v>0</v>
      </c>
      <c r="S50" s="213">
        <f t="shared" si="22"/>
        <v>0</v>
      </c>
      <c r="T50" s="213">
        <f t="shared" si="22"/>
        <v>0</v>
      </c>
      <c r="U50" s="213">
        <f t="shared" si="22"/>
        <v>0</v>
      </c>
      <c r="V50" s="213">
        <f t="shared" si="22"/>
        <v>0</v>
      </c>
      <c r="W50" s="213">
        <f t="shared" si="22"/>
        <v>0</v>
      </c>
      <c r="X50" s="213">
        <f t="shared" si="22"/>
        <v>0</v>
      </c>
      <c r="Y50" s="213">
        <f t="shared" si="22"/>
        <v>0</v>
      </c>
      <c r="Z50" s="213">
        <f t="shared" si="22"/>
        <v>0</v>
      </c>
      <c r="AA50" s="214">
        <f t="shared" si="22"/>
        <v>0.10526315789473684</v>
      </c>
      <c r="AB50" s="214">
        <f t="shared" si="22"/>
        <v>8.5714285714285715E-2</v>
      </c>
      <c r="AC50" s="214">
        <f t="shared" ref="AC50:AR50" si="23">IFERROR(AC45/AC$44,0)</f>
        <v>0.625</v>
      </c>
      <c r="AD50" s="214">
        <f t="shared" si="23"/>
        <v>0.7142857142857143</v>
      </c>
      <c r="AE50" s="214">
        <f t="shared" si="23"/>
        <v>0.78947368421052633</v>
      </c>
      <c r="AF50" s="214">
        <f t="shared" si="23"/>
        <v>0.3888888888888889</v>
      </c>
      <c r="AG50" s="214">
        <f t="shared" si="23"/>
        <v>0.05</v>
      </c>
      <c r="AH50" s="214">
        <f t="shared" si="23"/>
        <v>0.30434782608695654</v>
      </c>
      <c r="AI50" s="214">
        <f t="shared" si="23"/>
        <v>0.27272727272727271</v>
      </c>
      <c r="AJ50" s="214">
        <f t="shared" si="23"/>
        <v>0.29032258064516131</v>
      </c>
      <c r="AK50" s="214">
        <f t="shared" si="23"/>
        <v>9.0909090909090912E-2</v>
      </c>
      <c r="AL50" s="214">
        <f t="shared" si="23"/>
        <v>0.19230769230769232</v>
      </c>
      <c r="AM50" s="214">
        <f t="shared" si="23"/>
        <v>0.21052631578947367</v>
      </c>
      <c r="AN50" s="214">
        <f t="shared" si="23"/>
        <v>0.1875</v>
      </c>
      <c r="AO50" s="214">
        <f t="shared" si="23"/>
        <v>0.21428571428571427</v>
      </c>
      <c r="AP50" s="214">
        <f t="shared" si="23"/>
        <v>4.4444444444444446E-2</v>
      </c>
      <c r="AQ50" s="214">
        <f t="shared" si="23"/>
        <v>0.21153846153846154</v>
      </c>
      <c r="AR50" s="214">
        <f t="shared" si="23"/>
        <v>0.11764705882352941</v>
      </c>
      <c r="AS50" s="214">
        <f t="shared" ref="AS50:AZ52" si="24">IFERROR(AS45/AS$18,0)</f>
        <v>0</v>
      </c>
      <c r="AT50" s="214">
        <f t="shared" si="24"/>
        <v>0</v>
      </c>
      <c r="AU50" s="214">
        <f t="shared" si="24"/>
        <v>0</v>
      </c>
      <c r="AV50" s="214">
        <f t="shared" si="24"/>
        <v>0</v>
      </c>
      <c r="AW50" s="214">
        <f t="shared" si="24"/>
        <v>0</v>
      </c>
      <c r="AX50" s="214">
        <f t="shared" si="24"/>
        <v>0</v>
      </c>
      <c r="AY50" s="214">
        <f t="shared" si="24"/>
        <v>0</v>
      </c>
      <c r="AZ50" s="214">
        <f t="shared" si="24"/>
        <v>0</v>
      </c>
    </row>
    <row r="51" spans="1:52" ht="15" customHeight="1" outlineLevel="3" x14ac:dyDescent="0.45">
      <c r="A51" s="154"/>
      <c r="B51" s="154" t="s">
        <v>3841</v>
      </c>
      <c r="C51" s="181" t="s">
        <v>3838</v>
      </c>
      <c r="D51" s="169" t="s">
        <v>3840</v>
      </c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215">
        <f t="shared" ref="Q51:AB51" si="25">IFERROR(Q46/Q$18,0)</f>
        <v>0</v>
      </c>
      <c r="R51" s="215">
        <f t="shared" si="25"/>
        <v>0</v>
      </c>
      <c r="S51" s="215">
        <f t="shared" si="25"/>
        <v>0</v>
      </c>
      <c r="T51" s="215">
        <f t="shared" si="25"/>
        <v>0</v>
      </c>
      <c r="U51" s="215">
        <f t="shared" si="25"/>
        <v>0</v>
      </c>
      <c r="V51" s="215">
        <f t="shared" si="25"/>
        <v>0</v>
      </c>
      <c r="W51" s="215">
        <f t="shared" si="25"/>
        <v>0</v>
      </c>
      <c r="X51" s="215">
        <f t="shared" si="25"/>
        <v>0</v>
      </c>
      <c r="Y51" s="215">
        <f t="shared" si="25"/>
        <v>0</v>
      </c>
      <c r="Z51" s="215">
        <f t="shared" si="25"/>
        <v>0</v>
      </c>
      <c r="AA51" s="216">
        <f t="shared" si="25"/>
        <v>0</v>
      </c>
      <c r="AB51" s="216">
        <f t="shared" si="25"/>
        <v>1.9047619047619049E-2</v>
      </c>
      <c r="AC51" s="216">
        <f t="shared" ref="AC51:AR51" si="26">IFERROR(AC46/AC$44,0)</f>
        <v>0.375</v>
      </c>
      <c r="AD51" s="216">
        <f t="shared" si="26"/>
        <v>0</v>
      </c>
      <c r="AE51" s="216">
        <f t="shared" si="26"/>
        <v>5.2631578947368418E-2</v>
      </c>
      <c r="AF51" s="216">
        <f t="shared" si="26"/>
        <v>0.1111111111111111</v>
      </c>
      <c r="AG51" s="216">
        <f t="shared" si="26"/>
        <v>0.05</v>
      </c>
      <c r="AH51" s="216">
        <f t="shared" si="26"/>
        <v>4.3478260869565216E-2</v>
      </c>
      <c r="AI51" s="216">
        <f t="shared" si="26"/>
        <v>3.0303030303030304E-2</v>
      </c>
      <c r="AJ51" s="216">
        <f t="shared" si="26"/>
        <v>0</v>
      </c>
      <c r="AK51" s="216">
        <f t="shared" si="26"/>
        <v>0</v>
      </c>
      <c r="AL51" s="216">
        <f t="shared" si="26"/>
        <v>0</v>
      </c>
      <c r="AM51" s="216">
        <f t="shared" si="26"/>
        <v>0</v>
      </c>
      <c r="AN51" s="216">
        <f t="shared" si="26"/>
        <v>0</v>
      </c>
      <c r="AO51" s="216">
        <f t="shared" si="26"/>
        <v>0</v>
      </c>
      <c r="AP51" s="216">
        <f t="shared" si="26"/>
        <v>2.2222222222222223E-2</v>
      </c>
      <c r="AQ51" s="216">
        <f t="shared" si="26"/>
        <v>1.9230769230769232E-2</v>
      </c>
      <c r="AR51" s="216">
        <f t="shared" si="26"/>
        <v>0</v>
      </c>
      <c r="AS51" s="216">
        <f t="shared" si="24"/>
        <v>0</v>
      </c>
      <c r="AT51" s="216">
        <f t="shared" si="24"/>
        <v>0</v>
      </c>
      <c r="AU51" s="216">
        <f t="shared" si="24"/>
        <v>0</v>
      </c>
      <c r="AV51" s="216">
        <f t="shared" si="24"/>
        <v>0</v>
      </c>
      <c r="AW51" s="216">
        <f t="shared" si="24"/>
        <v>0</v>
      </c>
      <c r="AX51" s="216">
        <f t="shared" si="24"/>
        <v>0</v>
      </c>
      <c r="AY51" s="216">
        <f t="shared" si="24"/>
        <v>0</v>
      </c>
      <c r="AZ51" s="216">
        <f t="shared" si="24"/>
        <v>0</v>
      </c>
    </row>
    <row r="52" spans="1:52" ht="15" customHeight="1" outlineLevel="3" x14ac:dyDescent="0.45">
      <c r="A52" s="154"/>
      <c r="B52" s="182" t="s">
        <v>3842</v>
      </c>
      <c r="C52" s="183" t="s">
        <v>3838</v>
      </c>
      <c r="D52" s="184" t="s">
        <v>3840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217">
        <f t="shared" ref="Q52:AB52" si="27">IFERROR(Q47/Q$18,0)</f>
        <v>0</v>
      </c>
      <c r="R52" s="217">
        <f t="shared" si="27"/>
        <v>0</v>
      </c>
      <c r="S52" s="217">
        <f t="shared" si="27"/>
        <v>0</v>
      </c>
      <c r="T52" s="217">
        <f t="shared" si="27"/>
        <v>0</v>
      </c>
      <c r="U52" s="217">
        <f t="shared" si="27"/>
        <v>0</v>
      </c>
      <c r="V52" s="217">
        <f t="shared" si="27"/>
        <v>0</v>
      </c>
      <c r="W52" s="217">
        <f t="shared" si="27"/>
        <v>0</v>
      </c>
      <c r="X52" s="217">
        <f t="shared" si="27"/>
        <v>0</v>
      </c>
      <c r="Y52" s="217">
        <f t="shared" si="27"/>
        <v>0</v>
      </c>
      <c r="Z52" s="217">
        <f t="shared" si="27"/>
        <v>0</v>
      </c>
      <c r="AA52" s="218">
        <f t="shared" si="27"/>
        <v>2.1052631578947368E-2</v>
      </c>
      <c r="AB52" s="218">
        <f t="shared" si="27"/>
        <v>0</v>
      </c>
      <c r="AC52" s="218">
        <f t="shared" ref="AC52:AR52" si="28">IFERROR(AC47/AC$44,0)</f>
        <v>0</v>
      </c>
      <c r="AD52" s="218">
        <f t="shared" si="28"/>
        <v>0.2857142857142857</v>
      </c>
      <c r="AE52" s="218">
        <f t="shared" si="28"/>
        <v>0.15789473684210525</v>
      </c>
      <c r="AF52" s="218">
        <f t="shared" si="28"/>
        <v>0.5</v>
      </c>
      <c r="AG52" s="218">
        <f t="shared" si="28"/>
        <v>0.9</v>
      </c>
      <c r="AH52" s="218">
        <f t="shared" si="28"/>
        <v>0.65217391304347827</v>
      </c>
      <c r="AI52" s="218">
        <f t="shared" si="28"/>
        <v>0.69696969696969702</v>
      </c>
      <c r="AJ52" s="218">
        <f t="shared" si="28"/>
        <v>0.70967741935483875</v>
      </c>
      <c r="AK52" s="218">
        <f t="shared" si="28"/>
        <v>0.90909090909090906</v>
      </c>
      <c r="AL52" s="218">
        <f t="shared" si="28"/>
        <v>0.80769230769230771</v>
      </c>
      <c r="AM52" s="218">
        <f t="shared" si="28"/>
        <v>0.78947368421052633</v>
      </c>
      <c r="AN52" s="218">
        <f t="shared" si="28"/>
        <v>0.8125</v>
      </c>
      <c r="AO52" s="218">
        <f t="shared" si="28"/>
        <v>0.7857142857142857</v>
      </c>
      <c r="AP52" s="218">
        <f t="shared" si="28"/>
        <v>0.93333333333333335</v>
      </c>
      <c r="AQ52" s="218">
        <f t="shared" si="28"/>
        <v>0.76923076923076927</v>
      </c>
      <c r="AR52" s="218">
        <f t="shared" si="28"/>
        <v>0.88235294117647056</v>
      </c>
      <c r="AS52" s="218">
        <f t="shared" si="24"/>
        <v>0</v>
      </c>
      <c r="AT52" s="218">
        <f t="shared" si="24"/>
        <v>0</v>
      </c>
      <c r="AU52" s="218">
        <f t="shared" si="24"/>
        <v>0</v>
      </c>
      <c r="AV52" s="218">
        <f t="shared" si="24"/>
        <v>0</v>
      </c>
      <c r="AW52" s="218">
        <f t="shared" si="24"/>
        <v>0</v>
      </c>
      <c r="AX52" s="218">
        <f t="shared" si="24"/>
        <v>0</v>
      </c>
      <c r="AY52" s="218">
        <f t="shared" si="24"/>
        <v>0</v>
      </c>
      <c r="AZ52" s="218">
        <f t="shared" si="24"/>
        <v>0</v>
      </c>
    </row>
    <row r="53" spans="1:52" ht="15" customHeight="1" outlineLevel="2" x14ac:dyDescent="0.45">
      <c r="A53" s="154"/>
      <c r="B53" s="154"/>
      <c r="C53" s="154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199"/>
      <c r="AX53" s="199"/>
      <c r="AY53" s="199"/>
      <c r="AZ53" s="199"/>
    </row>
    <row r="54" spans="1:52" ht="15" customHeight="1" outlineLevel="2" x14ac:dyDescent="0.45">
      <c r="A54" s="154"/>
      <c r="B54" s="171" t="s">
        <v>3852</v>
      </c>
      <c r="C54" s="172" t="s">
        <v>3838</v>
      </c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209">
        <f t="shared" ref="Q54:AZ54" si="29">+SUM(Q55:Q57)</f>
        <v>0</v>
      </c>
      <c r="R54" s="209">
        <f t="shared" si="29"/>
        <v>0</v>
      </c>
      <c r="S54" s="209">
        <f t="shared" si="29"/>
        <v>0</v>
      </c>
      <c r="T54" s="209">
        <f t="shared" si="29"/>
        <v>0</v>
      </c>
      <c r="U54" s="209">
        <f t="shared" si="29"/>
        <v>0</v>
      </c>
      <c r="V54" s="209">
        <f t="shared" si="29"/>
        <v>0</v>
      </c>
      <c r="W54" s="209">
        <f t="shared" si="29"/>
        <v>0</v>
      </c>
      <c r="X54" s="209">
        <f t="shared" si="29"/>
        <v>0</v>
      </c>
      <c r="Y54" s="209">
        <f t="shared" si="29"/>
        <v>0</v>
      </c>
      <c r="Z54" s="209">
        <f t="shared" si="29"/>
        <v>0</v>
      </c>
      <c r="AA54" s="209">
        <f t="shared" si="29"/>
        <v>0</v>
      </c>
      <c r="AB54" s="172">
        <f t="shared" si="29"/>
        <v>11</v>
      </c>
      <c r="AC54" s="172">
        <f t="shared" si="29"/>
        <v>8</v>
      </c>
      <c r="AD54" s="172">
        <f t="shared" si="29"/>
        <v>12</v>
      </c>
      <c r="AE54" s="172">
        <f t="shared" si="29"/>
        <v>18</v>
      </c>
      <c r="AF54" s="172">
        <f t="shared" si="29"/>
        <v>15</v>
      </c>
      <c r="AG54" s="172">
        <f t="shared" si="29"/>
        <v>18</v>
      </c>
      <c r="AH54" s="172">
        <f t="shared" si="29"/>
        <v>17</v>
      </c>
      <c r="AI54" s="172">
        <f t="shared" si="29"/>
        <v>23</v>
      </c>
      <c r="AJ54" s="172">
        <f t="shared" si="29"/>
        <v>27</v>
      </c>
      <c r="AK54" s="172">
        <f t="shared" si="29"/>
        <v>14</v>
      </c>
      <c r="AL54" s="172">
        <f t="shared" si="29"/>
        <v>15</v>
      </c>
      <c r="AM54" s="172">
        <f t="shared" si="29"/>
        <v>12</v>
      </c>
      <c r="AN54" s="172">
        <f t="shared" si="29"/>
        <v>11</v>
      </c>
      <c r="AO54" s="172">
        <f t="shared" si="29"/>
        <v>17</v>
      </c>
      <c r="AP54" s="172">
        <f t="shared" si="29"/>
        <v>39</v>
      </c>
      <c r="AQ54" s="172">
        <f t="shared" si="29"/>
        <v>36</v>
      </c>
      <c r="AR54" s="172">
        <f t="shared" si="29"/>
        <v>22</v>
      </c>
      <c r="AS54" s="172">
        <f t="shared" si="29"/>
        <v>0</v>
      </c>
      <c r="AT54" s="172">
        <f t="shared" si="29"/>
        <v>0</v>
      </c>
      <c r="AU54" s="172">
        <f t="shared" si="29"/>
        <v>0</v>
      </c>
      <c r="AV54" s="172">
        <f t="shared" si="29"/>
        <v>0</v>
      </c>
      <c r="AW54" s="172">
        <f t="shared" si="29"/>
        <v>0</v>
      </c>
      <c r="AX54" s="172">
        <f t="shared" si="29"/>
        <v>0</v>
      </c>
      <c r="AY54" s="172">
        <f t="shared" si="29"/>
        <v>0</v>
      </c>
      <c r="AZ54" s="172">
        <f t="shared" si="29"/>
        <v>0</v>
      </c>
    </row>
    <row r="55" spans="1:52" ht="15" customHeight="1" outlineLevel="3" x14ac:dyDescent="0.45">
      <c r="A55" s="154"/>
      <c r="B55" s="175" t="s">
        <v>3839</v>
      </c>
      <c r="C55" s="176" t="s">
        <v>3838</v>
      </c>
      <c r="D55" s="177" t="s">
        <v>3840</v>
      </c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205">
        <v>0</v>
      </c>
      <c r="R55" s="205">
        <v>0</v>
      </c>
      <c r="S55" s="205">
        <v>0</v>
      </c>
      <c r="T55" s="205">
        <v>0</v>
      </c>
      <c r="U55" s="205">
        <v>0</v>
      </c>
      <c r="V55" s="205">
        <v>0</v>
      </c>
      <c r="W55" s="205">
        <v>0</v>
      </c>
      <c r="X55" s="205">
        <v>0</v>
      </c>
      <c r="Y55" s="205">
        <v>0</v>
      </c>
      <c r="Z55" s="205">
        <v>0</v>
      </c>
      <c r="AA55" s="205">
        <v>0</v>
      </c>
      <c r="AB55" s="206">
        <v>9</v>
      </c>
      <c r="AC55" s="206">
        <v>5</v>
      </c>
      <c r="AD55" s="206">
        <v>10</v>
      </c>
      <c r="AE55" s="206">
        <v>14</v>
      </c>
      <c r="AF55" s="206">
        <v>7</v>
      </c>
      <c r="AG55" s="206">
        <v>1</v>
      </c>
      <c r="AH55" s="206">
        <v>4</v>
      </c>
      <c r="AI55" s="206">
        <v>7</v>
      </c>
      <c r="AJ55" s="206">
        <v>7</v>
      </c>
      <c r="AK55" s="206">
        <v>2</v>
      </c>
      <c r="AL55" s="206">
        <v>3</v>
      </c>
      <c r="AM55" s="206">
        <v>0</v>
      </c>
      <c r="AN55" s="206">
        <v>2</v>
      </c>
      <c r="AO55" s="206">
        <v>1</v>
      </c>
      <c r="AP55" s="206">
        <v>2</v>
      </c>
      <c r="AQ55" s="206">
        <v>9</v>
      </c>
      <c r="AR55" s="206">
        <v>3</v>
      </c>
      <c r="AS55" s="206"/>
      <c r="AT55" s="206"/>
      <c r="AU55" s="206"/>
      <c r="AV55" s="206"/>
      <c r="AW55" s="206"/>
      <c r="AX55" s="206"/>
      <c r="AY55" s="206"/>
      <c r="AZ55" s="206"/>
    </row>
    <row r="56" spans="1:52" ht="15" customHeight="1" outlineLevel="3" x14ac:dyDescent="0.45">
      <c r="A56" s="154"/>
      <c r="B56" s="154" t="s">
        <v>3841</v>
      </c>
      <c r="C56" s="181" t="s">
        <v>3838</v>
      </c>
      <c r="D56" s="169" t="s">
        <v>3840</v>
      </c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207">
        <v>0</v>
      </c>
      <c r="R56" s="207">
        <v>0</v>
      </c>
      <c r="S56" s="207">
        <v>0</v>
      </c>
      <c r="T56" s="207">
        <v>0</v>
      </c>
      <c r="U56" s="207">
        <v>0</v>
      </c>
      <c r="V56" s="207">
        <v>0</v>
      </c>
      <c r="W56" s="207">
        <v>0</v>
      </c>
      <c r="X56" s="207">
        <v>0</v>
      </c>
      <c r="Y56" s="207">
        <v>0</v>
      </c>
      <c r="Z56" s="207">
        <v>0</v>
      </c>
      <c r="AA56" s="207">
        <v>0</v>
      </c>
      <c r="AB56" s="199">
        <v>2</v>
      </c>
      <c r="AC56" s="199">
        <v>3</v>
      </c>
      <c r="AD56" s="199">
        <v>0</v>
      </c>
      <c r="AE56" s="199">
        <v>1</v>
      </c>
      <c r="AF56" s="199">
        <v>2</v>
      </c>
      <c r="AG56" s="199">
        <v>1</v>
      </c>
      <c r="AH56" s="199">
        <v>1</v>
      </c>
      <c r="AI56" s="199">
        <v>1</v>
      </c>
      <c r="AJ56" s="199">
        <v>0</v>
      </c>
      <c r="AK56" s="199">
        <v>0</v>
      </c>
      <c r="AL56" s="199">
        <v>0</v>
      </c>
      <c r="AM56" s="199">
        <v>0</v>
      </c>
      <c r="AN56" s="199">
        <v>0</v>
      </c>
      <c r="AO56" s="199">
        <v>0</v>
      </c>
      <c r="AP56" s="199">
        <v>1</v>
      </c>
      <c r="AQ56" s="199">
        <v>1</v>
      </c>
      <c r="AR56" s="199">
        <v>0</v>
      </c>
      <c r="AS56" s="199"/>
      <c r="AT56" s="199"/>
      <c r="AU56" s="199"/>
      <c r="AV56" s="199"/>
      <c r="AW56" s="199"/>
      <c r="AX56" s="199"/>
      <c r="AY56" s="199"/>
      <c r="AZ56" s="199"/>
    </row>
    <row r="57" spans="1:52" ht="15" customHeight="1" outlineLevel="3" x14ac:dyDescent="0.45">
      <c r="A57" s="154"/>
      <c r="B57" s="182" t="s">
        <v>3842</v>
      </c>
      <c r="C57" s="183" t="s">
        <v>3838</v>
      </c>
      <c r="D57" s="184" t="s">
        <v>3840</v>
      </c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208">
        <v>0</v>
      </c>
      <c r="R57" s="208">
        <v>0</v>
      </c>
      <c r="S57" s="208">
        <v>0</v>
      </c>
      <c r="T57" s="208">
        <v>0</v>
      </c>
      <c r="U57" s="208">
        <v>0</v>
      </c>
      <c r="V57" s="208">
        <v>0</v>
      </c>
      <c r="W57" s="208">
        <v>0</v>
      </c>
      <c r="X57" s="208">
        <v>0</v>
      </c>
      <c r="Y57" s="208">
        <v>0</v>
      </c>
      <c r="Z57" s="208">
        <v>0</v>
      </c>
      <c r="AA57" s="208">
        <v>0</v>
      </c>
      <c r="AB57" s="189">
        <v>0</v>
      </c>
      <c r="AC57" s="189">
        <v>0</v>
      </c>
      <c r="AD57" s="189">
        <v>2</v>
      </c>
      <c r="AE57" s="189">
        <v>3</v>
      </c>
      <c r="AF57" s="189">
        <v>6</v>
      </c>
      <c r="AG57" s="189">
        <v>16</v>
      </c>
      <c r="AH57" s="189">
        <v>12</v>
      </c>
      <c r="AI57" s="189">
        <v>15</v>
      </c>
      <c r="AJ57" s="189">
        <v>20</v>
      </c>
      <c r="AK57" s="189">
        <v>12</v>
      </c>
      <c r="AL57" s="189">
        <v>12</v>
      </c>
      <c r="AM57" s="189">
        <v>12</v>
      </c>
      <c r="AN57" s="189">
        <v>9</v>
      </c>
      <c r="AO57" s="189">
        <v>16</v>
      </c>
      <c r="AP57" s="189">
        <v>36</v>
      </c>
      <c r="AQ57" s="189">
        <v>26</v>
      </c>
      <c r="AR57" s="189">
        <v>19</v>
      </c>
      <c r="AS57" s="189"/>
      <c r="AT57" s="189"/>
      <c r="AU57" s="189"/>
      <c r="AV57" s="189"/>
      <c r="AW57" s="189"/>
      <c r="AX57" s="189"/>
      <c r="AY57" s="189"/>
      <c r="AZ57" s="189"/>
    </row>
    <row r="58" spans="1:52" ht="15" customHeight="1" outlineLevel="2" x14ac:dyDescent="0.45">
      <c r="A58" s="154"/>
      <c r="B58" s="154"/>
      <c r="C58" s="154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  <c r="AN58" s="199"/>
      <c r="AO58" s="199"/>
      <c r="AP58" s="199"/>
      <c r="AQ58" s="199"/>
      <c r="AR58" s="199"/>
      <c r="AS58" s="199"/>
      <c r="AT58" s="199"/>
      <c r="AU58" s="199"/>
      <c r="AV58" s="199"/>
      <c r="AW58" s="199"/>
      <c r="AX58" s="199"/>
      <c r="AY58" s="199"/>
      <c r="AZ58" s="199"/>
    </row>
    <row r="59" spans="1:52" ht="15" customHeight="1" outlineLevel="2" x14ac:dyDescent="0.45">
      <c r="A59" s="154"/>
      <c r="B59" s="171" t="s">
        <v>3853</v>
      </c>
      <c r="C59" s="172" t="s">
        <v>3838</v>
      </c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209">
        <f t="shared" ref="Q59:AZ59" si="30">+SUM(Q60:Q62)</f>
        <v>0</v>
      </c>
      <c r="R59" s="209">
        <f t="shared" si="30"/>
        <v>0</v>
      </c>
      <c r="S59" s="209">
        <f t="shared" si="30"/>
        <v>0</v>
      </c>
      <c r="T59" s="209">
        <f t="shared" si="30"/>
        <v>0</v>
      </c>
      <c r="U59" s="209">
        <f t="shared" si="30"/>
        <v>0</v>
      </c>
      <c r="V59" s="209">
        <f t="shared" si="30"/>
        <v>0</v>
      </c>
      <c r="W59" s="209">
        <f t="shared" si="30"/>
        <v>0</v>
      </c>
      <c r="X59" s="209">
        <f t="shared" si="30"/>
        <v>0</v>
      </c>
      <c r="Y59" s="209">
        <f t="shared" si="30"/>
        <v>0</v>
      </c>
      <c r="Z59" s="209">
        <f t="shared" si="30"/>
        <v>0</v>
      </c>
      <c r="AA59" s="209">
        <f t="shared" si="30"/>
        <v>0</v>
      </c>
      <c r="AB59" s="172">
        <f t="shared" si="30"/>
        <v>0</v>
      </c>
      <c r="AC59" s="172">
        <f t="shared" si="30"/>
        <v>0</v>
      </c>
      <c r="AD59" s="172">
        <f t="shared" si="30"/>
        <v>2</v>
      </c>
      <c r="AE59" s="172">
        <f t="shared" si="30"/>
        <v>1</v>
      </c>
      <c r="AF59" s="172">
        <f t="shared" si="30"/>
        <v>3</v>
      </c>
      <c r="AG59" s="172">
        <f t="shared" si="30"/>
        <v>2</v>
      </c>
      <c r="AH59" s="172">
        <f t="shared" si="30"/>
        <v>6</v>
      </c>
      <c r="AI59" s="172">
        <f t="shared" si="30"/>
        <v>10</v>
      </c>
      <c r="AJ59" s="172">
        <f t="shared" si="30"/>
        <v>4</v>
      </c>
      <c r="AK59" s="172">
        <f t="shared" si="30"/>
        <v>8</v>
      </c>
      <c r="AL59" s="172">
        <f t="shared" si="30"/>
        <v>11</v>
      </c>
      <c r="AM59" s="172">
        <f t="shared" si="30"/>
        <v>7</v>
      </c>
      <c r="AN59" s="172">
        <f t="shared" si="30"/>
        <v>5</v>
      </c>
      <c r="AO59" s="172">
        <f t="shared" si="30"/>
        <v>11</v>
      </c>
      <c r="AP59" s="172">
        <f t="shared" si="30"/>
        <v>6</v>
      </c>
      <c r="AQ59" s="172">
        <f t="shared" si="30"/>
        <v>16</v>
      </c>
      <c r="AR59" s="172">
        <f t="shared" si="30"/>
        <v>12</v>
      </c>
      <c r="AS59" s="172">
        <f t="shared" si="30"/>
        <v>0</v>
      </c>
      <c r="AT59" s="172">
        <f t="shared" si="30"/>
        <v>0</v>
      </c>
      <c r="AU59" s="172">
        <f t="shared" si="30"/>
        <v>0</v>
      </c>
      <c r="AV59" s="172">
        <f t="shared" si="30"/>
        <v>0</v>
      </c>
      <c r="AW59" s="172">
        <f t="shared" si="30"/>
        <v>0</v>
      </c>
      <c r="AX59" s="172">
        <f t="shared" si="30"/>
        <v>0</v>
      </c>
      <c r="AY59" s="172">
        <f t="shared" si="30"/>
        <v>0</v>
      </c>
      <c r="AZ59" s="172">
        <f t="shared" si="30"/>
        <v>0</v>
      </c>
    </row>
    <row r="60" spans="1:52" ht="15" customHeight="1" outlineLevel="3" x14ac:dyDescent="0.45">
      <c r="A60" s="154"/>
      <c r="B60" s="175" t="s">
        <v>3839</v>
      </c>
      <c r="C60" s="176" t="s">
        <v>3838</v>
      </c>
      <c r="D60" s="177" t="s">
        <v>3840</v>
      </c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205">
        <v>0</v>
      </c>
      <c r="R60" s="205">
        <v>0</v>
      </c>
      <c r="S60" s="205">
        <v>0</v>
      </c>
      <c r="T60" s="205">
        <v>0</v>
      </c>
      <c r="U60" s="205">
        <v>0</v>
      </c>
      <c r="V60" s="205">
        <v>0</v>
      </c>
      <c r="W60" s="205">
        <v>0</v>
      </c>
      <c r="X60" s="205">
        <v>0</v>
      </c>
      <c r="Y60" s="205">
        <v>0</v>
      </c>
      <c r="Z60" s="205">
        <v>0</v>
      </c>
      <c r="AA60" s="205">
        <v>0</v>
      </c>
      <c r="AB60" s="206">
        <v>0</v>
      </c>
      <c r="AC60" s="206">
        <v>0</v>
      </c>
      <c r="AD60" s="206">
        <v>0</v>
      </c>
      <c r="AE60" s="206">
        <v>1</v>
      </c>
      <c r="AF60" s="206">
        <v>0</v>
      </c>
      <c r="AG60" s="206">
        <v>0</v>
      </c>
      <c r="AH60" s="206">
        <v>3</v>
      </c>
      <c r="AI60" s="206">
        <v>2</v>
      </c>
      <c r="AJ60" s="206">
        <v>2</v>
      </c>
      <c r="AK60" s="206">
        <v>0</v>
      </c>
      <c r="AL60" s="206">
        <v>2</v>
      </c>
      <c r="AM60" s="206">
        <v>4</v>
      </c>
      <c r="AN60" s="206">
        <v>1</v>
      </c>
      <c r="AO60" s="206">
        <v>5</v>
      </c>
      <c r="AP60" s="206">
        <v>0</v>
      </c>
      <c r="AQ60" s="206">
        <v>2</v>
      </c>
      <c r="AR60" s="206">
        <v>1</v>
      </c>
      <c r="AS60" s="206"/>
      <c r="AT60" s="206"/>
      <c r="AU60" s="206"/>
      <c r="AV60" s="206"/>
      <c r="AW60" s="206"/>
      <c r="AX60" s="206"/>
      <c r="AY60" s="206"/>
      <c r="AZ60" s="206"/>
    </row>
    <row r="61" spans="1:52" ht="15" customHeight="1" outlineLevel="3" x14ac:dyDescent="0.45">
      <c r="A61" s="154"/>
      <c r="B61" s="154" t="s">
        <v>3841</v>
      </c>
      <c r="C61" s="181" t="s">
        <v>3838</v>
      </c>
      <c r="D61" s="169" t="s">
        <v>3840</v>
      </c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207">
        <v>0</v>
      </c>
      <c r="R61" s="207">
        <v>0</v>
      </c>
      <c r="S61" s="207">
        <v>0</v>
      </c>
      <c r="T61" s="207">
        <v>0</v>
      </c>
      <c r="U61" s="207">
        <v>0</v>
      </c>
      <c r="V61" s="207">
        <v>0</v>
      </c>
      <c r="W61" s="207">
        <v>0</v>
      </c>
      <c r="X61" s="207">
        <v>0</v>
      </c>
      <c r="Y61" s="207">
        <v>0</v>
      </c>
      <c r="Z61" s="207">
        <v>0</v>
      </c>
      <c r="AA61" s="207">
        <v>0</v>
      </c>
      <c r="AB61" s="199">
        <v>0</v>
      </c>
      <c r="AC61" s="199">
        <v>0</v>
      </c>
      <c r="AD61" s="199">
        <v>0</v>
      </c>
      <c r="AE61" s="199">
        <v>0</v>
      </c>
      <c r="AF61" s="199">
        <v>0</v>
      </c>
      <c r="AG61" s="199">
        <v>0</v>
      </c>
      <c r="AH61" s="199">
        <v>0</v>
      </c>
      <c r="AI61" s="199">
        <v>0</v>
      </c>
      <c r="AJ61" s="199">
        <v>0</v>
      </c>
      <c r="AK61" s="199">
        <v>0</v>
      </c>
      <c r="AL61" s="199">
        <v>0</v>
      </c>
      <c r="AM61" s="199">
        <v>0</v>
      </c>
      <c r="AN61" s="199">
        <v>0</v>
      </c>
      <c r="AO61" s="199">
        <v>0</v>
      </c>
      <c r="AP61" s="199">
        <v>0</v>
      </c>
      <c r="AQ61" s="199">
        <v>0</v>
      </c>
      <c r="AR61" s="199">
        <v>0</v>
      </c>
      <c r="AS61" s="199"/>
      <c r="AT61" s="199"/>
      <c r="AU61" s="199"/>
      <c r="AV61" s="199"/>
      <c r="AW61" s="199"/>
      <c r="AX61" s="199"/>
      <c r="AY61" s="199"/>
      <c r="AZ61" s="199"/>
    </row>
    <row r="62" spans="1:52" ht="15" customHeight="1" outlineLevel="3" x14ac:dyDescent="0.45">
      <c r="A62" s="154"/>
      <c r="B62" s="182" t="s">
        <v>3842</v>
      </c>
      <c r="C62" s="183" t="s">
        <v>3838</v>
      </c>
      <c r="D62" s="184" t="s">
        <v>3840</v>
      </c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208">
        <v>0</v>
      </c>
      <c r="R62" s="208">
        <v>0</v>
      </c>
      <c r="S62" s="208">
        <v>0</v>
      </c>
      <c r="T62" s="208">
        <v>0</v>
      </c>
      <c r="U62" s="208">
        <v>0</v>
      </c>
      <c r="V62" s="208">
        <v>0</v>
      </c>
      <c r="W62" s="208">
        <v>0</v>
      </c>
      <c r="X62" s="208">
        <v>0</v>
      </c>
      <c r="Y62" s="208">
        <v>0</v>
      </c>
      <c r="Z62" s="208">
        <v>0</v>
      </c>
      <c r="AA62" s="208">
        <v>0</v>
      </c>
      <c r="AB62" s="189">
        <v>0</v>
      </c>
      <c r="AC62" s="189">
        <v>0</v>
      </c>
      <c r="AD62" s="189">
        <v>2</v>
      </c>
      <c r="AE62" s="189">
        <v>0</v>
      </c>
      <c r="AF62" s="189">
        <v>3</v>
      </c>
      <c r="AG62" s="189">
        <v>2</v>
      </c>
      <c r="AH62" s="189">
        <v>3</v>
      </c>
      <c r="AI62" s="189">
        <v>8</v>
      </c>
      <c r="AJ62" s="189">
        <v>2</v>
      </c>
      <c r="AK62" s="189">
        <v>8</v>
      </c>
      <c r="AL62" s="189">
        <v>9</v>
      </c>
      <c r="AM62" s="189">
        <v>3</v>
      </c>
      <c r="AN62" s="189">
        <v>4</v>
      </c>
      <c r="AO62" s="189">
        <v>6</v>
      </c>
      <c r="AP62" s="189">
        <v>6</v>
      </c>
      <c r="AQ62" s="189">
        <v>14</v>
      </c>
      <c r="AR62" s="189">
        <v>11</v>
      </c>
      <c r="AS62" s="189"/>
      <c r="AT62" s="189"/>
      <c r="AU62" s="189"/>
      <c r="AV62" s="189"/>
      <c r="AW62" s="189"/>
      <c r="AX62" s="189"/>
      <c r="AY62" s="189"/>
      <c r="AZ62" s="189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zoomScaleNormal="100" workbookViewId="0">
      <selection activeCell="B8" sqref="B8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8" customWidth="1"/>
    <col min="4" max="4" width="14" customWidth="1"/>
    <col min="5" max="5" width="10" customWidth="1"/>
    <col min="6" max="6" width="16" customWidth="1"/>
  </cols>
  <sheetData>
    <row r="1" spans="1:6" ht="27.75" customHeight="1" x14ac:dyDescent="0.35">
      <c r="A1" s="243" t="s">
        <v>3854</v>
      </c>
      <c r="B1" s="243"/>
      <c r="C1" s="243"/>
      <c r="D1" s="243"/>
      <c r="E1" s="243"/>
      <c r="F1" s="243"/>
    </row>
    <row r="2" spans="1:6" ht="4.5" customHeight="1" x14ac:dyDescent="0.35"/>
    <row r="3" spans="1:6" ht="15.75" customHeight="1" x14ac:dyDescent="0.35">
      <c r="A3" s="244" t="s">
        <v>3855</v>
      </c>
      <c r="B3" s="244"/>
      <c r="C3" s="244"/>
      <c r="D3" s="244"/>
      <c r="E3" s="244"/>
      <c r="F3" s="244"/>
    </row>
    <row r="4" spans="1:6" ht="27.75" customHeight="1" x14ac:dyDescent="0.35">
      <c r="A4" s="219" t="s">
        <v>3856</v>
      </c>
      <c r="B4" s="219" t="s">
        <v>3857</v>
      </c>
      <c r="C4" s="219" t="s">
        <v>3858</v>
      </c>
      <c r="D4" s="219" t="s">
        <v>3859</v>
      </c>
      <c r="E4" s="219" t="s">
        <v>3860</v>
      </c>
      <c r="F4" s="219" t="s">
        <v>3861</v>
      </c>
    </row>
    <row r="5" spans="1:6" ht="18" customHeight="1" x14ac:dyDescent="0.35">
      <c r="A5" s="220" t="s">
        <v>108</v>
      </c>
      <c r="B5" s="221">
        <f>IFERROR(INDEX(Originaciones!$E$18:$AZ$18,MATCH(DATE(VALUE(RIGHT(A5,4)),VALUE(LEFT(A5,2)),1),Originaciones!$E$6:$AZ$6,0)),"-")</f>
        <v>63</v>
      </c>
      <c r="C5" s="221">
        <f>COUNTIF(Export!$E:$E,A5)</f>
        <v>8</v>
      </c>
      <c r="D5" s="221">
        <f>COUNTIF('recuperación efectiva'!$E:$E,A5)</f>
        <v>3</v>
      </c>
      <c r="E5" s="221">
        <f t="shared" ref="E5:E31" si="0">C5-D5</f>
        <v>5</v>
      </c>
      <c r="F5" s="222">
        <f t="shared" ref="F5:F32" si="1">IFERROR(D5/C5,0)</f>
        <v>0.375</v>
      </c>
    </row>
    <row r="6" spans="1:6" ht="18" customHeight="1" x14ac:dyDescent="0.35">
      <c r="A6" s="223" t="s">
        <v>165</v>
      </c>
      <c r="B6" s="224">
        <f>IFERROR(INDEX(Originaciones!$E$18:$AZ$18,MATCH(DATE(VALUE(RIGHT(A6,4)),VALUE(LEFT(A6,2)),1),Originaciones!$E$6:$AZ$6,0)),"-")</f>
        <v>68</v>
      </c>
      <c r="C6" s="224">
        <f>COUNTIF(Export!$E:$E,A6)</f>
        <v>18</v>
      </c>
      <c r="D6" s="224">
        <f>COUNTIF('recuperación efectiva'!$E:$E,A6)</f>
        <v>11</v>
      </c>
      <c r="E6" s="224">
        <f t="shared" si="0"/>
        <v>7</v>
      </c>
      <c r="F6" s="225">
        <f t="shared" si="1"/>
        <v>0.61111111111111116</v>
      </c>
    </row>
    <row r="7" spans="1:6" ht="18" customHeight="1" x14ac:dyDescent="0.35">
      <c r="A7" s="220" t="s">
        <v>275</v>
      </c>
      <c r="B7" s="221">
        <f>IFERROR(INDEX(Originaciones!$E$18:$AZ$18,MATCH(DATE(VALUE(RIGHT(A7,4)),VALUE(LEFT(A7,2)),1),Originaciones!$E$6:$AZ$6,0)),"-")</f>
        <v>60</v>
      </c>
      <c r="C7" s="221">
        <f>COUNTIF(Export!$E:$E,A7)</f>
        <v>16</v>
      </c>
      <c r="D7" s="221">
        <f>COUNTIF('recuperación efectiva'!$E:$E,A7)</f>
        <v>15</v>
      </c>
      <c r="E7" s="221">
        <f t="shared" si="0"/>
        <v>1</v>
      </c>
      <c r="F7" s="222">
        <f t="shared" si="1"/>
        <v>0.9375</v>
      </c>
    </row>
    <row r="8" spans="1:6" ht="18" customHeight="1" x14ac:dyDescent="0.35">
      <c r="A8" s="223" t="s">
        <v>453</v>
      </c>
      <c r="B8" s="224">
        <f>IFERROR(INDEX(Originaciones!$E$18:$AZ$18,MATCH(DATE(VALUE(RIGHT(A8,4)),VALUE(LEFT(A8,2)),1),Originaciones!$E$6:$AZ$6,0)),"-")</f>
        <v>73</v>
      </c>
      <c r="C8" s="224">
        <f>COUNTIF(Export!$E:$E,A8)</f>
        <v>18</v>
      </c>
      <c r="D8" s="224">
        <f>COUNTIF('recuperación efectiva'!$E:$E,A8)</f>
        <v>11</v>
      </c>
      <c r="E8" s="224">
        <f t="shared" si="0"/>
        <v>7</v>
      </c>
      <c r="F8" s="225">
        <f t="shared" si="1"/>
        <v>0.61111111111111116</v>
      </c>
    </row>
    <row r="9" spans="1:6" ht="18" customHeight="1" x14ac:dyDescent="0.35">
      <c r="A9" s="220" t="s">
        <v>244</v>
      </c>
      <c r="B9" s="221">
        <f>IFERROR(INDEX(Originaciones!$E$18:$AZ$18,MATCH(DATE(VALUE(RIGHT(A9,4)),VALUE(LEFT(A9,2)),1),Originaciones!$E$6:$AZ$6,0)),"-")</f>
        <v>94</v>
      </c>
      <c r="C9" s="221">
        <f>COUNTIF(Export!$E:$E,A9)</f>
        <v>21</v>
      </c>
      <c r="D9" s="221">
        <f>COUNTIF('recuperación efectiva'!$E:$E,A9)</f>
        <v>15</v>
      </c>
      <c r="E9" s="221">
        <f t="shared" si="0"/>
        <v>6</v>
      </c>
      <c r="F9" s="222">
        <f t="shared" si="1"/>
        <v>0.7142857142857143</v>
      </c>
    </row>
    <row r="10" spans="1:6" ht="18" customHeight="1" x14ac:dyDescent="0.35">
      <c r="A10" s="223" t="s">
        <v>457</v>
      </c>
      <c r="B10" s="224">
        <f>IFERROR(INDEX(Originaciones!$E$18:$AZ$18,MATCH(DATE(VALUE(RIGHT(A10,4)),VALUE(LEFT(A10,2)),1),Originaciones!$E$6:$AZ$6,0)),"-")</f>
        <v>103</v>
      </c>
      <c r="C10" s="224">
        <f>COUNTIF(Export!$E:$E,A10)</f>
        <v>20</v>
      </c>
      <c r="D10" s="224">
        <f>COUNTIF('recuperación efectiva'!$E:$E,A10)</f>
        <v>18</v>
      </c>
      <c r="E10" s="224">
        <f t="shared" si="0"/>
        <v>2</v>
      </c>
      <c r="F10" s="225">
        <f t="shared" si="1"/>
        <v>0.9</v>
      </c>
    </row>
    <row r="11" spans="1:6" ht="18" customHeight="1" x14ac:dyDescent="0.35">
      <c r="A11" s="220" t="s">
        <v>252</v>
      </c>
      <c r="B11" s="221">
        <f>IFERROR(INDEX(Originaciones!$E$18:$AZ$18,MATCH(DATE(VALUE(RIGHT(A11,4)),VALUE(LEFT(A11,2)),1),Originaciones!$E$6:$AZ$6,0)),"-")</f>
        <v>119</v>
      </c>
      <c r="C11" s="221">
        <f>COUNTIF(Export!$E:$E,A11)</f>
        <v>39</v>
      </c>
      <c r="D11" s="221">
        <f>COUNTIF('recuperación efectiva'!$E:$E,A11)</f>
        <v>28</v>
      </c>
      <c r="E11" s="221">
        <f t="shared" si="0"/>
        <v>11</v>
      </c>
      <c r="F11" s="222">
        <f t="shared" si="1"/>
        <v>0.71794871794871795</v>
      </c>
    </row>
    <row r="12" spans="1:6" ht="18" customHeight="1" x14ac:dyDescent="0.35">
      <c r="A12" s="223" t="s">
        <v>497</v>
      </c>
      <c r="B12" s="224">
        <f>IFERROR(INDEX(Originaciones!$E$18:$AZ$18,MATCH(DATE(VALUE(RIGHT(A12,4)),VALUE(LEFT(A12,2)),1),Originaciones!$E$6:$AZ$6,0)),"-")</f>
        <v>114</v>
      </c>
      <c r="C12" s="224">
        <f>COUNTIF(Export!$E:$E,A12)</f>
        <v>41</v>
      </c>
      <c r="D12" s="224">
        <f>COUNTIF('recuperación efectiva'!$E:$E,A12)</f>
        <v>34</v>
      </c>
      <c r="E12" s="224">
        <f t="shared" si="0"/>
        <v>7</v>
      </c>
      <c r="F12" s="225">
        <f t="shared" si="1"/>
        <v>0.82926829268292679</v>
      </c>
    </row>
    <row r="13" spans="1:6" ht="18" customHeight="1" x14ac:dyDescent="0.35">
      <c r="A13" s="220" t="s">
        <v>149</v>
      </c>
      <c r="B13" s="221">
        <f>IFERROR(INDEX(Originaciones!$E$18:$AZ$18,MATCH(DATE(VALUE(RIGHT(A13,4)),VALUE(LEFT(A13,2)),1),Originaciones!$E$6:$AZ$6,0)),"-")</f>
        <v>112</v>
      </c>
      <c r="C13" s="221">
        <f>COUNTIF(Export!$E:$E,A13)</f>
        <v>28</v>
      </c>
      <c r="D13" s="221">
        <f>COUNTIF('recuperación efectiva'!$E:$E,A13)</f>
        <v>27</v>
      </c>
      <c r="E13" s="221">
        <f t="shared" si="0"/>
        <v>1</v>
      </c>
      <c r="F13" s="222">
        <f t="shared" si="1"/>
        <v>0.9642857142857143</v>
      </c>
    </row>
    <row r="14" spans="1:6" ht="18" customHeight="1" x14ac:dyDescent="0.35">
      <c r="A14" s="223" t="s">
        <v>35</v>
      </c>
      <c r="B14" s="224">
        <f>IFERROR(INDEX(Originaciones!$E$18:$AZ$18,MATCH(DATE(VALUE(RIGHT(A14,4)),VALUE(LEFT(A14,2)),1),Originaciones!$E$6:$AZ$6,0)),"-")</f>
        <v>120</v>
      </c>
      <c r="C14" s="224">
        <f>COUNTIF(Export!$E:$E,A14)</f>
        <v>43</v>
      </c>
      <c r="D14" s="224">
        <f>COUNTIF('recuperación efectiva'!$E:$E,A14)</f>
        <v>36</v>
      </c>
      <c r="E14" s="224">
        <f t="shared" si="0"/>
        <v>7</v>
      </c>
      <c r="F14" s="225">
        <f t="shared" si="1"/>
        <v>0.83720930232558144</v>
      </c>
    </row>
    <row r="15" spans="1:6" ht="18" customHeight="1" x14ac:dyDescent="0.35">
      <c r="A15" s="220" t="s">
        <v>178</v>
      </c>
      <c r="B15" s="221">
        <f>IFERROR(INDEX(Originaciones!$E$18:$AZ$18,MATCH(DATE(VALUE(RIGHT(A15,4)),VALUE(LEFT(A15,2)),1),Originaciones!$E$6:$AZ$6,0)),"-")</f>
        <v>95</v>
      </c>
      <c r="C15" s="221">
        <f>COUNTIF(Export!$E:$E,A15)</f>
        <v>42</v>
      </c>
      <c r="D15" s="221">
        <f>COUNTIF('recuperación efectiva'!$E:$E,A15)</f>
        <v>34</v>
      </c>
      <c r="E15" s="221">
        <f t="shared" si="0"/>
        <v>8</v>
      </c>
      <c r="F15" s="222">
        <f t="shared" si="1"/>
        <v>0.80952380952380953</v>
      </c>
    </row>
    <row r="16" spans="1:6" ht="18" customHeight="1" x14ac:dyDescent="0.35">
      <c r="A16" s="223" t="s">
        <v>82</v>
      </c>
      <c r="B16" s="224">
        <f>IFERROR(INDEX(Originaciones!$E$18:$AZ$18,MATCH(DATE(VALUE(RIGHT(A16,4)),VALUE(LEFT(A16,2)),1),Originaciones!$E$6:$AZ$6,0)),"-")</f>
        <v>105</v>
      </c>
      <c r="C16" s="224">
        <f>COUNTIF(Export!$E:$E,A16)</f>
        <v>60</v>
      </c>
      <c r="D16" s="224">
        <f>COUNTIF('recuperación efectiva'!$E:$E,A16)</f>
        <v>55</v>
      </c>
      <c r="E16" s="224">
        <f t="shared" si="0"/>
        <v>5</v>
      </c>
      <c r="F16" s="225">
        <f t="shared" si="1"/>
        <v>0.91666666666666663</v>
      </c>
    </row>
    <row r="17" spans="1:6" ht="18" customHeight="1" x14ac:dyDescent="0.35">
      <c r="A17" s="220" t="s">
        <v>66</v>
      </c>
      <c r="B17" s="221">
        <f>IFERROR(INDEX(Originaciones!$E$18:$AZ$18,MATCH(DATE(VALUE(RIGHT(A17,4)),VALUE(LEFT(A17,2)),1),Originaciones!$E$6:$AZ$6,0)),"-")</f>
        <v>97</v>
      </c>
      <c r="C17" s="221">
        <f>COUNTIF(Export!$E:$E,A17)</f>
        <v>58</v>
      </c>
      <c r="D17" s="221">
        <f>COUNTIF('recuperación efectiva'!$E:$E,A17)</f>
        <v>44</v>
      </c>
      <c r="E17" s="221">
        <f t="shared" si="0"/>
        <v>14</v>
      </c>
      <c r="F17" s="222">
        <f t="shared" si="1"/>
        <v>0.75862068965517238</v>
      </c>
    </row>
    <row r="18" spans="1:6" ht="18" customHeight="1" x14ac:dyDescent="0.35">
      <c r="A18" s="223" t="s">
        <v>51</v>
      </c>
      <c r="B18" s="224">
        <f>IFERROR(INDEX(Originaciones!$E$18:$AZ$18,MATCH(DATE(VALUE(RIGHT(A18,4)),VALUE(LEFT(A18,2)),1),Originaciones!$E$6:$AZ$6,0)),"-")</f>
        <v>99</v>
      </c>
      <c r="C18" s="224">
        <f>COUNTIF(Export!$E:$E,A18)</f>
        <v>64</v>
      </c>
      <c r="D18" s="224">
        <f>COUNTIF('recuperación efectiva'!$E:$E,A18)</f>
        <v>51</v>
      </c>
      <c r="E18" s="224">
        <f t="shared" si="0"/>
        <v>13</v>
      </c>
      <c r="F18" s="225">
        <f t="shared" si="1"/>
        <v>0.796875</v>
      </c>
    </row>
    <row r="19" spans="1:6" ht="18" customHeight="1" x14ac:dyDescent="0.35">
      <c r="A19" s="220" t="s">
        <v>47</v>
      </c>
      <c r="B19" s="221">
        <f>IFERROR(INDEX(Originaciones!$E$18:$AZ$18,MATCH(DATE(VALUE(RIGHT(A19,4)),VALUE(LEFT(A19,2)),1),Originaciones!$E$6:$AZ$6,0)),"-")</f>
        <v>136</v>
      </c>
      <c r="C19" s="221">
        <f>COUNTIF(Export!$E:$E,A19)</f>
        <v>62</v>
      </c>
      <c r="D19" s="221">
        <f>COUNTIF('recuperación efectiva'!$E:$E,A19)</f>
        <v>49</v>
      </c>
      <c r="E19" s="221">
        <f t="shared" si="0"/>
        <v>13</v>
      </c>
      <c r="F19" s="222">
        <f t="shared" si="1"/>
        <v>0.79032258064516125</v>
      </c>
    </row>
    <row r="20" spans="1:6" ht="18" customHeight="1" x14ac:dyDescent="0.35">
      <c r="A20" s="223" t="s">
        <v>133</v>
      </c>
      <c r="B20" s="224">
        <f>IFERROR(INDEX(Originaciones!$E$18:$AZ$18,MATCH(DATE(VALUE(RIGHT(A20,4)),VALUE(LEFT(A20,2)),1),Originaciones!$E$6:$AZ$6,0)),"-")</f>
        <v>161</v>
      </c>
      <c r="C20" s="224">
        <f>COUNTIF(Export!$E:$E,A20)</f>
        <v>86</v>
      </c>
      <c r="D20" s="224">
        <f>COUNTIF('recuperación efectiva'!$E:$E,A20)</f>
        <v>57</v>
      </c>
      <c r="E20" s="224">
        <f t="shared" si="0"/>
        <v>29</v>
      </c>
      <c r="F20" s="225">
        <f t="shared" si="1"/>
        <v>0.66279069767441856</v>
      </c>
    </row>
    <row r="21" spans="1:6" ht="18" customHeight="1" x14ac:dyDescent="0.35">
      <c r="A21" s="220" t="s">
        <v>104</v>
      </c>
      <c r="B21" s="221">
        <f>IFERROR(INDEX(Originaciones!$E$18:$AZ$18,MATCH(DATE(VALUE(RIGHT(A21,4)),VALUE(LEFT(A21,2)),1),Originaciones!$E$6:$AZ$6,0)),"-")</f>
        <v>157</v>
      </c>
      <c r="C21" s="221">
        <f>COUNTIF(Export!$E:$E,A21)</f>
        <v>74</v>
      </c>
      <c r="D21" s="221">
        <f>COUNTIF('recuperación efectiva'!$E:$E,A21)</f>
        <v>60</v>
      </c>
      <c r="E21" s="221">
        <f t="shared" si="0"/>
        <v>14</v>
      </c>
      <c r="F21" s="222">
        <f t="shared" si="1"/>
        <v>0.81081081081081086</v>
      </c>
    </row>
    <row r="22" spans="1:6" ht="18" customHeight="1" x14ac:dyDescent="0.35">
      <c r="A22" s="223" t="s">
        <v>29</v>
      </c>
      <c r="B22" s="224">
        <f>IFERROR(INDEX(Originaciones!$E$18:$AZ$18,MATCH(DATE(VALUE(RIGHT(A22,4)),VALUE(LEFT(A22,2)),1),Originaciones!$E$6:$AZ$6,0)),"-")</f>
        <v>195</v>
      </c>
      <c r="C22" s="224">
        <f>COUNTIF(Export!$E:$E,A22)</f>
        <v>91</v>
      </c>
      <c r="D22" s="224">
        <f>COUNTIF('recuperación efectiva'!$E:$E,A22)</f>
        <v>62</v>
      </c>
      <c r="E22" s="224">
        <f t="shared" si="0"/>
        <v>29</v>
      </c>
      <c r="F22" s="225">
        <f t="shared" si="1"/>
        <v>0.68131868131868134</v>
      </c>
    </row>
    <row r="23" spans="1:6" ht="18" customHeight="1" x14ac:dyDescent="0.35">
      <c r="A23" s="220" t="s">
        <v>62</v>
      </c>
      <c r="B23" s="221">
        <f>IFERROR(INDEX(Originaciones!$E$18:$AZ$18,MATCH(DATE(VALUE(RIGHT(A23,4)),VALUE(LEFT(A23,2)),1),Originaciones!$E$6:$AZ$6,0)),"-")</f>
        <v>199</v>
      </c>
      <c r="C23" s="221">
        <f>COUNTIF(Export!$E:$E,A23)</f>
        <v>98</v>
      </c>
      <c r="D23" s="221">
        <f>COUNTIF('recuperación efectiva'!$E:$E,A23)</f>
        <v>67</v>
      </c>
      <c r="E23" s="221">
        <f t="shared" si="0"/>
        <v>31</v>
      </c>
      <c r="F23" s="222">
        <f t="shared" si="1"/>
        <v>0.68367346938775508</v>
      </c>
    </row>
    <row r="24" spans="1:6" ht="18" customHeight="1" x14ac:dyDescent="0.35">
      <c r="A24" s="223" t="s">
        <v>97</v>
      </c>
      <c r="B24" s="224">
        <f>IFERROR(INDEX(Originaciones!$E$18:$AZ$18,MATCH(DATE(VALUE(RIGHT(A24,4)),VALUE(LEFT(A24,2)),1),Originaciones!$E$6:$AZ$6,0)),"-")</f>
        <v>166</v>
      </c>
      <c r="C24" s="224">
        <f>COUNTIF(Export!$E:$E,A24)</f>
        <v>72</v>
      </c>
      <c r="D24" s="224">
        <f>COUNTIF('recuperación efectiva'!$E:$E,A24)</f>
        <v>56</v>
      </c>
      <c r="E24" s="224">
        <f t="shared" si="0"/>
        <v>16</v>
      </c>
      <c r="F24" s="225">
        <f t="shared" si="1"/>
        <v>0.77777777777777779</v>
      </c>
    </row>
    <row r="25" spans="1:6" ht="18" customHeight="1" x14ac:dyDescent="0.35">
      <c r="A25" s="220" t="s">
        <v>118</v>
      </c>
      <c r="B25" s="221">
        <f>IFERROR(INDEX(Originaciones!$E$18:$AZ$18,MATCH(DATE(VALUE(RIGHT(A25,4)),VALUE(LEFT(A25,2)),1),Originaciones!$E$6:$AZ$6,0)),"-")</f>
        <v>180</v>
      </c>
      <c r="C25" s="221">
        <f>COUNTIF(Export!$E:$E,A25)</f>
        <v>63</v>
      </c>
      <c r="D25" s="221">
        <f>COUNTIF('recuperación efectiva'!$E:$E,A25)</f>
        <v>51</v>
      </c>
      <c r="E25" s="221">
        <f t="shared" si="0"/>
        <v>12</v>
      </c>
      <c r="F25" s="222">
        <f t="shared" si="1"/>
        <v>0.80952380952380953</v>
      </c>
    </row>
    <row r="26" spans="1:6" ht="18" customHeight="1" x14ac:dyDescent="0.35">
      <c r="A26" s="223" t="s">
        <v>36</v>
      </c>
      <c r="B26" s="224">
        <f>IFERROR(INDEX(Originaciones!$E$18:$AZ$18,MATCH(DATE(VALUE(RIGHT(A26,4)),VALUE(LEFT(A26,2)),1),Originaciones!$E$6:$AZ$6,0)),"-")</f>
        <v>206</v>
      </c>
      <c r="C26" s="224">
        <f>COUNTIF(Export!$E:$E,A26)</f>
        <v>68</v>
      </c>
      <c r="D26" s="224">
        <f>COUNTIF('recuperación efectiva'!$E:$E,A26)</f>
        <v>55</v>
      </c>
      <c r="E26" s="224">
        <f t="shared" si="0"/>
        <v>13</v>
      </c>
      <c r="F26" s="225">
        <f t="shared" si="1"/>
        <v>0.80882352941176472</v>
      </c>
    </row>
    <row r="27" spans="1:6" ht="18" customHeight="1" x14ac:dyDescent="0.35">
      <c r="A27" s="220" t="s">
        <v>37</v>
      </c>
      <c r="B27" s="221">
        <f>IFERROR(INDEX(Originaciones!$E$18:$AZ$18,MATCH(DATE(VALUE(RIGHT(A27,4)),VALUE(LEFT(A27,2)),1),Originaciones!$E$6:$AZ$6,0)),"-")</f>
        <v>211</v>
      </c>
      <c r="C27" s="221">
        <f>COUNTIF(Export!$E:$E,A27)</f>
        <v>56</v>
      </c>
      <c r="D27" s="221">
        <f>COUNTIF('recuperación efectiva'!$E:$E,A27)</f>
        <v>43</v>
      </c>
      <c r="E27" s="221">
        <f t="shared" si="0"/>
        <v>13</v>
      </c>
      <c r="F27" s="222">
        <f t="shared" si="1"/>
        <v>0.7678571428571429</v>
      </c>
    </row>
    <row r="28" spans="1:6" ht="18" customHeight="1" x14ac:dyDescent="0.35">
      <c r="A28" s="223" t="s">
        <v>113</v>
      </c>
      <c r="B28" s="224">
        <f>IFERROR(INDEX(Originaciones!$E$18:$AZ$18,MATCH(DATE(VALUE(RIGHT(A28,4)),VALUE(LEFT(A28,2)),1),Originaciones!$E$6:$AZ$6,0)),"-")</f>
        <v>215</v>
      </c>
      <c r="C28" s="224">
        <f>COUNTIF(Export!$E:$E,A28)</f>
        <v>28</v>
      </c>
      <c r="D28" s="224">
        <f>COUNTIF('recuperación efectiva'!$E:$E,A28)</f>
        <v>17</v>
      </c>
      <c r="E28" s="224">
        <f t="shared" si="0"/>
        <v>11</v>
      </c>
      <c r="F28" s="225">
        <f t="shared" si="1"/>
        <v>0.6071428571428571</v>
      </c>
    </row>
    <row r="29" spans="1:6" ht="18" customHeight="1" x14ac:dyDescent="0.35">
      <c r="A29" s="220" t="s">
        <v>23</v>
      </c>
      <c r="B29" s="221">
        <f>IFERROR(INDEX(Originaciones!$E$18:$AZ$18,MATCH(DATE(VALUE(RIGHT(A29,4)),VALUE(LEFT(A29,2)),1),Originaciones!$E$6:$AZ$6,0)),"-")</f>
        <v>175</v>
      </c>
      <c r="C29" s="221">
        <f>COUNTIF(Export!$E:$E,A29)</f>
        <v>22</v>
      </c>
      <c r="D29" s="221">
        <f>COUNTIF('recuperación efectiva'!$E:$E,A29)</f>
        <v>16</v>
      </c>
      <c r="E29" s="221">
        <f t="shared" si="0"/>
        <v>6</v>
      </c>
      <c r="F29" s="222">
        <f t="shared" si="1"/>
        <v>0.72727272727272729</v>
      </c>
    </row>
    <row r="30" spans="1:6" ht="18" customHeight="1" x14ac:dyDescent="0.35">
      <c r="A30" s="223" t="s">
        <v>52</v>
      </c>
      <c r="B30" s="224">
        <f>IFERROR(INDEX(Originaciones!$E$18:$AZ$18,MATCH(DATE(VALUE(RIGHT(A30,4)),VALUE(LEFT(A30,2)),1),Originaciones!$E$6:$AZ$6,0)),"-")</f>
        <v>201</v>
      </c>
      <c r="C30" s="224">
        <f>COUNTIF(Export!$E:$E,A30)</f>
        <v>2</v>
      </c>
      <c r="D30" s="224">
        <f>COUNTIF('recuperación efectiva'!$E:$E,A30)</f>
        <v>1</v>
      </c>
      <c r="E30" s="224">
        <f t="shared" si="0"/>
        <v>1</v>
      </c>
      <c r="F30" s="225">
        <f t="shared" si="1"/>
        <v>0.5</v>
      </c>
    </row>
    <row r="31" spans="1:6" ht="18" customHeight="1" x14ac:dyDescent="0.35">
      <c r="A31" s="220" t="s">
        <v>30</v>
      </c>
      <c r="B31" s="221">
        <f>IFERROR(INDEX(Originaciones!$E$18:$AZ$18,MATCH(DATE(VALUE(RIGHT(A31,4)),VALUE(LEFT(A31,2)),1),Originaciones!$E$6:$AZ$6,0)),"-")</f>
        <v>177</v>
      </c>
      <c r="C31" s="221">
        <f>COUNTIF(Export!$E:$E,A31)</f>
        <v>2</v>
      </c>
      <c r="D31" s="221">
        <f>COUNTIF('recuperación efectiva'!$E:$E,A31)</f>
        <v>2</v>
      </c>
      <c r="E31" s="221">
        <f t="shared" si="0"/>
        <v>0</v>
      </c>
      <c r="F31" s="222">
        <f t="shared" si="1"/>
        <v>1</v>
      </c>
    </row>
    <row r="32" spans="1:6" ht="21.75" customHeight="1" x14ac:dyDescent="0.35">
      <c r="A32" s="226" t="s">
        <v>3862</v>
      </c>
      <c r="B32" s="227">
        <f>SUM(B5:B31)</f>
        <v>3701</v>
      </c>
      <c r="C32" s="227">
        <f>SUM(C5:C31)</f>
        <v>1200</v>
      </c>
      <c r="D32" s="227">
        <f>SUM(D5:D31)</f>
        <v>918</v>
      </c>
      <c r="E32" s="227">
        <f>SUM(E5:E31)</f>
        <v>282</v>
      </c>
      <c r="F32" s="228">
        <f t="shared" si="1"/>
        <v>0.76500000000000001</v>
      </c>
    </row>
    <row r="34" spans="1:6" x14ac:dyDescent="0.35">
      <c r="A34" s="245" t="s">
        <v>3863</v>
      </c>
      <c r="B34" s="245"/>
      <c r="C34" s="245"/>
      <c r="D34" s="245"/>
      <c r="E34" s="245"/>
      <c r="F34" s="245"/>
    </row>
  </sheetData>
  <mergeCells count="3">
    <mergeCell ref="A1:F1"/>
    <mergeCell ref="A3:F3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5"/>
  <sheetViews>
    <sheetView zoomScaleNormal="100" workbookViewId="0">
      <pane xSplit="3" ySplit="4" topLeftCell="I7" activePane="bottomRight" state="frozen"/>
      <selection pane="topRight" activeCell="D1" sqref="D1"/>
      <selection pane="bottomLeft" activeCell="A5" sqref="A5"/>
      <selection pane="bottomRight" activeCell="W15" sqref="W15"/>
    </sheetView>
  </sheetViews>
  <sheetFormatPr baseColWidth="10" defaultColWidth="8.54296875" defaultRowHeight="14.5" x14ac:dyDescent="0.35"/>
  <cols>
    <col min="1" max="1" width="10" customWidth="1"/>
    <col min="2" max="2" width="7" customWidth="1"/>
    <col min="3" max="3" width="5" hidden="1" customWidth="1"/>
    <col min="4" max="40" width="5.1796875" customWidth="1"/>
  </cols>
  <sheetData>
    <row r="1" spans="1:40" ht="27.75" customHeight="1" x14ac:dyDescent="0.35">
      <c r="A1" s="243" t="s">
        <v>3864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</row>
    <row r="2" spans="1:40" ht="4.5" customHeight="1" x14ac:dyDescent="0.35"/>
    <row r="3" spans="1:40" ht="15.75" customHeight="1" x14ac:dyDescent="0.35">
      <c r="A3" s="246" t="s">
        <v>3865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</row>
    <row r="4" spans="1:40" ht="25.5" customHeight="1" x14ac:dyDescent="0.35">
      <c r="A4" s="219" t="s">
        <v>3856</v>
      </c>
      <c r="B4" s="219" t="s">
        <v>3866</v>
      </c>
      <c r="C4" s="229" t="s">
        <v>3867</v>
      </c>
      <c r="D4" s="230" t="s">
        <v>3868</v>
      </c>
      <c r="E4" s="230" t="s">
        <v>3869</v>
      </c>
      <c r="F4" s="230" t="s">
        <v>3870</v>
      </c>
      <c r="G4" s="230" t="s">
        <v>3871</v>
      </c>
      <c r="H4" s="230" t="s">
        <v>3872</v>
      </c>
      <c r="I4" s="230" t="s">
        <v>3873</v>
      </c>
      <c r="J4" s="230" t="s">
        <v>3874</v>
      </c>
      <c r="K4" s="230" t="s">
        <v>3875</v>
      </c>
      <c r="L4" s="230" t="s">
        <v>3876</v>
      </c>
      <c r="M4" s="230" t="s">
        <v>3877</v>
      </c>
      <c r="N4" s="230" t="s">
        <v>3878</v>
      </c>
      <c r="O4" s="230" t="s">
        <v>3879</v>
      </c>
      <c r="P4" s="230" t="s">
        <v>3880</v>
      </c>
      <c r="Q4" s="230" t="s">
        <v>3881</v>
      </c>
      <c r="R4" s="230" t="s">
        <v>3882</v>
      </c>
      <c r="S4" s="230" t="s">
        <v>3883</v>
      </c>
      <c r="T4" s="230" t="s">
        <v>3884</v>
      </c>
      <c r="U4" s="230" t="s">
        <v>3885</v>
      </c>
      <c r="V4" s="230" t="s">
        <v>3886</v>
      </c>
      <c r="W4" s="230" t="s">
        <v>3887</v>
      </c>
      <c r="X4" s="230" t="s">
        <v>3888</v>
      </c>
      <c r="Y4" s="230" t="s">
        <v>3889</v>
      </c>
      <c r="Z4" s="230" t="s">
        <v>3890</v>
      </c>
      <c r="AA4" s="230" t="s">
        <v>3891</v>
      </c>
      <c r="AB4" s="230" t="s">
        <v>3892</v>
      </c>
      <c r="AC4" s="230" t="s">
        <v>3893</v>
      </c>
      <c r="AD4" s="230" t="s">
        <v>3894</v>
      </c>
      <c r="AE4" s="230" t="s">
        <v>3895</v>
      </c>
      <c r="AF4" s="230" t="s">
        <v>3896</v>
      </c>
      <c r="AG4" s="230" t="s">
        <v>3897</v>
      </c>
      <c r="AH4" s="230" t="s">
        <v>3898</v>
      </c>
      <c r="AI4" s="230" t="s">
        <v>3899</v>
      </c>
      <c r="AJ4" s="230" t="s">
        <v>3900</v>
      </c>
      <c r="AK4" s="230" t="s">
        <v>3901</v>
      </c>
      <c r="AL4" s="230" t="s">
        <v>3902</v>
      </c>
      <c r="AM4" s="230" t="s">
        <v>3903</v>
      </c>
      <c r="AN4" s="230" t="s">
        <v>3904</v>
      </c>
    </row>
    <row r="5" spans="1:40" ht="15.75" customHeight="1" x14ac:dyDescent="0.35">
      <c r="A5" s="231" t="s">
        <v>108</v>
      </c>
      <c r="B5" s="232">
        <f>COUNTIF(Export!$E:$E,A5)</f>
        <v>8</v>
      </c>
      <c r="C5" s="233">
        <f t="shared" ref="C5:C31" si="0">MIN(MAX(0,(2026-VALUE(RIGHT(A5,4)))*12+(5-VALUE(LEFT(A5,2)))),36)</f>
        <v>28</v>
      </c>
      <c r="D5" s="234">
        <f>IF((COLUMN()-4)&gt;$C5,"",IFERROR(COUNTIFS('recuperación efectiva'!$E:$E,$A5,'recuperación efectiva'!$K:$K,"&lt;="&amp;(COLUMN()-4))/$B5,0))</f>
        <v>0</v>
      </c>
      <c r="E5" s="234">
        <f>IF((COLUMN()-4)&gt;$C5,"",IFERROR(COUNTIFS('recuperación efectiva'!$E:$E,$A5,'recuperación efectiva'!$K:$K,"&lt;="&amp;(COLUMN()-4))/$B5,0))</f>
        <v>0</v>
      </c>
      <c r="F5" s="234">
        <f>IF((COLUMN()-4)&gt;$C5,"",IFERROR(COUNTIFS('recuperación efectiva'!$E:$E,$A5,'recuperación efectiva'!$K:$K,"&lt;="&amp;(COLUMN()-4))/$B5,0))</f>
        <v>0</v>
      </c>
      <c r="G5" s="234">
        <f>IF((COLUMN()-4)&gt;$C5,"",IFERROR(COUNTIFS('recuperación efectiva'!$E:$E,$A5,'recuperación efectiva'!$K:$K,"&lt;="&amp;(COLUMN()-4))/$B5,0))</f>
        <v>0</v>
      </c>
      <c r="H5" s="234">
        <f>IF((COLUMN()-4)&gt;$C5,"",IFERROR(COUNTIFS('recuperación efectiva'!$E:$E,$A5,'recuperación efectiva'!$K:$K,"&lt;="&amp;(COLUMN()-4))/$B5,0))</f>
        <v>0</v>
      </c>
      <c r="I5" s="234">
        <f>IF((COLUMN()-4)&gt;$C5,"",IFERROR(COUNTIFS('recuperación efectiva'!$E:$E,$A5,'recuperación efectiva'!$K:$K,"&lt;="&amp;(COLUMN()-4))/$B5,0))</f>
        <v>0</v>
      </c>
      <c r="J5" s="234">
        <f>IF((COLUMN()-4)&gt;$C5,"",IFERROR(COUNTIFS('recuperación efectiva'!$E:$E,$A5,'recuperación efectiva'!$K:$K,"&lt;="&amp;(COLUMN()-4))/$B5,0))</f>
        <v>0</v>
      </c>
      <c r="K5" s="234">
        <f>IF((COLUMN()-4)&gt;$C5,"",IFERROR(COUNTIFS('recuperación efectiva'!$E:$E,$A5,'recuperación efectiva'!$K:$K,"&lt;="&amp;(COLUMN()-4))/$B5,0))</f>
        <v>0</v>
      </c>
      <c r="L5" s="234">
        <f>IF((COLUMN()-4)&gt;$C5,"",IFERROR(COUNTIFS('recuperación efectiva'!$E:$E,$A5,'recuperación efectiva'!$K:$K,"&lt;="&amp;(COLUMN()-4))/$B5,0))</f>
        <v>0</v>
      </c>
      <c r="M5" s="234">
        <f>IF((COLUMN()-4)&gt;$C5,"",IFERROR(COUNTIFS('recuperación efectiva'!$E:$E,$A5,'recuperación efectiva'!$K:$K,"&lt;="&amp;(COLUMN()-4))/$B5,0))</f>
        <v>0</v>
      </c>
      <c r="N5" s="234">
        <f>IF((COLUMN()-4)&gt;$C5,"",IFERROR(COUNTIFS('recuperación efectiva'!$E:$E,$A5,'recuperación efectiva'!$K:$K,"&lt;="&amp;(COLUMN()-4))/$B5,0))</f>
        <v>0</v>
      </c>
      <c r="O5" s="234">
        <f>IF((COLUMN()-4)&gt;$C5,"",IFERROR(COUNTIFS('recuperación efectiva'!$E:$E,$A5,'recuperación efectiva'!$K:$K,"&lt;="&amp;(COLUMN()-4))/$B5,0))</f>
        <v>0</v>
      </c>
      <c r="P5" s="234">
        <f>IF((COLUMN()-4)&gt;$C5,"",IFERROR(COUNTIFS('recuperación efectiva'!$E:$E,$A5,'recuperación efectiva'!$K:$K,"&lt;="&amp;(COLUMN()-4))/$B5,0))</f>
        <v>0</v>
      </c>
      <c r="Q5" s="234">
        <f>IF((COLUMN()-4)&gt;$C5,"",IFERROR(COUNTIFS('recuperación efectiva'!$E:$E,$A5,'recuperación efectiva'!$K:$K,"&lt;="&amp;(COLUMN()-4))/$B5,0))</f>
        <v>0</v>
      </c>
      <c r="R5" s="234">
        <f>IF((COLUMN()-4)&gt;$C5,"",IFERROR(COUNTIFS('recuperación efectiva'!$E:$E,$A5,'recuperación efectiva'!$K:$K,"&lt;="&amp;(COLUMN()-4))/$B5,0))</f>
        <v>0.125</v>
      </c>
      <c r="S5" s="234">
        <f>IF((COLUMN()-4)&gt;$C5,"",IFERROR(COUNTIFS('recuperación efectiva'!$E:$E,$A5,'recuperación efectiva'!$K:$K,"&lt;="&amp;(COLUMN()-4))/$B5,0))</f>
        <v>0.125</v>
      </c>
      <c r="T5" s="234">
        <f>IF((COLUMN()-4)&gt;$C5,"",IFERROR(COUNTIFS('recuperación efectiva'!$E:$E,$A5,'recuperación efectiva'!$K:$K,"&lt;="&amp;(COLUMN()-4))/$B5,0))</f>
        <v>0.125</v>
      </c>
      <c r="U5" s="234">
        <f>IF((COLUMN()-4)&gt;$C5,"",IFERROR(COUNTIFS('recuperación efectiva'!$E:$E,$A5,'recuperación efectiva'!$K:$K,"&lt;="&amp;(COLUMN()-4))/$B5,0))</f>
        <v>0.125</v>
      </c>
      <c r="V5" s="234">
        <f>IF((COLUMN()-4)&gt;$C5,"",IFERROR(COUNTIFS('recuperación efectiva'!$E:$E,$A5,'recuperación efectiva'!$K:$K,"&lt;="&amp;(COLUMN()-4))/$B5,0))</f>
        <v>0.125</v>
      </c>
      <c r="W5" s="234">
        <f>IF((COLUMN()-4)&gt;$C5,"",IFERROR(COUNTIFS('recuperación efectiva'!$E:$E,$A5,'recuperación efectiva'!$K:$K,"&lt;="&amp;(COLUMN()-4))/$B5,0))</f>
        <v>0.125</v>
      </c>
      <c r="X5" s="234">
        <f>IF((COLUMN()-4)&gt;$C5,"",IFERROR(COUNTIFS('recuperación efectiva'!$E:$E,$A5,'recuperación efectiva'!$K:$K,"&lt;="&amp;(COLUMN()-4))/$B5,0))</f>
        <v>0.125</v>
      </c>
      <c r="Y5" s="234">
        <f>IF((COLUMN()-4)&gt;$C5,"",IFERROR(COUNTIFS('recuperación efectiva'!$E:$E,$A5,'recuperación efectiva'!$K:$K,"&lt;="&amp;(COLUMN()-4))/$B5,0))</f>
        <v>0.125</v>
      </c>
      <c r="Z5" s="234">
        <f>IF((COLUMN()-4)&gt;$C5,"",IFERROR(COUNTIFS('recuperación efectiva'!$E:$E,$A5,'recuperación efectiva'!$K:$K,"&lt;="&amp;(COLUMN()-4))/$B5,0))</f>
        <v>0.125</v>
      </c>
      <c r="AA5" s="234">
        <f>IF((COLUMN()-4)&gt;$C5,"",IFERROR(COUNTIFS('recuperación efectiva'!$E:$E,$A5,'recuperación efectiva'!$K:$K,"&lt;="&amp;(COLUMN()-4))/$B5,0))</f>
        <v>0.125</v>
      </c>
      <c r="AB5" s="234">
        <f>IF((COLUMN()-4)&gt;$C5,"",IFERROR(COUNTIFS('recuperación efectiva'!$E:$E,$A5,'recuperación efectiva'!$K:$K,"&lt;="&amp;(COLUMN()-4))/$B5,0))</f>
        <v>0.125</v>
      </c>
      <c r="AC5" s="234">
        <f>IF((COLUMN()-4)&gt;$C5,"",IFERROR(COUNTIFS('recuperación efectiva'!$E:$E,$A5,'recuperación efectiva'!$K:$K,"&lt;="&amp;(COLUMN()-4))/$B5,0))</f>
        <v>0.25</v>
      </c>
      <c r="AD5" s="234">
        <f>IF((COLUMN()-4)&gt;$C5,"",IFERROR(COUNTIFS('recuperación efectiva'!$E:$E,$A5,'recuperación efectiva'!$K:$K,"&lt;="&amp;(COLUMN()-4))/$B5,0))</f>
        <v>0.375</v>
      </c>
      <c r="AE5" s="234">
        <f>IF((COLUMN()-4)&gt;$C5,"",IFERROR(COUNTIFS('recuperación efectiva'!$E:$E,$A5,'recuperación efectiva'!$K:$K,"&lt;="&amp;(COLUMN()-4))/$B5,0))</f>
        <v>0.375</v>
      </c>
      <c r="AF5" s="234">
        <f>IF((COLUMN()-4)&gt;$C5,"",IFERROR(COUNTIFS('recuperación efectiva'!$E:$E,$A5,'recuperación efectiva'!$K:$K,"&lt;="&amp;(COLUMN()-4))/$B5,0))</f>
        <v>0.375</v>
      </c>
      <c r="AG5" s="234" t="str">
        <f>IF((COLUMN()-4)&gt;$C5,"",IFERROR(COUNTIFS('recuperación efectiva'!$E:$E,$A5,'recuperación efectiva'!$K:$K,"&lt;="&amp;(COLUMN()-4))/$B5,0))</f>
        <v/>
      </c>
      <c r="AH5" s="234" t="str">
        <f>IF((COLUMN()-4)&gt;$C5,"",IFERROR(COUNTIFS('recuperación efectiva'!$E:$E,$A5,'recuperación efectiva'!$K:$K,"&lt;="&amp;(COLUMN()-4))/$B5,0))</f>
        <v/>
      </c>
      <c r="AI5" s="234" t="str">
        <f>IF((COLUMN()-4)&gt;$C5,"",IFERROR(COUNTIFS('recuperación efectiva'!$E:$E,$A5,'recuperación efectiva'!$K:$K,"&lt;="&amp;(COLUMN()-4))/$B5,0))</f>
        <v/>
      </c>
      <c r="AJ5" s="234" t="str">
        <f>IF((COLUMN()-4)&gt;$C5,"",IFERROR(COUNTIFS('recuperación efectiva'!$E:$E,$A5,'recuperación efectiva'!$K:$K,"&lt;="&amp;(COLUMN()-4))/$B5,0))</f>
        <v/>
      </c>
      <c r="AK5" s="234" t="str">
        <f>IF((COLUMN()-4)&gt;$C5,"",IFERROR(COUNTIFS('recuperación efectiva'!$E:$E,$A5,'recuperación efectiva'!$K:$K,"&lt;="&amp;(COLUMN()-4))/$B5,0))</f>
        <v/>
      </c>
      <c r="AL5" s="234" t="str">
        <f>IF((COLUMN()-4)&gt;$C5,"",IFERROR(COUNTIFS('recuperación efectiva'!$E:$E,$A5,'recuperación efectiva'!$K:$K,"&lt;="&amp;(COLUMN()-4))/$B5,0))</f>
        <v/>
      </c>
      <c r="AM5" s="234" t="str">
        <f>IF((COLUMN()-4)&gt;$C5,"",IFERROR(COUNTIFS('recuperación efectiva'!$E:$E,$A5,'recuperación efectiva'!$K:$K,"&lt;="&amp;(COLUMN()-4))/$B5,0))</f>
        <v/>
      </c>
      <c r="AN5" s="234" t="str">
        <f>IF((COLUMN()-4)&gt;$C5,"",IFERROR(COUNTIFS('recuperación efectiva'!$E:$E,$A5,'recuperación efectiva'!$K:$K,"&lt;="&amp;(COLUMN()-4))/$B5,0))</f>
        <v/>
      </c>
    </row>
    <row r="6" spans="1:40" ht="15.75" customHeight="1" x14ac:dyDescent="0.35">
      <c r="A6" s="231" t="s">
        <v>165</v>
      </c>
      <c r="B6" s="232">
        <f>COUNTIF(Export!$E:$E,A6)</f>
        <v>18</v>
      </c>
      <c r="C6" s="233">
        <f t="shared" si="0"/>
        <v>27</v>
      </c>
      <c r="D6" s="235">
        <f>IF((COLUMN()-4)&gt;$C6,"",IFERROR(COUNTIFS('recuperación efectiva'!$E:$E,$A6,'recuperación efectiva'!$K:$K,"&lt;="&amp;(COLUMN()-4))/$B6,0))</f>
        <v>0</v>
      </c>
      <c r="E6" s="235">
        <f>IF((COLUMN()-4)&gt;$C6,"",IFERROR(COUNTIFS('recuperación efectiva'!$E:$E,$A6,'recuperación efectiva'!$K:$K,"&lt;="&amp;(COLUMN()-4))/$B6,0))</f>
        <v>0</v>
      </c>
      <c r="F6" s="235">
        <f>IF((COLUMN()-4)&gt;$C6,"",IFERROR(COUNTIFS('recuperación efectiva'!$E:$E,$A6,'recuperación efectiva'!$K:$K,"&lt;="&amp;(COLUMN()-4))/$B6,0))</f>
        <v>0</v>
      </c>
      <c r="G6" s="235">
        <f>IF((COLUMN()-4)&gt;$C6,"",IFERROR(COUNTIFS('recuperación efectiva'!$E:$E,$A6,'recuperación efectiva'!$K:$K,"&lt;="&amp;(COLUMN()-4))/$B6,0))</f>
        <v>0</v>
      </c>
      <c r="H6" s="235">
        <f>IF((COLUMN()-4)&gt;$C6,"",IFERROR(COUNTIFS('recuperación efectiva'!$E:$E,$A6,'recuperación efectiva'!$K:$K,"&lt;="&amp;(COLUMN()-4))/$B6,0))</f>
        <v>0</v>
      </c>
      <c r="I6" s="235">
        <f>IF((COLUMN()-4)&gt;$C6,"",IFERROR(COUNTIFS('recuperación efectiva'!$E:$E,$A6,'recuperación efectiva'!$K:$K,"&lt;="&amp;(COLUMN()-4))/$B6,0))</f>
        <v>0</v>
      </c>
      <c r="J6" s="235">
        <f>IF((COLUMN()-4)&gt;$C6,"",IFERROR(COUNTIFS('recuperación efectiva'!$E:$E,$A6,'recuperación efectiva'!$K:$K,"&lt;="&amp;(COLUMN()-4))/$B6,0))</f>
        <v>0</v>
      </c>
      <c r="K6" s="235">
        <f>IF((COLUMN()-4)&gt;$C6,"",IFERROR(COUNTIFS('recuperación efectiva'!$E:$E,$A6,'recuperación efectiva'!$K:$K,"&lt;="&amp;(COLUMN()-4))/$B6,0))</f>
        <v>0</v>
      </c>
      <c r="L6" s="235">
        <f>IF((COLUMN()-4)&gt;$C6,"",IFERROR(COUNTIFS('recuperación efectiva'!$E:$E,$A6,'recuperación efectiva'!$K:$K,"&lt;="&amp;(COLUMN()-4))/$B6,0))</f>
        <v>0</v>
      </c>
      <c r="M6" s="235">
        <f>IF((COLUMN()-4)&gt;$C6,"",IFERROR(COUNTIFS('recuperación efectiva'!$E:$E,$A6,'recuperación efectiva'!$K:$K,"&lt;="&amp;(COLUMN()-4))/$B6,0))</f>
        <v>0</v>
      </c>
      <c r="N6" s="235">
        <f>IF((COLUMN()-4)&gt;$C6,"",IFERROR(COUNTIFS('recuperación efectiva'!$E:$E,$A6,'recuperación efectiva'!$K:$K,"&lt;="&amp;(COLUMN()-4))/$B6,0))</f>
        <v>0</v>
      </c>
      <c r="O6" s="235">
        <f>IF((COLUMN()-4)&gt;$C6,"",IFERROR(COUNTIFS('recuperación efectiva'!$E:$E,$A6,'recuperación efectiva'!$K:$K,"&lt;="&amp;(COLUMN()-4))/$B6,0))</f>
        <v>0</v>
      </c>
      <c r="P6" s="235">
        <f>IF((COLUMN()-4)&gt;$C6,"",IFERROR(COUNTIFS('recuperación efectiva'!$E:$E,$A6,'recuperación efectiva'!$K:$K,"&lt;="&amp;(COLUMN()-4))/$B6,0))</f>
        <v>0</v>
      </c>
      <c r="Q6" s="235">
        <f>IF((COLUMN()-4)&gt;$C6,"",IFERROR(COUNTIFS('recuperación efectiva'!$E:$E,$A6,'recuperación efectiva'!$K:$K,"&lt;="&amp;(COLUMN()-4))/$B6,0))</f>
        <v>0.1111111111111111</v>
      </c>
      <c r="R6" s="235">
        <f>IF((COLUMN()-4)&gt;$C6,"",IFERROR(COUNTIFS('recuperación efectiva'!$E:$E,$A6,'recuperación efectiva'!$K:$K,"&lt;="&amp;(COLUMN()-4))/$B6,0))</f>
        <v>0.1111111111111111</v>
      </c>
      <c r="S6" s="235">
        <f>IF((COLUMN()-4)&gt;$C6,"",IFERROR(COUNTIFS('recuperación efectiva'!$E:$E,$A6,'recuperación efectiva'!$K:$K,"&lt;="&amp;(COLUMN()-4))/$B6,0))</f>
        <v>0.22222222222222221</v>
      </c>
      <c r="T6" s="235">
        <f>IF((COLUMN()-4)&gt;$C6,"",IFERROR(COUNTIFS('recuperación efectiva'!$E:$E,$A6,'recuperación efectiva'!$K:$K,"&lt;="&amp;(COLUMN()-4))/$B6,0))</f>
        <v>0.22222222222222221</v>
      </c>
      <c r="U6" s="235">
        <f>IF((COLUMN()-4)&gt;$C6,"",IFERROR(COUNTIFS('recuperación efectiva'!$E:$E,$A6,'recuperación efectiva'!$K:$K,"&lt;="&amp;(COLUMN()-4))/$B6,0))</f>
        <v>0.22222222222222221</v>
      </c>
      <c r="V6" s="235">
        <f>IF((COLUMN()-4)&gt;$C6,"",IFERROR(COUNTIFS('recuperación efectiva'!$E:$E,$A6,'recuperación efectiva'!$K:$K,"&lt;="&amp;(COLUMN()-4))/$B6,0))</f>
        <v>0.22222222222222221</v>
      </c>
      <c r="W6" s="235">
        <f>IF((COLUMN()-4)&gt;$C6,"",IFERROR(COUNTIFS('recuperación efectiva'!$E:$E,$A6,'recuperación efectiva'!$K:$K,"&lt;="&amp;(COLUMN()-4))/$B6,0))</f>
        <v>0.27777777777777779</v>
      </c>
      <c r="X6" s="235">
        <f>IF((COLUMN()-4)&gt;$C6,"",IFERROR(COUNTIFS('recuperación efectiva'!$E:$E,$A6,'recuperación efectiva'!$K:$K,"&lt;="&amp;(COLUMN()-4))/$B6,0))</f>
        <v>0.3888888888888889</v>
      </c>
      <c r="Y6" s="235">
        <f>IF((COLUMN()-4)&gt;$C6,"",IFERROR(COUNTIFS('recuperación efectiva'!$E:$E,$A6,'recuperación efectiva'!$K:$K,"&lt;="&amp;(COLUMN()-4))/$B6,0))</f>
        <v>0.3888888888888889</v>
      </c>
      <c r="Z6" s="235">
        <f>IF((COLUMN()-4)&gt;$C6,"",IFERROR(COUNTIFS('recuperación efectiva'!$E:$E,$A6,'recuperación efectiva'!$K:$K,"&lt;="&amp;(COLUMN()-4))/$B6,0))</f>
        <v>0.3888888888888889</v>
      </c>
      <c r="AA6" s="235">
        <f>IF((COLUMN()-4)&gt;$C6,"",IFERROR(COUNTIFS('recuperación efectiva'!$E:$E,$A6,'recuperación efectiva'!$K:$K,"&lt;="&amp;(COLUMN()-4))/$B6,0))</f>
        <v>0.44444444444444442</v>
      </c>
      <c r="AB6" s="235">
        <f>IF((COLUMN()-4)&gt;$C6,"",IFERROR(COUNTIFS('recuperación efectiva'!$E:$E,$A6,'recuperación efectiva'!$K:$K,"&lt;="&amp;(COLUMN()-4))/$B6,0))</f>
        <v>0.55555555555555558</v>
      </c>
      <c r="AC6" s="235">
        <f>IF((COLUMN()-4)&gt;$C6,"",IFERROR(COUNTIFS('recuperación efectiva'!$E:$E,$A6,'recuperación efectiva'!$K:$K,"&lt;="&amp;(COLUMN()-4))/$B6,0))</f>
        <v>0.55555555555555558</v>
      </c>
      <c r="AD6" s="235">
        <f>IF((COLUMN()-4)&gt;$C6,"",IFERROR(COUNTIFS('recuperación efectiva'!$E:$E,$A6,'recuperación efectiva'!$K:$K,"&lt;="&amp;(COLUMN()-4))/$B6,0))</f>
        <v>0.55555555555555558</v>
      </c>
      <c r="AE6" s="235">
        <f>IF((COLUMN()-4)&gt;$C6,"",IFERROR(COUNTIFS('recuperación efectiva'!$E:$E,$A6,'recuperación efectiva'!$K:$K,"&lt;="&amp;(COLUMN()-4))/$B6,0))</f>
        <v>0.61111111111111116</v>
      </c>
      <c r="AF6" s="235" t="str">
        <f>IF((COLUMN()-4)&gt;$C6,"",IFERROR(COUNTIFS('recuperación efectiva'!$E:$E,$A6,'recuperación efectiva'!$K:$K,"&lt;="&amp;(COLUMN()-4))/$B6,0))</f>
        <v/>
      </c>
      <c r="AG6" s="235" t="str">
        <f>IF((COLUMN()-4)&gt;$C6,"",IFERROR(COUNTIFS('recuperación efectiva'!$E:$E,$A6,'recuperación efectiva'!$K:$K,"&lt;="&amp;(COLUMN()-4))/$B6,0))</f>
        <v/>
      </c>
      <c r="AH6" s="235" t="str">
        <f>IF((COLUMN()-4)&gt;$C6,"",IFERROR(COUNTIFS('recuperación efectiva'!$E:$E,$A6,'recuperación efectiva'!$K:$K,"&lt;="&amp;(COLUMN()-4))/$B6,0))</f>
        <v/>
      </c>
      <c r="AI6" s="235" t="str">
        <f>IF((COLUMN()-4)&gt;$C6,"",IFERROR(COUNTIFS('recuperación efectiva'!$E:$E,$A6,'recuperación efectiva'!$K:$K,"&lt;="&amp;(COLUMN()-4))/$B6,0))</f>
        <v/>
      </c>
      <c r="AJ6" s="235" t="str">
        <f>IF((COLUMN()-4)&gt;$C6,"",IFERROR(COUNTIFS('recuperación efectiva'!$E:$E,$A6,'recuperación efectiva'!$K:$K,"&lt;="&amp;(COLUMN()-4))/$B6,0))</f>
        <v/>
      </c>
      <c r="AK6" s="235" t="str">
        <f>IF((COLUMN()-4)&gt;$C6,"",IFERROR(COUNTIFS('recuperación efectiva'!$E:$E,$A6,'recuperación efectiva'!$K:$K,"&lt;="&amp;(COLUMN()-4))/$B6,0))</f>
        <v/>
      </c>
      <c r="AL6" s="235" t="str">
        <f>IF((COLUMN()-4)&gt;$C6,"",IFERROR(COUNTIFS('recuperación efectiva'!$E:$E,$A6,'recuperación efectiva'!$K:$K,"&lt;="&amp;(COLUMN()-4))/$B6,0))</f>
        <v/>
      </c>
      <c r="AM6" s="235" t="str">
        <f>IF((COLUMN()-4)&gt;$C6,"",IFERROR(COUNTIFS('recuperación efectiva'!$E:$E,$A6,'recuperación efectiva'!$K:$K,"&lt;="&amp;(COLUMN()-4))/$B6,0))</f>
        <v/>
      </c>
      <c r="AN6" s="235" t="str">
        <f>IF((COLUMN()-4)&gt;$C6,"",IFERROR(COUNTIFS('recuperación efectiva'!$E:$E,$A6,'recuperación efectiva'!$K:$K,"&lt;="&amp;(COLUMN()-4))/$B6,0))</f>
        <v/>
      </c>
    </row>
    <row r="7" spans="1:40" ht="15.75" customHeight="1" x14ac:dyDescent="0.35">
      <c r="A7" s="231" t="s">
        <v>275</v>
      </c>
      <c r="B7" s="232">
        <f>COUNTIF(Export!$E:$E,A7)</f>
        <v>16</v>
      </c>
      <c r="C7" s="233">
        <f t="shared" si="0"/>
        <v>26</v>
      </c>
      <c r="D7" s="234">
        <f>IF((COLUMN()-4)&gt;$C7,"",IFERROR(COUNTIFS('recuperación efectiva'!$E:$E,$A7,'recuperación efectiva'!$K:$K,"&lt;="&amp;(COLUMN()-4))/$B7,0))</f>
        <v>0</v>
      </c>
      <c r="E7" s="234">
        <f>IF((COLUMN()-4)&gt;$C7,"",IFERROR(COUNTIFS('recuperación efectiva'!$E:$E,$A7,'recuperación efectiva'!$K:$K,"&lt;="&amp;(COLUMN()-4))/$B7,0))</f>
        <v>0</v>
      </c>
      <c r="F7" s="234">
        <f>IF((COLUMN()-4)&gt;$C7,"",IFERROR(COUNTIFS('recuperación efectiva'!$E:$E,$A7,'recuperación efectiva'!$K:$K,"&lt;="&amp;(COLUMN()-4))/$B7,0))</f>
        <v>0</v>
      </c>
      <c r="G7" s="234">
        <f>IF((COLUMN()-4)&gt;$C7,"",IFERROR(COUNTIFS('recuperación efectiva'!$E:$E,$A7,'recuperación efectiva'!$K:$K,"&lt;="&amp;(COLUMN()-4))/$B7,0))</f>
        <v>0</v>
      </c>
      <c r="H7" s="234">
        <f>IF((COLUMN()-4)&gt;$C7,"",IFERROR(COUNTIFS('recuperación efectiva'!$E:$E,$A7,'recuperación efectiva'!$K:$K,"&lt;="&amp;(COLUMN()-4))/$B7,0))</f>
        <v>0</v>
      </c>
      <c r="I7" s="234">
        <f>IF((COLUMN()-4)&gt;$C7,"",IFERROR(COUNTIFS('recuperación efectiva'!$E:$E,$A7,'recuperación efectiva'!$K:$K,"&lt;="&amp;(COLUMN()-4))/$B7,0))</f>
        <v>0</v>
      </c>
      <c r="J7" s="234">
        <f>IF((COLUMN()-4)&gt;$C7,"",IFERROR(COUNTIFS('recuperación efectiva'!$E:$E,$A7,'recuperación efectiva'!$K:$K,"&lt;="&amp;(COLUMN()-4))/$B7,0))</f>
        <v>0</v>
      </c>
      <c r="K7" s="234">
        <f>IF((COLUMN()-4)&gt;$C7,"",IFERROR(COUNTIFS('recuperación efectiva'!$E:$E,$A7,'recuperación efectiva'!$K:$K,"&lt;="&amp;(COLUMN()-4))/$B7,0))</f>
        <v>0</v>
      </c>
      <c r="L7" s="234">
        <f>IF((COLUMN()-4)&gt;$C7,"",IFERROR(COUNTIFS('recuperación efectiva'!$E:$E,$A7,'recuperación efectiva'!$K:$K,"&lt;="&amp;(COLUMN()-4))/$B7,0))</f>
        <v>0</v>
      </c>
      <c r="M7" s="234">
        <f>IF((COLUMN()-4)&gt;$C7,"",IFERROR(COUNTIFS('recuperación efectiva'!$E:$E,$A7,'recuperación efectiva'!$K:$K,"&lt;="&amp;(COLUMN()-4))/$B7,0))</f>
        <v>0</v>
      </c>
      <c r="N7" s="234">
        <f>IF((COLUMN()-4)&gt;$C7,"",IFERROR(COUNTIFS('recuperación efectiva'!$E:$E,$A7,'recuperación efectiva'!$K:$K,"&lt;="&amp;(COLUMN()-4))/$B7,0))</f>
        <v>0.125</v>
      </c>
      <c r="O7" s="234">
        <f>IF((COLUMN()-4)&gt;$C7,"",IFERROR(COUNTIFS('recuperación efectiva'!$E:$E,$A7,'recuperación efectiva'!$K:$K,"&lt;="&amp;(COLUMN()-4))/$B7,0))</f>
        <v>0.125</v>
      </c>
      <c r="P7" s="234">
        <f>IF((COLUMN()-4)&gt;$C7,"",IFERROR(COUNTIFS('recuperación efectiva'!$E:$E,$A7,'recuperación efectiva'!$K:$K,"&lt;="&amp;(COLUMN()-4))/$B7,0))</f>
        <v>0.125</v>
      </c>
      <c r="Q7" s="234">
        <f>IF((COLUMN()-4)&gt;$C7,"",IFERROR(COUNTIFS('recuperación efectiva'!$E:$E,$A7,'recuperación efectiva'!$K:$K,"&lt;="&amp;(COLUMN()-4))/$B7,0))</f>
        <v>0.25</v>
      </c>
      <c r="R7" s="234">
        <f>IF((COLUMN()-4)&gt;$C7,"",IFERROR(COUNTIFS('recuperación efectiva'!$E:$E,$A7,'recuperación efectiva'!$K:$K,"&lt;="&amp;(COLUMN()-4))/$B7,0))</f>
        <v>0.25</v>
      </c>
      <c r="S7" s="234">
        <f>IF((COLUMN()-4)&gt;$C7,"",IFERROR(COUNTIFS('recuperación efectiva'!$E:$E,$A7,'recuperación efectiva'!$K:$K,"&lt;="&amp;(COLUMN()-4))/$B7,0))</f>
        <v>0.3125</v>
      </c>
      <c r="T7" s="234">
        <f>IF((COLUMN()-4)&gt;$C7,"",IFERROR(COUNTIFS('recuperación efectiva'!$E:$E,$A7,'recuperación efectiva'!$K:$K,"&lt;="&amp;(COLUMN()-4))/$B7,0))</f>
        <v>0.375</v>
      </c>
      <c r="U7" s="234">
        <f>IF((COLUMN()-4)&gt;$C7,"",IFERROR(COUNTIFS('recuperación efectiva'!$E:$E,$A7,'recuperación efectiva'!$K:$K,"&lt;="&amp;(COLUMN()-4))/$B7,0))</f>
        <v>0.375</v>
      </c>
      <c r="V7" s="234">
        <f>IF((COLUMN()-4)&gt;$C7,"",IFERROR(COUNTIFS('recuperación efectiva'!$E:$E,$A7,'recuperación efectiva'!$K:$K,"&lt;="&amp;(COLUMN()-4))/$B7,0))</f>
        <v>0.375</v>
      </c>
      <c r="W7" s="234">
        <f>IF((COLUMN()-4)&gt;$C7,"",IFERROR(COUNTIFS('recuperación efectiva'!$E:$E,$A7,'recuperación efectiva'!$K:$K,"&lt;="&amp;(COLUMN()-4))/$B7,0))</f>
        <v>0.375</v>
      </c>
      <c r="X7" s="234">
        <f>IF((COLUMN()-4)&gt;$C7,"",IFERROR(COUNTIFS('recuperación efectiva'!$E:$E,$A7,'recuperación efectiva'!$K:$K,"&lt;="&amp;(COLUMN()-4))/$B7,0))</f>
        <v>0.375</v>
      </c>
      <c r="Y7" s="234">
        <f>IF((COLUMN()-4)&gt;$C7,"",IFERROR(COUNTIFS('recuperación efectiva'!$E:$E,$A7,'recuperación efectiva'!$K:$K,"&lt;="&amp;(COLUMN()-4))/$B7,0))</f>
        <v>0.375</v>
      </c>
      <c r="Z7" s="234">
        <f>IF((COLUMN()-4)&gt;$C7,"",IFERROR(COUNTIFS('recuperación efectiva'!$E:$E,$A7,'recuperación efectiva'!$K:$K,"&lt;="&amp;(COLUMN()-4))/$B7,0))</f>
        <v>0.625</v>
      </c>
      <c r="AA7" s="234">
        <f>IF((COLUMN()-4)&gt;$C7,"",IFERROR(COUNTIFS('recuperación efectiva'!$E:$E,$A7,'recuperación efectiva'!$K:$K,"&lt;="&amp;(COLUMN()-4))/$B7,0))</f>
        <v>0.625</v>
      </c>
      <c r="AB7" s="234">
        <f>IF((COLUMN()-4)&gt;$C7,"",IFERROR(COUNTIFS('recuperación efectiva'!$E:$E,$A7,'recuperación efectiva'!$K:$K,"&lt;="&amp;(COLUMN()-4))/$B7,0))</f>
        <v>0.75</v>
      </c>
      <c r="AC7" s="234">
        <f>IF((COLUMN()-4)&gt;$C7,"",IFERROR(COUNTIFS('recuperación efectiva'!$E:$E,$A7,'recuperación efectiva'!$K:$K,"&lt;="&amp;(COLUMN()-4))/$B7,0))</f>
        <v>0.875</v>
      </c>
      <c r="AD7" s="234">
        <f>IF((COLUMN()-4)&gt;$C7,"",IFERROR(COUNTIFS('recuperación efectiva'!$E:$E,$A7,'recuperación efectiva'!$K:$K,"&lt;="&amp;(COLUMN()-4))/$B7,0))</f>
        <v>0.9375</v>
      </c>
      <c r="AE7" s="234" t="str">
        <f>IF((COLUMN()-4)&gt;$C7,"",IFERROR(COUNTIFS('recuperación efectiva'!$E:$E,$A7,'recuperación efectiva'!$K:$K,"&lt;="&amp;(COLUMN()-4))/$B7,0))</f>
        <v/>
      </c>
      <c r="AF7" s="234" t="str">
        <f>IF((COLUMN()-4)&gt;$C7,"",IFERROR(COUNTIFS('recuperación efectiva'!$E:$E,$A7,'recuperación efectiva'!$K:$K,"&lt;="&amp;(COLUMN()-4))/$B7,0))</f>
        <v/>
      </c>
      <c r="AG7" s="234" t="str">
        <f>IF((COLUMN()-4)&gt;$C7,"",IFERROR(COUNTIFS('recuperación efectiva'!$E:$E,$A7,'recuperación efectiva'!$K:$K,"&lt;="&amp;(COLUMN()-4))/$B7,0))</f>
        <v/>
      </c>
      <c r="AH7" s="234" t="str">
        <f>IF((COLUMN()-4)&gt;$C7,"",IFERROR(COUNTIFS('recuperación efectiva'!$E:$E,$A7,'recuperación efectiva'!$K:$K,"&lt;="&amp;(COLUMN()-4))/$B7,0))</f>
        <v/>
      </c>
      <c r="AI7" s="234" t="str">
        <f>IF((COLUMN()-4)&gt;$C7,"",IFERROR(COUNTIFS('recuperación efectiva'!$E:$E,$A7,'recuperación efectiva'!$K:$K,"&lt;="&amp;(COLUMN()-4))/$B7,0))</f>
        <v/>
      </c>
      <c r="AJ7" s="234" t="str">
        <f>IF((COLUMN()-4)&gt;$C7,"",IFERROR(COUNTIFS('recuperación efectiva'!$E:$E,$A7,'recuperación efectiva'!$K:$K,"&lt;="&amp;(COLUMN()-4))/$B7,0))</f>
        <v/>
      </c>
      <c r="AK7" s="234" t="str">
        <f>IF((COLUMN()-4)&gt;$C7,"",IFERROR(COUNTIFS('recuperación efectiva'!$E:$E,$A7,'recuperación efectiva'!$K:$K,"&lt;="&amp;(COLUMN()-4))/$B7,0))</f>
        <v/>
      </c>
      <c r="AL7" s="234" t="str">
        <f>IF((COLUMN()-4)&gt;$C7,"",IFERROR(COUNTIFS('recuperación efectiva'!$E:$E,$A7,'recuperación efectiva'!$K:$K,"&lt;="&amp;(COLUMN()-4))/$B7,0))</f>
        <v/>
      </c>
      <c r="AM7" s="234" t="str">
        <f>IF((COLUMN()-4)&gt;$C7,"",IFERROR(COUNTIFS('recuperación efectiva'!$E:$E,$A7,'recuperación efectiva'!$K:$K,"&lt;="&amp;(COLUMN()-4))/$B7,0))</f>
        <v/>
      </c>
      <c r="AN7" s="234" t="str">
        <f>IF((COLUMN()-4)&gt;$C7,"",IFERROR(COUNTIFS('recuperación efectiva'!$E:$E,$A7,'recuperación efectiva'!$K:$K,"&lt;="&amp;(COLUMN()-4))/$B7,0))</f>
        <v/>
      </c>
    </row>
    <row r="8" spans="1:40" ht="15.75" customHeight="1" x14ac:dyDescent="0.35">
      <c r="A8" s="231" t="s">
        <v>453</v>
      </c>
      <c r="B8" s="232">
        <f>COUNTIF(Export!$E:$E,A8)</f>
        <v>18</v>
      </c>
      <c r="C8" s="233">
        <f t="shared" si="0"/>
        <v>25</v>
      </c>
      <c r="D8" s="235">
        <f>IF((COLUMN()-4)&gt;$C8,"",IFERROR(COUNTIFS('recuperación efectiva'!$E:$E,$A8,'recuperación efectiva'!$K:$K,"&lt;="&amp;(COLUMN()-4))/$B8,0))</f>
        <v>0</v>
      </c>
      <c r="E8" s="235">
        <f>IF((COLUMN()-4)&gt;$C8,"",IFERROR(COUNTIFS('recuperación efectiva'!$E:$E,$A8,'recuperación efectiva'!$K:$K,"&lt;="&amp;(COLUMN()-4))/$B8,0))</f>
        <v>0</v>
      </c>
      <c r="F8" s="235">
        <f>IF((COLUMN()-4)&gt;$C8,"",IFERROR(COUNTIFS('recuperación efectiva'!$E:$E,$A8,'recuperación efectiva'!$K:$K,"&lt;="&amp;(COLUMN()-4))/$B8,0))</f>
        <v>0</v>
      </c>
      <c r="G8" s="235">
        <f>IF((COLUMN()-4)&gt;$C8,"",IFERROR(COUNTIFS('recuperación efectiva'!$E:$E,$A8,'recuperación efectiva'!$K:$K,"&lt;="&amp;(COLUMN()-4))/$B8,0))</f>
        <v>0</v>
      </c>
      <c r="H8" s="235">
        <f>IF((COLUMN()-4)&gt;$C8,"",IFERROR(COUNTIFS('recuperación efectiva'!$E:$E,$A8,'recuperación efectiva'!$K:$K,"&lt;="&amp;(COLUMN()-4))/$B8,0))</f>
        <v>0</v>
      </c>
      <c r="I8" s="235">
        <f>IF((COLUMN()-4)&gt;$C8,"",IFERROR(COUNTIFS('recuperación efectiva'!$E:$E,$A8,'recuperación efectiva'!$K:$K,"&lt;="&amp;(COLUMN()-4))/$B8,0))</f>
        <v>0</v>
      </c>
      <c r="J8" s="235">
        <f>IF((COLUMN()-4)&gt;$C8,"",IFERROR(COUNTIFS('recuperación efectiva'!$E:$E,$A8,'recuperación efectiva'!$K:$K,"&lt;="&amp;(COLUMN()-4))/$B8,0))</f>
        <v>0</v>
      </c>
      <c r="K8" s="235">
        <f>IF((COLUMN()-4)&gt;$C8,"",IFERROR(COUNTIFS('recuperación efectiva'!$E:$E,$A8,'recuperación efectiva'!$K:$K,"&lt;="&amp;(COLUMN()-4))/$B8,0))</f>
        <v>0</v>
      </c>
      <c r="L8" s="235">
        <f>IF((COLUMN()-4)&gt;$C8,"",IFERROR(COUNTIFS('recuperación efectiva'!$E:$E,$A8,'recuperación efectiva'!$K:$K,"&lt;="&amp;(COLUMN()-4))/$B8,0))</f>
        <v>0</v>
      </c>
      <c r="M8" s="235">
        <f>IF((COLUMN()-4)&gt;$C8,"",IFERROR(COUNTIFS('recuperación efectiva'!$E:$E,$A8,'recuperación efectiva'!$K:$K,"&lt;="&amp;(COLUMN()-4))/$B8,0))</f>
        <v>0.1111111111111111</v>
      </c>
      <c r="N8" s="235">
        <f>IF((COLUMN()-4)&gt;$C8,"",IFERROR(COUNTIFS('recuperación efectiva'!$E:$E,$A8,'recuperación efectiva'!$K:$K,"&lt;="&amp;(COLUMN()-4))/$B8,0))</f>
        <v>0.16666666666666666</v>
      </c>
      <c r="O8" s="235">
        <f>IF((COLUMN()-4)&gt;$C8,"",IFERROR(COUNTIFS('recuperación efectiva'!$E:$E,$A8,'recuperación efectiva'!$K:$K,"&lt;="&amp;(COLUMN()-4))/$B8,0))</f>
        <v>0.16666666666666666</v>
      </c>
      <c r="P8" s="235">
        <f>IF((COLUMN()-4)&gt;$C8,"",IFERROR(COUNTIFS('recuperación efectiva'!$E:$E,$A8,'recuperación efectiva'!$K:$K,"&lt;="&amp;(COLUMN()-4))/$B8,0))</f>
        <v>0.16666666666666666</v>
      </c>
      <c r="Q8" s="235">
        <f>IF((COLUMN()-4)&gt;$C8,"",IFERROR(COUNTIFS('recuperación efectiva'!$E:$E,$A8,'recuperación efectiva'!$K:$K,"&lt;="&amp;(COLUMN()-4))/$B8,0))</f>
        <v>0.22222222222222221</v>
      </c>
      <c r="R8" s="235">
        <f>IF((COLUMN()-4)&gt;$C8,"",IFERROR(COUNTIFS('recuperación efectiva'!$E:$E,$A8,'recuperación efectiva'!$K:$K,"&lt;="&amp;(COLUMN()-4))/$B8,0))</f>
        <v>0.22222222222222221</v>
      </c>
      <c r="S8" s="235">
        <f>IF((COLUMN()-4)&gt;$C8,"",IFERROR(COUNTIFS('recuperación efectiva'!$E:$E,$A8,'recuperación efectiva'!$K:$K,"&lt;="&amp;(COLUMN()-4))/$B8,0))</f>
        <v>0.33333333333333331</v>
      </c>
      <c r="T8" s="235">
        <f>IF((COLUMN()-4)&gt;$C8,"",IFERROR(COUNTIFS('recuperación efectiva'!$E:$E,$A8,'recuperación efectiva'!$K:$K,"&lt;="&amp;(COLUMN()-4))/$B8,0))</f>
        <v>0.33333333333333331</v>
      </c>
      <c r="U8" s="235">
        <f>IF((COLUMN()-4)&gt;$C8,"",IFERROR(COUNTIFS('recuperación efectiva'!$E:$E,$A8,'recuperación efectiva'!$K:$K,"&lt;="&amp;(COLUMN()-4))/$B8,0))</f>
        <v>0.33333333333333331</v>
      </c>
      <c r="V8" s="235">
        <f>IF((COLUMN()-4)&gt;$C8,"",IFERROR(COUNTIFS('recuperación efectiva'!$E:$E,$A8,'recuperación efectiva'!$K:$K,"&lt;="&amp;(COLUMN()-4))/$B8,0))</f>
        <v>0.33333333333333331</v>
      </c>
      <c r="W8" s="235">
        <f>IF((COLUMN()-4)&gt;$C8,"",IFERROR(COUNTIFS('recuperación efectiva'!$E:$E,$A8,'recuperación efectiva'!$K:$K,"&lt;="&amp;(COLUMN()-4))/$B8,0))</f>
        <v>0.3888888888888889</v>
      </c>
      <c r="X8" s="235">
        <f>IF((COLUMN()-4)&gt;$C8,"",IFERROR(COUNTIFS('recuperación efectiva'!$E:$E,$A8,'recuperación efectiva'!$K:$K,"&lt;="&amp;(COLUMN()-4))/$B8,0))</f>
        <v>0.3888888888888889</v>
      </c>
      <c r="Y8" s="235">
        <f>IF((COLUMN()-4)&gt;$C8,"",IFERROR(COUNTIFS('recuperación efectiva'!$E:$E,$A8,'recuperación efectiva'!$K:$K,"&lt;="&amp;(COLUMN()-4))/$B8,0))</f>
        <v>0.3888888888888889</v>
      </c>
      <c r="Z8" s="235">
        <f>IF((COLUMN()-4)&gt;$C8,"",IFERROR(COUNTIFS('recuperación efectiva'!$E:$E,$A8,'recuperación efectiva'!$K:$K,"&lt;="&amp;(COLUMN()-4))/$B8,0))</f>
        <v>0.5</v>
      </c>
      <c r="AA8" s="235">
        <f>IF((COLUMN()-4)&gt;$C8,"",IFERROR(COUNTIFS('recuperación efectiva'!$E:$E,$A8,'recuperación efectiva'!$K:$K,"&lt;="&amp;(COLUMN()-4))/$B8,0))</f>
        <v>0.61111111111111116</v>
      </c>
      <c r="AB8" s="235">
        <f>IF((COLUMN()-4)&gt;$C8,"",IFERROR(COUNTIFS('recuperación efectiva'!$E:$E,$A8,'recuperación efectiva'!$K:$K,"&lt;="&amp;(COLUMN()-4))/$B8,0))</f>
        <v>0.61111111111111116</v>
      </c>
      <c r="AC8" s="235">
        <f>IF((COLUMN()-4)&gt;$C8,"",IFERROR(COUNTIFS('recuperación efectiva'!$E:$E,$A8,'recuperación efectiva'!$K:$K,"&lt;="&amp;(COLUMN()-4))/$B8,0))</f>
        <v>0.61111111111111116</v>
      </c>
      <c r="AD8" s="235" t="str">
        <f>IF((COLUMN()-4)&gt;$C8,"",IFERROR(COUNTIFS('recuperación efectiva'!$E:$E,$A8,'recuperación efectiva'!$K:$K,"&lt;="&amp;(COLUMN()-4))/$B8,0))</f>
        <v/>
      </c>
      <c r="AE8" s="235" t="str">
        <f>IF((COLUMN()-4)&gt;$C8,"",IFERROR(COUNTIFS('recuperación efectiva'!$E:$E,$A8,'recuperación efectiva'!$K:$K,"&lt;="&amp;(COLUMN()-4))/$B8,0))</f>
        <v/>
      </c>
      <c r="AF8" s="235" t="str">
        <f>IF((COLUMN()-4)&gt;$C8,"",IFERROR(COUNTIFS('recuperación efectiva'!$E:$E,$A8,'recuperación efectiva'!$K:$K,"&lt;="&amp;(COLUMN()-4))/$B8,0))</f>
        <v/>
      </c>
      <c r="AG8" s="235" t="str">
        <f>IF((COLUMN()-4)&gt;$C8,"",IFERROR(COUNTIFS('recuperación efectiva'!$E:$E,$A8,'recuperación efectiva'!$K:$K,"&lt;="&amp;(COLUMN()-4))/$B8,0))</f>
        <v/>
      </c>
      <c r="AH8" s="235" t="str">
        <f>IF((COLUMN()-4)&gt;$C8,"",IFERROR(COUNTIFS('recuperación efectiva'!$E:$E,$A8,'recuperación efectiva'!$K:$K,"&lt;="&amp;(COLUMN()-4))/$B8,0))</f>
        <v/>
      </c>
      <c r="AI8" s="235" t="str">
        <f>IF((COLUMN()-4)&gt;$C8,"",IFERROR(COUNTIFS('recuperación efectiva'!$E:$E,$A8,'recuperación efectiva'!$K:$K,"&lt;="&amp;(COLUMN()-4))/$B8,0))</f>
        <v/>
      </c>
      <c r="AJ8" s="235" t="str">
        <f>IF((COLUMN()-4)&gt;$C8,"",IFERROR(COUNTIFS('recuperación efectiva'!$E:$E,$A8,'recuperación efectiva'!$K:$K,"&lt;="&amp;(COLUMN()-4))/$B8,0))</f>
        <v/>
      </c>
      <c r="AK8" s="235" t="str">
        <f>IF((COLUMN()-4)&gt;$C8,"",IFERROR(COUNTIFS('recuperación efectiva'!$E:$E,$A8,'recuperación efectiva'!$K:$K,"&lt;="&amp;(COLUMN()-4))/$B8,0))</f>
        <v/>
      </c>
      <c r="AL8" s="235" t="str">
        <f>IF((COLUMN()-4)&gt;$C8,"",IFERROR(COUNTIFS('recuperación efectiva'!$E:$E,$A8,'recuperación efectiva'!$K:$K,"&lt;="&amp;(COLUMN()-4))/$B8,0))</f>
        <v/>
      </c>
      <c r="AM8" s="235" t="str">
        <f>IF((COLUMN()-4)&gt;$C8,"",IFERROR(COUNTIFS('recuperación efectiva'!$E:$E,$A8,'recuperación efectiva'!$K:$K,"&lt;="&amp;(COLUMN()-4))/$B8,0))</f>
        <v/>
      </c>
      <c r="AN8" s="235" t="str">
        <f>IF((COLUMN()-4)&gt;$C8,"",IFERROR(COUNTIFS('recuperación efectiva'!$E:$E,$A8,'recuperación efectiva'!$K:$K,"&lt;="&amp;(COLUMN()-4))/$B8,0))</f>
        <v/>
      </c>
    </row>
    <row r="9" spans="1:40" ht="15.75" customHeight="1" x14ac:dyDescent="0.35">
      <c r="A9" s="231" t="s">
        <v>244</v>
      </c>
      <c r="B9" s="232">
        <f>COUNTIF(Export!$E:$E,A9)</f>
        <v>21</v>
      </c>
      <c r="C9" s="233">
        <f t="shared" si="0"/>
        <v>24</v>
      </c>
      <c r="D9" s="234">
        <f>IF((COLUMN()-4)&gt;$C9,"",IFERROR(COUNTIFS('recuperación efectiva'!$E:$E,$A9,'recuperación efectiva'!$K:$K,"&lt;="&amp;(COLUMN()-4))/$B9,0))</f>
        <v>0</v>
      </c>
      <c r="E9" s="234">
        <f>IF((COLUMN()-4)&gt;$C9,"",IFERROR(COUNTIFS('recuperación efectiva'!$E:$E,$A9,'recuperación efectiva'!$K:$K,"&lt;="&amp;(COLUMN()-4))/$B9,0))</f>
        <v>0</v>
      </c>
      <c r="F9" s="234">
        <f>IF((COLUMN()-4)&gt;$C9,"",IFERROR(COUNTIFS('recuperación efectiva'!$E:$E,$A9,'recuperación efectiva'!$K:$K,"&lt;="&amp;(COLUMN()-4))/$B9,0))</f>
        <v>0</v>
      </c>
      <c r="G9" s="234">
        <f>IF((COLUMN()-4)&gt;$C9,"",IFERROR(COUNTIFS('recuperación efectiva'!$E:$E,$A9,'recuperación efectiva'!$K:$K,"&lt;="&amp;(COLUMN()-4))/$B9,0))</f>
        <v>0</v>
      </c>
      <c r="H9" s="234">
        <f>IF((COLUMN()-4)&gt;$C9,"",IFERROR(COUNTIFS('recuperación efectiva'!$E:$E,$A9,'recuperación efectiva'!$K:$K,"&lt;="&amp;(COLUMN()-4))/$B9,0))</f>
        <v>0</v>
      </c>
      <c r="I9" s="234">
        <f>IF((COLUMN()-4)&gt;$C9,"",IFERROR(COUNTIFS('recuperación efectiva'!$E:$E,$A9,'recuperación efectiva'!$K:$K,"&lt;="&amp;(COLUMN()-4))/$B9,0))</f>
        <v>0</v>
      </c>
      <c r="J9" s="234">
        <f>IF((COLUMN()-4)&gt;$C9,"",IFERROR(COUNTIFS('recuperación efectiva'!$E:$E,$A9,'recuperación efectiva'!$K:$K,"&lt;="&amp;(COLUMN()-4))/$B9,0))</f>
        <v>0</v>
      </c>
      <c r="K9" s="234">
        <f>IF((COLUMN()-4)&gt;$C9,"",IFERROR(COUNTIFS('recuperación efectiva'!$E:$E,$A9,'recuperación efectiva'!$K:$K,"&lt;="&amp;(COLUMN()-4))/$B9,0))</f>
        <v>0</v>
      </c>
      <c r="L9" s="234">
        <f>IF((COLUMN()-4)&gt;$C9,"",IFERROR(COUNTIFS('recuperación efectiva'!$E:$E,$A9,'recuperación efectiva'!$K:$K,"&lt;="&amp;(COLUMN()-4))/$B9,0))</f>
        <v>0</v>
      </c>
      <c r="M9" s="234">
        <f>IF((COLUMN()-4)&gt;$C9,"",IFERROR(COUNTIFS('recuperación efectiva'!$E:$E,$A9,'recuperación efectiva'!$K:$K,"&lt;="&amp;(COLUMN()-4))/$B9,0))</f>
        <v>0</v>
      </c>
      <c r="N9" s="234">
        <f>IF((COLUMN()-4)&gt;$C9,"",IFERROR(COUNTIFS('recuperación efectiva'!$E:$E,$A9,'recuperación efectiva'!$K:$K,"&lt;="&amp;(COLUMN()-4))/$B9,0))</f>
        <v>0</v>
      </c>
      <c r="O9" s="234">
        <f>IF((COLUMN()-4)&gt;$C9,"",IFERROR(COUNTIFS('recuperación efectiva'!$E:$E,$A9,'recuperación efectiva'!$K:$K,"&lt;="&amp;(COLUMN()-4))/$B9,0))</f>
        <v>9.5238095238095233E-2</v>
      </c>
      <c r="P9" s="234">
        <f>IF((COLUMN()-4)&gt;$C9,"",IFERROR(COUNTIFS('recuperación efectiva'!$E:$E,$A9,'recuperación efectiva'!$K:$K,"&lt;="&amp;(COLUMN()-4))/$B9,0))</f>
        <v>9.5238095238095233E-2</v>
      </c>
      <c r="Q9" s="234">
        <f>IF((COLUMN()-4)&gt;$C9,"",IFERROR(COUNTIFS('recuperación efectiva'!$E:$E,$A9,'recuperación efectiva'!$K:$K,"&lt;="&amp;(COLUMN()-4))/$B9,0))</f>
        <v>0.14285714285714285</v>
      </c>
      <c r="R9" s="234">
        <f>IF((COLUMN()-4)&gt;$C9,"",IFERROR(COUNTIFS('recuperación efectiva'!$E:$E,$A9,'recuperación efectiva'!$K:$K,"&lt;="&amp;(COLUMN()-4))/$B9,0))</f>
        <v>0.19047619047619047</v>
      </c>
      <c r="S9" s="234">
        <f>IF((COLUMN()-4)&gt;$C9,"",IFERROR(COUNTIFS('recuperación efectiva'!$E:$E,$A9,'recuperación efectiva'!$K:$K,"&lt;="&amp;(COLUMN()-4))/$B9,0))</f>
        <v>0.23809523809523808</v>
      </c>
      <c r="T9" s="234">
        <f>IF((COLUMN()-4)&gt;$C9,"",IFERROR(COUNTIFS('recuperación efectiva'!$E:$E,$A9,'recuperación efectiva'!$K:$K,"&lt;="&amp;(COLUMN()-4))/$B9,0))</f>
        <v>0.23809523809523808</v>
      </c>
      <c r="U9" s="234">
        <f>IF((COLUMN()-4)&gt;$C9,"",IFERROR(COUNTIFS('recuperación efectiva'!$E:$E,$A9,'recuperación efectiva'!$K:$K,"&lt;="&amp;(COLUMN()-4))/$B9,0))</f>
        <v>0.2857142857142857</v>
      </c>
      <c r="V9" s="234">
        <f>IF((COLUMN()-4)&gt;$C9,"",IFERROR(COUNTIFS('recuperación efectiva'!$E:$E,$A9,'recuperación efectiva'!$K:$K,"&lt;="&amp;(COLUMN()-4))/$B9,0))</f>
        <v>0.2857142857142857</v>
      </c>
      <c r="W9" s="234">
        <f>IF((COLUMN()-4)&gt;$C9,"",IFERROR(COUNTIFS('recuperación efectiva'!$E:$E,$A9,'recuperación efectiva'!$K:$K,"&lt;="&amp;(COLUMN()-4))/$B9,0))</f>
        <v>0.2857142857142857</v>
      </c>
      <c r="X9" s="234">
        <f>IF((COLUMN()-4)&gt;$C9,"",IFERROR(COUNTIFS('recuperación efectiva'!$E:$E,$A9,'recuperación efectiva'!$K:$K,"&lt;="&amp;(COLUMN()-4))/$B9,0))</f>
        <v>0.38095238095238093</v>
      </c>
      <c r="Y9" s="234">
        <f>IF((COLUMN()-4)&gt;$C9,"",IFERROR(COUNTIFS('recuperación efectiva'!$E:$E,$A9,'recuperación efectiva'!$K:$K,"&lt;="&amp;(COLUMN()-4))/$B9,0))</f>
        <v>0.52380952380952384</v>
      </c>
      <c r="Z9" s="234">
        <f>IF((COLUMN()-4)&gt;$C9,"",IFERROR(COUNTIFS('recuperación efectiva'!$E:$E,$A9,'recuperación efectiva'!$K:$K,"&lt;="&amp;(COLUMN()-4))/$B9,0))</f>
        <v>0.61904761904761907</v>
      </c>
      <c r="AA9" s="234">
        <f>IF((COLUMN()-4)&gt;$C9,"",IFERROR(COUNTIFS('recuperación efectiva'!$E:$E,$A9,'recuperación efectiva'!$K:$K,"&lt;="&amp;(COLUMN()-4))/$B9,0))</f>
        <v>0.7142857142857143</v>
      </c>
      <c r="AB9" s="234">
        <f>IF((COLUMN()-4)&gt;$C9,"",IFERROR(COUNTIFS('recuperación efectiva'!$E:$E,$A9,'recuperación efectiva'!$K:$K,"&lt;="&amp;(COLUMN()-4))/$B9,0))</f>
        <v>0.7142857142857143</v>
      </c>
      <c r="AC9" s="234" t="str">
        <f>IF((COLUMN()-4)&gt;$C9,"",IFERROR(COUNTIFS('recuperación efectiva'!$E:$E,$A9,'recuperación efectiva'!$K:$K,"&lt;="&amp;(COLUMN()-4))/$B9,0))</f>
        <v/>
      </c>
      <c r="AD9" s="234" t="str">
        <f>IF((COLUMN()-4)&gt;$C9,"",IFERROR(COUNTIFS('recuperación efectiva'!$E:$E,$A9,'recuperación efectiva'!$K:$K,"&lt;="&amp;(COLUMN()-4))/$B9,0))</f>
        <v/>
      </c>
      <c r="AE9" s="234" t="str">
        <f>IF((COLUMN()-4)&gt;$C9,"",IFERROR(COUNTIFS('recuperación efectiva'!$E:$E,$A9,'recuperación efectiva'!$K:$K,"&lt;="&amp;(COLUMN()-4))/$B9,0))</f>
        <v/>
      </c>
      <c r="AF9" s="234" t="str">
        <f>IF((COLUMN()-4)&gt;$C9,"",IFERROR(COUNTIFS('recuperación efectiva'!$E:$E,$A9,'recuperación efectiva'!$K:$K,"&lt;="&amp;(COLUMN()-4))/$B9,0))</f>
        <v/>
      </c>
      <c r="AG9" s="234" t="str">
        <f>IF((COLUMN()-4)&gt;$C9,"",IFERROR(COUNTIFS('recuperación efectiva'!$E:$E,$A9,'recuperación efectiva'!$K:$K,"&lt;="&amp;(COLUMN()-4))/$B9,0))</f>
        <v/>
      </c>
      <c r="AH9" s="234" t="str">
        <f>IF((COLUMN()-4)&gt;$C9,"",IFERROR(COUNTIFS('recuperación efectiva'!$E:$E,$A9,'recuperación efectiva'!$K:$K,"&lt;="&amp;(COLUMN()-4))/$B9,0))</f>
        <v/>
      </c>
      <c r="AI9" s="234" t="str">
        <f>IF((COLUMN()-4)&gt;$C9,"",IFERROR(COUNTIFS('recuperación efectiva'!$E:$E,$A9,'recuperación efectiva'!$K:$K,"&lt;="&amp;(COLUMN()-4))/$B9,0))</f>
        <v/>
      </c>
      <c r="AJ9" s="234" t="str">
        <f>IF((COLUMN()-4)&gt;$C9,"",IFERROR(COUNTIFS('recuperación efectiva'!$E:$E,$A9,'recuperación efectiva'!$K:$K,"&lt;="&amp;(COLUMN()-4))/$B9,0))</f>
        <v/>
      </c>
      <c r="AK9" s="234" t="str">
        <f>IF((COLUMN()-4)&gt;$C9,"",IFERROR(COUNTIFS('recuperación efectiva'!$E:$E,$A9,'recuperación efectiva'!$K:$K,"&lt;="&amp;(COLUMN()-4))/$B9,0))</f>
        <v/>
      </c>
      <c r="AL9" s="234" t="str">
        <f>IF((COLUMN()-4)&gt;$C9,"",IFERROR(COUNTIFS('recuperación efectiva'!$E:$E,$A9,'recuperación efectiva'!$K:$K,"&lt;="&amp;(COLUMN()-4))/$B9,0))</f>
        <v/>
      </c>
      <c r="AM9" s="234" t="str">
        <f>IF((COLUMN()-4)&gt;$C9,"",IFERROR(COUNTIFS('recuperación efectiva'!$E:$E,$A9,'recuperación efectiva'!$K:$K,"&lt;="&amp;(COLUMN()-4))/$B9,0))</f>
        <v/>
      </c>
      <c r="AN9" s="234" t="str">
        <f>IF((COLUMN()-4)&gt;$C9,"",IFERROR(COUNTIFS('recuperación efectiva'!$E:$E,$A9,'recuperación efectiva'!$K:$K,"&lt;="&amp;(COLUMN()-4))/$B9,0))</f>
        <v/>
      </c>
    </row>
    <row r="10" spans="1:40" ht="15.75" customHeight="1" x14ac:dyDescent="0.35">
      <c r="A10" s="231" t="s">
        <v>457</v>
      </c>
      <c r="B10" s="232">
        <f>COUNTIF(Export!$E:$E,A10)</f>
        <v>20</v>
      </c>
      <c r="C10" s="233">
        <f t="shared" si="0"/>
        <v>23</v>
      </c>
      <c r="D10" s="235">
        <f>IF((COLUMN()-4)&gt;$C10,"",IFERROR(COUNTIFS('recuperación efectiva'!$E:$E,$A10,'recuperación efectiva'!$K:$K,"&lt;="&amp;(COLUMN()-4))/$B10,0))</f>
        <v>0</v>
      </c>
      <c r="E10" s="235">
        <f>IF((COLUMN()-4)&gt;$C10,"",IFERROR(COUNTIFS('recuperación efectiva'!$E:$E,$A10,'recuperación efectiva'!$K:$K,"&lt;="&amp;(COLUMN()-4))/$B10,0))</f>
        <v>0</v>
      </c>
      <c r="F10" s="235">
        <f>IF((COLUMN()-4)&gt;$C10,"",IFERROR(COUNTIFS('recuperación efectiva'!$E:$E,$A10,'recuperación efectiva'!$K:$K,"&lt;="&amp;(COLUMN()-4))/$B10,0))</f>
        <v>0</v>
      </c>
      <c r="G10" s="235">
        <f>IF((COLUMN()-4)&gt;$C10,"",IFERROR(COUNTIFS('recuperación efectiva'!$E:$E,$A10,'recuperación efectiva'!$K:$K,"&lt;="&amp;(COLUMN()-4))/$B10,0))</f>
        <v>0</v>
      </c>
      <c r="H10" s="235">
        <f>IF((COLUMN()-4)&gt;$C10,"",IFERROR(COUNTIFS('recuperación efectiva'!$E:$E,$A10,'recuperación efectiva'!$K:$K,"&lt;="&amp;(COLUMN()-4))/$B10,0))</f>
        <v>0</v>
      </c>
      <c r="I10" s="235">
        <f>IF((COLUMN()-4)&gt;$C10,"",IFERROR(COUNTIFS('recuperación efectiva'!$E:$E,$A10,'recuperación efectiva'!$K:$K,"&lt;="&amp;(COLUMN()-4))/$B10,0))</f>
        <v>0</v>
      </c>
      <c r="J10" s="235">
        <f>IF((COLUMN()-4)&gt;$C10,"",IFERROR(COUNTIFS('recuperación efectiva'!$E:$E,$A10,'recuperación efectiva'!$K:$K,"&lt;="&amp;(COLUMN()-4))/$B10,0))</f>
        <v>0</v>
      </c>
      <c r="K10" s="235">
        <f>IF((COLUMN()-4)&gt;$C10,"",IFERROR(COUNTIFS('recuperación efectiva'!$E:$E,$A10,'recuperación efectiva'!$K:$K,"&lt;="&amp;(COLUMN()-4))/$B10,0))</f>
        <v>0</v>
      </c>
      <c r="L10" s="235">
        <f>IF((COLUMN()-4)&gt;$C10,"",IFERROR(COUNTIFS('recuperación efectiva'!$E:$E,$A10,'recuperación efectiva'!$K:$K,"&lt;="&amp;(COLUMN()-4))/$B10,0))</f>
        <v>0</v>
      </c>
      <c r="M10" s="235">
        <f>IF((COLUMN()-4)&gt;$C10,"",IFERROR(COUNTIFS('recuperación efectiva'!$E:$E,$A10,'recuperación efectiva'!$K:$K,"&lt;="&amp;(COLUMN()-4))/$B10,0))</f>
        <v>0.15</v>
      </c>
      <c r="N10" s="235">
        <f>IF((COLUMN()-4)&gt;$C10,"",IFERROR(COUNTIFS('recuperación efectiva'!$E:$E,$A10,'recuperación efectiva'!$K:$K,"&lt;="&amp;(COLUMN()-4))/$B10,0))</f>
        <v>0.25</v>
      </c>
      <c r="O10" s="235">
        <f>IF((COLUMN()-4)&gt;$C10,"",IFERROR(COUNTIFS('recuperación efectiva'!$E:$E,$A10,'recuperación efectiva'!$K:$K,"&lt;="&amp;(COLUMN()-4))/$B10,0))</f>
        <v>0.3</v>
      </c>
      <c r="P10" s="235">
        <f>IF((COLUMN()-4)&gt;$C10,"",IFERROR(COUNTIFS('recuperación efectiva'!$E:$E,$A10,'recuperación efectiva'!$K:$K,"&lt;="&amp;(COLUMN()-4))/$B10,0))</f>
        <v>0.35</v>
      </c>
      <c r="Q10" s="235">
        <f>IF((COLUMN()-4)&gt;$C10,"",IFERROR(COUNTIFS('recuperación efectiva'!$E:$E,$A10,'recuperación efectiva'!$K:$K,"&lt;="&amp;(COLUMN()-4))/$B10,0))</f>
        <v>0.4</v>
      </c>
      <c r="R10" s="235">
        <f>IF((COLUMN()-4)&gt;$C10,"",IFERROR(COUNTIFS('recuperación efectiva'!$E:$E,$A10,'recuperación efectiva'!$K:$K,"&lt;="&amp;(COLUMN()-4))/$B10,0))</f>
        <v>0.55000000000000004</v>
      </c>
      <c r="S10" s="235">
        <f>IF((COLUMN()-4)&gt;$C10,"",IFERROR(COUNTIFS('recuperación efectiva'!$E:$E,$A10,'recuperación efectiva'!$K:$K,"&lt;="&amp;(COLUMN()-4))/$B10,0))</f>
        <v>0.55000000000000004</v>
      </c>
      <c r="T10" s="235">
        <f>IF((COLUMN()-4)&gt;$C10,"",IFERROR(COUNTIFS('recuperación efectiva'!$E:$E,$A10,'recuperación efectiva'!$K:$K,"&lt;="&amp;(COLUMN()-4))/$B10,0))</f>
        <v>0.55000000000000004</v>
      </c>
      <c r="U10" s="235">
        <f>IF((COLUMN()-4)&gt;$C10,"",IFERROR(COUNTIFS('recuperación efectiva'!$E:$E,$A10,'recuperación efectiva'!$K:$K,"&lt;="&amp;(COLUMN()-4))/$B10,0))</f>
        <v>0.55000000000000004</v>
      </c>
      <c r="V10" s="235">
        <f>IF((COLUMN()-4)&gt;$C10,"",IFERROR(COUNTIFS('recuperación efectiva'!$E:$E,$A10,'recuperación efectiva'!$K:$K,"&lt;="&amp;(COLUMN()-4))/$B10,0))</f>
        <v>0.6</v>
      </c>
      <c r="W10" s="235">
        <f>IF((COLUMN()-4)&gt;$C10,"",IFERROR(COUNTIFS('recuperación efectiva'!$E:$E,$A10,'recuperación efectiva'!$K:$K,"&lt;="&amp;(COLUMN()-4))/$B10,0))</f>
        <v>0.6</v>
      </c>
      <c r="X10" s="235">
        <f>IF((COLUMN()-4)&gt;$C10,"",IFERROR(COUNTIFS('recuperación efectiva'!$E:$E,$A10,'recuperación efectiva'!$K:$K,"&lt;="&amp;(COLUMN()-4))/$B10,0))</f>
        <v>0.7</v>
      </c>
      <c r="Y10" s="235">
        <f>IF((COLUMN()-4)&gt;$C10,"",IFERROR(COUNTIFS('recuperación efectiva'!$E:$E,$A10,'recuperación efectiva'!$K:$K,"&lt;="&amp;(COLUMN()-4))/$B10,0))</f>
        <v>0.75</v>
      </c>
      <c r="Z10" s="235">
        <f>IF((COLUMN()-4)&gt;$C10,"",IFERROR(COUNTIFS('recuperación efectiva'!$E:$E,$A10,'recuperación efectiva'!$K:$K,"&lt;="&amp;(COLUMN()-4))/$B10,0))</f>
        <v>0.85</v>
      </c>
      <c r="AA10" s="235">
        <f>IF((COLUMN()-4)&gt;$C10,"",IFERROR(COUNTIFS('recuperación efectiva'!$E:$E,$A10,'recuperación efectiva'!$K:$K,"&lt;="&amp;(COLUMN()-4))/$B10,0))</f>
        <v>0.9</v>
      </c>
      <c r="AB10" s="235" t="str">
        <f>IF((COLUMN()-4)&gt;$C10,"",IFERROR(COUNTIFS('recuperación efectiva'!$E:$E,$A10,'recuperación efectiva'!$K:$K,"&lt;="&amp;(COLUMN()-4))/$B10,0))</f>
        <v/>
      </c>
      <c r="AC10" s="235" t="str">
        <f>IF((COLUMN()-4)&gt;$C10,"",IFERROR(COUNTIFS('recuperación efectiva'!$E:$E,$A10,'recuperación efectiva'!$K:$K,"&lt;="&amp;(COLUMN()-4))/$B10,0))</f>
        <v/>
      </c>
      <c r="AD10" s="235" t="str">
        <f>IF((COLUMN()-4)&gt;$C10,"",IFERROR(COUNTIFS('recuperación efectiva'!$E:$E,$A10,'recuperación efectiva'!$K:$K,"&lt;="&amp;(COLUMN()-4))/$B10,0))</f>
        <v/>
      </c>
      <c r="AE10" s="235" t="str">
        <f>IF((COLUMN()-4)&gt;$C10,"",IFERROR(COUNTIFS('recuperación efectiva'!$E:$E,$A10,'recuperación efectiva'!$K:$K,"&lt;="&amp;(COLUMN()-4))/$B10,0))</f>
        <v/>
      </c>
      <c r="AF10" s="235" t="str">
        <f>IF((COLUMN()-4)&gt;$C10,"",IFERROR(COUNTIFS('recuperación efectiva'!$E:$E,$A10,'recuperación efectiva'!$K:$K,"&lt;="&amp;(COLUMN()-4))/$B10,0))</f>
        <v/>
      </c>
      <c r="AG10" s="235" t="str">
        <f>IF((COLUMN()-4)&gt;$C10,"",IFERROR(COUNTIFS('recuperación efectiva'!$E:$E,$A10,'recuperación efectiva'!$K:$K,"&lt;="&amp;(COLUMN()-4))/$B10,0))</f>
        <v/>
      </c>
      <c r="AH10" s="235" t="str">
        <f>IF((COLUMN()-4)&gt;$C10,"",IFERROR(COUNTIFS('recuperación efectiva'!$E:$E,$A10,'recuperación efectiva'!$K:$K,"&lt;="&amp;(COLUMN()-4))/$B10,0))</f>
        <v/>
      </c>
      <c r="AI10" s="235" t="str">
        <f>IF((COLUMN()-4)&gt;$C10,"",IFERROR(COUNTIFS('recuperación efectiva'!$E:$E,$A10,'recuperación efectiva'!$K:$K,"&lt;="&amp;(COLUMN()-4))/$B10,0))</f>
        <v/>
      </c>
      <c r="AJ10" s="235" t="str">
        <f>IF((COLUMN()-4)&gt;$C10,"",IFERROR(COUNTIFS('recuperación efectiva'!$E:$E,$A10,'recuperación efectiva'!$K:$K,"&lt;="&amp;(COLUMN()-4))/$B10,0))</f>
        <v/>
      </c>
      <c r="AK10" s="235" t="str">
        <f>IF((COLUMN()-4)&gt;$C10,"",IFERROR(COUNTIFS('recuperación efectiva'!$E:$E,$A10,'recuperación efectiva'!$K:$K,"&lt;="&amp;(COLUMN()-4))/$B10,0))</f>
        <v/>
      </c>
      <c r="AL10" s="235" t="str">
        <f>IF((COLUMN()-4)&gt;$C10,"",IFERROR(COUNTIFS('recuperación efectiva'!$E:$E,$A10,'recuperación efectiva'!$K:$K,"&lt;="&amp;(COLUMN()-4))/$B10,0))</f>
        <v/>
      </c>
      <c r="AM10" s="235" t="str">
        <f>IF((COLUMN()-4)&gt;$C10,"",IFERROR(COUNTIFS('recuperación efectiva'!$E:$E,$A10,'recuperación efectiva'!$K:$K,"&lt;="&amp;(COLUMN()-4))/$B10,0))</f>
        <v/>
      </c>
      <c r="AN10" s="235" t="str">
        <f>IF((COLUMN()-4)&gt;$C10,"",IFERROR(COUNTIFS('recuperación efectiva'!$E:$E,$A10,'recuperación efectiva'!$K:$K,"&lt;="&amp;(COLUMN()-4))/$B10,0))</f>
        <v/>
      </c>
    </row>
    <row r="11" spans="1:40" ht="15.75" customHeight="1" x14ac:dyDescent="0.35">
      <c r="A11" s="231" t="s">
        <v>252</v>
      </c>
      <c r="B11" s="232">
        <f>COUNTIF(Export!$E:$E,A11)</f>
        <v>39</v>
      </c>
      <c r="C11" s="233">
        <f t="shared" si="0"/>
        <v>22</v>
      </c>
      <c r="D11" s="234">
        <f>IF((COLUMN()-4)&gt;$C11,"",IFERROR(COUNTIFS('recuperación efectiva'!$E:$E,$A11,'recuperación efectiva'!$K:$K,"&lt;="&amp;(COLUMN()-4))/$B11,0))</f>
        <v>0</v>
      </c>
      <c r="E11" s="234">
        <f>IF((COLUMN()-4)&gt;$C11,"",IFERROR(COUNTIFS('recuperación efectiva'!$E:$E,$A11,'recuperación efectiva'!$K:$K,"&lt;="&amp;(COLUMN()-4))/$B11,0))</f>
        <v>0</v>
      </c>
      <c r="F11" s="234">
        <f>IF((COLUMN()-4)&gt;$C11,"",IFERROR(COUNTIFS('recuperación efectiva'!$E:$E,$A11,'recuperación efectiva'!$K:$K,"&lt;="&amp;(COLUMN()-4))/$B11,0))</f>
        <v>0</v>
      </c>
      <c r="G11" s="234">
        <f>IF((COLUMN()-4)&gt;$C11,"",IFERROR(COUNTIFS('recuperación efectiva'!$E:$E,$A11,'recuperación efectiva'!$K:$K,"&lt;="&amp;(COLUMN()-4))/$B11,0))</f>
        <v>0</v>
      </c>
      <c r="H11" s="234">
        <f>IF((COLUMN()-4)&gt;$C11,"",IFERROR(COUNTIFS('recuperación efectiva'!$E:$E,$A11,'recuperación efectiva'!$K:$K,"&lt;="&amp;(COLUMN()-4))/$B11,0))</f>
        <v>0</v>
      </c>
      <c r="I11" s="234">
        <f>IF((COLUMN()-4)&gt;$C11,"",IFERROR(COUNTIFS('recuperación efectiva'!$E:$E,$A11,'recuperación efectiva'!$K:$K,"&lt;="&amp;(COLUMN()-4))/$B11,0))</f>
        <v>0</v>
      </c>
      <c r="J11" s="234">
        <f>IF((COLUMN()-4)&gt;$C11,"",IFERROR(COUNTIFS('recuperación efectiva'!$E:$E,$A11,'recuperación efectiva'!$K:$K,"&lt;="&amp;(COLUMN()-4))/$B11,0))</f>
        <v>0.10256410256410256</v>
      </c>
      <c r="K11" s="234">
        <f>IF((COLUMN()-4)&gt;$C11,"",IFERROR(COUNTIFS('recuperación efectiva'!$E:$E,$A11,'recuperación efectiva'!$K:$K,"&lt;="&amp;(COLUMN()-4))/$B11,0))</f>
        <v>0.10256410256410256</v>
      </c>
      <c r="L11" s="234">
        <f>IF((COLUMN()-4)&gt;$C11,"",IFERROR(COUNTIFS('recuperación efectiva'!$E:$E,$A11,'recuperación efectiva'!$K:$K,"&lt;="&amp;(COLUMN()-4))/$B11,0))</f>
        <v>0.17948717948717949</v>
      </c>
      <c r="M11" s="234">
        <f>IF((COLUMN()-4)&gt;$C11,"",IFERROR(COUNTIFS('recuperación efectiva'!$E:$E,$A11,'recuperación efectiva'!$K:$K,"&lt;="&amp;(COLUMN()-4))/$B11,0))</f>
        <v>0.23076923076923078</v>
      </c>
      <c r="N11" s="234">
        <f>IF((COLUMN()-4)&gt;$C11,"",IFERROR(COUNTIFS('recuperación efectiva'!$E:$E,$A11,'recuperación efectiva'!$K:$K,"&lt;="&amp;(COLUMN()-4))/$B11,0))</f>
        <v>0.30769230769230771</v>
      </c>
      <c r="O11" s="234">
        <f>IF((COLUMN()-4)&gt;$C11,"",IFERROR(COUNTIFS('recuperación efectiva'!$E:$E,$A11,'recuperación efectiva'!$K:$K,"&lt;="&amp;(COLUMN()-4))/$B11,0))</f>
        <v>0.33333333333333331</v>
      </c>
      <c r="P11" s="234">
        <f>IF((COLUMN()-4)&gt;$C11,"",IFERROR(COUNTIFS('recuperación efectiva'!$E:$E,$A11,'recuperación efectiva'!$K:$K,"&lt;="&amp;(COLUMN()-4))/$B11,0))</f>
        <v>0.4358974358974359</v>
      </c>
      <c r="Q11" s="234">
        <f>IF((COLUMN()-4)&gt;$C11,"",IFERROR(COUNTIFS('recuperación efectiva'!$E:$E,$A11,'recuperación efectiva'!$K:$K,"&lt;="&amp;(COLUMN()-4))/$B11,0))</f>
        <v>0.46153846153846156</v>
      </c>
      <c r="R11" s="234">
        <f>IF((COLUMN()-4)&gt;$C11,"",IFERROR(COUNTIFS('recuperación efectiva'!$E:$E,$A11,'recuperación efectiva'!$K:$K,"&lt;="&amp;(COLUMN()-4))/$B11,0))</f>
        <v>0.46153846153846156</v>
      </c>
      <c r="S11" s="234">
        <f>IF((COLUMN()-4)&gt;$C11,"",IFERROR(COUNTIFS('recuperación efectiva'!$E:$E,$A11,'recuperación efectiva'!$K:$K,"&lt;="&amp;(COLUMN()-4))/$B11,0))</f>
        <v>0.46153846153846156</v>
      </c>
      <c r="T11" s="234">
        <f>IF((COLUMN()-4)&gt;$C11,"",IFERROR(COUNTIFS('recuperación efectiva'!$E:$E,$A11,'recuperación efectiva'!$K:$K,"&lt;="&amp;(COLUMN()-4))/$B11,0))</f>
        <v>0.48717948717948717</v>
      </c>
      <c r="U11" s="234">
        <f>IF((COLUMN()-4)&gt;$C11,"",IFERROR(COUNTIFS('recuperación efectiva'!$E:$E,$A11,'recuperación efectiva'!$K:$K,"&lt;="&amp;(COLUMN()-4))/$B11,0))</f>
        <v>0.51282051282051277</v>
      </c>
      <c r="V11" s="234">
        <f>IF((COLUMN()-4)&gt;$C11,"",IFERROR(COUNTIFS('recuperación efectiva'!$E:$E,$A11,'recuperación efectiva'!$K:$K,"&lt;="&amp;(COLUMN()-4))/$B11,0))</f>
        <v>0.5641025641025641</v>
      </c>
      <c r="W11" s="234">
        <f>IF((COLUMN()-4)&gt;$C11,"",IFERROR(COUNTIFS('recuperación efectiva'!$E:$E,$A11,'recuperación efectiva'!$K:$K,"&lt;="&amp;(COLUMN()-4))/$B11,0))</f>
        <v>0.61538461538461542</v>
      </c>
      <c r="X11" s="234">
        <f>IF((COLUMN()-4)&gt;$C11,"",IFERROR(COUNTIFS('recuperación efectiva'!$E:$E,$A11,'recuperación efectiva'!$K:$K,"&lt;="&amp;(COLUMN()-4))/$B11,0))</f>
        <v>0.64102564102564108</v>
      </c>
      <c r="Y11" s="234">
        <f>IF((COLUMN()-4)&gt;$C11,"",IFERROR(COUNTIFS('recuperación efectiva'!$E:$E,$A11,'recuperación efectiva'!$K:$K,"&lt;="&amp;(COLUMN()-4))/$B11,0))</f>
        <v>0.71794871794871795</v>
      </c>
      <c r="Z11" s="234">
        <f>IF((COLUMN()-4)&gt;$C11,"",IFERROR(COUNTIFS('recuperación efectiva'!$E:$E,$A11,'recuperación efectiva'!$K:$K,"&lt;="&amp;(COLUMN()-4))/$B11,0))</f>
        <v>0.71794871794871795</v>
      </c>
      <c r="AA11" s="234" t="str">
        <f>IF((COLUMN()-4)&gt;$C11,"",IFERROR(COUNTIFS('recuperación efectiva'!$E:$E,$A11,'recuperación efectiva'!$K:$K,"&lt;="&amp;(COLUMN()-4))/$B11,0))</f>
        <v/>
      </c>
      <c r="AB11" s="234" t="str">
        <f>IF((COLUMN()-4)&gt;$C11,"",IFERROR(COUNTIFS('recuperación efectiva'!$E:$E,$A11,'recuperación efectiva'!$K:$K,"&lt;="&amp;(COLUMN()-4))/$B11,0))</f>
        <v/>
      </c>
      <c r="AC11" s="234" t="str">
        <f>IF((COLUMN()-4)&gt;$C11,"",IFERROR(COUNTIFS('recuperación efectiva'!$E:$E,$A11,'recuperación efectiva'!$K:$K,"&lt;="&amp;(COLUMN()-4))/$B11,0))</f>
        <v/>
      </c>
      <c r="AD11" s="234" t="str">
        <f>IF((COLUMN()-4)&gt;$C11,"",IFERROR(COUNTIFS('recuperación efectiva'!$E:$E,$A11,'recuperación efectiva'!$K:$K,"&lt;="&amp;(COLUMN()-4))/$B11,0))</f>
        <v/>
      </c>
      <c r="AE11" s="234" t="str">
        <f>IF((COLUMN()-4)&gt;$C11,"",IFERROR(COUNTIFS('recuperación efectiva'!$E:$E,$A11,'recuperación efectiva'!$K:$K,"&lt;="&amp;(COLUMN()-4))/$B11,0))</f>
        <v/>
      </c>
      <c r="AF11" s="234" t="str">
        <f>IF((COLUMN()-4)&gt;$C11,"",IFERROR(COUNTIFS('recuperación efectiva'!$E:$E,$A11,'recuperación efectiva'!$K:$K,"&lt;="&amp;(COLUMN()-4))/$B11,0))</f>
        <v/>
      </c>
      <c r="AG11" s="234" t="str">
        <f>IF((COLUMN()-4)&gt;$C11,"",IFERROR(COUNTIFS('recuperación efectiva'!$E:$E,$A11,'recuperación efectiva'!$K:$K,"&lt;="&amp;(COLUMN()-4))/$B11,0))</f>
        <v/>
      </c>
      <c r="AH11" s="234" t="str">
        <f>IF((COLUMN()-4)&gt;$C11,"",IFERROR(COUNTIFS('recuperación efectiva'!$E:$E,$A11,'recuperación efectiva'!$K:$K,"&lt;="&amp;(COLUMN()-4))/$B11,0))</f>
        <v/>
      </c>
      <c r="AI11" s="234" t="str">
        <f>IF((COLUMN()-4)&gt;$C11,"",IFERROR(COUNTIFS('recuperación efectiva'!$E:$E,$A11,'recuperación efectiva'!$K:$K,"&lt;="&amp;(COLUMN()-4))/$B11,0))</f>
        <v/>
      </c>
      <c r="AJ11" s="234" t="str">
        <f>IF((COLUMN()-4)&gt;$C11,"",IFERROR(COUNTIFS('recuperación efectiva'!$E:$E,$A11,'recuperación efectiva'!$K:$K,"&lt;="&amp;(COLUMN()-4))/$B11,0))</f>
        <v/>
      </c>
      <c r="AK11" s="234" t="str">
        <f>IF((COLUMN()-4)&gt;$C11,"",IFERROR(COUNTIFS('recuperación efectiva'!$E:$E,$A11,'recuperación efectiva'!$K:$K,"&lt;="&amp;(COLUMN()-4))/$B11,0))</f>
        <v/>
      </c>
      <c r="AL11" s="234" t="str">
        <f>IF((COLUMN()-4)&gt;$C11,"",IFERROR(COUNTIFS('recuperación efectiva'!$E:$E,$A11,'recuperación efectiva'!$K:$K,"&lt;="&amp;(COLUMN()-4))/$B11,0))</f>
        <v/>
      </c>
      <c r="AM11" s="234" t="str">
        <f>IF((COLUMN()-4)&gt;$C11,"",IFERROR(COUNTIFS('recuperación efectiva'!$E:$E,$A11,'recuperación efectiva'!$K:$K,"&lt;="&amp;(COLUMN()-4))/$B11,0))</f>
        <v/>
      </c>
      <c r="AN11" s="234" t="str">
        <f>IF((COLUMN()-4)&gt;$C11,"",IFERROR(COUNTIFS('recuperación efectiva'!$E:$E,$A11,'recuperación efectiva'!$K:$K,"&lt;="&amp;(COLUMN()-4))/$B11,0))</f>
        <v/>
      </c>
    </row>
    <row r="12" spans="1:40" ht="15.75" customHeight="1" x14ac:dyDescent="0.35">
      <c r="A12" s="231" t="s">
        <v>497</v>
      </c>
      <c r="B12" s="232">
        <f>COUNTIF(Export!$E:$E,A12)</f>
        <v>41</v>
      </c>
      <c r="C12" s="233">
        <f t="shared" si="0"/>
        <v>21</v>
      </c>
      <c r="D12" s="235">
        <f>IF((COLUMN()-4)&gt;$C12,"",IFERROR(COUNTIFS('recuperación efectiva'!$E:$E,$A12,'recuperación efectiva'!$K:$K,"&lt;="&amp;(COLUMN()-4))/$B12,0))</f>
        <v>0</v>
      </c>
      <c r="E12" s="235">
        <f>IF((COLUMN()-4)&gt;$C12,"",IFERROR(COUNTIFS('recuperación efectiva'!$E:$E,$A12,'recuperación efectiva'!$K:$K,"&lt;="&amp;(COLUMN()-4))/$B12,0))</f>
        <v>0</v>
      </c>
      <c r="F12" s="235">
        <f>IF((COLUMN()-4)&gt;$C12,"",IFERROR(COUNTIFS('recuperación efectiva'!$E:$E,$A12,'recuperación efectiva'!$K:$K,"&lt;="&amp;(COLUMN()-4))/$B12,0))</f>
        <v>0</v>
      </c>
      <c r="G12" s="235">
        <f>IF((COLUMN()-4)&gt;$C12,"",IFERROR(COUNTIFS('recuperación efectiva'!$E:$E,$A12,'recuperación efectiva'!$K:$K,"&lt;="&amp;(COLUMN()-4))/$B12,0))</f>
        <v>0</v>
      </c>
      <c r="H12" s="235">
        <f>IF((COLUMN()-4)&gt;$C12,"",IFERROR(COUNTIFS('recuperación efectiva'!$E:$E,$A12,'recuperación efectiva'!$K:$K,"&lt;="&amp;(COLUMN()-4))/$B12,0))</f>
        <v>0</v>
      </c>
      <c r="I12" s="235">
        <f>IF((COLUMN()-4)&gt;$C12,"",IFERROR(COUNTIFS('recuperación efectiva'!$E:$E,$A12,'recuperación efectiva'!$K:$K,"&lt;="&amp;(COLUMN()-4))/$B12,0))</f>
        <v>4.878048780487805E-2</v>
      </c>
      <c r="J12" s="235">
        <f>IF((COLUMN()-4)&gt;$C12,"",IFERROR(COUNTIFS('recuperación efectiva'!$E:$E,$A12,'recuperación efectiva'!$K:$K,"&lt;="&amp;(COLUMN()-4))/$B12,0))</f>
        <v>4.878048780487805E-2</v>
      </c>
      <c r="K12" s="235">
        <f>IF((COLUMN()-4)&gt;$C12,"",IFERROR(COUNTIFS('recuperación efectiva'!$E:$E,$A12,'recuperación efectiva'!$K:$K,"&lt;="&amp;(COLUMN()-4))/$B12,0))</f>
        <v>0.14634146341463414</v>
      </c>
      <c r="L12" s="235">
        <f>IF((COLUMN()-4)&gt;$C12,"",IFERROR(COUNTIFS('recuperación efectiva'!$E:$E,$A12,'recuperación efectiva'!$K:$K,"&lt;="&amp;(COLUMN()-4))/$B12,0))</f>
        <v>0.24390243902439024</v>
      </c>
      <c r="M12" s="235">
        <f>IF((COLUMN()-4)&gt;$C12,"",IFERROR(COUNTIFS('recuperación efectiva'!$E:$E,$A12,'recuperación efectiva'!$K:$K,"&lt;="&amp;(COLUMN()-4))/$B12,0))</f>
        <v>0.31707317073170732</v>
      </c>
      <c r="N12" s="235">
        <f>IF((COLUMN()-4)&gt;$C12,"",IFERROR(COUNTIFS('recuperación efectiva'!$E:$E,$A12,'recuperación efectiva'!$K:$K,"&lt;="&amp;(COLUMN()-4))/$B12,0))</f>
        <v>0.43902439024390244</v>
      </c>
      <c r="O12" s="235">
        <f>IF((COLUMN()-4)&gt;$C12,"",IFERROR(COUNTIFS('recuperación efectiva'!$E:$E,$A12,'recuperación efectiva'!$K:$K,"&lt;="&amp;(COLUMN()-4))/$B12,0))</f>
        <v>0.51219512195121952</v>
      </c>
      <c r="P12" s="235">
        <f>IF((COLUMN()-4)&gt;$C12,"",IFERROR(COUNTIFS('recuperación efectiva'!$E:$E,$A12,'recuperación efectiva'!$K:$K,"&lt;="&amp;(COLUMN()-4))/$B12,0))</f>
        <v>0.56097560975609762</v>
      </c>
      <c r="Q12" s="235">
        <f>IF((COLUMN()-4)&gt;$C12,"",IFERROR(COUNTIFS('recuperación efectiva'!$E:$E,$A12,'recuperación efectiva'!$K:$K,"&lt;="&amp;(COLUMN()-4))/$B12,0))</f>
        <v>0.6097560975609756</v>
      </c>
      <c r="R12" s="235">
        <f>IF((COLUMN()-4)&gt;$C12,"",IFERROR(COUNTIFS('recuperación efectiva'!$E:$E,$A12,'recuperación efectiva'!$K:$K,"&lt;="&amp;(COLUMN()-4))/$B12,0))</f>
        <v>0.63414634146341464</v>
      </c>
      <c r="S12" s="235">
        <f>IF((COLUMN()-4)&gt;$C12,"",IFERROR(COUNTIFS('recuperación efectiva'!$E:$E,$A12,'recuperación efectiva'!$K:$K,"&lt;="&amp;(COLUMN()-4))/$B12,0))</f>
        <v>0.63414634146341464</v>
      </c>
      <c r="T12" s="235">
        <f>IF((COLUMN()-4)&gt;$C12,"",IFERROR(COUNTIFS('recuperación efectiva'!$E:$E,$A12,'recuperación efectiva'!$K:$K,"&lt;="&amp;(COLUMN()-4))/$B12,0))</f>
        <v>0.65853658536585369</v>
      </c>
      <c r="U12" s="235">
        <f>IF((COLUMN()-4)&gt;$C12,"",IFERROR(COUNTIFS('recuperación efectiva'!$E:$E,$A12,'recuperación efectiva'!$K:$K,"&lt;="&amp;(COLUMN()-4))/$B12,0))</f>
        <v>0.65853658536585369</v>
      </c>
      <c r="V12" s="235">
        <f>IF((COLUMN()-4)&gt;$C12,"",IFERROR(COUNTIFS('recuperación efectiva'!$E:$E,$A12,'recuperación efectiva'!$K:$K,"&lt;="&amp;(COLUMN()-4))/$B12,0))</f>
        <v>0.73170731707317072</v>
      </c>
      <c r="W12" s="235">
        <f>IF((COLUMN()-4)&gt;$C12,"",IFERROR(COUNTIFS('recuperación efectiva'!$E:$E,$A12,'recuperación efectiva'!$K:$K,"&lt;="&amp;(COLUMN()-4))/$B12,0))</f>
        <v>0.78048780487804881</v>
      </c>
      <c r="X12" s="235">
        <f>IF((COLUMN()-4)&gt;$C12,"",IFERROR(COUNTIFS('recuperación efectiva'!$E:$E,$A12,'recuperación efectiva'!$K:$K,"&lt;="&amp;(COLUMN()-4))/$B12,0))</f>
        <v>0.82926829268292679</v>
      </c>
      <c r="Y12" s="235">
        <f>IF((COLUMN()-4)&gt;$C12,"",IFERROR(COUNTIFS('recuperación efectiva'!$E:$E,$A12,'recuperación efectiva'!$K:$K,"&lt;="&amp;(COLUMN()-4))/$B12,0))</f>
        <v>0.82926829268292679</v>
      </c>
      <c r="Z12" s="235" t="str">
        <f>IF((COLUMN()-4)&gt;$C12,"",IFERROR(COUNTIFS('recuperación efectiva'!$E:$E,$A12,'recuperación efectiva'!$K:$K,"&lt;="&amp;(COLUMN()-4))/$B12,0))</f>
        <v/>
      </c>
      <c r="AA12" s="235" t="str">
        <f>IF((COLUMN()-4)&gt;$C12,"",IFERROR(COUNTIFS('recuperación efectiva'!$E:$E,$A12,'recuperación efectiva'!$K:$K,"&lt;="&amp;(COLUMN()-4))/$B12,0))</f>
        <v/>
      </c>
      <c r="AB12" s="235" t="str">
        <f>IF((COLUMN()-4)&gt;$C12,"",IFERROR(COUNTIFS('recuperación efectiva'!$E:$E,$A12,'recuperación efectiva'!$K:$K,"&lt;="&amp;(COLUMN()-4))/$B12,0))</f>
        <v/>
      </c>
      <c r="AC12" s="235" t="str">
        <f>IF((COLUMN()-4)&gt;$C12,"",IFERROR(COUNTIFS('recuperación efectiva'!$E:$E,$A12,'recuperación efectiva'!$K:$K,"&lt;="&amp;(COLUMN()-4))/$B12,0))</f>
        <v/>
      </c>
      <c r="AD12" s="235" t="str">
        <f>IF((COLUMN()-4)&gt;$C12,"",IFERROR(COUNTIFS('recuperación efectiva'!$E:$E,$A12,'recuperación efectiva'!$K:$K,"&lt;="&amp;(COLUMN()-4))/$B12,0))</f>
        <v/>
      </c>
      <c r="AE12" s="235" t="str">
        <f>IF((COLUMN()-4)&gt;$C12,"",IFERROR(COUNTIFS('recuperación efectiva'!$E:$E,$A12,'recuperación efectiva'!$K:$K,"&lt;="&amp;(COLUMN()-4))/$B12,0))</f>
        <v/>
      </c>
      <c r="AF12" s="235" t="str">
        <f>IF((COLUMN()-4)&gt;$C12,"",IFERROR(COUNTIFS('recuperación efectiva'!$E:$E,$A12,'recuperación efectiva'!$K:$K,"&lt;="&amp;(COLUMN()-4))/$B12,0))</f>
        <v/>
      </c>
      <c r="AG12" s="235" t="str">
        <f>IF((COLUMN()-4)&gt;$C12,"",IFERROR(COUNTIFS('recuperación efectiva'!$E:$E,$A12,'recuperación efectiva'!$K:$K,"&lt;="&amp;(COLUMN()-4))/$B12,0))</f>
        <v/>
      </c>
      <c r="AH12" s="235" t="str">
        <f>IF((COLUMN()-4)&gt;$C12,"",IFERROR(COUNTIFS('recuperación efectiva'!$E:$E,$A12,'recuperación efectiva'!$K:$K,"&lt;="&amp;(COLUMN()-4))/$B12,0))</f>
        <v/>
      </c>
      <c r="AI12" s="235" t="str">
        <f>IF((COLUMN()-4)&gt;$C12,"",IFERROR(COUNTIFS('recuperación efectiva'!$E:$E,$A12,'recuperación efectiva'!$K:$K,"&lt;="&amp;(COLUMN()-4))/$B12,0))</f>
        <v/>
      </c>
      <c r="AJ12" s="235" t="str">
        <f>IF((COLUMN()-4)&gt;$C12,"",IFERROR(COUNTIFS('recuperación efectiva'!$E:$E,$A12,'recuperación efectiva'!$K:$K,"&lt;="&amp;(COLUMN()-4))/$B12,0))</f>
        <v/>
      </c>
      <c r="AK12" s="235" t="str">
        <f>IF((COLUMN()-4)&gt;$C12,"",IFERROR(COUNTIFS('recuperación efectiva'!$E:$E,$A12,'recuperación efectiva'!$K:$K,"&lt;="&amp;(COLUMN()-4))/$B12,0))</f>
        <v/>
      </c>
      <c r="AL12" s="235" t="str">
        <f>IF((COLUMN()-4)&gt;$C12,"",IFERROR(COUNTIFS('recuperación efectiva'!$E:$E,$A12,'recuperación efectiva'!$K:$K,"&lt;="&amp;(COLUMN()-4))/$B12,0))</f>
        <v/>
      </c>
      <c r="AM12" s="235" t="str">
        <f>IF((COLUMN()-4)&gt;$C12,"",IFERROR(COUNTIFS('recuperación efectiva'!$E:$E,$A12,'recuperación efectiva'!$K:$K,"&lt;="&amp;(COLUMN()-4))/$B12,0))</f>
        <v/>
      </c>
      <c r="AN12" s="235" t="str">
        <f>IF((COLUMN()-4)&gt;$C12,"",IFERROR(COUNTIFS('recuperación efectiva'!$E:$E,$A12,'recuperación efectiva'!$K:$K,"&lt;="&amp;(COLUMN()-4))/$B12,0))</f>
        <v/>
      </c>
    </row>
    <row r="13" spans="1:40" ht="15.75" customHeight="1" x14ac:dyDescent="0.35">
      <c r="A13" s="231" t="s">
        <v>149</v>
      </c>
      <c r="B13" s="232">
        <f>COUNTIF(Export!$E:$E,A13)</f>
        <v>28</v>
      </c>
      <c r="C13" s="233">
        <f t="shared" si="0"/>
        <v>20</v>
      </c>
      <c r="D13" s="234">
        <f>IF((COLUMN()-4)&gt;$C13,"",IFERROR(COUNTIFS('recuperación efectiva'!$E:$E,$A13,'recuperación efectiva'!$K:$K,"&lt;="&amp;(COLUMN()-4))/$B13,0))</f>
        <v>0</v>
      </c>
      <c r="E13" s="234">
        <f>IF((COLUMN()-4)&gt;$C13,"",IFERROR(COUNTIFS('recuperación efectiva'!$E:$E,$A13,'recuperación efectiva'!$K:$K,"&lt;="&amp;(COLUMN()-4))/$B13,0))</f>
        <v>0</v>
      </c>
      <c r="F13" s="234">
        <f>IF((COLUMN()-4)&gt;$C13,"",IFERROR(COUNTIFS('recuperación efectiva'!$E:$E,$A13,'recuperación efectiva'!$K:$K,"&lt;="&amp;(COLUMN()-4))/$B13,0))</f>
        <v>0</v>
      </c>
      <c r="G13" s="234">
        <f>IF((COLUMN()-4)&gt;$C13,"",IFERROR(COUNTIFS('recuperación efectiva'!$E:$E,$A13,'recuperación efectiva'!$K:$K,"&lt;="&amp;(COLUMN()-4))/$B13,0))</f>
        <v>0</v>
      </c>
      <c r="H13" s="234">
        <f>IF((COLUMN()-4)&gt;$C13,"",IFERROR(COUNTIFS('recuperación efectiva'!$E:$E,$A13,'recuperación efectiva'!$K:$K,"&lt;="&amp;(COLUMN()-4))/$B13,0))</f>
        <v>0</v>
      </c>
      <c r="I13" s="234">
        <f>IF((COLUMN()-4)&gt;$C13,"",IFERROR(COUNTIFS('recuperación efectiva'!$E:$E,$A13,'recuperación efectiva'!$K:$K,"&lt;="&amp;(COLUMN()-4))/$B13,0))</f>
        <v>7.1428571428571425E-2</v>
      </c>
      <c r="J13" s="234">
        <f>IF((COLUMN()-4)&gt;$C13,"",IFERROR(COUNTIFS('recuperación efectiva'!$E:$E,$A13,'recuperación efectiva'!$K:$K,"&lt;="&amp;(COLUMN()-4))/$B13,0))</f>
        <v>7.1428571428571425E-2</v>
      </c>
      <c r="K13" s="234">
        <f>IF((COLUMN()-4)&gt;$C13,"",IFERROR(COUNTIFS('recuperación efectiva'!$E:$E,$A13,'recuperación efectiva'!$K:$K,"&lt;="&amp;(COLUMN()-4))/$B13,0))</f>
        <v>0.10714285714285714</v>
      </c>
      <c r="L13" s="234">
        <f>IF((COLUMN()-4)&gt;$C13,"",IFERROR(COUNTIFS('recuperación efectiva'!$E:$E,$A13,'recuperación efectiva'!$K:$K,"&lt;="&amp;(COLUMN()-4))/$B13,0))</f>
        <v>0.25</v>
      </c>
      <c r="M13" s="234">
        <f>IF((COLUMN()-4)&gt;$C13,"",IFERROR(COUNTIFS('recuperación efectiva'!$E:$E,$A13,'recuperación efectiva'!$K:$K,"&lt;="&amp;(COLUMN()-4))/$B13,0))</f>
        <v>0.39285714285714285</v>
      </c>
      <c r="N13" s="234">
        <f>IF((COLUMN()-4)&gt;$C13,"",IFERROR(COUNTIFS('recuperación efectiva'!$E:$E,$A13,'recuperación efectiva'!$K:$K,"&lt;="&amp;(COLUMN()-4))/$B13,0))</f>
        <v>0.4642857142857143</v>
      </c>
      <c r="O13" s="234">
        <f>IF((COLUMN()-4)&gt;$C13,"",IFERROR(COUNTIFS('recuperación efectiva'!$E:$E,$A13,'recuperación efectiva'!$K:$K,"&lt;="&amp;(COLUMN()-4))/$B13,0))</f>
        <v>0.5357142857142857</v>
      </c>
      <c r="P13" s="234">
        <f>IF((COLUMN()-4)&gt;$C13,"",IFERROR(COUNTIFS('recuperación efectiva'!$E:$E,$A13,'recuperación efectiva'!$K:$K,"&lt;="&amp;(COLUMN()-4))/$B13,0))</f>
        <v>0.5714285714285714</v>
      </c>
      <c r="Q13" s="234">
        <f>IF((COLUMN()-4)&gt;$C13,"",IFERROR(COUNTIFS('recuperación efectiva'!$E:$E,$A13,'recuperación efectiva'!$K:$K,"&lt;="&amp;(COLUMN()-4))/$B13,0))</f>
        <v>0.6428571428571429</v>
      </c>
      <c r="R13" s="234">
        <f>IF((COLUMN()-4)&gt;$C13,"",IFERROR(COUNTIFS('recuperación efectiva'!$E:$E,$A13,'recuperación efectiva'!$K:$K,"&lt;="&amp;(COLUMN()-4))/$B13,0))</f>
        <v>0.6428571428571429</v>
      </c>
      <c r="S13" s="234">
        <f>IF((COLUMN()-4)&gt;$C13,"",IFERROR(COUNTIFS('recuperación efectiva'!$E:$E,$A13,'recuperación efectiva'!$K:$K,"&lt;="&amp;(COLUMN()-4))/$B13,0))</f>
        <v>0.6785714285714286</v>
      </c>
      <c r="T13" s="234">
        <f>IF((COLUMN()-4)&gt;$C13,"",IFERROR(COUNTIFS('recuperación efectiva'!$E:$E,$A13,'recuperación efectiva'!$K:$K,"&lt;="&amp;(COLUMN()-4))/$B13,0))</f>
        <v>0.75</v>
      </c>
      <c r="U13" s="234">
        <f>IF((COLUMN()-4)&gt;$C13,"",IFERROR(COUNTIFS('recuperación efectiva'!$E:$E,$A13,'recuperación efectiva'!$K:$K,"&lt;="&amp;(COLUMN()-4))/$B13,0))</f>
        <v>0.7857142857142857</v>
      </c>
      <c r="V13" s="234">
        <f>IF((COLUMN()-4)&gt;$C13,"",IFERROR(COUNTIFS('recuperación efectiva'!$E:$E,$A13,'recuperación efectiva'!$K:$K,"&lt;="&amp;(COLUMN()-4))/$B13,0))</f>
        <v>0.8928571428571429</v>
      </c>
      <c r="W13" s="234">
        <f>IF((COLUMN()-4)&gt;$C13,"",IFERROR(COUNTIFS('recuperación efectiva'!$E:$E,$A13,'recuperación efectiva'!$K:$K,"&lt;="&amp;(COLUMN()-4))/$B13,0))</f>
        <v>0.8928571428571429</v>
      </c>
      <c r="X13" s="234">
        <f>IF((COLUMN()-4)&gt;$C13,"",IFERROR(COUNTIFS('recuperación efectiva'!$E:$E,$A13,'recuperación efectiva'!$K:$K,"&lt;="&amp;(COLUMN()-4))/$B13,0))</f>
        <v>0.9642857142857143</v>
      </c>
      <c r="Y13" s="234" t="str">
        <f>IF((COLUMN()-4)&gt;$C13,"",IFERROR(COUNTIFS('recuperación efectiva'!$E:$E,$A13,'recuperación efectiva'!$K:$K,"&lt;="&amp;(COLUMN()-4))/$B13,0))</f>
        <v/>
      </c>
      <c r="Z13" s="234" t="str">
        <f>IF((COLUMN()-4)&gt;$C13,"",IFERROR(COUNTIFS('recuperación efectiva'!$E:$E,$A13,'recuperación efectiva'!$K:$K,"&lt;="&amp;(COLUMN()-4))/$B13,0))</f>
        <v/>
      </c>
      <c r="AA13" s="234" t="str">
        <f>IF((COLUMN()-4)&gt;$C13,"",IFERROR(COUNTIFS('recuperación efectiva'!$E:$E,$A13,'recuperación efectiva'!$K:$K,"&lt;="&amp;(COLUMN()-4))/$B13,0))</f>
        <v/>
      </c>
      <c r="AB13" s="234" t="str">
        <f>IF((COLUMN()-4)&gt;$C13,"",IFERROR(COUNTIFS('recuperación efectiva'!$E:$E,$A13,'recuperación efectiva'!$K:$K,"&lt;="&amp;(COLUMN()-4))/$B13,0))</f>
        <v/>
      </c>
      <c r="AC13" s="234" t="str">
        <f>IF((COLUMN()-4)&gt;$C13,"",IFERROR(COUNTIFS('recuperación efectiva'!$E:$E,$A13,'recuperación efectiva'!$K:$K,"&lt;="&amp;(COLUMN()-4))/$B13,0))</f>
        <v/>
      </c>
      <c r="AD13" s="234" t="str">
        <f>IF((COLUMN()-4)&gt;$C13,"",IFERROR(COUNTIFS('recuperación efectiva'!$E:$E,$A13,'recuperación efectiva'!$K:$K,"&lt;="&amp;(COLUMN()-4))/$B13,0))</f>
        <v/>
      </c>
      <c r="AE13" s="234" t="str">
        <f>IF((COLUMN()-4)&gt;$C13,"",IFERROR(COUNTIFS('recuperación efectiva'!$E:$E,$A13,'recuperación efectiva'!$K:$K,"&lt;="&amp;(COLUMN()-4))/$B13,0))</f>
        <v/>
      </c>
      <c r="AF13" s="234" t="str">
        <f>IF((COLUMN()-4)&gt;$C13,"",IFERROR(COUNTIFS('recuperación efectiva'!$E:$E,$A13,'recuperación efectiva'!$K:$K,"&lt;="&amp;(COLUMN()-4))/$B13,0))</f>
        <v/>
      </c>
      <c r="AG13" s="234" t="str">
        <f>IF((COLUMN()-4)&gt;$C13,"",IFERROR(COUNTIFS('recuperación efectiva'!$E:$E,$A13,'recuperación efectiva'!$K:$K,"&lt;="&amp;(COLUMN()-4))/$B13,0))</f>
        <v/>
      </c>
      <c r="AH13" s="234" t="str">
        <f>IF((COLUMN()-4)&gt;$C13,"",IFERROR(COUNTIFS('recuperación efectiva'!$E:$E,$A13,'recuperación efectiva'!$K:$K,"&lt;="&amp;(COLUMN()-4))/$B13,0))</f>
        <v/>
      </c>
      <c r="AI13" s="234" t="str">
        <f>IF((COLUMN()-4)&gt;$C13,"",IFERROR(COUNTIFS('recuperación efectiva'!$E:$E,$A13,'recuperación efectiva'!$K:$K,"&lt;="&amp;(COLUMN()-4))/$B13,0))</f>
        <v/>
      </c>
      <c r="AJ13" s="234" t="str">
        <f>IF((COLUMN()-4)&gt;$C13,"",IFERROR(COUNTIFS('recuperación efectiva'!$E:$E,$A13,'recuperación efectiva'!$K:$K,"&lt;="&amp;(COLUMN()-4))/$B13,0))</f>
        <v/>
      </c>
      <c r="AK13" s="234" t="str">
        <f>IF((COLUMN()-4)&gt;$C13,"",IFERROR(COUNTIFS('recuperación efectiva'!$E:$E,$A13,'recuperación efectiva'!$K:$K,"&lt;="&amp;(COLUMN()-4))/$B13,0))</f>
        <v/>
      </c>
      <c r="AL13" s="234" t="str">
        <f>IF((COLUMN()-4)&gt;$C13,"",IFERROR(COUNTIFS('recuperación efectiva'!$E:$E,$A13,'recuperación efectiva'!$K:$K,"&lt;="&amp;(COLUMN()-4))/$B13,0))</f>
        <v/>
      </c>
      <c r="AM13" s="234" t="str">
        <f>IF((COLUMN()-4)&gt;$C13,"",IFERROR(COUNTIFS('recuperación efectiva'!$E:$E,$A13,'recuperación efectiva'!$K:$K,"&lt;="&amp;(COLUMN()-4))/$B13,0))</f>
        <v/>
      </c>
      <c r="AN13" s="234" t="str">
        <f>IF((COLUMN()-4)&gt;$C13,"",IFERROR(COUNTIFS('recuperación efectiva'!$E:$E,$A13,'recuperación efectiva'!$K:$K,"&lt;="&amp;(COLUMN()-4))/$B13,0))</f>
        <v/>
      </c>
    </row>
    <row r="14" spans="1:40" ht="15.75" customHeight="1" x14ac:dyDescent="0.35">
      <c r="A14" s="231" t="s">
        <v>35</v>
      </c>
      <c r="B14" s="232">
        <f>COUNTIF(Export!$E:$E,A14)</f>
        <v>43</v>
      </c>
      <c r="C14" s="233">
        <f t="shared" si="0"/>
        <v>19</v>
      </c>
      <c r="D14" s="235">
        <f>IF((COLUMN()-4)&gt;$C14,"",IFERROR(COUNTIFS('recuperación efectiva'!$E:$E,$A14,'recuperación efectiva'!$K:$K,"&lt;="&amp;(COLUMN()-4))/$B14,0))</f>
        <v>0</v>
      </c>
      <c r="E14" s="235">
        <f>IF((COLUMN()-4)&gt;$C14,"",IFERROR(COUNTIFS('recuperación efectiva'!$E:$E,$A14,'recuperación efectiva'!$K:$K,"&lt;="&amp;(COLUMN()-4))/$B14,0))</f>
        <v>0</v>
      </c>
      <c r="F14" s="235">
        <f>IF((COLUMN()-4)&gt;$C14,"",IFERROR(COUNTIFS('recuperación efectiva'!$E:$E,$A14,'recuperación efectiva'!$K:$K,"&lt;="&amp;(COLUMN()-4))/$B14,0))</f>
        <v>0</v>
      </c>
      <c r="G14" s="235">
        <f>IF((COLUMN()-4)&gt;$C14,"",IFERROR(COUNTIFS('recuperación efectiva'!$E:$E,$A14,'recuperación efectiva'!$K:$K,"&lt;="&amp;(COLUMN()-4))/$B14,0))</f>
        <v>2.3255813953488372E-2</v>
      </c>
      <c r="H14" s="235">
        <f>IF((COLUMN()-4)&gt;$C14,"",IFERROR(COUNTIFS('recuperación efectiva'!$E:$E,$A14,'recuperación efectiva'!$K:$K,"&lt;="&amp;(COLUMN()-4))/$B14,0))</f>
        <v>4.6511627906976744E-2</v>
      </c>
      <c r="I14" s="235">
        <f>IF((COLUMN()-4)&gt;$C14,"",IFERROR(COUNTIFS('recuperación efectiva'!$E:$E,$A14,'recuperación efectiva'!$K:$K,"&lt;="&amp;(COLUMN()-4))/$B14,0))</f>
        <v>9.3023255813953487E-2</v>
      </c>
      <c r="J14" s="235">
        <f>IF((COLUMN()-4)&gt;$C14,"",IFERROR(COUNTIFS('recuperación efectiva'!$E:$E,$A14,'recuperación efectiva'!$K:$K,"&lt;="&amp;(COLUMN()-4))/$B14,0))</f>
        <v>0.13953488372093023</v>
      </c>
      <c r="K14" s="235">
        <f>IF((COLUMN()-4)&gt;$C14,"",IFERROR(COUNTIFS('recuperación efectiva'!$E:$E,$A14,'recuperación efectiva'!$K:$K,"&lt;="&amp;(COLUMN()-4))/$B14,0))</f>
        <v>0.20930232558139536</v>
      </c>
      <c r="L14" s="235">
        <f>IF((COLUMN()-4)&gt;$C14,"",IFERROR(COUNTIFS('recuperación efectiva'!$E:$E,$A14,'recuperación efectiva'!$K:$K,"&lt;="&amp;(COLUMN()-4))/$B14,0))</f>
        <v>0.2558139534883721</v>
      </c>
      <c r="M14" s="235">
        <f>IF((COLUMN()-4)&gt;$C14,"",IFERROR(COUNTIFS('recuperación efectiva'!$E:$E,$A14,'recuperación efectiva'!$K:$K,"&lt;="&amp;(COLUMN()-4))/$B14,0))</f>
        <v>0.32558139534883723</v>
      </c>
      <c r="N14" s="235">
        <f>IF((COLUMN()-4)&gt;$C14,"",IFERROR(COUNTIFS('recuperación efectiva'!$E:$E,$A14,'recuperación efectiva'!$K:$K,"&lt;="&amp;(COLUMN()-4))/$B14,0))</f>
        <v>0.34883720930232559</v>
      </c>
      <c r="O14" s="235">
        <f>IF((COLUMN()-4)&gt;$C14,"",IFERROR(COUNTIFS('recuperación efectiva'!$E:$E,$A14,'recuperación efectiva'!$K:$K,"&lt;="&amp;(COLUMN()-4))/$B14,0))</f>
        <v>0.39534883720930231</v>
      </c>
      <c r="P14" s="235">
        <f>IF((COLUMN()-4)&gt;$C14,"",IFERROR(COUNTIFS('recuperación efectiva'!$E:$E,$A14,'recuperación efectiva'!$K:$K,"&lt;="&amp;(COLUMN()-4))/$B14,0))</f>
        <v>0.41860465116279072</v>
      </c>
      <c r="Q14" s="235">
        <f>IF((COLUMN()-4)&gt;$C14,"",IFERROR(COUNTIFS('recuperación efectiva'!$E:$E,$A14,'recuperación efectiva'!$K:$K,"&lt;="&amp;(COLUMN()-4))/$B14,0))</f>
        <v>0.44186046511627908</v>
      </c>
      <c r="R14" s="235">
        <f>IF((COLUMN()-4)&gt;$C14,"",IFERROR(COUNTIFS('recuperación efectiva'!$E:$E,$A14,'recuperación efectiva'!$K:$K,"&lt;="&amp;(COLUMN()-4))/$B14,0))</f>
        <v>0.44186046511627908</v>
      </c>
      <c r="S14" s="235">
        <f>IF((COLUMN()-4)&gt;$C14,"",IFERROR(COUNTIFS('recuperación efectiva'!$E:$E,$A14,'recuperación efectiva'!$K:$K,"&lt;="&amp;(COLUMN()-4))/$B14,0))</f>
        <v>0.53488372093023251</v>
      </c>
      <c r="T14" s="235">
        <f>IF((COLUMN()-4)&gt;$C14,"",IFERROR(COUNTIFS('recuperación efectiva'!$E:$E,$A14,'recuperación efectiva'!$K:$K,"&lt;="&amp;(COLUMN()-4))/$B14,0))</f>
        <v>0.67441860465116277</v>
      </c>
      <c r="U14" s="235">
        <f>IF((COLUMN()-4)&gt;$C14,"",IFERROR(COUNTIFS('recuperación efectiva'!$E:$E,$A14,'recuperación efectiva'!$K:$K,"&lt;="&amp;(COLUMN()-4))/$B14,0))</f>
        <v>0.69767441860465118</v>
      </c>
      <c r="V14" s="235">
        <f>IF((COLUMN()-4)&gt;$C14,"",IFERROR(COUNTIFS('recuperación efectiva'!$E:$E,$A14,'recuperación efectiva'!$K:$K,"&lt;="&amp;(COLUMN()-4))/$B14,0))</f>
        <v>0.83720930232558144</v>
      </c>
      <c r="W14" s="235">
        <f>IF((COLUMN()-4)&gt;$C14,"",IFERROR(COUNTIFS('recuperación efectiva'!$E:$E,$A14,'recuperación efectiva'!$K:$K,"&lt;="&amp;(COLUMN()-4))/$B14,0))</f>
        <v>0.83720930232558144</v>
      </c>
      <c r="X14" s="235" t="str">
        <f>IF((COLUMN()-4)&gt;$C14,"",IFERROR(COUNTIFS('recuperación efectiva'!$E:$E,$A14,'recuperación efectiva'!$K:$K,"&lt;="&amp;(COLUMN()-4))/$B14,0))</f>
        <v/>
      </c>
      <c r="Y14" s="235" t="str">
        <f>IF((COLUMN()-4)&gt;$C14,"",IFERROR(COUNTIFS('recuperación efectiva'!$E:$E,$A14,'recuperación efectiva'!$K:$K,"&lt;="&amp;(COLUMN()-4))/$B14,0))</f>
        <v/>
      </c>
      <c r="Z14" s="235" t="str">
        <f>IF((COLUMN()-4)&gt;$C14,"",IFERROR(COUNTIFS('recuperación efectiva'!$E:$E,$A14,'recuperación efectiva'!$K:$K,"&lt;="&amp;(COLUMN()-4))/$B14,0))</f>
        <v/>
      </c>
      <c r="AA14" s="235" t="str">
        <f>IF((COLUMN()-4)&gt;$C14,"",IFERROR(COUNTIFS('recuperación efectiva'!$E:$E,$A14,'recuperación efectiva'!$K:$K,"&lt;="&amp;(COLUMN()-4))/$B14,0))</f>
        <v/>
      </c>
      <c r="AB14" s="235" t="str">
        <f>IF((COLUMN()-4)&gt;$C14,"",IFERROR(COUNTIFS('recuperación efectiva'!$E:$E,$A14,'recuperación efectiva'!$K:$K,"&lt;="&amp;(COLUMN()-4))/$B14,0))</f>
        <v/>
      </c>
      <c r="AC14" s="235" t="str">
        <f>IF((COLUMN()-4)&gt;$C14,"",IFERROR(COUNTIFS('recuperación efectiva'!$E:$E,$A14,'recuperación efectiva'!$K:$K,"&lt;="&amp;(COLUMN()-4))/$B14,0))</f>
        <v/>
      </c>
      <c r="AD14" s="235" t="str">
        <f>IF((COLUMN()-4)&gt;$C14,"",IFERROR(COUNTIFS('recuperación efectiva'!$E:$E,$A14,'recuperación efectiva'!$K:$K,"&lt;="&amp;(COLUMN()-4))/$B14,0))</f>
        <v/>
      </c>
      <c r="AE14" s="235" t="str">
        <f>IF((COLUMN()-4)&gt;$C14,"",IFERROR(COUNTIFS('recuperación efectiva'!$E:$E,$A14,'recuperación efectiva'!$K:$K,"&lt;="&amp;(COLUMN()-4))/$B14,0))</f>
        <v/>
      </c>
      <c r="AF14" s="235" t="str">
        <f>IF((COLUMN()-4)&gt;$C14,"",IFERROR(COUNTIFS('recuperación efectiva'!$E:$E,$A14,'recuperación efectiva'!$K:$K,"&lt;="&amp;(COLUMN()-4))/$B14,0))</f>
        <v/>
      </c>
      <c r="AG14" s="235" t="str">
        <f>IF((COLUMN()-4)&gt;$C14,"",IFERROR(COUNTIFS('recuperación efectiva'!$E:$E,$A14,'recuperación efectiva'!$K:$K,"&lt;="&amp;(COLUMN()-4))/$B14,0))</f>
        <v/>
      </c>
      <c r="AH14" s="235" t="str">
        <f>IF((COLUMN()-4)&gt;$C14,"",IFERROR(COUNTIFS('recuperación efectiva'!$E:$E,$A14,'recuperación efectiva'!$K:$K,"&lt;="&amp;(COLUMN()-4))/$B14,0))</f>
        <v/>
      </c>
      <c r="AI14" s="235" t="str">
        <f>IF((COLUMN()-4)&gt;$C14,"",IFERROR(COUNTIFS('recuperación efectiva'!$E:$E,$A14,'recuperación efectiva'!$K:$K,"&lt;="&amp;(COLUMN()-4))/$B14,0))</f>
        <v/>
      </c>
      <c r="AJ14" s="235" t="str">
        <f>IF((COLUMN()-4)&gt;$C14,"",IFERROR(COUNTIFS('recuperación efectiva'!$E:$E,$A14,'recuperación efectiva'!$K:$K,"&lt;="&amp;(COLUMN()-4))/$B14,0))</f>
        <v/>
      </c>
      <c r="AK14" s="235" t="str">
        <f>IF((COLUMN()-4)&gt;$C14,"",IFERROR(COUNTIFS('recuperación efectiva'!$E:$E,$A14,'recuperación efectiva'!$K:$K,"&lt;="&amp;(COLUMN()-4))/$B14,0))</f>
        <v/>
      </c>
      <c r="AL14" s="235" t="str">
        <f>IF((COLUMN()-4)&gt;$C14,"",IFERROR(COUNTIFS('recuperación efectiva'!$E:$E,$A14,'recuperación efectiva'!$K:$K,"&lt;="&amp;(COLUMN()-4))/$B14,0))</f>
        <v/>
      </c>
      <c r="AM14" s="235" t="str">
        <f>IF((COLUMN()-4)&gt;$C14,"",IFERROR(COUNTIFS('recuperación efectiva'!$E:$E,$A14,'recuperación efectiva'!$K:$K,"&lt;="&amp;(COLUMN()-4))/$B14,0))</f>
        <v/>
      </c>
      <c r="AN14" s="235" t="str">
        <f>IF((COLUMN()-4)&gt;$C14,"",IFERROR(COUNTIFS('recuperación efectiva'!$E:$E,$A14,'recuperación efectiva'!$K:$K,"&lt;="&amp;(COLUMN()-4))/$B14,0))</f>
        <v/>
      </c>
    </row>
    <row r="15" spans="1:40" ht="15.75" customHeight="1" x14ac:dyDescent="0.35">
      <c r="A15" s="231" t="s">
        <v>178</v>
      </c>
      <c r="B15" s="232">
        <f>COUNTIF(Export!$E:$E,A15)</f>
        <v>42</v>
      </c>
      <c r="C15" s="233">
        <f t="shared" si="0"/>
        <v>18</v>
      </c>
      <c r="D15" s="234">
        <f>IF((COLUMN()-4)&gt;$C15,"",IFERROR(COUNTIFS('recuperación efectiva'!$E:$E,$A15,'recuperación efectiva'!$K:$K,"&lt;="&amp;(COLUMN()-4))/$B15,0))</f>
        <v>0</v>
      </c>
      <c r="E15" s="234">
        <f>IF((COLUMN()-4)&gt;$C15,"",IFERROR(COUNTIFS('recuperación efectiva'!$E:$E,$A15,'recuperación efectiva'!$K:$K,"&lt;="&amp;(COLUMN()-4))/$B15,0))</f>
        <v>0</v>
      </c>
      <c r="F15" s="234">
        <f>IF((COLUMN()-4)&gt;$C15,"",IFERROR(COUNTIFS('recuperación efectiva'!$E:$E,$A15,'recuperación efectiva'!$K:$K,"&lt;="&amp;(COLUMN()-4))/$B15,0))</f>
        <v>0</v>
      </c>
      <c r="G15" s="234">
        <f>IF((COLUMN()-4)&gt;$C15,"",IFERROR(COUNTIFS('recuperación efectiva'!$E:$E,$A15,'recuperación efectiva'!$K:$K,"&lt;="&amp;(COLUMN()-4))/$B15,0))</f>
        <v>2.3809523809523808E-2</v>
      </c>
      <c r="H15" s="234">
        <f>IF((COLUMN()-4)&gt;$C15,"",IFERROR(COUNTIFS('recuperación efectiva'!$E:$E,$A15,'recuperación efectiva'!$K:$K,"&lt;="&amp;(COLUMN()-4))/$B15,0))</f>
        <v>0.11904761904761904</v>
      </c>
      <c r="I15" s="234">
        <f>IF((COLUMN()-4)&gt;$C15,"",IFERROR(COUNTIFS('recuperación efectiva'!$E:$E,$A15,'recuperación efectiva'!$K:$K,"&lt;="&amp;(COLUMN()-4))/$B15,0))</f>
        <v>0.23809523809523808</v>
      </c>
      <c r="J15" s="234">
        <f>IF((COLUMN()-4)&gt;$C15,"",IFERROR(COUNTIFS('recuperación efectiva'!$E:$E,$A15,'recuperación efectiva'!$K:$K,"&lt;="&amp;(COLUMN()-4))/$B15,0))</f>
        <v>0.30952380952380953</v>
      </c>
      <c r="K15" s="234">
        <f>IF((COLUMN()-4)&gt;$C15,"",IFERROR(COUNTIFS('recuperación efectiva'!$E:$E,$A15,'recuperación efectiva'!$K:$K,"&lt;="&amp;(COLUMN()-4))/$B15,0))</f>
        <v>0.38095238095238093</v>
      </c>
      <c r="L15" s="234">
        <f>IF((COLUMN()-4)&gt;$C15,"",IFERROR(COUNTIFS('recuperación efectiva'!$E:$E,$A15,'recuperación efectiva'!$K:$K,"&lt;="&amp;(COLUMN()-4))/$B15,0))</f>
        <v>0.40476190476190477</v>
      </c>
      <c r="M15" s="234">
        <f>IF((COLUMN()-4)&gt;$C15,"",IFERROR(COUNTIFS('recuperación efectiva'!$E:$E,$A15,'recuperación efectiva'!$K:$K,"&lt;="&amp;(COLUMN()-4))/$B15,0))</f>
        <v>0.47619047619047616</v>
      </c>
      <c r="N15" s="234">
        <f>IF((COLUMN()-4)&gt;$C15,"",IFERROR(COUNTIFS('recuperación efectiva'!$E:$E,$A15,'recuperación efectiva'!$K:$K,"&lt;="&amp;(COLUMN()-4))/$B15,0))</f>
        <v>0.52380952380952384</v>
      </c>
      <c r="O15" s="234">
        <f>IF((COLUMN()-4)&gt;$C15,"",IFERROR(COUNTIFS('recuperación efectiva'!$E:$E,$A15,'recuperación efectiva'!$K:$K,"&lt;="&amp;(COLUMN()-4))/$B15,0))</f>
        <v>0.54761904761904767</v>
      </c>
      <c r="P15" s="234">
        <f>IF((COLUMN()-4)&gt;$C15,"",IFERROR(COUNTIFS('recuperación efectiva'!$E:$E,$A15,'recuperación efectiva'!$K:$K,"&lt;="&amp;(COLUMN()-4))/$B15,0))</f>
        <v>0.54761904761904767</v>
      </c>
      <c r="Q15" s="234">
        <f>IF((COLUMN()-4)&gt;$C15,"",IFERROR(COUNTIFS('recuperación efectiva'!$E:$E,$A15,'recuperación efectiva'!$K:$K,"&lt;="&amp;(COLUMN()-4))/$B15,0))</f>
        <v>0.54761904761904767</v>
      </c>
      <c r="R15" s="234">
        <f>IF((COLUMN()-4)&gt;$C15,"",IFERROR(COUNTIFS('recuperación efectiva'!$E:$E,$A15,'recuperación efectiva'!$K:$K,"&lt;="&amp;(COLUMN()-4))/$B15,0))</f>
        <v>0.61904761904761907</v>
      </c>
      <c r="S15" s="234">
        <f>IF((COLUMN()-4)&gt;$C15,"",IFERROR(COUNTIFS('recuperación efectiva'!$E:$E,$A15,'recuperación efectiva'!$K:$K,"&lt;="&amp;(COLUMN()-4))/$B15,0))</f>
        <v>0.6428571428571429</v>
      </c>
      <c r="T15" s="234">
        <f>IF((COLUMN()-4)&gt;$C15,"",IFERROR(COUNTIFS('recuperación efectiva'!$E:$E,$A15,'recuperación efectiva'!$K:$K,"&lt;="&amp;(COLUMN()-4))/$B15,0))</f>
        <v>0.7142857142857143</v>
      </c>
      <c r="U15" s="234">
        <f>IF((COLUMN()-4)&gt;$C15,"",IFERROR(COUNTIFS('recuperación efectiva'!$E:$E,$A15,'recuperación efectiva'!$K:$K,"&lt;="&amp;(COLUMN()-4))/$B15,0))</f>
        <v>0.7857142857142857</v>
      </c>
      <c r="V15" s="234">
        <f>IF((COLUMN()-4)&gt;$C15,"",IFERROR(COUNTIFS('recuperación efectiva'!$E:$E,$A15,'recuperación efectiva'!$K:$K,"&lt;="&amp;(COLUMN()-4))/$B15,0))</f>
        <v>0.80952380952380953</v>
      </c>
      <c r="W15" s="234" t="str">
        <f>IF((COLUMN()-4)&gt;$C15,"",IFERROR(COUNTIFS('recuperación efectiva'!$E:$E,$A15,'recuperación efectiva'!$K:$K,"&lt;="&amp;(COLUMN()-4))/$B15,0))</f>
        <v/>
      </c>
      <c r="X15" s="234" t="str">
        <f>IF((COLUMN()-4)&gt;$C15,"",IFERROR(COUNTIFS('recuperación efectiva'!$E:$E,$A15,'recuperación efectiva'!$K:$K,"&lt;="&amp;(COLUMN()-4))/$B15,0))</f>
        <v/>
      </c>
      <c r="Y15" s="234" t="str">
        <f>IF((COLUMN()-4)&gt;$C15,"",IFERROR(COUNTIFS('recuperación efectiva'!$E:$E,$A15,'recuperación efectiva'!$K:$K,"&lt;="&amp;(COLUMN()-4))/$B15,0))</f>
        <v/>
      </c>
      <c r="Z15" s="234" t="str">
        <f>IF((COLUMN()-4)&gt;$C15,"",IFERROR(COUNTIFS('recuperación efectiva'!$E:$E,$A15,'recuperación efectiva'!$K:$K,"&lt;="&amp;(COLUMN()-4))/$B15,0))</f>
        <v/>
      </c>
      <c r="AA15" s="234" t="str">
        <f>IF((COLUMN()-4)&gt;$C15,"",IFERROR(COUNTIFS('recuperación efectiva'!$E:$E,$A15,'recuperación efectiva'!$K:$K,"&lt;="&amp;(COLUMN()-4))/$B15,0))</f>
        <v/>
      </c>
      <c r="AB15" s="234" t="str">
        <f>IF((COLUMN()-4)&gt;$C15,"",IFERROR(COUNTIFS('recuperación efectiva'!$E:$E,$A15,'recuperación efectiva'!$K:$K,"&lt;="&amp;(COLUMN()-4))/$B15,0))</f>
        <v/>
      </c>
      <c r="AC15" s="234" t="str">
        <f>IF((COLUMN()-4)&gt;$C15,"",IFERROR(COUNTIFS('recuperación efectiva'!$E:$E,$A15,'recuperación efectiva'!$K:$K,"&lt;="&amp;(COLUMN()-4))/$B15,0))</f>
        <v/>
      </c>
      <c r="AD15" s="234" t="str">
        <f>IF((COLUMN()-4)&gt;$C15,"",IFERROR(COUNTIFS('recuperación efectiva'!$E:$E,$A15,'recuperación efectiva'!$K:$K,"&lt;="&amp;(COLUMN()-4))/$B15,0))</f>
        <v/>
      </c>
      <c r="AE15" s="234" t="str">
        <f>IF((COLUMN()-4)&gt;$C15,"",IFERROR(COUNTIFS('recuperación efectiva'!$E:$E,$A15,'recuperación efectiva'!$K:$K,"&lt;="&amp;(COLUMN()-4))/$B15,0))</f>
        <v/>
      </c>
      <c r="AF15" s="234" t="str">
        <f>IF((COLUMN()-4)&gt;$C15,"",IFERROR(COUNTIFS('recuperación efectiva'!$E:$E,$A15,'recuperación efectiva'!$K:$K,"&lt;="&amp;(COLUMN()-4))/$B15,0))</f>
        <v/>
      </c>
      <c r="AG15" s="234" t="str">
        <f>IF((COLUMN()-4)&gt;$C15,"",IFERROR(COUNTIFS('recuperación efectiva'!$E:$E,$A15,'recuperación efectiva'!$K:$K,"&lt;="&amp;(COLUMN()-4))/$B15,0))</f>
        <v/>
      </c>
      <c r="AH15" s="234" t="str">
        <f>IF((COLUMN()-4)&gt;$C15,"",IFERROR(COUNTIFS('recuperación efectiva'!$E:$E,$A15,'recuperación efectiva'!$K:$K,"&lt;="&amp;(COLUMN()-4))/$B15,0))</f>
        <v/>
      </c>
      <c r="AI15" s="234" t="str">
        <f>IF((COLUMN()-4)&gt;$C15,"",IFERROR(COUNTIFS('recuperación efectiva'!$E:$E,$A15,'recuperación efectiva'!$K:$K,"&lt;="&amp;(COLUMN()-4))/$B15,0))</f>
        <v/>
      </c>
      <c r="AJ15" s="234" t="str">
        <f>IF((COLUMN()-4)&gt;$C15,"",IFERROR(COUNTIFS('recuperación efectiva'!$E:$E,$A15,'recuperación efectiva'!$K:$K,"&lt;="&amp;(COLUMN()-4))/$B15,0))</f>
        <v/>
      </c>
      <c r="AK15" s="234" t="str">
        <f>IF((COLUMN()-4)&gt;$C15,"",IFERROR(COUNTIFS('recuperación efectiva'!$E:$E,$A15,'recuperación efectiva'!$K:$K,"&lt;="&amp;(COLUMN()-4))/$B15,0))</f>
        <v/>
      </c>
      <c r="AL15" s="234" t="str">
        <f>IF((COLUMN()-4)&gt;$C15,"",IFERROR(COUNTIFS('recuperación efectiva'!$E:$E,$A15,'recuperación efectiva'!$K:$K,"&lt;="&amp;(COLUMN()-4))/$B15,0))</f>
        <v/>
      </c>
      <c r="AM15" s="234" t="str">
        <f>IF((COLUMN()-4)&gt;$C15,"",IFERROR(COUNTIFS('recuperación efectiva'!$E:$E,$A15,'recuperación efectiva'!$K:$K,"&lt;="&amp;(COLUMN()-4))/$B15,0))</f>
        <v/>
      </c>
      <c r="AN15" s="234" t="str">
        <f>IF((COLUMN()-4)&gt;$C15,"",IFERROR(COUNTIFS('recuperación efectiva'!$E:$E,$A15,'recuperación efectiva'!$K:$K,"&lt;="&amp;(COLUMN()-4))/$B15,0))</f>
        <v/>
      </c>
    </row>
    <row r="16" spans="1:40" ht="15.75" customHeight="1" x14ac:dyDescent="0.35">
      <c r="A16" s="231" t="s">
        <v>82</v>
      </c>
      <c r="B16" s="232">
        <f>COUNTIF(Export!$E:$E,A16)</f>
        <v>60</v>
      </c>
      <c r="C16" s="233">
        <f t="shared" si="0"/>
        <v>17</v>
      </c>
      <c r="D16" s="235">
        <f>IF((COLUMN()-4)&gt;$C16,"",IFERROR(COUNTIFS('recuperación efectiva'!$E:$E,$A16,'recuperación efectiva'!$K:$K,"&lt;="&amp;(COLUMN()-4))/$B16,0))</f>
        <v>0</v>
      </c>
      <c r="E16" s="235">
        <f>IF((COLUMN()-4)&gt;$C16,"",IFERROR(COUNTIFS('recuperación efectiva'!$E:$E,$A16,'recuperación efectiva'!$K:$K,"&lt;="&amp;(COLUMN()-4))/$B16,0))</f>
        <v>1.6666666666666666E-2</v>
      </c>
      <c r="F16" s="235">
        <f>IF((COLUMN()-4)&gt;$C16,"",IFERROR(COUNTIFS('recuperación efectiva'!$E:$E,$A16,'recuperación efectiva'!$K:$K,"&lt;="&amp;(COLUMN()-4))/$B16,0))</f>
        <v>3.3333333333333333E-2</v>
      </c>
      <c r="G16" s="235">
        <f>IF((COLUMN()-4)&gt;$C16,"",IFERROR(COUNTIFS('recuperación efectiva'!$E:$E,$A16,'recuperación efectiva'!$K:$K,"&lt;="&amp;(COLUMN()-4))/$B16,0))</f>
        <v>0.16666666666666666</v>
      </c>
      <c r="H16" s="235">
        <f>IF((COLUMN()-4)&gt;$C16,"",IFERROR(COUNTIFS('recuperación efectiva'!$E:$E,$A16,'recuperación efectiva'!$K:$K,"&lt;="&amp;(COLUMN()-4))/$B16,0))</f>
        <v>0.21666666666666667</v>
      </c>
      <c r="I16" s="235">
        <f>IF((COLUMN()-4)&gt;$C16,"",IFERROR(COUNTIFS('recuperación efectiva'!$E:$E,$A16,'recuperación efectiva'!$K:$K,"&lt;="&amp;(COLUMN()-4))/$B16,0))</f>
        <v>0.31666666666666665</v>
      </c>
      <c r="J16" s="235">
        <f>IF((COLUMN()-4)&gt;$C16,"",IFERROR(COUNTIFS('recuperación efectiva'!$E:$E,$A16,'recuperación efectiva'!$K:$K,"&lt;="&amp;(COLUMN()-4))/$B16,0))</f>
        <v>0.38333333333333336</v>
      </c>
      <c r="K16" s="235">
        <f>IF((COLUMN()-4)&gt;$C16,"",IFERROR(COUNTIFS('recuperación efectiva'!$E:$E,$A16,'recuperación efectiva'!$K:$K,"&lt;="&amp;(COLUMN()-4))/$B16,0))</f>
        <v>0.46666666666666667</v>
      </c>
      <c r="L16" s="235">
        <f>IF((COLUMN()-4)&gt;$C16,"",IFERROR(COUNTIFS('recuperación efectiva'!$E:$E,$A16,'recuperación efectiva'!$K:$K,"&lt;="&amp;(COLUMN()-4))/$B16,0))</f>
        <v>0.55000000000000004</v>
      </c>
      <c r="M16" s="235">
        <f>IF((COLUMN()-4)&gt;$C16,"",IFERROR(COUNTIFS('recuperación efectiva'!$E:$E,$A16,'recuperación efectiva'!$K:$K,"&lt;="&amp;(COLUMN()-4))/$B16,0))</f>
        <v>0.6333333333333333</v>
      </c>
      <c r="N16" s="235">
        <f>IF((COLUMN()-4)&gt;$C16,"",IFERROR(COUNTIFS('recuperación efectiva'!$E:$E,$A16,'recuperación efectiva'!$K:$K,"&lt;="&amp;(COLUMN()-4))/$B16,0))</f>
        <v>0.66666666666666663</v>
      </c>
      <c r="O16" s="235">
        <f>IF((COLUMN()-4)&gt;$C16,"",IFERROR(COUNTIFS('recuperación efectiva'!$E:$E,$A16,'recuperación efectiva'!$K:$K,"&lt;="&amp;(COLUMN()-4))/$B16,0))</f>
        <v>0.66666666666666663</v>
      </c>
      <c r="P16" s="235">
        <f>IF((COLUMN()-4)&gt;$C16,"",IFERROR(COUNTIFS('recuperación efectiva'!$E:$E,$A16,'recuperación efectiva'!$K:$K,"&lt;="&amp;(COLUMN()-4))/$B16,0))</f>
        <v>0.66666666666666663</v>
      </c>
      <c r="Q16" s="235">
        <f>IF((COLUMN()-4)&gt;$C16,"",IFERROR(COUNTIFS('recuperación efectiva'!$E:$E,$A16,'recuperación efectiva'!$K:$K,"&lt;="&amp;(COLUMN()-4))/$B16,0))</f>
        <v>0.7</v>
      </c>
      <c r="R16" s="235">
        <f>IF((COLUMN()-4)&gt;$C16,"",IFERROR(COUNTIFS('recuperación efectiva'!$E:$E,$A16,'recuperación efectiva'!$K:$K,"&lt;="&amp;(COLUMN()-4))/$B16,0))</f>
        <v>0.73333333333333328</v>
      </c>
      <c r="S16" s="235">
        <f>IF((COLUMN()-4)&gt;$C16,"",IFERROR(COUNTIFS('recuperación efectiva'!$E:$E,$A16,'recuperación efectiva'!$K:$K,"&lt;="&amp;(COLUMN()-4))/$B16,0))</f>
        <v>0.78333333333333333</v>
      </c>
      <c r="T16" s="235">
        <f>IF((COLUMN()-4)&gt;$C16,"",IFERROR(COUNTIFS('recuperación efectiva'!$E:$E,$A16,'recuperación efectiva'!$K:$K,"&lt;="&amp;(COLUMN()-4))/$B16,0))</f>
        <v>0.9</v>
      </c>
      <c r="U16" s="235">
        <f>IF((COLUMN()-4)&gt;$C16,"",IFERROR(COUNTIFS('recuperación efectiva'!$E:$E,$A16,'recuperación efectiva'!$K:$K,"&lt;="&amp;(COLUMN()-4))/$B16,0))</f>
        <v>0.91666666666666663</v>
      </c>
      <c r="V16" s="235" t="str">
        <f>IF((COLUMN()-4)&gt;$C16,"",IFERROR(COUNTIFS('recuperación efectiva'!$E:$E,$A16,'recuperación efectiva'!$K:$K,"&lt;="&amp;(COLUMN()-4))/$B16,0))</f>
        <v/>
      </c>
      <c r="W16" s="235" t="str">
        <f>IF((COLUMN()-4)&gt;$C16,"",IFERROR(COUNTIFS('recuperación efectiva'!$E:$E,$A16,'recuperación efectiva'!$K:$K,"&lt;="&amp;(COLUMN()-4))/$B16,0))</f>
        <v/>
      </c>
      <c r="X16" s="235" t="str">
        <f>IF((COLUMN()-4)&gt;$C16,"",IFERROR(COUNTIFS('recuperación efectiva'!$E:$E,$A16,'recuperación efectiva'!$K:$K,"&lt;="&amp;(COLUMN()-4))/$B16,0))</f>
        <v/>
      </c>
      <c r="Y16" s="235" t="str">
        <f>IF((COLUMN()-4)&gt;$C16,"",IFERROR(COUNTIFS('recuperación efectiva'!$E:$E,$A16,'recuperación efectiva'!$K:$K,"&lt;="&amp;(COLUMN()-4))/$B16,0))</f>
        <v/>
      </c>
      <c r="Z16" s="235" t="str">
        <f>IF((COLUMN()-4)&gt;$C16,"",IFERROR(COUNTIFS('recuperación efectiva'!$E:$E,$A16,'recuperación efectiva'!$K:$K,"&lt;="&amp;(COLUMN()-4))/$B16,0))</f>
        <v/>
      </c>
      <c r="AA16" s="235" t="str">
        <f>IF((COLUMN()-4)&gt;$C16,"",IFERROR(COUNTIFS('recuperación efectiva'!$E:$E,$A16,'recuperación efectiva'!$K:$K,"&lt;="&amp;(COLUMN()-4))/$B16,0))</f>
        <v/>
      </c>
      <c r="AB16" s="235" t="str">
        <f>IF((COLUMN()-4)&gt;$C16,"",IFERROR(COUNTIFS('recuperación efectiva'!$E:$E,$A16,'recuperación efectiva'!$K:$K,"&lt;="&amp;(COLUMN()-4))/$B16,0))</f>
        <v/>
      </c>
      <c r="AC16" s="235" t="str">
        <f>IF((COLUMN()-4)&gt;$C16,"",IFERROR(COUNTIFS('recuperación efectiva'!$E:$E,$A16,'recuperación efectiva'!$K:$K,"&lt;="&amp;(COLUMN()-4))/$B16,0))</f>
        <v/>
      </c>
      <c r="AD16" s="235" t="str">
        <f>IF((COLUMN()-4)&gt;$C16,"",IFERROR(COUNTIFS('recuperación efectiva'!$E:$E,$A16,'recuperación efectiva'!$K:$K,"&lt;="&amp;(COLUMN()-4))/$B16,0))</f>
        <v/>
      </c>
      <c r="AE16" s="235" t="str">
        <f>IF((COLUMN()-4)&gt;$C16,"",IFERROR(COUNTIFS('recuperación efectiva'!$E:$E,$A16,'recuperación efectiva'!$K:$K,"&lt;="&amp;(COLUMN()-4))/$B16,0))</f>
        <v/>
      </c>
      <c r="AF16" s="235" t="str">
        <f>IF((COLUMN()-4)&gt;$C16,"",IFERROR(COUNTIFS('recuperación efectiva'!$E:$E,$A16,'recuperación efectiva'!$K:$K,"&lt;="&amp;(COLUMN()-4))/$B16,0))</f>
        <v/>
      </c>
      <c r="AG16" s="235" t="str">
        <f>IF((COLUMN()-4)&gt;$C16,"",IFERROR(COUNTIFS('recuperación efectiva'!$E:$E,$A16,'recuperación efectiva'!$K:$K,"&lt;="&amp;(COLUMN()-4))/$B16,0))</f>
        <v/>
      </c>
      <c r="AH16" s="235" t="str">
        <f>IF((COLUMN()-4)&gt;$C16,"",IFERROR(COUNTIFS('recuperación efectiva'!$E:$E,$A16,'recuperación efectiva'!$K:$K,"&lt;="&amp;(COLUMN()-4))/$B16,0))</f>
        <v/>
      </c>
      <c r="AI16" s="235" t="str">
        <f>IF((COLUMN()-4)&gt;$C16,"",IFERROR(COUNTIFS('recuperación efectiva'!$E:$E,$A16,'recuperación efectiva'!$K:$K,"&lt;="&amp;(COLUMN()-4))/$B16,0))</f>
        <v/>
      </c>
      <c r="AJ16" s="235" t="str">
        <f>IF((COLUMN()-4)&gt;$C16,"",IFERROR(COUNTIFS('recuperación efectiva'!$E:$E,$A16,'recuperación efectiva'!$K:$K,"&lt;="&amp;(COLUMN()-4))/$B16,0))</f>
        <v/>
      </c>
      <c r="AK16" s="235" t="str">
        <f>IF((COLUMN()-4)&gt;$C16,"",IFERROR(COUNTIFS('recuperación efectiva'!$E:$E,$A16,'recuperación efectiva'!$K:$K,"&lt;="&amp;(COLUMN()-4))/$B16,0))</f>
        <v/>
      </c>
      <c r="AL16" s="235" t="str">
        <f>IF((COLUMN()-4)&gt;$C16,"",IFERROR(COUNTIFS('recuperación efectiva'!$E:$E,$A16,'recuperación efectiva'!$K:$K,"&lt;="&amp;(COLUMN()-4))/$B16,0))</f>
        <v/>
      </c>
      <c r="AM16" s="235" t="str">
        <f>IF((COLUMN()-4)&gt;$C16,"",IFERROR(COUNTIFS('recuperación efectiva'!$E:$E,$A16,'recuperación efectiva'!$K:$K,"&lt;="&amp;(COLUMN()-4))/$B16,0))</f>
        <v/>
      </c>
      <c r="AN16" s="235" t="str">
        <f>IF((COLUMN()-4)&gt;$C16,"",IFERROR(COUNTIFS('recuperación efectiva'!$E:$E,$A16,'recuperación efectiva'!$K:$K,"&lt;="&amp;(COLUMN()-4))/$B16,0))</f>
        <v/>
      </c>
    </row>
    <row r="17" spans="1:40" ht="15.75" customHeight="1" x14ac:dyDescent="0.35">
      <c r="A17" s="231" t="s">
        <v>66</v>
      </c>
      <c r="B17" s="232">
        <f>COUNTIF(Export!$E:$E,A17)</f>
        <v>58</v>
      </c>
      <c r="C17" s="233">
        <f t="shared" si="0"/>
        <v>16</v>
      </c>
      <c r="D17" s="234">
        <f>IF((COLUMN()-4)&gt;$C17,"",IFERROR(COUNTIFS('recuperación efectiva'!$E:$E,$A17,'recuperación efectiva'!$K:$K,"&lt;="&amp;(COLUMN()-4))/$B17,0))</f>
        <v>0</v>
      </c>
      <c r="E17" s="234">
        <f>IF((COLUMN()-4)&gt;$C17,"",IFERROR(COUNTIFS('recuperación efectiva'!$E:$E,$A17,'recuperación efectiva'!$K:$K,"&lt;="&amp;(COLUMN()-4))/$B17,0))</f>
        <v>0</v>
      </c>
      <c r="F17" s="234">
        <f>IF((COLUMN()-4)&gt;$C17,"",IFERROR(COUNTIFS('recuperación efectiva'!$E:$E,$A17,'recuperación efectiva'!$K:$K,"&lt;="&amp;(COLUMN()-4))/$B17,0))</f>
        <v>3.4482758620689655E-2</v>
      </c>
      <c r="G17" s="234">
        <f>IF((COLUMN()-4)&gt;$C17,"",IFERROR(COUNTIFS('recuperación efectiva'!$E:$E,$A17,'recuperación efectiva'!$K:$K,"&lt;="&amp;(COLUMN()-4))/$B17,0))</f>
        <v>0.1206896551724138</v>
      </c>
      <c r="H17" s="234">
        <f>IF((COLUMN()-4)&gt;$C17,"",IFERROR(COUNTIFS('recuperación efectiva'!$E:$E,$A17,'recuperación efectiva'!$K:$K,"&lt;="&amp;(COLUMN()-4))/$B17,0))</f>
        <v>0.20689655172413793</v>
      </c>
      <c r="I17" s="234">
        <f>IF((COLUMN()-4)&gt;$C17,"",IFERROR(COUNTIFS('recuperación efectiva'!$E:$E,$A17,'recuperación efectiva'!$K:$K,"&lt;="&amp;(COLUMN()-4))/$B17,0))</f>
        <v>0.36206896551724138</v>
      </c>
      <c r="J17" s="234">
        <f>IF((COLUMN()-4)&gt;$C17,"",IFERROR(COUNTIFS('recuperación efectiva'!$E:$E,$A17,'recuperación efectiva'!$K:$K,"&lt;="&amp;(COLUMN()-4))/$B17,0))</f>
        <v>0.46551724137931033</v>
      </c>
      <c r="K17" s="234">
        <f>IF((COLUMN()-4)&gt;$C17,"",IFERROR(COUNTIFS('recuperación efectiva'!$E:$E,$A17,'recuperación efectiva'!$K:$K,"&lt;="&amp;(COLUMN()-4))/$B17,0))</f>
        <v>0.51724137931034486</v>
      </c>
      <c r="L17" s="234">
        <f>IF((COLUMN()-4)&gt;$C17,"",IFERROR(COUNTIFS('recuperación efectiva'!$E:$E,$A17,'recuperación efectiva'!$K:$K,"&lt;="&amp;(COLUMN()-4))/$B17,0))</f>
        <v>0.56896551724137934</v>
      </c>
      <c r="M17" s="234">
        <f>IF((COLUMN()-4)&gt;$C17,"",IFERROR(COUNTIFS('recuperación efectiva'!$E:$E,$A17,'recuperación efectiva'!$K:$K,"&lt;="&amp;(COLUMN()-4))/$B17,0))</f>
        <v>0.60344827586206895</v>
      </c>
      <c r="N17" s="234">
        <f>IF((COLUMN()-4)&gt;$C17,"",IFERROR(COUNTIFS('recuperación efectiva'!$E:$E,$A17,'recuperación efectiva'!$K:$K,"&lt;="&amp;(COLUMN()-4))/$B17,0))</f>
        <v>0.62068965517241381</v>
      </c>
      <c r="O17" s="234">
        <f>IF((COLUMN()-4)&gt;$C17,"",IFERROR(COUNTIFS('recuperación efectiva'!$E:$E,$A17,'recuperación efectiva'!$K:$K,"&lt;="&amp;(COLUMN()-4))/$B17,0))</f>
        <v>0.62068965517241381</v>
      </c>
      <c r="P17" s="234">
        <f>IF((COLUMN()-4)&gt;$C17,"",IFERROR(COUNTIFS('recuperación efectiva'!$E:$E,$A17,'recuperación efectiva'!$K:$K,"&lt;="&amp;(COLUMN()-4))/$B17,0))</f>
        <v>0.62068965517241381</v>
      </c>
      <c r="Q17" s="234">
        <f>IF((COLUMN()-4)&gt;$C17,"",IFERROR(COUNTIFS('recuperación efectiva'!$E:$E,$A17,'recuperación efectiva'!$K:$K,"&lt;="&amp;(COLUMN()-4))/$B17,0))</f>
        <v>0.65517241379310343</v>
      </c>
      <c r="R17" s="234">
        <f>IF((COLUMN()-4)&gt;$C17,"",IFERROR(COUNTIFS('recuperación efectiva'!$E:$E,$A17,'recuperación efectiva'!$K:$K,"&lt;="&amp;(COLUMN()-4))/$B17,0))</f>
        <v>0.74137931034482762</v>
      </c>
      <c r="S17" s="234">
        <f>IF((COLUMN()-4)&gt;$C17,"",IFERROR(COUNTIFS('recuperación efectiva'!$E:$E,$A17,'recuperación efectiva'!$K:$K,"&lt;="&amp;(COLUMN()-4))/$B17,0))</f>
        <v>0.74137931034482762</v>
      </c>
      <c r="T17" s="234">
        <f>IF((COLUMN()-4)&gt;$C17,"",IFERROR(COUNTIFS('recuperación efectiva'!$E:$E,$A17,'recuperación efectiva'!$K:$K,"&lt;="&amp;(COLUMN()-4))/$B17,0))</f>
        <v>0.75862068965517238</v>
      </c>
      <c r="U17" s="234" t="str">
        <f>IF((COLUMN()-4)&gt;$C17,"",IFERROR(COUNTIFS('recuperación efectiva'!$E:$E,$A17,'recuperación efectiva'!$K:$K,"&lt;="&amp;(COLUMN()-4))/$B17,0))</f>
        <v/>
      </c>
      <c r="V17" s="234" t="str">
        <f>IF((COLUMN()-4)&gt;$C17,"",IFERROR(COUNTIFS('recuperación efectiva'!$E:$E,$A17,'recuperación efectiva'!$K:$K,"&lt;="&amp;(COLUMN()-4))/$B17,0))</f>
        <v/>
      </c>
      <c r="W17" s="234" t="str">
        <f>IF((COLUMN()-4)&gt;$C17,"",IFERROR(COUNTIFS('recuperación efectiva'!$E:$E,$A17,'recuperación efectiva'!$K:$K,"&lt;="&amp;(COLUMN()-4))/$B17,0))</f>
        <v/>
      </c>
      <c r="X17" s="234" t="str">
        <f>IF((COLUMN()-4)&gt;$C17,"",IFERROR(COUNTIFS('recuperación efectiva'!$E:$E,$A17,'recuperación efectiva'!$K:$K,"&lt;="&amp;(COLUMN()-4))/$B17,0))</f>
        <v/>
      </c>
      <c r="Y17" s="234" t="str">
        <f>IF((COLUMN()-4)&gt;$C17,"",IFERROR(COUNTIFS('recuperación efectiva'!$E:$E,$A17,'recuperación efectiva'!$K:$K,"&lt;="&amp;(COLUMN()-4))/$B17,0))</f>
        <v/>
      </c>
      <c r="Z17" s="234" t="str">
        <f>IF((COLUMN()-4)&gt;$C17,"",IFERROR(COUNTIFS('recuperación efectiva'!$E:$E,$A17,'recuperación efectiva'!$K:$K,"&lt;="&amp;(COLUMN()-4))/$B17,0))</f>
        <v/>
      </c>
      <c r="AA17" s="234" t="str">
        <f>IF((COLUMN()-4)&gt;$C17,"",IFERROR(COUNTIFS('recuperación efectiva'!$E:$E,$A17,'recuperación efectiva'!$K:$K,"&lt;="&amp;(COLUMN()-4))/$B17,0))</f>
        <v/>
      </c>
      <c r="AB17" s="234" t="str">
        <f>IF((COLUMN()-4)&gt;$C17,"",IFERROR(COUNTIFS('recuperación efectiva'!$E:$E,$A17,'recuperación efectiva'!$K:$K,"&lt;="&amp;(COLUMN()-4))/$B17,0))</f>
        <v/>
      </c>
      <c r="AC17" s="234" t="str">
        <f>IF((COLUMN()-4)&gt;$C17,"",IFERROR(COUNTIFS('recuperación efectiva'!$E:$E,$A17,'recuperación efectiva'!$K:$K,"&lt;="&amp;(COLUMN()-4))/$B17,0))</f>
        <v/>
      </c>
      <c r="AD17" s="234" t="str">
        <f>IF((COLUMN()-4)&gt;$C17,"",IFERROR(COUNTIFS('recuperación efectiva'!$E:$E,$A17,'recuperación efectiva'!$K:$K,"&lt;="&amp;(COLUMN()-4))/$B17,0))</f>
        <v/>
      </c>
      <c r="AE17" s="234" t="str">
        <f>IF((COLUMN()-4)&gt;$C17,"",IFERROR(COUNTIFS('recuperación efectiva'!$E:$E,$A17,'recuperación efectiva'!$K:$K,"&lt;="&amp;(COLUMN()-4))/$B17,0))</f>
        <v/>
      </c>
      <c r="AF17" s="234" t="str">
        <f>IF((COLUMN()-4)&gt;$C17,"",IFERROR(COUNTIFS('recuperación efectiva'!$E:$E,$A17,'recuperación efectiva'!$K:$K,"&lt;="&amp;(COLUMN()-4))/$B17,0))</f>
        <v/>
      </c>
      <c r="AG17" s="234" t="str">
        <f>IF((COLUMN()-4)&gt;$C17,"",IFERROR(COUNTIFS('recuperación efectiva'!$E:$E,$A17,'recuperación efectiva'!$K:$K,"&lt;="&amp;(COLUMN()-4))/$B17,0))</f>
        <v/>
      </c>
      <c r="AH17" s="234" t="str">
        <f>IF((COLUMN()-4)&gt;$C17,"",IFERROR(COUNTIFS('recuperación efectiva'!$E:$E,$A17,'recuperación efectiva'!$K:$K,"&lt;="&amp;(COLUMN()-4))/$B17,0))</f>
        <v/>
      </c>
      <c r="AI17" s="234" t="str">
        <f>IF((COLUMN()-4)&gt;$C17,"",IFERROR(COUNTIFS('recuperación efectiva'!$E:$E,$A17,'recuperación efectiva'!$K:$K,"&lt;="&amp;(COLUMN()-4))/$B17,0))</f>
        <v/>
      </c>
      <c r="AJ17" s="234" t="str">
        <f>IF((COLUMN()-4)&gt;$C17,"",IFERROR(COUNTIFS('recuperación efectiva'!$E:$E,$A17,'recuperación efectiva'!$K:$K,"&lt;="&amp;(COLUMN()-4))/$B17,0))</f>
        <v/>
      </c>
      <c r="AK17" s="234" t="str">
        <f>IF((COLUMN()-4)&gt;$C17,"",IFERROR(COUNTIFS('recuperación efectiva'!$E:$E,$A17,'recuperación efectiva'!$K:$K,"&lt;="&amp;(COLUMN()-4))/$B17,0))</f>
        <v/>
      </c>
      <c r="AL17" s="234" t="str">
        <f>IF((COLUMN()-4)&gt;$C17,"",IFERROR(COUNTIFS('recuperación efectiva'!$E:$E,$A17,'recuperación efectiva'!$K:$K,"&lt;="&amp;(COLUMN()-4))/$B17,0))</f>
        <v/>
      </c>
      <c r="AM17" s="234" t="str">
        <f>IF((COLUMN()-4)&gt;$C17,"",IFERROR(COUNTIFS('recuperación efectiva'!$E:$E,$A17,'recuperación efectiva'!$K:$K,"&lt;="&amp;(COLUMN()-4))/$B17,0))</f>
        <v/>
      </c>
      <c r="AN17" s="234" t="str">
        <f>IF((COLUMN()-4)&gt;$C17,"",IFERROR(COUNTIFS('recuperación efectiva'!$E:$E,$A17,'recuperación efectiva'!$K:$K,"&lt;="&amp;(COLUMN()-4))/$B17,0))</f>
        <v/>
      </c>
    </row>
    <row r="18" spans="1:40" ht="15.75" customHeight="1" x14ac:dyDescent="0.35">
      <c r="A18" s="231" t="s">
        <v>51</v>
      </c>
      <c r="B18" s="232">
        <f>COUNTIF(Export!$E:$E,A18)</f>
        <v>64</v>
      </c>
      <c r="C18" s="233">
        <f t="shared" si="0"/>
        <v>15</v>
      </c>
      <c r="D18" s="235">
        <f>IF((COLUMN()-4)&gt;$C18,"",IFERROR(COUNTIFS('recuperación efectiva'!$E:$E,$A18,'recuperación efectiva'!$K:$K,"&lt;="&amp;(COLUMN()-4))/$B18,0))</f>
        <v>0</v>
      </c>
      <c r="E18" s="235">
        <f>IF((COLUMN()-4)&gt;$C18,"",IFERROR(COUNTIFS('recuperación efectiva'!$E:$E,$A18,'recuperación efectiva'!$K:$K,"&lt;="&amp;(COLUMN()-4))/$B18,0))</f>
        <v>0</v>
      </c>
      <c r="F18" s="235">
        <f>IF((COLUMN()-4)&gt;$C18,"",IFERROR(COUNTIFS('recuperación efectiva'!$E:$E,$A18,'recuperación efectiva'!$K:$K,"&lt;="&amp;(COLUMN()-4))/$B18,0))</f>
        <v>1.5625E-2</v>
      </c>
      <c r="G18" s="235">
        <f>IF((COLUMN()-4)&gt;$C18,"",IFERROR(COUNTIFS('recuperación efectiva'!$E:$E,$A18,'recuperación efectiva'!$K:$K,"&lt;="&amp;(COLUMN()-4))/$B18,0))</f>
        <v>0.125</v>
      </c>
      <c r="H18" s="235">
        <f>IF((COLUMN()-4)&gt;$C18,"",IFERROR(COUNTIFS('recuperación efectiva'!$E:$E,$A18,'recuperación efectiva'!$K:$K,"&lt;="&amp;(COLUMN()-4))/$B18,0))</f>
        <v>0.265625</v>
      </c>
      <c r="I18" s="235">
        <f>IF((COLUMN()-4)&gt;$C18,"",IFERROR(COUNTIFS('recuperación efectiva'!$E:$E,$A18,'recuperación efectiva'!$K:$K,"&lt;="&amp;(COLUMN()-4))/$B18,0))</f>
        <v>0.328125</v>
      </c>
      <c r="J18" s="235">
        <f>IF((COLUMN()-4)&gt;$C18,"",IFERROR(COUNTIFS('recuperación efectiva'!$E:$E,$A18,'recuperación efectiva'!$K:$K,"&lt;="&amp;(COLUMN()-4))/$B18,0))</f>
        <v>0.359375</v>
      </c>
      <c r="K18" s="235">
        <f>IF((COLUMN()-4)&gt;$C18,"",IFERROR(COUNTIFS('recuperación efectiva'!$E:$E,$A18,'recuperación efectiva'!$K:$K,"&lt;="&amp;(COLUMN()-4))/$B18,0))</f>
        <v>0.453125</v>
      </c>
      <c r="L18" s="235">
        <f>IF((COLUMN()-4)&gt;$C18,"",IFERROR(COUNTIFS('recuperación efectiva'!$E:$E,$A18,'recuperación efectiva'!$K:$K,"&lt;="&amp;(COLUMN()-4))/$B18,0))</f>
        <v>0.484375</v>
      </c>
      <c r="M18" s="235">
        <f>IF((COLUMN()-4)&gt;$C18,"",IFERROR(COUNTIFS('recuperación efectiva'!$E:$E,$A18,'recuperación efectiva'!$K:$K,"&lt;="&amp;(COLUMN()-4))/$B18,0))</f>
        <v>0.484375</v>
      </c>
      <c r="N18" s="235">
        <f>IF((COLUMN()-4)&gt;$C18,"",IFERROR(COUNTIFS('recuperación efectiva'!$E:$E,$A18,'recuperación efectiva'!$K:$K,"&lt;="&amp;(COLUMN()-4))/$B18,0))</f>
        <v>0.5</v>
      </c>
      <c r="O18" s="235">
        <f>IF((COLUMN()-4)&gt;$C18,"",IFERROR(COUNTIFS('recuperación efectiva'!$E:$E,$A18,'recuperación efectiva'!$K:$K,"&lt;="&amp;(COLUMN()-4))/$B18,0))</f>
        <v>0.546875</v>
      </c>
      <c r="P18" s="235">
        <f>IF((COLUMN()-4)&gt;$C18,"",IFERROR(COUNTIFS('recuperación efectiva'!$E:$E,$A18,'recuperación efectiva'!$K:$K,"&lt;="&amp;(COLUMN()-4))/$B18,0))</f>
        <v>0.609375</v>
      </c>
      <c r="Q18" s="235">
        <f>IF((COLUMN()-4)&gt;$C18,"",IFERROR(COUNTIFS('recuperación efectiva'!$E:$E,$A18,'recuperación efectiva'!$K:$K,"&lt;="&amp;(COLUMN()-4))/$B18,0))</f>
        <v>0.65625</v>
      </c>
      <c r="R18" s="235">
        <f>IF((COLUMN()-4)&gt;$C18,"",IFERROR(COUNTIFS('recuperación efectiva'!$E:$E,$A18,'recuperación efectiva'!$K:$K,"&lt;="&amp;(COLUMN()-4))/$B18,0))</f>
        <v>0.734375</v>
      </c>
      <c r="S18" s="235">
        <f>IF((COLUMN()-4)&gt;$C18,"",IFERROR(COUNTIFS('recuperación efectiva'!$E:$E,$A18,'recuperación efectiva'!$K:$K,"&lt;="&amp;(COLUMN()-4))/$B18,0))</f>
        <v>0.796875</v>
      </c>
      <c r="T18" s="235" t="str">
        <f>IF((COLUMN()-4)&gt;$C18,"",IFERROR(COUNTIFS('recuperación efectiva'!$E:$E,$A18,'recuperación efectiva'!$K:$K,"&lt;="&amp;(COLUMN()-4))/$B18,0))</f>
        <v/>
      </c>
      <c r="U18" s="235" t="str">
        <f>IF((COLUMN()-4)&gt;$C18,"",IFERROR(COUNTIFS('recuperación efectiva'!$E:$E,$A18,'recuperación efectiva'!$K:$K,"&lt;="&amp;(COLUMN()-4))/$B18,0))</f>
        <v/>
      </c>
      <c r="V18" s="235" t="str">
        <f>IF((COLUMN()-4)&gt;$C18,"",IFERROR(COUNTIFS('recuperación efectiva'!$E:$E,$A18,'recuperación efectiva'!$K:$K,"&lt;="&amp;(COLUMN()-4))/$B18,0))</f>
        <v/>
      </c>
      <c r="W18" s="235" t="str">
        <f>IF((COLUMN()-4)&gt;$C18,"",IFERROR(COUNTIFS('recuperación efectiva'!$E:$E,$A18,'recuperación efectiva'!$K:$K,"&lt;="&amp;(COLUMN()-4))/$B18,0))</f>
        <v/>
      </c>
      <c r="X18" s="235" t="str">
        <f>IF((COLUMN()-4)&gt;$C18,"",IFERROR(COUNTIFS('recuperación efectiva'!$E:$E,$A18,'recuperación efectiva'!$K:$K,"&lt;="&amp;(COLUMN()-4))/$B18,0))</f>
        <v/>
      </c>
      <c r="Y18" s="235" t="str">
        <f>IF((COLUMN()-4)&gt;$C18,"",IFERROR(COUNTIFS('recuperación efectiva'!$E:$E,$A18,'recuperación efectiva'!$K:$K,"&lt;="&amp;(COLUMN()-4))/$B18,0))</f>
        <v/>
      </c>
      <c r="Z18" s="235" t="str">
        <f>IF((COLUMN()-4)&gt;$C18,"",IFERROR(COUNTIFS('recuperación efectiva'!$E:$E,$A18,'recuperación efectiva'!$K:$K,"&lt;="&amp;(COLUMN()-4))/$B18,0))</f>
        <v/>
      </c>
      <c r="AA18" s="235" t="str">
        <f>IF((COLUMN()-4)&gt;$C18,"",IFERROR(COUNTIFS('recuperación efectiva'!$E:$E,$A18,'recuperación efectiva'!$K:$K,"&lt;="&amp;(COLUMN()-4))/$B18,0))</f>
        <v/>
      </c>
      <c r="AB18" s="235" t="str">
        <f>IF((COLUMN()-4)&gt;$C18,"",IFERROR(COUNTIFS('recuperación efectiva'!$E:$E,$A18,'recuperación efectiva'!$K:$K,"&lt;="&amp;(COLUMN()-4))/$B18,0))</f>
        <v/>
      </c>
      <c r="AC18" s="235" t="str">
        <f>IF((COLUMN()-4)&gt;$C18,"",IFERROR(COUNTIFS('recuperación efectiva'!$E:$E,$A18,'recuperación efectiva'!$K:$K,"&lt;="&amp;(COLUMN()-4))/$B18,0))</f>
        <v/>
      </c>
      <c r="AD18" s="235" t="str">
        <f>IF((COLUMN()-4)&gt;$C18,"",IFERROR(COUNTIFS('recuperación efectiva'!$E:$E,$A18,'recuperación efectiva'!$K:$K,"&lt;="&amp;(COLUMN()-4))/$B18,0))</f>
        <v/>
      </c>
      <c r="AE18" s="235" t="str">
        <f>IF((COLUMN()-4)&gt;$C18,"",IFERROR(COUNTIFS('recuperación efectiva'!$E:$E,$A18,'recuperación efectiva'!$K:$K,"&lt;="&amp;(COLUMN()-4))/$B18,0))</f>
        <v/>
      </c>
      <c r="AF18" s="235" t="str">
        <f>IF((COLUMN()-4)&gt;$C18,"",IFERROR(COUNTIFS('recuperación efectiva'!$E:$E,$A18,'recuperación efectiva'!$K:$K,"&lt;="&amp;(COLUMN()-4))/$B18,0))</f>
        <v/>
      </c>
      <c r="AG18" s="235" t="str">
        <f>IF((COLUMN()-4)&gt;$C18,"",IFERROR(COUNTIFS('recuperación efectiva'!$E:$E,$A18,'recuperación efectiva'!$K:$K,"&lt;="&amp;(COLUMN()-4))/$B18,0))</f>
        <v/>
      </c>
      <c r="AH18" s="235" t="str">
        <f>IF((COLUMN()-4)&gt;$C18,"",IFERROR(COUNTIFS('recuperación efectiva'!$E:$E,$A18,'recuperación efectiva'!$K:$K,"&lt;="&amp;(COLUMN()-4))/$B18,0))</f>
        <v/>
      </c>
      <c r="AI18" s="235" t="str">
        <f>IF((COLUMN()-4)&gt;$C18,"",IFERROR(COUNTIFS('recuperación efectiva'!$E:$E,$A18,'recuperación efectiva'!$K:$K,"&lt;="&amp;(COLUMN()-4))/$B18,0))</f>
        <v/>
      </c>
      <c r="AJ18" s="235" t="str">
        <f>IF((COLUMN()-4)&gt;$C18,"",IFERROR(COUNTIFS('recuperación efectiva'!$E:$E,$A18,'recuperación efectiva'!$K:$K,"&lt;="&amp;(COLUMN()-4))/$B18,0))</f>
        <v/>
      </c>
      <c r="AK18" s="235" t="str">
        <f>IF((COLUMN()-4)&gt;$C18,"",IFERROR(COUNTIFS('recuperación efectiva'!$E:$E,$A18,'recuperación efectiva'!$K:$K,"&lt;="&amp;(COLUMN()-4))/$B18,0))</f>
        <v/>
      </c>
      <c r="AL18" s="235" t="str">
        <f>IF((COLUMN()-4)&gt;$C18,"",IFERROR(COUNTIFS('recuperación efectiva'!$E:$E,$A18,'recuperación efectiva'!$K:$K,"&lt;="&amp;(COLUMN()-4))/$B18,0))</f>
        <v/>
      </c>
      <c r="AM18" s="235" t="str">
        <f>IF((COLUMN()-4)&gt;$C18,"",IFERROR(COUNTIFS('recuperación efectiva'!$E:$E,$A18,'recuperación efectiva'!$K:$K,"&lt;="&amp;(COLUMN()-4))/$B18,0))</f>
        <v/>
      </c>
      <c r="AN18" s="235" t="str">
        <f>IF((COLUMN()-4)&gt;$C18,"",IFERROR(COUNTIFS('recuperación efectiva'!$E:$E,$A18,'recuperación efectiva'!$K:$K,"&lt;="&amp;(COLUMN()-4))/$B18,0))</f>
        <v/>
      </c>
    </row>
    <row r="19" spans="1:40" ht="15.75" customHeight="1" x14ac:dyDescent="0.35">
      <c r="A19" s="231" t="s">
        <v>47</v>
      </c>
      <c r="B19" s="232">
        <f>COUNTIF(Export!$E:$E,A19)</f>
        <v>62</v>
      </c>
      <c r="C19" s="233">
        <f t="shared" si="0"/>
        <v>14</v>
      </c>
      <c r="D19" s="234">
        <f>IF((COLUMN()-4)&gt;$C19,"",IFERROR(COUNTIFS('recuperación efectiva'!$E:$E,$A19,'recuperación efectiva'!$K:$K,"&lt;="&amp;(COLUMN()-4))/$B19,0))</f>
        <v>0</v>
      </c>
      <c r="E19" s="234">
        <f>IF((COLUMN()-4)&gt;$C19,"",IFERROR(COUNTIFS('recuperación efectiva'!$E:$E,$A19,'recuperación efectiva'!$K:$K,"&lt;="&amp;(COLUMN()-4))/$B19,0))</f>
        <v>0</v>
      </c>
      <c r="F19" s="234">
        <f>IF((COLUMN()-4)&gt;$C19,"",IFERROR(COUNTIFS('recuperación efectiva'!$E:$E,$A19,'recuperación efectiva'!$K:$K,"&lt;="&amp;(COLUMN()-4))/$B19,0))</f>
        <v>1.6129032258064516E-2</v>
      </c>
      <c r="G19" s="234">
        <f>IF((COLUMN()-4)&gt;$C19,"",IFERROR(COUNTIFS('recuperación efectiva'!$E:$E,$A19,'recuperación efectiva'!$K:$K,"&lt;="&amp;(COLUMN()-4))/$B19,0))</f>
        <v>0.12903225806451613</v>
      </c>
      <c r="H19" s="234">
        <f>IF((COLUMN()-4)&gt;$C19,"",IFERROR(COUNTIFS('recuperación efectiva'!$E:$E,$A19,'recuperación efectiva'!$K:$K,"&lt;="&amp;(COLUMN()-4))/$B19,0))</f>
        <v>0.29032258064516131</v>
      </c>
      <c r="I19" s="234">
        <f>IF((COLUMN()-4)&gt;$C19,"",IFERROR(COUNTIFS('recuperación efectiva'!$E:$E,$A19,'recuperación efectiva'!$K:$K,"&lt;="&amp;(COLUMN()-4))/$B19,0))</f>
        <v>0.40322580645161288</v>
      </c>
      <c r="J19" s="234">
        <f>IF((COLUMN()-4)&gt;$C19,"",IFERROR(COUNTIFS('recuperación efectiva'!$E:$E,$A19,'recuperación efectiva'!$K:$K,"&lt;="&amp;(COLUMN()-4))/$B19,0))</f>
        <v>0.5</v>
      </c>
      <c r="K19" s="234">
        <f>IF((COLUMN()-4)&gt;$C19,"",IFERROR(COUNTIFS('recuperación efectiva'!$E:$E,$A19,'recuperación efectiva'!$K:$K,"&lt;="&amp;(COLUMN()-4))/$B19,0))</f>
        <v>0.5161290322580645</v>
      </c>
      <c r="L19" s="234">
        <f>IF((COLUMN()-4)&gt;$C19,"",IFERROR(COUNTIFS('recuperación efectiva'!$E:$E,$A19,'recuperación efectiva'!$K:$K,"&lt;="&amp;(COLUMN()-4))/$B19,0))</f>
        <v>0.532258064516129</v>
      </c>
      <c r="M19" s="234">
        <f>IF((COLUMN()-4)&gt;$C19,"",IFERROR(COUNTIFS('recuperación efectiva'!$E:$E,$A19,'recuperación efectiva'!$K:$K,"&lt;="&amp;(COLUMN()-4))/$B19,0))</f>
        <v>0.56451612903225812</v>
      </c>
      <c r="N19" s="234">
        <f>IF((COLUMN()-4)&gt;$C19,"",IFERROR(COUNTIFS('recuperación efectiva'!$E:$E,$A19,'recuperación efectiva'!$K:$K,"&lt;="&amp;(COLUMN()-4))/$B19,0))</f>
        <v>0.61290322580645162</v>
      </c>
      <c r="O19" s="234">
        <f>IF((COLUMN()-4)&gt;$C19,"",IFERROR(COUNTIFS('recuperación efectiva'!$E:$E,$A19,'recuperación efectiva'!$K:$K,"&lt;="&amp;(COLUMN()-4))/$B19,0))</f>
        <v>0.62903225806451613</v>
      </c>
      <c r="P19" s="234">
        <f>IF((COLUMN()-4)&gt;$C19,"",IFERROR(COUNTIFS('recuperación efectiva'!$E:$E,$A19,'recuperación efectiva'!$K:$K,"&lt;="&amp;(COLUMN()-4))/$B19,0))</f>
        <v>0.69354838709677424</v>
      </c>
      <c r="Q19" s="234">
        <f>IF((COLUMN()-4)&gt;$C19,"",IFERROR(COUNTIFS('recuperación efectiva'!$E:$E,$A19,'recuperación efectiva'!$K:$K,"&lt;="&amp;(COLUMN()-4))/$B19,0))</f>
        <v>0.75806451612903225</v>
      </c>
      <c r="R19" s="234">
        <f>IF((COLUMN()-4)&gt;$C19,"",IFERROR(COUNTIFS('recuperación efectiva'!$E:$E,$A19,'recuperación efectiva'!$K:$K,"&lt;="&amp;(COLUMN()-4))/$B19,0))</f>
        <v>0.79032258064516125</v>
      </c>
      <c r="S19" s="234" t="str">
        <f>IF((COLUMN()-4)&gt;$C19,"",IFERROR(COUNTIFS('recuperación efectiva'!$E:$E,$A19,'recuperación efectiva'!$K:$K,"&lt;="&amp;(COLUMN()-4))/$B19,0))</f>
        <v/>
      </c>
      <c r="T19" s="234" t="str">
        <f>IF((COLUMN()-4)&gt;$C19,"",IFERROR(COUNTIFS('recuperación efectiva'!$E:$E,$A19,'recuperación efectiva'!$K:$K,"&lt;="&amp;(COLUMN()-4))/$B19,0))</f>
        <v/>
      </c>
      <c r="U19" s="234" t="str">
        <f>IF((COLUMN()-4)&gt;$C19,"",IFERROR(COUNTIFS('recuperación efectiva'!$E:$E,$A19,'recuperación efectiva'!$K:$K,"&lt;="&amp;(COLUMN()-4))/$B19,0))</f>
        <v/>
      </c>
      <c r="V19" s="234" t="str">
        <f>IF((COLUMN()-4)&gt;$C19,"",IFERROR(COUNTIFS('recuperación efectiva'!$E:$E,$A19,'recuperación efectiva'!$K:$K,"&lt;="&amp;(COLUMN()-4))/$B19,0))</f>
        <v/>
      </c>
      <c r="W19" s="234" t="str">
        <f>IF((COLUMN()-4)&gt;$C19,"",IFERROR(COUNTIFS('recuperación efectiva'!$E:$E,$A19,'recuperación efectiva'!$K:$K,"&lt;="&amp;(COLUMN()-4))/$B19,0))</f>
        <v/>
      </c>
      <c r="X19" s="234" t="str">
        <f>IF((COLUMN()-4)&gt;$C19,"",IFERROR(COUNTIFS('recuperación efectiva'!$E:$E,$A19,'recuperación efectiva'!$K:$K,"&lt;="&amp;(COLUMN()-4))/$B19,0))</f>
        <v/>
      </c>
      <c r="Y19" s="234" t="str">
        <f>IF((COLUMN()-4)&gt;$C19,"",IFERROR(COUNTIFS('recuperación efectiva'!$E:$E,$A19,'recuperación efectiva'!$K:$K,"&lt;="&amp;(COLUMN()-4))/$B19,0))</f>
        <v/>
      </c>
      <c r="Z19" s="234" t="str">
        <f>IF((COLUMN()-4)&gt;$C19,"",IFERROR(COUNTIFS('recuperación efectiva'!$E:$E,$A19,'recuperación efectiva'!$K:$K,"&lt;="&amp;(COLUMN()-4))/$B19,0))</f>
        <v/>
      </c>
      <c r="AA19" s="234" t="str">
        <f>IF((COLUMN()-4)&gt;$C19,"",IFERROR(COUNTIFS('recuperación efectiva'!$E:$E,$A19,'recuperación efectiva'!$K:$K,"&lt;="&amp;(COLUMN()-4))/$B19,0))</f>
        <v/>
      </c>
      <c r="AB19" s="234" t="str">
        <f>IF((COLUMN()-4)&gt;$C19,"",IFERROR(COUNTIFS('recuperación efectiva'!$E:$E,$A19,'recuperación efectiva'!$K:$K,"&lt;="&amp;(COLUMN()-4))/$B19,0))</f>
        <v/>
      </c>
      <c r="AC19" s="234" t="str">
        <f>IF((COLUMN()-4)&gt;$C19,"",IFERROR(COUNTIFS('recuperación efectiva'!$E:$E,$A19,'recuperación efectiva'!$K:$K,"&lt;="&amp;(COLUMN()-4))/$B19,0))</f>
        <v/>
      </c>
      <c r="AD19" s="234" t="str">
        <f>IF((COLUMN()-4)&gt;$C19,"",IFERROR(COUNTIFS('recuperación efectiva'!$E:$E,$A19,'recuperación efectiva'!$K:$K,"&lt;="&amp;(COLUMN()-4))/$B19,0))</f>
        <v/>
      </c>
      <c r="AE19" s="234" t="str">
        <f>IF((COLUMN()-4)&gt;$C19,"",IFERROR(COUNTIFS('recuperación efectiva'!$E:$E,$A19,'recuperación efectiva'!$K:$K,"&lt;="&amp;(COLUMN()-4))/$B19,0))</f>
        <v/>
      </c>
      <c r="AF19" s="234" t="str">
        <f>IF((COLUMN()-4)&gt;$C19,"",IFERROR(COUNTIFS('recuperación efectiva'!$E:$E,$A19,'recuperación efectiva'!$K:$K,"&lt;="&amp;(COLUMN()-4))/$B19,0))</f>
        <v/>
      </c>
      <c r="AG19" s="234" t="str">
        <f>IF((COLUMN()-4)&gt;$C19,"",IFERROR(COUNTIFS('recuperación efectiva'!$E:$E,$A19,'recuperación efectiva'!$K:$K,"&lt;="&amp;(COLUMN()-4))/$B19,0))</f>
        <v/>
      </c>
      <c r="AH19" s="234" t="str">
        <f>IF((COLUMN()-4)&gt;$C19,"",IFERROR(COUNTIFS('recuperación efectiva'!$E:$E,$A19,'recuperación efectiva'!$K:$K,"&lt;="&amp;(COLUMN()-4))/$B19,0))</f>
        <v/>
      </c>
      <c r="AI19" s="234" t="str">
        <f>IF((COLUMN()-4)&gt;$C19,"",IFERROR(COUNTIFS('recuperación efectiva'!$E:$E,$A19,'recuperación efectiva'!$K:$K,"&lt;="&amp;(COLUMN()-4))/$B19,0))</f>
        <v/>
      </c>
      <c r="AJ19" s="234" t="str">
        <f>IF((COLUMN()-4)&gt;$C19,"",IFERROR(COUNTIFS('recuperación efectiva'!$E:$E,$A19,'recuperación efectiva'!$K:$K,"&lt;="&amp;(COLUMN()-4))/$B19,0))</f>
        <v/>
      </c>
      <c r="AK19" s="234" t="str">
        <f>IF((COLUMN()-4)&gt;$C19,"",IFERROR(COUNTIFS('recuperación efectiva'!$E:$E,$A19,'recuperación efectiva'!$K:$K,"&lt;="&amp;(COLUMN()-4))/$B19,0))</f>
        <v/>
      </c>
      <c r="AL19" s="234" t="str">
        <f>IF((COLUMN()-4)&gt;$C19,"",IFERROR(COUNTIFS('recuperación efectiva'!$E:$E,$A19,'recuperación efectiva'!$K:$K,"&lt;="&amp;(COLUMN()-4))/$B19,0))</f>
        <v/>
      </c>
      <c r="AM19" s="234" t="str">
        <f>IF((COLUMN()-4)&gt;$C19,"",IFERROR(COUNTIFS('recuperación efectiva'!$E:$E,$A19,'recuperación efectiva'!$K:$K,"&lt;="&amp;(COLUMN()-4))/$B19,0))</f>
        <v/>
      </c>
      <c r="AN19" s="234" t="str">
        <f>IF((COLUMN()-4)&gt;$C19,"",IFERROR(COUNTIFS('recuperación efectiva'!$E:$E,$A19,'recuperación efectiva'!$K:$K,"&lt;="&amp;(COLUMN()-4))/$B19,0))</f>
        <v/>
      </c>
    </row>
    <row r="20" spans="1:40" ht="15.75" customHeight="1" x14ac:dyDescent="0.35">
      <c r="A20" s="231" t="s">
        <v>133</v>
      </c>
      <c r="B20" s="232">
        <f>COUNTIF(Export!$E:$E,A20)</f>
        <v>86</v>
      </c>
      <c r="C20" s="233">
        <f t="shared" si="0"/>
        <v>13</v>
      </c>
      <c r="D20" s="235">
        <f>IF((COLUMN()-4)&gt;$C20,"",IFERROR(COUNTIFS('recuperación efectiva'!$E:$E,$A20,'recuperación efectiva'!$K:$K,"&lt;="&amp;(COLUMN()-4))/$B20,0))</f>
        <v>0</v>
      </c>
      <c r="E20" s="235">
        <f>IF((COLUMN()-4)&gt;$C20,"",IFERROR(COUNTIFS('recuperación efectiva'!$E:$E,$A20,'recuperación efectiva'!$K:$K,"&lt;="&amp;(COLUMN()-4))/$B20,0))</f>
        <v>0</v>
      </c>
      <c r="F20" s="235">
        <f>IF((COLUMN()-4)&gt;$C20,"",IFERROR(COUNTIFS('recuperación efectiva'!$E:$E,$A20,'recuperación efectiva'!$K:$K,"&lt;="&amp;(COLUMN()-4))/$B20,0))</f>
        <v>1.1627906976744186E-2</v>
      </c>
      <c r="G20" s="235">
        <f>IF((COLUMN()-4)&gt;$C20,"",IFERROR(COUNTIFS('recuperación efectiva'!$E:$E,$A20,'recuperación efectiva'!$K:$K,"&lt;="&amp;(COLUMN()-4))/$B20,0))</f>
        <v>4.6511627906976744E-2</v>
      </c>
      <c r="H20" s="235">
        <f>IF((COLUMN()-4)&gt;$C20,"",IFERROR(COUNTIFS('recuperación efectiva'!$E:$E,$A20,'recuperación efectiva'!$K:$K,"&lt;="&amp;(COLUMN()-4))/$B20,0))</f>
        <v>0.18604651162790697</v>
      </c>
      <c r="I20" s="235">
        <f>IF((COLUMN()-4)&gt;$C20,"",IFERROR(COUNTIFS('recuperación efectiva'!$E:$E,$A20,'recuperación efectiva'!$K:$K,"&lt;="&amp;(COLUMN()-4))/$B20,0))</f>
        <v>0.22093023255813954</v>
      </c>
      <c r="J20" s="235">
        <f>IF((COLUMN()-4)&gt;$C20,"",IFERROR(COUNTIFS('recuperación efectiva'!$E:$E,$A20,'recuperación efectiva'!$K:$K,"&lt;="&amp;(COLUMN()-4))/$B20,0))</f>
        <v>0.30232558139534882</v>
      </c>
      <c r="K20" s="235">
        <f>IF((COLUMN()-4)&gt;$C20,"",IFERROR(COUNTIFS('recuperación efectiva'!$E:$E,$A20,'recuperación efectiva'!$K:$K,"&lt;="&amp;(COLUMN()-4))/$B20,0))</f>
        <v>0.32558139534883723</v>
      </c>
      <c r="L20" s="235">
        <f>IF((COLUMN()-4)&gt;$C20,"",IFERROR(COUNTIFS('recuperación efectiva'!$E:$E,$A20,'recuperación efectiva'!$K:$K,"&lt;="&amp;(COLUMN()-4))/$B20,0))</f>
        <v>0.38372093023255816</v>
      </c>
      <c r="M20" s="235">
        <f>IF((COLUMN()-4)&gt;$C20,"",IFERROR(COUNTIFS('recuperación efectiva'!$E:$E,$A20,'recuperación efectiva'!$K:$K,"&lt;="&amp;(COLUMN()-4))/$B20,0))</f>
        <v>0.47674418604651164</v>
      </c>
      <c r="N20" s="235">
        <f>IF((COLUMN()-4)&gt;$C20,"",IFERROR(COUNTIFS('recuperación efectiva'!$E:$E,$A20,'recuperación efectiva'!$K:$K,"&lt;="&amp;(COLUMN()-4))/$B20,0))</f>
        <v>0.51162790697674421</v>
      </c>
      <c r="O20" s="235">
        <f>IF((COLUMN()-4)&gt;$C20,"",IFERROR(COUNTIFS('recuperación efectiva'!$E:$E,$A20,'recuperación efectiva'!$K:$K,"&lt;="&amp;(COLUMN()-4))/$B20,0))</f>
        <v>0.53488372093023251</v>
      </c>
      <c r="P20" s="235">
        <f>IF((COLUMN()-4)&gt;$C20,"",IFERROR(COUNTIFS('recuperación efectiva'!$E:$E,$A20,'recuperación efectiva'!$K:$K,"&lt;="&amp;(COLUMN()-4))/$B20,0))</f>
        <v>0.61627906976744184</v>
      </c>
      <c r="Q20" s="235">
        <f>IF((COLUMN()-4)&gt;$C20,"",IFERROR(COUNTIFS('recuperación efectiva'!$E:$E,$A20,'recuperación efectiva'!$K:$K,"&lt;="&amp;(COLUMN()-4))/$B20,0))</f>
        <v>0.66279069767441856</v>
      </c>
      <c r="R20" s="235" t="str">
        <f>IF((COLUMN()-4)&gt;$C20,"",IFERROR(COUNTIFS('recuperación efectiva'!$E:$E,$A20,'recuperación efectiva'!$K:$K,"&lt;="&amp;(COLUMN()-4))/$B20,0))</f>
        <v/>
      </c>
      <c r="S20" s="235" t="str">
        <f>IF((COLUMN()-4)&gt;$C20,"",IFERROR(COUNTIFS('recuperación efectiva'!$E:$E,$A20,'recuperación efectiva'!$K:$K,"&lt;="&amp;(COLUMN()-4))/$B20,0))</f>
        <v/>
      </c>
      <c r="T20" s="235" t="str">
        <f>IF((COLUMN()-4)&gt;$C20,"",IFERROR(COUNTIFS('recuperación efectiva'!$E:$E,$A20,'recuperación efectiva'!$K:$K,"&lt;="&amp;(COLUMN()-4))/$B20,0))</f>
        <v/>
      </c>
      <c r="U20" s="235" t="str">
        <f>IF((COLUMN()-4)&gt;$C20,"",IFERROR(COUNTIFS('recuperación efectiva'!$E:$E,$A20,'recuperación efectiva'!$K:$K,"&lt;="&amp;(COLUMN()-4))/$B20,0))</f>
        <v/>
      </c>
      <c r="V20" s="235" t="str">
        <f>IF((COLUMN()-4)&gt;$C20,"",IFERROR(COUNTIFS('recuperación efectiva'!$E:$E,$A20,'recuperación efectiva'!$K:$K,"&lt;="&amp;(COLUMN()-4))/$B20,0))</f>
        <v/>
      </c>
      <c r="W20" s="235" t="str">
        <f>IF((COLUMN()-4)&gt;$C20,"",IFERROR(COUNTIFS('recuperación efectiva'!$E:$E,$A20,'recuperación efectiva'!$K:$K,"&lt;="&amp;(COLUMN()-4))/$B20,0))</f>
        <v/>
      </c>
      <c r="X20" s="235" t="str">
        <f>IF((COLUMN()-4)&gt;$C20,"",IFERROR(COUNTIFS('recuperación efectiva'!$E:$E,$A20,'recuperación efectiva'!$K:$K,"&lt;="&amp;(COLUMN()-4))/$B20,0))</f>
        <v/>
      </c>
      <c r="Y20" s="235" t="str">
        <f>IF((COLUMN()-4)&gt;$C20,"",IFERROR(COUNTIFS('recuperación efectiva'!$E:$E,$A20,'recuperación efectiva'!$K:$K,"&lt;="&amp;(COLUMN()-4))/$B20,0))</f>
        <v/>
      </c>
      <c r="Z20" s="235" t="str">
        <f>IF((COLUMN()-4)&gt;$C20,"",IFERROR(COUNTIFS('recuperación efectiva'!$E:$E,$A20,'recuperación efectiva'!$K:$K,"&lt;="&amp;(COLUMN()-4))/$B20,0))</f>
        <v/>
      </c>
      <c r="AA20" s="235" t="str">
        <f>IF((COLUMN()-4)&gt;$C20,"",IFERROR(COUNTIFS('recuperación efectiva'!$E:$E,$A20,'recuperación efectiva'!$K:$K,"&lt;="&amp;(COLUMN()-4))/$B20,0))</f>
        <v/>
      </c>
      <c r="AB20" s="235" t="str">
        <f>IF((COLUMN()-4)&gt;$C20,"",IFERROR(COUNTIFS('recuperación efectiva'!$E:$E,$A20,'recuperación efectiva'!$K:$K,"&lt;="&amp;(COLUMN()-4))/$B20,0))</f>
        <v/>
      </c>
      <c r="AC20" s="235" t="str">
        <f>IF((COLUMN()-4)&gt;$C20,"",IFERROR(COUNTIFS('recuperación efectiva'!$E:$E,$A20,'recuperación efectiva'!$K:$K,"&lt;="&amp;(COLUMN()-4))/$B20,0))</f>
        <v/>
      </c>
      <c r="AD20" s="235" t="str">
        <f>IF((COLUMN()-4)&gt;$C20,"",IFERROR(COUNTIFS('recuperación efectiva'!$E:$E,$A20,'recuperación efectiva'!$K:$K,"&lt;="&amp;(COLUMN()-4))/$B20,0))</f>
        <v/>
      </c>
      <c r="AE20" s="235" t="str">
        <f>IF((COLUMN()-4)&gt;$C20,"",IFERROR(COUNTIFS('recuperación efectiva'!$E:$E,$A20,'recuperación efectiva'!$K:$K,"&lt;="&amp;(COLUMN()-4))/$B20,0))</f>
        <v/>
      </c>
      <c r="AF20" s="235" t="str">
        <f>IF((COLUMN()-4)&gt;$C20,"",IFERROR(COUNTIFS('recuperación efectiva'!$E:$E,$A20,'recuperación efectiva'!$K:$K,"&lt;="&amp;(COLUMN()-4))/$B20,0))</f>
        <v/>
      </c>
      <c r="AG20" s="235" t="str">
        <f>IF((COLUMN()-4)&gt;$C20,"",IFERROR(COUNTIFS('recuperación efectiva'!$E:$E,$A20,'recuperación efectiva'!$K:$K,"&lt;="&amp;(COLUMN()-4))/$B20,0))</f>
        <v/>
      </c>
      <c r="AH20" s="235" t="str">
        <f>IF((COLUMN()-4)&gt;$C20,"",IFERROR(COUNTIFS('recuperación efectiva'!$E:$E,$A20,'recuperación efectiva'!$K:$K,"&lt;="&amp;(COLUMN()-4))/$B20,0))</f>
        <v/>
      </c>
      <c r="AI20" s="235" t="str">
        <f>IF((COLUMN()-4)&gt;$C20,"",IFERROR(COUNTIFS('recuperación efectiva'!$E:$E,$A20,'recuperación efectiva'!$K:$K,"&lt;="&amp;(COLUMN()-4))/$B20,0))</f>
        <v/>
      </c>
      <c r="AJ20" s="235" t="str">
        <f>IF((COLUMN()-4)&gt;$C20,"",IFERROR(COUNTIFS('recuperación efectiva'!$E:$E,$A20,'recuperación efectiva'!$K:$K,"&lt;="&amp;(COLUMN()-4))/$B20,0))</f>
        <v/>
      </c>
      <c r="AK20" s="235" t="str">
        <f>IF((COLUMN()-4)&gt;$C20,"",IFERROR(COUNTIFS('recuperación efectiva'!$E:$E,$A20,'recuperación efectiva'!$K:$K,"&lt;="&amp;(COLUMN()-4))/$B20,0))</f>
        <v/>
      </c>
      <c r="AL20" s="235" t="str">
        <f>IF((COLUMN()-4)&gt;$C20,"",IFERROR(COUNTIFS('recuperación efectiva'!$E:$E,$A20,'recuperación efectiva'!$K:$K,"&lt;="&amp;(COLUMN()-4))/$B20,0))</f>
        <v/>
      </c>
      <c r="AM20" s="235" t="str">
        <f>IF((COLUMN()-4)&gt;$C20,"",IFERROR(COUNTIFS('recuperación efectiva'!$E:$E,$A20,'recuperación efectiva'!$K:$K,"&lt;="&amp;(COLUMN()-4))/$B20,0))</f>
        <v/>
      </c>
      <c r="AN20" s="235" t="str">
        <f>IF((COLUMN()-4)&gt;$C20,"",IFERROR(COUNTIFS('recuperación efectiva'!$E:$E,$A20,'recuperación efectiva'!$K:$K,"&lt;="&amp;(COLUMN()-4))/$B20,0))</f>
        <v/>
      </c>
    </row>
    <row r="21" spans="1:40" ht="15.75" customHeight="1" x14ac:dyDescent="0.35">
      <c r="A21" s="231" t="s">
        <v>104</v>
      </c>
      <c r="B21" s="232">
        <f>COUNTIF(Export!$E:$E,A21)</f>
        <v>74</v>
      </c>
      <c r="C21" s="233">
        <f t="shared" si="0"/>
        <v>12</v>
      </c>
      <c r="D21" s="234">
        <f>IF((COLUMN()-4)&gt;$C21,"",IFERROR(COUNTIFS('recuperación efectiva'!$E:$E,$A21,'recuperación efectiva'!$K:$K,"&lt;="&amp;(COLUMN()-4))/$B21,0))</f>
        <v>0</v>
      </c>
      <c r="E21" s="234">
        <f>IF((COLUMN()-4)&gt;$C21,"",IFERROR(COUNTIFS('recuperación efectiva'!$E:$E,$A21,'recuperación efectiva'!$K:$K,"&lt;="&amp;(COLUMN()-4))/$B21,0))</f>
        <v>2.7027027027027029E-2</v>
      </c>
      <c r="F21" s="234">
        <f>IF((COLUMN()-4)&gt;$C21,"",IFERROR(COUNTIFS('recuperación efectiva'!$E:$E,$A21,'recuperación efectiva'!$K:$K,"&lt;="&amp;(COLUMN()-4))/$B21,0))</f>
        <v>6.7567567567567571E-2</v>
      </c>
      <c r="G21" s="234">
        <f>IF((COLUMN()-4)&gt;$C21,"",IFERROR(COUNTIFS('recuperación efectiva'!$E:$E,$A21,'recuperación efectiva'!$K:$K,"&lt;="&amp;(COLUMN()-4))/$B21,0))</f>
        <v>0.1891891891891892</v>
      </c>
      <c r="H21" s="234">
        <f>IF((COLUMN()-4)&gt;$C21,"",IFERROR(COUNTIFS('recuperación efectiva'!$E:$E,$A21,'recuperación efectiva'!$K:$K,"&lt;="&amp;(COLUMN()-4))/$B21,0))</f>
        <v>0.25675675675675674</v>
      </c>
      <c r="I21" s="234">
        <f>IF((COLUMN()-4)&gt;$C21,"",IFERROR(COUNTIFS('recuperación efectiva'!$E:$E,$A21,'recuperación efectiva'!$K:$K,"&lt;="&amp;(COLUMN()-4))/$B21,0))</f>
        <v>0.36486486486486486</v>
      </c>
      <c r="J21" s="234">
        <f>IF((COLUMN()-4)&gt;$C21,"",IFERROR(COUNTIFS('recuperación efectiva'!$E:$E,$A21,'recuperación efectiva'!$K:$K,"&lt;="&amp;(COLUMN()-4))/$B21,0))</f>
        <v>0.39189189189189189</v>
      </c>
      <c r="K21" s="234">
        <f>IF((COLUMN()-4)&gt;$C21,"",IFERROR(COUNTIFS('recuperación efectiva'!$E:$E,$A21,'recuperación efectiva'!$K:$K,"&lt;="&amp;(COLUMN()-4))/$B21,0))</f>
        <v>0.43243243243243246</v>
      </c>
      <c r="L21" s="234">
        <f>IF((COLUMN()-4)&gt;$C21,"",IFERROR(COUNTIFS('recuperación efectiva'!$E:$E,$A21,'recuperación efectiva'!$K:$K,"&lt;="&amp;(COLUMN()-4))/$B21,0))</f>
        <v>0.48648648648648651</v>
      </c>
      <c r="M21" s="234">
        <f>IF((COLUMN()-4)&gt;$C21,"",IFERROR(COUNTIFS('recuperación efectiva'!$E:$E,$A21,'recuperación efectiva'!$K:$K,"&lt;="&amp;(COLUMN()-4))/$B21,0))</f>
        <v>0.56756756756756754</v>
      </c>
      <c r="N21" s="234">
        <f>IF((COLUMN()-4)&gt;$C21,"",IFERROR(COUNTIFS('recuperación efectiva'!$E:$E,$A21,'recuperación efectiva'!$K:$K,"&lt;="&amp;(COLUMN()-4))/$B21,0))</f>
        <v>0.64864864864864868</v>
      </c>
      <c r="O21" s="234">
        <f>IF((COLUMN()-4)&gt;$C21,"",IFERROR(COUNTIFS('recuperación efectiva'!$E:$E,$A21,'recuperación efectiva'!$K:$K,"&lt;="&amp;(COLUMN()-4))/$B21,0))</f>
        <v>0.77027027027027029</v>
      </c>
      <c r="P21" s="234">
        <f>IF((COLUMN()-4)&gt;$C21,"",IFERROR(COUNTIFS('recuperación efectiva'!$E:$E,$A21,'recuperación efectiva'!$K:$K,"&lt;="&amp;(COLUMN()-4))/$B21,0))</f>
        <v>0.81081081081081086</v>
      </c>
      <c r="Q21" s="234" t="str">
        <f>IF((COLUMN()-4)&gt;$C21,"",IFERROR(COUNTIFS('recuperación efectiva'!$E:$E,$A21,'recuperación efectiva'!$K:$K,"&lt;="&amp;(COLUMN()-4))/$B21,0))</f>
        <v/>
      </c>
      <c r="R21" s="234" t="str">
        <f>IF((COLUMN()-4)&gt;$C21,"",IFERROR(COUNTIFS('recuperación efectiva'!$E:$E,$A21,'recuperación efectiva'!$K:$K,"&lt;="&amp;(COLUMN()-4))/$B21,0))</f>
        <v/>
      </c>
      <c r="S21" s="234" t="str">
        <f>IF((COLUMN()-4)&gt;$C21,"",IFERROR(COUNTIFS('recuperación efectiva'!$E:$E,$A21,'recuperación efectiva'!$K:$K,"&lt;="&amp;(COLUMN()-4))/$B21,0))</f>
        <v/>
      </c>
      <c r="T21" s="234" t="str">
        <f>IF((COLUMN()-4)&gt;$C21,"",IFERROR(COUNTIFS('recuperación efectiva'!$E:$E,$A21,'recuperación efectiva'!$K:$K,"&lt;="&amp;(COLUMN()-4))/$B21,0))</f>
        <v/>
      </c>
      <c r="U21" s="234" t="str">
        <f>IF((COLUMN()-4)&gt;$C21,"",IFERROR(COUNTIFS('recuperación efectiva'!$E:$E,$A21,'recuperación efectiva'!$K:$K,"&lt;="&amp;(COLUMN()-4))/$B21,0))</f>
        <v/>
      </c>
      <c r="V21" s="234" t="str">
        <f>IF((COLUMN()-4)&gt;$C21,"",IFERROR(COUNTIFS('recuperación efectiva'!$E:$E,$A21,'recuperación efectiva'!$K:$K,"&lt;="&amp;(COLUMN()-4))/$B21,0))</f>
        <v/>
      </c>
      <c r="W21" s="234" t="str">
        <f>IF((COLUMN()-4)&gt;$C21,"",IFERROR(COUNTIFS('recuperación efectiva'!$E:$E,$A21,'recuperación efectiva'!$K:$K,"&lt;="&amp;(COLUMN()-4))/$B21,0))</f>
        <v/>
      </c>
      <c r="X21" s="234" t="str">
        <f>IF((COLUMN()-4)&gt;$C21,"",IFERROR(COUNTIFS('recuperación efectiva'!$E:$E,$A21,'recuperación efectiva'!$K:$K,"&lt;="&amp;(COLUMN()-4))/$B21,0))</f>
        <v/>
      </c>
      <c r="Y21" s="234" t="str">
        <f>IF((COLUMN()-4)&gt;$C21,"",IFERROR(COUNTIFS('recuperación efectiva'!$E:$E,$A21,'recuperación efectiva'!$K:$K,"&lt;="&amp;(COLUMN()-4))/$B21,0))</f>
        <v/>
      </c>
      <c r="Z21" s="234" t="str">
        <f>IF((COLUMN()-4)&gt;$C21,"",IFERROR(COUNTIFS('recuperación efectiva'!$E:$E,$A21,'recuperación efectiva'!$K:$K,"&lt;="&amp;(COLUMN()-4))/$B21,0))</f>
        <v/>
      </c>
      <c r="AA21" s="234" t="str">
        <f>IF((COLUMN()-4)&gt;$C21,"",IFERROR(COUNTIFS('recuperación efectiva'!$E:$E,$A21,'recuperación efectiva'!$K:$K,"&lt;="&amp;(COLUMN()-4))/$B21,0))</f>
        <v/>
      </c>
      <c r="AB21" s="234" t="str">
        <f>IF((COLUMN()-4)&gt;$C21,"",IFERROR(COUNTIFS('recuperación efectiva'!$E:$E,$A21,'recuperación efectiva'!$K:$K,"&lt;="&amp;(COLUMN()-4))/$B21,0))</f>
        <v/>
      </c>
      <c r="AC21" s="234" t="str">
        <f>IF((COLUMN()-4)&gt;$C21,"",IFERROR(COUNTIFS('recuperación efectiva'!$E:$E,$A21,'recuperación efectiva'!$K:$K,"&lt;="&amp;(COLUMN()-4))/$B21,0))</f>
        <v/>
      </c>
      <c r="AD21" s="234" t="str">
        <f>IF((COLUMN()-4)&gt;$C21,"",IFERROR(COUNTIFS('recuperación efectiva'!$E:$E,$A21,'recuperación efectiva'!$K:$K,"&lt;="&amp;(COLUMN()-4))/$B21,0))</f>
        <v/>
      </c>
      <c r="AE21" s="234" t="str">
        <f>IF((COLUMN()-4)&gt;$C21,"",IFERROR(COUNTIFS('recuperación efectiva'!$E:$E,$A21,'recuperación efectiva'!$K:$K,"&lt;="&amp;(COLUMN()-4))/$B21,0))</f>
        <v/>
      </c>
      <c r="AF21" s="234" t="str">
        <f>IF((COLUMN()-4)&gt;$C21,"",IFERROR(COUNTIFS('recuperación efectiva'!$E:$E,$A21,'recuperación efectiva'!$K:$K,"&lt;="&amp;(COLUMN()-4))/$B21,0))</f>
        <v/>
      </c>
      <c r="AG21" s="234" t="str">
        <f>IF((COLUMN()-4)&gt;$C21,"",IFERROR(COUNTIFS('recuperación efectiva'!$E:$E,$A21,'recuperación efectiva'!$K:$K,"&lt;="&amp;(COLUMN()-4))/$B21,0))</f>
        <v/>
      </c>
      <c r="AH21" s="234" t="str">
        <f>IF((COLUMN()-4)&gt;$C21,"",IFERROR(COUNTIFS('recuperación efectiva'!$E:$E,$A21,'recuperación efectiva'!$K:$K,"&lt;="&amp;(COLUMN()-4))/$B21,0))</f>
        <v/>
      </c>
      <c r="AI21" s="234" t="str">
        <f>IF((COLUMN()-4)&gt;$C21,"",IFERROR(COUNTIFS('recuperación efectiva'!$E:$E,$A21,'recuperación efectiva'!$K:$K,"&lt;="&amp;(COLUMN()-4))/$B21,0))</f>
        <v/>
      </c>
      <c r="AJ21" s="234" t="str">
        <f>IF((COLUMN()-4)&gt;$C21,"",IFERROR(COUNTIFS('recuperación efectiva'!$E:$E,$A21,'recuperación efectiva'!$K:$K,"&lt;="&amp;(COLUMN()-4))/$B21,0))</f>
        <v/>
      </c>
      <c r="AK21" s="234" t="str">
        <f>IF((COLUMN()-4)&gt;$C21,"",IFERROR(COUNTIFS('recuperación efectiva'!$E:$E,$A21,'recuperación efectiva'!$K:$K,"&lt;="&amp;(COLUMN()-4))/$B21,0))</f>
        <v/>
      </c>
      <c r="AL21" s="234" t="str">
        <f>IF((COLUMN()-4)&gt;$C21,"",IFERROR(COUNTIFS('recuperación efectiva'!$E:$E,$A21,'recuperación efectiva'!$K:$K,"&lt;="&amp;(COLUMN()-4))/$B21,0))</f>
        <v/>
      </c>
      <c r="AM21" s="234" t="str">
        <f>IF((COLUMN()-4)&gt;$C21,"",IFERROR(COUNTIFS('recuperación efectiva'!$E:$E,$A21,'recuperación efectiva'!$K:$K,"&lt;="&amp;(COLUMN()-4))/$B21,0))</f>
        <v/>
      </c>
      <c r="AN21" s="234" t="str">
        <f>IF((COLUMN()-4)&gt;$C21,"",IFERROR(COUNTIFS('recuperación efectiva'!$E:$E,$A21,'recuperación efectiva'!$K:$K,"&lt;="&amp;(COLUMN()-4))/$B21,0))</f>
        <v/>
      </c>
    </row>
    <row r="22" spans="1:40" ht="15.75" customHeight="1" x14ac:dyDescent="0.35">
      <c r="A22" s="231" t="s">
        <v>29</v>
      </c>
      <c r="B22" s="232">
        <f>COUNTIF(Export!$E:$E,A22)</f>
        <v>91</v>
      </c>
      <c r="C22" s="233">
        <f t="shared" si="0"/>
        <v>11</v>
      </c>
      <c r="D22" s="235">
        <f>IF((COLUMN()-4)&gt;$C22,"",IFERROR(COUNTIFS('recuperación efectiva'!$E:$E,$A22,'recuperación efectiva'!$K:$K,"&lt;="&amp;(COLUMN()-4))/$B22,0))</f>
        <v>0</v>
      </c>
      <c r="E22" s="235">
        <f>IF((COLUMN()-4)&gt;$C22,"",IFERROR(COUNTIFS('recuperación efectiva'!$E:$E,$A22,'recuperación efectiva'!$K:$K,"&lt;="&amp;(COLUMN()-4))/$B22,0))</f>
        <v>2.197802197802198E-2</v>
      </c>
      <c r="F22" s="235">
        <f>IF((COLUMN()-4)&gt;$C22,"",IFERROR(COUNTIFS('recuperación efectiva'!$E:$E,$A22,'recuperación efectiva'!$K:$K,"&lt;="&amp;(COLUMN()-4))/$B22,0))</f>
        <v>7.6923076923076927E-2</v>
      </c>
      <c r="G22" s="235">
        <f>IF((COLUMN()-4)&gt;$C22,"",IFERROR(COUNTIFS('recuperación efectiva'!$E:$E,$A22,'recuperación efectiva'!$K:$K,"&lt;="&amp;(COLUMN()-4))/$B22,0))</f>
        <v>0.12087912087912088</v>
      </c>
      <c r="H22" s="235">
        <f>IF((COLUMN()-4)&gt;$C22,"",IFERROR(COUNTIFS('recuperación efectiva'!$E:$E,$A22,'recuperación efectiva'!$K:$K,"&lt;="&amp;(COLUMN()-4))/$B22,0))</f>
        <v>0.15384615384615385</v>
      </c>
      <c r="I22" s="235">
        <f>IF((COLUMN()-4)&gt;$C22,"",IFERROR(COUNTIFS('recuperación efectiva'!$E:$E,$A22,'recuperación efectiva'!$K:$K,"&lt;="&amp;(COLUMN()-4))/$B22,0))</f>
        <v>0.18681318681318682</v>
      </c>
      <c r="J22" s="235">
        <f>IF((COLUMN()-4)&gt;$C22,"",IFERROR(COUNTIFS('recuperación efectiva'!$E:$E,$A22,'recuperación efectiva'!$K:$K,"&lt;="&amp;(COLUMN()-4))/$B22,0))</f>
        <v>0.23076923076923078</v>
      </c>
      <c r="K22" s="235">
        <f>IF((COLUMN()-4)&gt;$C22,"",IFERROR(COUNTIFS('recuperación efectiva'!$E:$E,$A22,'recuperación efectiva'!$K:$K,"&lt;="&amp;(COLUMN()-4))/$B22,0))</f>
        <v>0.31868131868131866</v>
      </c>
      <c r="L22" s="235">
        <f>IF((COLUMN()-4)&gt;$C22,"",IFERROR(COUNTIFS('recuperación efectiva'!$E:$E,$A22,'recuperación efectiva'!$K:$K,"&lt;="&amp;(COLUMN()-4))/$B22,0))</f>
        <v>0.37362637362637363</v>
      </c>
      <c r="M22" s="235">
        <f>IF((COLUMN()-4)&gt;$C22,"",IFERROR(COUNTIFS('recuperación efectiva'!$E:$E,$A22,'recuperación efectiva'!$K:$K,"&lt;="&amp;(COLUMN()-4))/$B22,0))</f>
        <v>0.51648351648351654</v>
      </c>
      <c r="N22" s="235">
        <f>IF((COLUMN()-4)&gt;$C22,"",IFERROR(COUNTIFS('recuperación efectiva'!$E:$E,$A22,'recuperación efectiva'!$K:$K,"&lt;="&amp;(COLUMN()-4))/$B22,0))</f>
        <v>0.61538461538461542</v>
      </c>
      <c r="O22" s="235">
        <f>IF((COLUMN()-4)&gt;$C22,"",IFERROR(COUNTIFS('recuperación efectiva'!$E:$E,$A22,'recuperación efectiva'!$K:$K,"&lt;="&amp;(COLUMN()-4))/$B22,0))</f>
        <v>0.68131868131868134</v>
      </c>
      <c r="P22" s="235" t="str">
        <f>IF((COLUMN()-4)&gt;$C22,"",IFERROR(COUNTIFS('recuperación efectiva'!$E:$E,$A22,'recuperación efectiva'!$K:$K,"&lt;="&amp;(COLUMN()-4))/$B22,0))</f>
        <v/>
      </c>
      <c r="Q22" s="235" t="str">
        <f>IF((COLUMN()-4)&gt;$C22,"",IFERROR(COUNTIFS('recuperación efectiva'!$E:$E,$A22,'recuperación efectiva'!$K:$K,"&lt;="&amp;(COLUMN()-4))/$B22,0))</f>
        <v/>
      </c>
      <c r="R22" s="235" t="str">
        <f>IF((COLUMN()-4)&gt;$C22,"",IFERROR(COUNTIFS('recuperación efectiva'!$E:$E,$A22,'recuperación efectiva'!$K:$K,"&lt;="&amp;(COLUMN()-4))/$B22,0))</f>
        <v/>
      </c>
      <c r="S22" s="235" t="str">
        <f>IF((COLUMN()-4)&gt;$C22,"",IFERROR(COUNTIFS('recuperación efectiva'!$E:$E,$A22,'recuperación efectiva'!$K:$K,"&lt;="&amp;(COLUMN()-4))/$B22,0))</f>
        <v/>
      </c>
      <c r="T22" s="235" t="str">
        <f>IF((COLUMN()-4)&gt;$C22,"",IFERROR(COUNTIFS('recuperación efectiva'!$E:$E,$A22,'recuperación efectiva'!$K:$K,"&lt;="&amp;(COLUMN()-4))/$B22,0))</f>
        <v/>
      </c>
      <c r="U22" s="235" t="str">
        <f>IF((COLUMN()-4)&gt;$C22,"",IFERROR(COUNTIFS('recuperación efectiva'!$E:$E,$A22,'recuperación efectiva'!$K:$K,"&lt;="&amp;(COLUMN()-4))/$B22,0))</f>
        <v/>
      </c>
      <c r="V22" s="235" t="str">
        <f>IF((COLUMN()-4)&gt;$C22,"",IFERROR(COUNTIFS('recuperación efectiva'!$E:$E,$A22,'recuperación efectiva'!$K:$K,"&lt;="&amp;(COLUMN()-4))/$B22,0))</f>
        <v/>
      </c>
      <c r="W22" s="235" t="str">
        <f>IF((COLUMN()-4)&gt;$C22,"",IFERROR(COUNTIFS('recuperación efectiva'!$E:$E,$A22,'recuperación efectiva'!$K:$K,"&lt;="&amp;(COLUMN()-4))/$B22,0))</f>
        <v/>
      </c>
      <c r="X22" s="235" t="str">
        <f>IF((COLUMN()-4)&gt;$C22,"",IFERROR(COUNTIFS('recuperación efectiva'!$E:$E,$A22,'recuperación efectiva'!$K:$K,"&lt;="&amp;(COLUMN()-4))/$B22,0))</f>
        <v/>
      </c>
      <c r="Y22" s="235" t="str">
        <f>IF((COLUMN()-4)&gt;$C22,"",IFERROR(COUNTIFS('recuperación efectiva'!$E:$E,$A22,'recuperación efectiva'!$K:$K,"&lt;="&amp;(COLUMN()-4))/$B22,0))</f>
        <v/>
      </c>
      <c r="Z22" s="235" t="str">
        <f>IF((COLUMN()-4)&gt;$C22,"",IFERROR(COUNTIFS('recuperación efectiva'!$E:$E,$A22,'recuperación efectiva'!$K:$K,"&lt;="&amp;(COLUMN()-4))/$B22,0))</f>
        <v/>
      </c>
      <c r="AA22" s="235" t="str">
        <f>IF((COLUMN()-4)&gt;$C22,"",IFERROR(COUNTIFS('recuperación efectiva'!$E:$E,$A22,'recuperación efectiva'!$K:$K,"&lt;="&amp;(COLUMN()-4))/$B22,0))</f>
        <v/>
      </c>
      <c r="AB22" s="235" t="str">
        <f>IF((COLUMN()-4)&gt;$C22,"",IFERROR(COUNTIFS('recuperación efectiva'!$E:$E,$A22,'recuperación efectiva'!$K:$K,"&lt;="&amp;(COLUMN()-4))/$B22,0))</f>
        <v/>
      </c>
      <c r="AC22" s="235" t="str">
        <f>IF((COLUMN()-4)&gt;$C22,"",IFERROR(COUNTIFS('recuperación efectiva'!$E:$E,$A22,'recuperación efectiva'!$K:$K,"&lt;="&amp;(COLUMN()-4))/$B22,0))</f>
        <v/>
      </c>
      <c r="AD22" s="235" t="str">
        <f>IF((COLUMN()-4)&gt;$C22,"",IFERROR(COUNTIFS('recuperación efectiva'!$E:$E,$A22,'recuperación efectiva'!$K:$K,"&lt;="&amp;(COLUMN()-4))/$B22,0))</f>
        <v/>
      </c>
      <c r="AE22" s="235" t="str">
        <f>IF((COLUMN()-4)&gt;$C22,"",IFERROR(COUNTIFS('recuperación efectiva'!$E:$E,$A22,'recuperación efectiva'!$K:$K,"&lt;="&amp;(COLUMN()-4))/$B22,0))</f>
        <v/>
      </c>
      <c r="AF22" s="235" t="str">
        <f>IF((COLUMN()-4)&gt;$C22,"",IFERROR(COUNTIFS('recuperación efectiva'!$E:$E,$A22,'recuperación efectiva'!$K:$K,"&lt;="&amp;(COLUMN()-4))/$B22,0))</f>
        <v/>
      </c>
      <c r="AG22" s="235" t="str">
        <f>IF((COLUMN()-4)&gt;$C22,"",IFERROR(COUNTIFS('recuperación efectiva'!$E:$E,$A22,'recuperación efectiva'!$K:$K,"&lt;="&amp;(COLUMN()-4))/$B22,0))</f>
        <v/>
      </c>
      <c r="AH22" s="235" t="str">
        <f>IF((COLUMN()-4)&gt;$C22,"",IFERROR(COUNTIFS('recuperación efectiva'!$E:$E,$A22,'recuperación efectiva'!$K:$K,"&lt;="&amp;(COLUMN()-4))/$B22,0))</f>
        <v/>
      </c>
      <c r="AI22" s="235" t="str">
        <f>IF((COLUMN()-4)&gt;$C22,"",IFERROR(COUNTIFS('recuperación efectiva'!$E:$E,$A22,'recuperación efectiva'!$K:$K,"&lt;="&amp;(COLUMN()-4))/$B22,0))</f>
        <v/>
      </c>
      <c r="AJ22" s="235" t="str">
        <f>IF((COLUMN()-4)&gt;$C22,"",IFERROR(COUNTIFS('recuperación efectiva'!$E:$E,$A22,'recuperación efectiva'!$K:$K,"&lt;="&amp;(COLUMN()-4))/$B22,0))</f>
        <v/>
      </c>
      <c r="AK22" s="235" t="str">
        <f>IF((COLUMN()-4)&gt;$C22,"",IFERROR(COUNTIFS('recuperación efectiva'!$E:$E,$A22,'recuperación efectiva'!$K:$K,"&lt;="&amp;(COLUMN()-4))/$B22,0))</f>
        <v/>
      </c>
      <c r="AL22" s="235" t="str">
        <f>IF((COLUMN()-4)&gt;$C22,"",IFERROR(COUNTIFS('recuperación efectiva'!$E:$E,$A22,'recuperación efectiva'!$K:$K,"&lt;="&amp;(COLUMN()-4))/$B22,0))</f>
        <v/>
      </c>
      <c r="AM22" s="235" t="str">
        <f>IF((COLUMN()-4)&gt;$C22,"",IFERROR(COUNTIFS('recuperación efectiva'!$E:$E,$A22,'recuperación efectiva'!$K:$K,"&lt;="&amp;(COLUMN()-4))/$B22,0))</f>
        <v/>
      </c>
      <c r="AN22" s="235" t="str">
        <f>IF((COLUMN()-4)&gt;$C22,"",IFERROR(COUNTIFS('recuperación efectiva'!$E:$E,$A22,'recuperación efectiva'!$K:$K,"&lt;="&amp;(COLUMN()-4))/$B22,0))</f>
        <v/>
      </c>
    </row>
    <row r="23" spans="1:40" ht="15.75" customHeight="1" x14ac:dyDescent="0.35">
      <c r="A23" s="231" t="s">
        <v>62</v>
      </c>
      <c r="B23" s="232">
        <f>COUNTIF(Export!$E:$E,A23)</f>
        <v>98</v>
      </c>
      <c r="C23" s="233">
        <f t="shared" si="0"/>
        <v>10</v>
      </c>
      <c r="D23" s="234">
        <f>IF((COLUMN()-4)&gt;$C23,"",IFERROR(COUNTIFS('recuperación efectiva'!$E:$E,$A23,'recuperación efectiva'!$K:$K,"&lt;="&amp;(COLUMN()-4))/$B23,0))</f>
        <v>1.020408163265306E-2</v>
      </c>
      <c r="E23" s="234">
        <f>IF((COLUMN()-4)&gt;$C23,"",IFERROR(COUNTIFS('recuperación efectiva'!$E:$E,$A23,'recuperación efectiva'!$K:$K,"&lt;="&amp;(COLUMN()-4))/$B23,0))</f>
        <v>3.0612244897959183E-2</v>
      </c>
      <c r="F23" s="234">
        <f>IF((COLUMN()-4)&gt;$C23,"",IFERROR(COUNTIFS('recuperación efectiva'!$E:$E,$A23,'recuperación efectiva'!$K:$K,"&lt;="&amp;(COLUMN()-4))/$B23,0))</f>
        <v>7.1428571428571425E-2</v>
      </c>
      <c r="G23" s="234">
        <f>IF((COLUMN()-4)&gt;$C23,"",IFERROR(COUNTIFS('recuperación efectiva'!$E:$E,$A23,'recuperación efectiva'!$K:$K,"&lt;="&amp;(COLUMN()-4))/$B23,0))</f>
        <v>0.11224489795918367</v>
      </c>
      <c r="H23" s="234">
        <f>IF((COLUMN()-4)&gt;$C23,"",IFERROR(COUNTIFS('recuperación efectiva'!$E:$E,$A23,'recuperación efectiva'!$K:$K,"&lt;="&amp;(COLUMN()-4))/$B23,0))</f>
        <v>0.1326530612244898</v>
      </c>
      <c r="I23" s="234">
        <f>IF((COLUMN()-4)&gt;$C23,"",IFERROR(COUNTIFS('recuperación efectiva'!$E:$E,$A23,'recuperación efectiva'!$K:$K,"&lt;="&amp;(COLUMN()-4))/$B23,0))</f>
        <v>0.17346938775510204</v>
      </c>
      <c r="J23" s="234">
        <f>IF((COLUMN()-4)&gt;$C23,"",IFERROR(COUNTIFS('recuperación efectiva'!$E:$E,$A23,'recuperación efectiva'!$K:$K,"&lt;="&amp;(COLUMN()-4))/$B23,0))</f>
        <v>0.30612244897959184</v>
      </c>
      <c r="K23" s="234">
        <f>IF((COLUMN()-4)&gt;$C23,"",IFERROR(COUNTIFS('recuperación efectiva'!$E:$E,$A23,'recuperación efectiva'!$K:$K,"&lt;="&amp;(COLUMN()-4))/$B23,0))</f>
        <v>0.37755102040816324</v>
      </c>
      <c r="L23" s="234">
        <f>IF((COLUMN()-4)&gt;$C23,"",IFERROR(COUNTIFS('recuperación efectiva'!$E:$E,$A23,'recuperación efectiva'!$K:$K,"&lt;="&amp;(COLUMN()-4))/$B23,0))</f>
        <v>0.53061224489795922</v>
      </c>
      <c r="M23" s="234">
        <f>IF((COLUMN()-4)&gt;$C23,"",IFERROR(COUNTIFS('recuperación efectiva'!$E:$E,$A23,'recuperación efectiva'!$K:$K,"&lt;="&amp;(COLUMN()-4))/$B23,0))</f>
        <v>0.6428571428571429</v>
      </c>
      <c r="N23" s="234">
        <f>IF((COLUMN()-4)&gt;$C23,"",IFERROR(COUNTIFS('recuperación efectiva'!$E:$E,$A23,'recuperación efectiva'!$K:$K,"&lt;="&amp;(COLUMN()-4))/$B23,0))</f>
        <v>0.68367346938775508</v>
      </c>
      <c r="O23" s="234" t="str">
        <f>IF((COLUMN()-4)&gt;$C23,"",IFERROR(COUNTIFS('recuperación efectiva'!$E:$E,$A23,'recuperación efectiva'!$K:$K,"&lt;="&amp;(COLUMN()-4))/$B23,0))</f>
        <v/>
      </c>
      <c r="P23" s="234" t="str">
        <f>IF((COLUMN()-4)&gt;$C23,"",IFERROR(COUNTIFS('recuperación efectiva'!$E:$E,$A23,'recuperación efectiva'!$K:$K,"&lt;="&amp;(COLUMN()-4))/$B23,0))</f>
        <v/>
      </c>
      <c r="Q23" s="234" t="str">
        <f>IF((COLUMN()-4)&gt;$C23,"",IFERROR(COUNTIFS('recuperación efectiva'!$E:$E,$A23,'recuperación efectiva'!$K:$K,"&lt;="&amp;(COLUMN()-4))/$B23,0))</f>
        <v/>
      </c>
      <c r="R23" s="234" t="str">
        <f>IF((COLUMN()-4)&gt;$C23,"",IFERROR(COUNTIFS('recuperación efectiva'!$E:$E,$A23,'recuperación efectiva'!$K:$K,"&lt;="&amp;(COLUMN()-4))/$B23,0))</f>
        <v/>
      </c>
      <c r="S23" s="234" t="str">
        <f>IF((COLUMN()-4)&gt;$C23,"",IFERROR(COUNTIFS('recuperación efectiva'!$E:$E,$A23,'recuperación efectiva'!$K:$K,"&lt;="&amp;(COLUMN()-4))/$B23,0))</f>
        <v/>
      </c>
      <c r="T23" s="234" t="str">
        <f>IF((COLUMN()-4)&gt;$C23,"",IFERROR(COUNTIFS('recuperación efectiva'!$E:$E,$A23,'recuperación efectiva'!$K:$K,"&lt;="&amp;(COLUMN()-4))/$B23,0))</f>
        <v/>
      </c>
      <c r="U23" s="234" t="str">
        <f>IF((COLUMN()-4)&gt;$C23,"",IFERROR(COUNTIFS('recuperación efectiva'!$E:$E,$A23,'recuperación efectiva'!$K:$K,"&lt;="&amp;(COLUMN()-4))/$B23,0))</f>
        <v/>
      </c>
      <c r="V23" s="234" t="str">
        <f>IF((COLUMN()-4)&gt;$C23,"",IFERROR(COUNTIFS('recuperación efectiva'!$E:$E,$A23,'recuperación efectiva'!$K:$K,"&lt;="&amp;(COLUMN()-4))/$B23,0))</f>
        <v/>
      </c>
      <c r="W23" s="234" t="str">
        <f>IF((COLUMN()-4)&gt;$C23,"",IFERROR(COUNTIFS('recuperación efectiva'!$E:$E,$A23,'recuperación efectiva'!$K:$K,"&lt;="&amp;(COLUMN()-4))/$B23,0))</f>
        <v/>
      </c>
      <c r="X23" s="234" t="str">
        <f>IF((COLUMN()-4)&gt;$C23,"",IFERROR(COUNTIFS('recuperación efectiva'!$E:$E,$A23,'recuperación efectiva'!$K:$K,"&lt;="&amp;(COLUMN()-4))/$B23,0))</f>
        <v/>
      </c>
      <c r="Y23" s="234" t="str">
        <f>IF((COLUMN()-4)&gt;$C23,"",IFERROR(COUNTIFS('recuperación efectiva'!$E:$E,$A23,'recuperación efectiva'!$K:$K,"&lt;="&amp;(COLUMN()-4))/$B23,0))</f>
        <v/>
      </c>
      <c r="Z23" s="234" t="str">
        <f>IF((COLUMN()-4)&gt;$C23,"",IFERROR(COUNTIFS('recuperación efectiva'!$E:$E,$A23,'recuperación efectiva'!$K:$K,"&lt;="&amp;(COLUMN()-4))/$B23,0))</f>
        <v/>
      </c>
      <c r="AA23" s="234" t="str">
        <f>IF((COLUMN()-4)&gt;$C23,"",IFERROR(COUNTIFS('recuperación efectiva'!$E:$E,$A23,'recuperación efectiva'!$K:$K,"&lt;="&amp;(COLUMN()-4))/$B23,0))</f>
        <v/>
      </c>
      <c r="AB23" s="234" t="str">
        <f>IF((COLUMN()-4)&gt;$C23,"",IFERROR(COUNTIFS('recuperación efectiva'!$E:$E,$A23,'recuperación efectiva'!$K:$K,"&lt;="&amp;(COLUMN()-4))/$B23,0))</f>
        <v/>
      </c>
      <c r="AC23" s="234" t="str">
        <f>IF((COLUMN()-4)&gt;$C23,"",IFERROR(COUNTIFS('recuperación efectiva'!$E:$E,$A23,'recuperación efectiva'!$K:$K,"&lt;="&amp;(COLUMN()-4))/$B23,0))</f>
        <v/>
      </c>
      <c r="AD23" s="234" t="str">
        <f>IF((COLUMN()-4)&gt;$C23,"",IFERROR(COUNTIFS('recuperación efectiva'!$E:$E,$A23,'recuperación efectiva'!$K:$K,"&lt;="&amp;(COLUMN()-4))/$B23,0))</f>
        <v/>
      </c>
      <c r="AE23" s="234" t="str">
        <f>IF((COLUMN()-4)&gt;$C23,"",IFERROR(COUNTIFS('recuperación efectiva'!$E:$E,$A23,'recuperación efectiva'!$K:$K,"&lt;="&amp;(COLUMN()-4))/$B23,0))</f>
        <v/>
      </c>
      <c r="AF23" s="234" t="str">
        <f>IF((COLUMN()-4)&gt;$C23,"",IFERROR(COUNTIFS('recuperación efectiva'!$E:$E,$A23,'recuperación efectiva'!$K:$K,"&lt;="&amp;(COLUMN()-4))/$B23,0))</f>
        <v/>
      </c>
      <c r="AG23" s="234" t="str">
        <f>IF((COLUMN()-4)&gt;$C23,"",IFERROR(COUNTIFS('recuperación efectiva'!$E:$E,$A23,'recuperación efectiva'!$K:$K,"&lt;="&amp;(COLUMN()-4))/$B23,0))</f>
        <v/>
      </c>
      <c r="AH23" s="234" t="str">
        <f>IF((COLUMN()-4)&gt;$C23,"",IFERROR(COUNTIFS('recuperación efectiva'!$E:$E,$A23,'recuperación efectiva'!$K:$K,"&lt;="&amp;(COLUMN()-4))/$B23,0))</f>
        <v/>
      </c>
      <c r="AI23" s="234" t="str">
        <f>IF((COLUMN()-4)&gt;$C23,"",IFERROR(COUNTIFS('recuperación efectiva'!$E:$E,$A23,'recuperación efectiva'!$K:$K,"&lt;="&amp;(COLUMN()-4))/$B23,0))</f>
        <v/>
      </c>
      <c r="AJ23" s="234" t="str">
        <f>IF((COLUMN()-4)&gt;$C23,"",IFERROR(COUNTIFS('recuperación efectiva'!$E:$E,$A23,'recuperación efectiva'!$K:$K,"&lt;="&amp;(COLUMN()-4))/$B23,0))</f>
        <v/>
      </c>
      <c r="AK23" s="234" t="str">
        <f>IF((COLUMN()-4)&gt;$C23,"",IFERROR(COUNTIFS('recuperación efectiva'!$E:$E,$A23,'recuperación efectiva'!$K:$K,"&lt;="&amp;(COLUMN()-4))/$B23,0))</f>
        <v/>
      </c>
      <c r="AL23" s="234" t="str">
        <f>IF((COLUMN()-4)&gt;$C23,"",IFERROR(COUNTIFS('recuperación efectiva'!$E:$E,$A23,'recuperación efectiva'!$K:$K,"&lt;="&amp;(COLUMN()-4))/$B23,0))</f>
        <v/>
      </c>
      <c r="AM23" s="234" t="str">
        <f>IF((COLUMN()-4)&gt;$C23,"",IFERROR(COUNTIFS('recuperación efectiva'!$E:$E,$A23,'recuperación efectiva'!$K:$K,"&lt;="&amp;(COLUMN()-4))/$B23,0))</f>
        <v/>
      </c>
      <c r="AN23" s="234" t="str">
        <f>IF((COLUMN()-4)&gt;$C23,"",IFERROR(COUNTIFS('recuperación efectiva'!$E:$E,$A23,'recuperación efectiva'!$K:$K,"&lt;="&amp;(COLUMN()-4))/$B23,0))</f>
        <v/>
      </c>
    </row>
    <row r="24" spans="1:40" ht="15.75" customHeight="1" x14ac:dyDescent="0.35">
      <c r="A24" s="231" t="s">
        <v>97</v>
      </c>
      <c r="B24" s="232">
        <f>COUNTIF(Export!$E:$E,A24)</f>
        <v>72</v>
      </c>
      <c r="C24" s="233">
        <f t="shared" si="0"/>
        <v>9</v>
      </c>
      <c r="D24" s="235">
        <f>IF((COLUMN()-4)&gt;$C24,"",IFERROR(COUNTIFS('recuperación efectiva'!$E:$E,$A24,'recuperación efectiva'!$K:$K,"&lt;="&amp;(COLUMN()-4))/$B24,0))</f>
        <v>0</v>
      </c>
      <c r="E24" s="235">
        <f>IF((COLUMN()-4)&gt;$C24,"",IFERROR(COUNTIFS('recuperación efectiva'!$E:$E,$A24,'recuperación efectiva'!$K:$K,"&lt;="&amp;(COLUMN()-4))/$B24,0))</f>
        <v>0</v>
      </c>
      <c r="F24" s="235">
        <f>IF((COLUMN()-4)&gt;$C24,"",IFERROR(COUNTIFS('recuperación efectiva'!$E:$E,$A24,'recuperación efectiva'!$K:$K,"&lt;="&amp;(COLUMN()-4))/$B24,0))</f>
        <v>4.1666666666666664E-2</v>
      </c>
      <c r="G24" s="235">
        <f>IF((COLUMN()-4)&gt;$C24,"",IFERROR(COUNTIFS('recuperación efectiva'!$E:$E,$A24,'recuperación efectiva'!$K:$K,"&lt;="&amp;(COLUMN()-4))/$B24,0))</f>
        <v>6.9444444444444448E-2</v>
      </c>
      <c r="H24" s="235">
        <f>IF((COLUMN()-4)&gt;$C24,"",IFERROR(COUNTIFS('recuperación efectiva'!$E:$E,$A24,'recuperación efectiva'!$K:$K,"&lt;="&amp;(COLUMN()-4))/$B24,0))</f>
        <v>8.3333333333333329E-2</v>
      </c>
      <c r="I24" s="235">
        <f>IF((COLUMN()-4)&gt;$C24,"",IFERROR(COUNTIFS('recuperación efectiva'!$E:$E,$A24,'recuperación efectiva'!$K:$K,"&lt;="&amp;(COLUMN()-4))/$B24,0))</f>
        <v>0.22222222222222221</v>
      </c>
      <c r="J24" s="235">
        <f>IF((COLUMN()-4)&gt;$C24,"",IFERROR(COUNTIFS('recuperación efectiva'!$E:$E,$A24,'recuperación efectiva'!$K:$K,"&lt;="&amp;(COLUMN()-4))/$B24,0))</f>
        <v>0.34722222222222221</v>
      </c>
      <c r="K24" s="235">
        <f>IF((COLUMN()-4)&gt;$C24,"",IFERROR(COUNTIFS('recuperación efectiva'!$E:$E,$A24,'recuperación efectiva'!$K:$K,"&lt;="&amp;(COLUMN()-4))/$B24,0))</f>
        <v>0.51388888888888884</v>
      </c>
      <c r="L24" s="235">
        <f>IF((COLUMN()-4)&gt;$C24,"",IFERROR(COUNTIFS('recuperación efectiva'!$E:$E,$A24,'recuperación efectiva'!$K:$K,"&lt;="&amp;(COLUMN()-4))/$B24,0))</f>
        <v>0.72222222222222221</v>
      </c>
      <c r="M24" s="235">
        <f>IF((COLUMN()-4)&gt;$C24,"",IFERROR(COUNTIFS('recuperación efectiva'!$E:$E,$A24,'recuperación efectiva'!$K:$K,"&lt;="&amp;(COLUMN()-4))/$B24,0))</f>
        <v>0.77777777777777779</v>
      </c>
      <c r="N24" s="235" t="str">
        <f>IF((COLUMN()-4)&gt;$C24,"",IFERROR(COUNTIFS('recuperación efectiva'!$E:$E,$A24,'recuperación efectiva'!$K:$K,"&lt;="&amp;(COLUMN()-4))/$B24,0))</f>
        <v/>
      </c>
      <c r="O24" s="235" t="str">
        <f>IF((COLUMN()-4)&gt;$C24,"",IFERROR(COUNTIFS('recuperación efectiva'!$E:$E,$A24,'recuperación efectiva'!$K:$K,"&lt;="&amp;(COLUMN()-4))/$B24,0))</f>
        <v/>
      </c>
      <c r="P24" s="235" t="str">
        <f>IF((COLUMN()-4)&gt;$C24,"",IFERROR(COUNTIFS('recuperación efectiva'!$E:$E,$A24,'recuperación efectiva'!$K:$K,"&lt;="&amp;(COLUMN()-4))/$B24,0))</f>
        <v/>
      </c>
      <c r="Q24" s="235" t="str">
        <f>IF((COLUMN()-4)&gt;$C24,"",IFERROR(COUNTIFS('recuperación efectiva'!$E:$E,$A24,'recuperación efectiva'!$K:$K,"&lt;="&amp;(COLUMN()-4))/$B24,0))</f>
        <v/>
      </c>
      <c r="R24" s="235" t="str">
        <f>IF((COLUMN()-4)&gt;$C24,"",IFERROR(COUNTIFS('recuperación efectiva'!$E:$E,$A24,'recuperación efectiva'!$K:$K,"&lt;="&amp;(COLUMN()-4))/$B24,0))</f>
        <v/>
      </c>
      <c r="S24" s="235" t="str">
        <f>IF((COLUMN()-4)&gt;$C24,"",IFERROR(COUNTIFS('recuperación efectiva'!$E:$E,$A24,'recuperación efectiva'!$K:$K,"&lt;="&amp;(COLUMN()-4))/$B24,0))</f>
        <v/>
      </c>
      <c r="T24" s="235" t="str">
        <f>IF((COLUMN()-4)&gt;$C24,"",IFERROR(COUNTIFS('recuperación efectiva'!$E:$E,$A24,'recuperación efectiva'!$K:$K,"&lt;="&amp;(COLUMN()-4))/$B24,0))</f>
        <v/>
      </c>
      <c r="U24" s="235" t="str">
        <f>IF((COLUMN()-4)&gt;$C24,"",IFERROR(COUNTIFS('recuperación efectiva'!$E:$E,$A24,'recuperación efectiva'!$K:$K,"&lt;="&amp;(COLUMN()-4))/$B24,0))</f>
        <v/>
      </c>
      <c r="V24" s="235" t="str">
        <f>IF((COLUMN()-4)&gt;$C24,"",IFERROR(COUNTIFS('recuperación efectiva'!$E:$E,$A24,'recuperación efectiva'!$K:$K,"&lt;="&amp;(COLUMN()-4))/$B24,0))</f>
        <v/>
      </c>
      <c r="W24" s="235" t="str">
        <f>IF((COLUMN()-4)&gt;$C24,"",IFERROR(COUNTIFS('recuperación efectiva'!$E:$E,$A24,'recuperación efectiva'!$K:$K,"&lt;="&amp;(COLUMN()-4))/$B24,0))</f>
        <v/>
      </c>
      <c r="X24" s="235" t="str">
        <f>IF((COLUMN()-4)&gt;$C24,"",IFERROR(COUNTIFS('recuperación efectiva'!$E:$E,$A24,'recuperación efectiva'!$K:$K,"&lt;="&amp;(COLUMN()-4))/$B24,0))</f>
        <v/>
      </c>
      <c r="Y24" s="235" t="str">
        <f>IF((COLUMN()-4)&gt;$C24,"",IFERROR(COUNTIFS('recuperación efectiva'!$E:$E,$A24,'recuperación efectiva'!$K:$K,"&lt;="&amp;(COLUMN()-4))/$B24,0))</f>
        <v/>
      </c>
      <c r="Z24" s="235" t="str">
        <f>IF((COLUMN()-4)&gt;$C24,"",IFERROR(COUNTIFS('recuperación efectiva'!$E:$E,$A24,'recuperación efectiva'!$K:$K,"&lt;="&amp;(COLUMN()-4))/$B24,0))</f>
        <v/>
      </c>
      <c r="AA24" s="235" t="str">
        <f>IF((COLUMN()-4)&gt;$C24,"",IFERROR(COUNTIFS('recuperación efectiva'!$E:$E,$A24,'recuperación efectiva'!$K:$K,"&lt;="&amp;(COLUMN()-4))/$B24,0))</f>
        <v/>
      </c>
      <c r="AB24" s="235" t="str">
        <f>IF((COLUMN()-4)&gt;$C24,"",IFERROR(COUNTIFS('recuperación efectiva'!$E:$E,$A24,'recuperación efectiva'!$K:$K,"&lt;="&amp;(COLUMN()-4))/$B24,0))</f>
        <v/>
      </c>
      <c r="AC24" s="235" t="str">
        <f>IF((COLUMN()-4)&gt;$C24,"",IFERROR(COUNTIFS('recuperación efectiva'!$E:$E,$A24,'recuperación efectiva'!$K:$K,"&lt;="&amp;(COLUMN()-4))/$B24,0))</f>
        <v/>
      </c>
      <c r="AD24" s="235" t="str">
        <f>IF((COLUMN()-4)&gt;$C24,"",IFERROR(COUNTIFS('recuperación efectiva'!$E:$E,$A24,'recuperación efectiva'!$K:$K,"&lt;="&amp;(COLUMN()-4))/$B24,0))</f>
        <v/>
      </c>
      <c r="AE24" s="235" t="str">
        <f>IF((COLUMN()-4)&gt;$C24,"",IFERROR(COUNTIFS('recuperación efectiva'!$E:$E,$A24,'recuperación efectiva'!$K:$K,"&lt;="&amp;(COLUMN()-4))/$B24,0))</f>
        <v/>
      </c>
      <c r="AF24" s="235" t="str">
        <f>IF((COLUMN()-4)&gt;$C24,"",IFERROR(COUNTIFS('recuperación efectiva'!$E:$E,$A24,'recuperación efectiva'!$K:$K,"&lt;="&amp;(COLUMN()-4))/$B24,0))</f>
        <v/>
      </c>
      <c r="AG24" s="235" t="str">
        <f>IF((COLUMN()-4)&gt;$C24,"",IFERROR(COUNTIFS('recuperación efectiva'!$E:$E,$A24,'recuperación efectiva'!$K:$K,"&lt;="&amp;(COLUMN()-4))/$B24,0))</f>
        <v/>
      </c>
      <c r="AH24" s="235" t="str">
        <f>IF((COLUMN()-4)&gt;$C24,"",IFERROR(COUNTIFS('recuperación efectiva'!$E:$E,$A24,'recuperación efectiva'!$K:$K,"&lt;="&amp;(COLUMN()-4))/$B24,0))</f>
        <v/>
      </c>
      <c r="AI24" s="235" t="str">
        <f>IF((COLUMN()-4)&gt;$C24,"",IFERROR(COUNTIFS('recuperación efectiva'!$E:$E,$A24,'recuperación efectiva'!$K:$K,"&lt;="&amp;(COLUMN()-4))/$B24,0))</f>
        <v/>
      </c>
      <c r="AJ24" s="235" t="str">
        <f>IF((COLUMN()-4)&gt;$C24,"",IFERROR(COUNTIFS('recuperación efectiva'!$E:$E,$A24,'recuperación efectiva'!$K:$K,"&lt;="&amp;(COLUMN()-4))/$B24,0))</f>
        <v/>
      </c>
      <c r="AK24" s="235" t="str">
        <f>IF((COLUMN()-4)&gt;$C24,"",IFERROR(COUNTIFS('recuperación efectiva'!$E:$E,$A24,'recuperación efectiva'!$K:$K,"&lt;="&amp;(COLUMN()-4))/$B24,0))</f>
        <v/>
      </c>
      <c r="AL24" s="235" t="str">
        <f>IF((COLUMN()-4)&gt;$C24,"",IFERROR(COUNTIFS('recuperación efectiva'!$E:$E,$A24,'recuperación efectiva'!$K:$K,"&lt;="&amp;(COLUMN()-4))/$B24,0))</f>
        <v/>
      </c>
      <c r="AM24" s="235" t="str">
        <f>IF((COLUMN()-4)&gt;$C24,"",IFERROR(COUNTIFS('recuperación efectiva'!$E:$E,$A24,'recuperación efectiva'!$K:$K,"&lt;="&amp;(COLUMN()-4))/$B24,0))</f>
        <v/>
      </c>
      <c r="AN24" s="235" t="str">
        <f>IF((COLUMN()-4)&gt;$C24,"",IFERROR(COUNTIFS('recuperación efectiva'!$E:$E,$A24,'recuperación efectiva'!$K:$K,"&lt;="&amp;(COLUMN()-4))/$B24,0))</f>
        <v/>
      </c>
    </row>
    <row r="25" spans="1:40" ht="15.75" customHeight="1" x14ac:dyDescent="0.35">
      <c r="A25" s="231" t="s">
        <v>118</v>
      </c>
      <c r="B25" s="232">
        <f>COUNTIF(Export!$E:$E,A25)</f>
        <v>63</v>
      </c>
      <c r="C25" s="233">
        <f t="shared" si="0"/>
        <v>8</v>
      </c>
      <c r="D25" s="234">
        <f>IF((COLUMN()-4)&gt;$C25,"",IFERROR(COUNTIFS('recuperación efectiva'!$E:$E,$A25,'recuperación efectiva'!$K:$K,"&lt;="&amp;(COLUMN()-4))/$B25,0))</f>
        <v>0</v>
      </c>
      <c r="E25" s="234">
        <f>IF((COLUMN()-4)&gt;$C25,"",IFERROR(COUNTIFS('recuperación efectiva'!$E:$E,$A25,'recuperación efectiva'!$K:$K,"&lt;="&amp;(COLUMN()-4))/$B25,0))</f>
        <v>0</v>
      </c>
      <c r="F25" s="234">
        <f>IF((COLUMN()-4)&gt;$C25,"",IFERROR(COUNTIFS('recuperación efectiva'!$E:$E,$A25,'recuperación efectiva'!$K:$K,"&lt;="&amp;(COLUMN()-4))/$B25,0))</f>
        <v>0</v>
      </c>
      <c r="G25" s="234">
        <f>IF((COLUMN()-4)&gt;$C25,"",IFERROR(COUNTIFS('recuperación efectiva'!$E:$E,$A25,'recuperación efectiva'!$K:$K,"&lt;="&amp;(COLUMN()-4))/$B25,0))</f>
        <v>1.5873015873015872E-2</v>
      </c>
      <c r="H25" s="234">
        <f>IF((COLUMN()-4)&gt;$C25,"",IFERROR(COUNTIFS('recuperación efectiva'!$E:$E,$A25,'recuperación efectiva'!$K:$K,"&lt;="&amp;(COLUMN()-4))/$B25,0))</f>
        <v>0.15873015873015872</v>
      </c>
      <c r="I25" s="234">
        <f>IF((COLUMN()-4)&gt;$C25,"",IFERROR(COUNTIFS('recuperación efectiva'!$E:$E,$A25,'recuperación efectiva'!$K:$K,"&lt;="&amp;(COLUMN()-4))/$B25,0))</f>
        <v>0.31746031746031744</v>
      </c>
      <c r="J25" s="234">
        <f>IF((COLUMN()-4)&gt;$C25,"",IFERROR(COUNTIFS('recuperación efectiva'!$E:$E,$A25,'recuperación efectiva'!$K:$K,"&lt;="&amp;(COLUMN()-4))/$B25,0))</f>
        <v>0.52380952380952384</v>
      </c>
      <c r="K25" s="234">
        <f>IF((COLUMN()-4)&gt;$C25,"",IFERROR(COUNTIFS('recuperación efectiva'!$E:$E,$A25,'recuperación efectiva'!$K:$K,"&lt;="&amp;(COLUMN()-4))/$B25,0))</f>
        <v>0.66666666666666663</v>
      </c>
      <c r="L25" s="234">
        <f>IF((COLUMN()-4)&gt;$C25,"",IFERROR(COUNTIFS('recuperación efectiva'!$E:$E,$A25,'recuperación efectiva'!$K:$K,"&lt;="&amp;(COLUMN()-4))/$B25,0))</f>
        <v>0.80952380952380953</v>
      </c>
      <c r="M25" s="234" t="str">
        <f>IF((COLUMN()-4)&gt;$C25,"",IFERROR(COUNTIFS('recuperación efectiva'!$E:$E,$A25,'recuperación efectiva'!$K:$K,"&lt;="&amp;(COLUMN()-4))/$B25,0))</f>
        <v/>
      </c>
      <c r="N25" s="234" t="str">
        <f>IF((COLUMN()-4)&gt;$C25,"",IFERROR(COUNTIFS('recuperación efectiva'!$E:$E,$A25,'recuperación efectiva'!$K:$K,"&lt;="&amp;(COLUMN()-4))/$B25,0))</f>
        <v/>
      </c>
      <c r="O25" s="234" t="str">
        <f>IF((COLUMN()-4)&gt;$C25,"",IFERROR(COUNTIFS('recuperación efectiva'!$E:$E,$A25,'recuperación efectiva'!$K:$K,"&lt;="&amp;(COLUMN()-4))/$B25,0))</f>
        <v/>
      </c>
      <c r="P25" s="234" t="str">
        <f>IF((COLUMN()-4)&gt;$C25,"",IFERROR(COUNTIFS('recuperación efectiva'!$E:$E,$A25,'recuperación efectiva'!$K:$K,"&lt;="&amp;(COLUMN()-4))/$B25,0))</f>
        <v/>
      </c>
      <c r="Q25" s="234" t="str">
        <f>IF((COLUMN()-4)&gt;$C25,"",IFERROR(COUNTIFS('recuperación efectiva'!$E:$E,$A25,'recuperación efectiva'!$K:$K,"&lt;="&amp;(COLUMN()-4))/$B25,0))</f>
        <v/>
      </c>
      <c r="R25" s="234" t="str">
        <f>IF((COLUMN()-4)&gt;$C25,"",IFERROR(COUNTIFS('recuperación efectiva'!$E:$E,$A25,'recuperación efectiva'!$K:$K,"&lt;="&amp;(COLUMN()-4))/$B25,0))</f>
        <v/>
      </c>
      <c r="S25" s="234" t="str">
        <f>IF((COLUMN()-4)&gt;$C25,"",IFERROR(COUNTIFS('recuperación efectiva'!$E:$E,$A25,'recuperación efectiva'!$K:$K,"&lt;="&amp;(COLUMN()-4))/$B25,0))</f>
        <v/>
      </c>
      <c r="T25" s="234" t="str">
        <f>IF((COLUMN()-4)&gt;$C25,"",IFERROR(COUNTIFS('recuperación efectiva'!$E:$E,$A25,'recuperación efectiva'!$K:$K,"&lt;="&amp;(COLUMN()-4))/$B25,0))</f>
        <v/>
      </c>
      <c r="U25" s="234" t="str">
        <f>IF((COLUMN()-4)&gt;$C25,"",IFERROR(COUNTIFS('recuperación efectiva'!$E:$E,$A25,'recuperación efectiva'!$K:$K,"&lt;="&amp;(COLUMN()-4))/$B25,0))</f>
        <v/>
      </c>
      <c r="V25" s="234" t="str">
        <f>IF((COLUMN()-4)&gt;$C25,"",IFERROR(COUNTIFS('recuperación efectiva'!$E:$E,$A25,'recuperación efectiva'!$K:$K,"&lt;="&amp;(COLUMN()-4))/$B25,0))</f>
        <v/>
      </c>
      <c r="W25" s="234" t="str">
        <f>IF((COLUMN()-4)&gt;$C25,"",IFERROR(COUNTIFS('recuperación efectiva'!$E:$E,$A25,'recuperación efectiva'!$K:$K,"&lt;="&amp;(COLUMN()-4))/$B25,0))</f>
        <v/>
      </c>
      <c r="X25" s="234" t="str">
        <f>IF((COLUMN()-4)&gt;$C25,"",IFERROR(COUNTIFS('recuperación efectiva'!$E:$E,$A25,'recuperación efectiva'!$K:$K,"&lt;="&amp;(COLUMN()-4))/$B25,0))</f>
        <v/>
      </c>
      <c r="Y25" s="234" t="str">
        <f>IF((COLUMN()-4)&gt;$C25,"",IFERROR(COUNTIFS('recuperación efectiva'!$E:$E,$A25,'recuperación efectiva'!$K:$K,"&lt;="&amp;(COLUMN()-4))/$B25,0))</f>
        <v/>
      </c>
      <c r="Z25" s="234" t="str">
        <f>IF((COLUMN()-4)&gt;$C25,"",IFERROR(COUNTIFS('recuperación efectiva'!$E:$E,$A25,'recuperación efectiva'!$K:$K,"&lt;="&amp;(COLUMN()-4))/$B25,0))</f>
        <v/>
      </c>
      <c r="AA25" s="234" t="str">
        <f>IF((COLUMN()-4)&gt;$C25,"",IFERROR(COUNTIFS('recuperación efectiva'!$E:$E,$A25,'recuperación efectiva'!$K:$K,"&lt;="&amp;(COLUMN()-4))/$B25,0))</f>
        <v/>
      </c>
      <c r="AB25" s="234" t="str">
        <f>IF((COLUMN()-4)&gt;$C25,"",IFERROR(COUNTIFS('recuperación efectiva'!$E:$E,$A25,'recuperación efectiva'!$K:$K,"&lt;="&amp;(COLUMN()-4))/$B25,0))</f>
        <v/>
      </c>
      <c r="AC25" s="234" t="str">
        <f>IF((COLUMN()-4)&gt;$C25,"",IFERROR(COUNTIFS('recuperación efectiva'!$E:$E,$A25,'recuperación efectiva'!$K:$K,"&lt;="&amp;(COLUMN()-4))/$B25,0))</f>
        <v/>
      </c>
      <c r="AD25" s="234" t="str">
        <f>IF((COLUMN()-4)&gt;$C25,"",IFERROR(COUNTIFS('recuperación efectiva'!$E:$E,$A25,'recuperación efectiva'!$K:$K,"&lt;="&amp;(COLUMN()-4))/$B25,0))</f>
        <v/>
      </c>
      <c r="AE25" s="234" t="str">
        <f>IF((COLUMN()-4)&gt;$C25,"",IFERROR(COUNTIFS('recuperación efectiva'!$E:$E,$A25,'recuperación efectiva'!$K:$K,"&lt;="&amp;(COLUMN()-4))/$B25,0))</f>
        <v/>
      </c>
      <c r="AF25" s="234" t="str">
        <f>IF((COLUMN()-4)&gt;$C25,"",IFERROR(COUNTIFS('recuperación efectiva'!$E:$E,$A25,'recuperación efectiva'!$K:$K,"&lt;="&amp;(COLUMN()-4))/$B25,0))</f>
        <v/>
      </c>
      <c r="AG25" s="234" t="str">
        <f>IF((COLUMN()-4)&gt;$C25,"",IFERROR(COUNTIFS('recuperación efectiva'!$E:$E,$A25,'recuperación efectiva'!$K:$K,"&lt;="&amp;(COLUMN()-4))/$B25,0))</f>
        <v/>
      </c>
      <c r="AH25" s="234" t="str">
        <f>IF((COLUMN()-4)&gt;$C25,"",IFERROR(COUNTIFS('recuperación efectiva'!$E:$E,$A25,'recuperación efectiva'!$K:$K,"&lt;="&amp;(COLUMN()-4))/$B25,0))</f>
        <v/>
      </c>
      <c r="AI25" s="234" t="str">
        <f>IF((COLUMN()-4)&gt;$C25,"",IFERROR(COUNTIFS('recuperación efectiva'!$E:$E,$A25,'recuperación efectiva'!$K:$K,"&lt;="&amp;(COLUMN()-4))/$B25,0))</f>
        <v/>
      </c>
      <c r="AJ25" s="234" t="str">
        <f>IF((COLUMN()-4)&gt;$C25,"",IFERROR(COUNTIFS('recuperación efectiva'!$E:$E,$A25,'recuperación efectiva'!$K:$K,"&lt;="&amp;(COLUMN()-4))/$B25,0))</f>
        <v/>
      </c>
      <c r="AK25" s="234" t="str">
        <f>IF((COLUMN()-4)&gt;$C25,"",IFERROR(COUNTIFS('recuperación efectiva'!$E:$E,$A25,'recuperación efectiva'!$K:$K,"&lt;="&amp;(COLUMN()-4))/$B25,0))</f>
        <v/>
      </c>
      <c r="AL25" s="234" t="str">
        <f>IF((COLUMN()-4)&gt;$C25,"",IFERROR(COUNTIFS('recuperación efectiva'!$E:$E,$A25,'recuperación efectiva'!$K:$K,"&lt;="&amp;(COLUMN()-4))/$B25,0))</f>
        <v/>
      </c>
      <c r="AM25" s="234" t="str">
        <f>IF((COLUMN()-4)&gt;$C25,"",IFERROR(COUNTIFS('recuperación efectiva'!$E:$E,$A25,'recuperación efectiva'!$K:$K,"&lt;="&amp;(COLUMN()-4))/$B25,0))</f>
        <v/>
      </c>
      <c r="AN25" s="234" t="str">
        <f>IF((COLUMN()-4)&gt;$C25,"",IFERROR(COUNTIFS('recuperación efectiva'!$E:$E,$A25,'recuperación efectiva'!$K:$K,"&lt;="&amp;(COLUMN()-4))/$B25,0))</f>
        <v/>
      </c>
    </row>
    <row r="26" spans="1:40" ht="15.75" customHeight="1" x14ac:dyDescent="0.35">
      <c r="A26" s="231" t="s">
        <v>36</v>
      </c>
      <c r="B26" s="232">
        <f>COUNTIF(Export!$E:$E,A26)</f>
        <v>68</v>
      </c>
      <c r="C26" s="233">
        <f t="shared" si="0"/>
        <v>7</v>
      </c>
      <c r="D26" s="235">
        <f>IF((COLUMN()-4)&gt;$C26,"",IFERROR(COUNTIFS('recuperación efectiva'!$E:$E,$A26,'recuperación efectiva'!$K:$K,"&lt;="&amp;(COLUMN()-4))/$B26,0))</f>
        <v>0</v>
      </c>
      <c r="E26" s="235">
        <f>IF((COLUMN()-4)&gt;$C26,"",IFERROR(COUNTIFS('recuperación efectiva'!$E:$E,$A26,'recuperación efectiva'!$K:$K,"&lt;="&amp;(COLUMN()-4))/$B26,0))</f>
        <v>0</v>
      </c>
      <c r="F26" s="235">
        <f>IF((COLUMN()-4)&gt;$C26,"",IFERROR(COUNTIFS('recuperación efectiva'!$E:$E,$A26,'recuperación efectiva'!$K:$K,"&lt;="&amp;(COLUMN()-4))/$B26,0))</f>
        <v>0</v>
      </c>
      <c r="G26" s="235">
        <f>IF((COLUMN()-4)&gt;$C26,"",IFERROR(COUNTIFS('recuperación efectiva'!$E:$E,$A26,'recuperación efectiva'!$K:$K,"&lt;="&amp;(COLUMN()-4))/$B26,0))</f>
        <v>0.13235294117647059</v>
      </c>
      <c r="H26" s="235">
        <f>IF((COLUMN()-4)&gt;$C26,"",IFERROR(COUNTIFS('recuperación efectiva'!$E:$E,$A26,'recuperación efectiva'!$K:$K,"&lt;="&amp;(COLUMN()-4))/$B26,0))</f>
        <v>0.26470588235294118</v>
      </c>
      <c r="I26" s="235">
        <f>IF((COLUMN()-4)&gt;$C26,"",IFERROR(COUNTIFS('recuperación efectiva'!$E:$E,$A26,'recuperación efectiva'!$K:$K,"&lt;="&amp;(COLUMN()-4))/$B26,0))</f>
        <v>0.54411764705882348</v>
      </c>
      <c r="J26" s="235">
        <f>IF((COLUMN()-4)&gt;$C26,"",IFERROR(COUNTIFS('recuperación efectiva'!$E:$E,$A26,'recuperación efectiva'!$K:$K,"&lt;="&amp;(COLUMN()-4))/$B26,0))</f>
        <v>0.72058823529411764</v>
      </c>
      <c r="K26" s="235">
        <f>IF((COLUMN()-4)&gt;$C26,"",IFERROR(COUNTIFS('recuperación efectiva'!$E:$E,$A26,'recuperación efectiva'!$K:$K,"&lt;="&amp;(COLUMN()-4))/$B26,0))</f>
        <v>0.80882352941176472</v>
      </c>
      <c r="L26" s="235" t="str">
        <f>IF((COLUMN()-4)&gt;$C26,"",IFERROR(COUNTIFS('recuperación efectiva'!$E:$E,$A26,'recuperación efectiva'!$K:$K,"&lt;="&amp;(COLUMN()-4))/$B26,0))</f>
        <v/>
      </c>
      <c r="M26" s="235" t="str">
        <f>IF((COLUMN()-4)&gt;$C26,"",IFERROR(COUNTIFS('recuperación efectiva'!$E:$E,$A26,'recuperación efectiva'!$K:$K,"&lt;="&amp;(COLUMN()-4))/$B26,0))</f>
        <v/>
      </c>
      <c r="N26" s="235" t="str">
        <f>IF((COLUMN()-4)&gt;$C26,"",IFERROR(COUNTIFS('recuperación efectiva'!$E:$E,$A26,'recuperación efectiva'!$K:$K,"&lt;="&amp;(COLUMN()-4))/$B26,0))</f>
        <v/>
      </c>
      <c r="O26" s="235" t="str">
        <f>IF((COLUMN()-4)&gt;$C26,"",IFERROR(COUNTIFS('recuperación efectiva'!$E:$E,$A26,'recuperación efectiva'!$K:$K,"&lt;="&amp;(COLUMN()-4))/$B26,0))</f>
        <v/>
      </c>
      <c r="P26" s="235" t="str">
        <f>IF((COLUMN()-4)&gt;$C26,"",IFERROR(COUNTIFS('recuperación efectiva'!$E:$E,$A26,'recuperación efectiva'!$K:$K,"&lt;="&amp;(COLUMN()-4))/$B26,0))</f>
        <v/>
      </c>
      <c r="Q26" s="235" t="str">
        <f>IF((COLUMN()-4)&gt;$C26,"",IFERROR(COUNTIFS('recuperación efectiva'!$E:$E,$A26,'recuperación efectiva'!$K:$K,"&lt;="&amp;(COLUMN()-4))/$B26,0))</f>
        <v/>
      </c>
      <c r="R26" s="235" t="str">
        <f>IF((COLUMN()-4)&gt;$C26,"",IFERROR(COUNTIFS('recuperación efectiva'!$E:$E,$A26,'recuperación efectiva'!$K:$K,"&lt;="&amp;(COLUMN()-4))/$B26,0))</f>
        <v/>
      </c>
      <c r="S26" s="235" t="str">
        <f>IF((COLUMN()-4)&gt;$C26,"",IFERROR(COUNTIFS('recuperación efectiva'!$E:$E,$A26,'recuperación efectiva'!$K:$K,"&lt;="&amp;(COLUMN()-4))/$B26,0))</f>
        <v/>
      </c>
      <c r="T26" s="235" t="str">
        <f>IF((COLUMN()-4)&gt;$C26,"",IFERROR(COUNTIFS('recuperación efectiva'!$E:$E,$A26,'recuperación efectiva'!$K:$K,"&lt;="&amp;(COLUMN()-4))/$B26,0))</f>
        <v/>
      </c>
      <c r="U26" s="235" t="str">
        <f>IF((COLUMN()-4)&gt;$C26,"",IFERROR(COUNTIFS('recuperación efectiva'!$E:$E,$A26,'recuperación efectiva'!$K:$K,"&lt;="&amp;(COLUMN()-4))/$B26,0))</f>
        <v/>
      </c>
      <c r="V26" s="235" t="str">
        <f>IF((COLUMN()-4)&gt;$C26,"",IFERROR(COUNTIFS('recuperación efectiva'!$E:$E,$A26,'recuperación efectiva'!$K:$K,"&lt;="&amp;(COLUMN()-4))/$B26,0))</f>
        <v/>
      </c>
      <c r="W26" s="235" t="str">
        <f>IF((COLUMN()-4)&gt;$C26,"",IFERROR(COUNTIFS('recuperación efectiva'!$E:$E,$A26,'recuperación efectiva'!$K:$K,"&lt;="&amp;(COLUMN()-4))/$B26,0))</f>
        <v/>
      </c>
      <c r="X26" s="235" t="str">
        <f>IF((COLUMN()-4)&gt;$C26,"",IFERROR(COUNTIFS('recuperación efectiva'!$E:$E,$A26,'recuperación efectiva'!$K:$K,"&lt;="&amp;(COLUMN()-4))/$B26,0))</f>
        <v/>
      </c>
      <c r="Y26" s="235" t="str">
        <f>IF((COLUMN()-4)&gt;$C26,"",IFERROR(COUNTIFS('recuperación efectiva'!$E:$E,$A26,'recuperación efectiva'!$K:$K,"&lt;="&amp;(COLUMN()-4))/$B26,0))</f>
        <v/>
      </c>
      <c r="Z26" s="235" t="str">
        <f>IF((COLUMN()-4)&gt;$C26,"",IFERROR(COUNTIFS('recuperación efectiva'!$E:$E,$A26,'recuperación efectiva'!$K:$K,"&lt;="&amp;(COLUMN()-4))/$B26,0))</f>
        <v/>
      </c>
      <c r="AA26" s="235" t="str">
        <f>IF((COLUMN()-4)&gt;$C26,"",IFERROR(COUNTIFS('recuperación efectiva'!$E:$E,$A26,'recuperación efectiva'!$K:$K,"&lt;="&amp;(COLUMN()-4))/$B26,0))</f>
        <v/>
      </c>
      <c r="AB26" s="235" t="str">
        <f>IF((COLUMN()-4)&gt;$C26,"",IFERROR(COUNTIFS('recuperación efectiva'!$E:$E,$A26,'recuperación efectiva'!$K:$K,"&lt;="&amp;(COLUMN()-4))/$B26,0))</f>
        <v/>
      </c>
      <c r="AC26" s="235" t="str">
        <f>IF((COLUMN()-4)&gt;$C26,"",IFERROR(COUNTIFS('recuperación efectiva'!$E:$E,$A26,'recuperación efectiva'!$K:$K,"&lt;="&amp;(COLUMN()-4))/$B26,0))</f>
        <v/>
      </c>
      <c r="AD26" s="235" t="str">
        <f>IF((COLUMN()-4)&gt;$C26,"",IFERROR(COUNTIFS('recuperación efectiva'!$E:$E,$A26,'recuperación efectiva'!$K:$K,"&lt;="&amp;(COLUMN()-4))/$B26,0))</f>
        <v/>
      </c>
      <c r="AE26" s="235" t="str">
        <f>IF((COLUMN()-4)&gt;$C26,"",IFERROR(COUNTIFS('recuperación efectiva'!$E:$E,$A26,'recuperación efectiva'!$K:$K,"&lt;="&amp;(COLUMN()-4))/$B26,0))</f>
        <v/>
      </c>
      <c r="AF26" s="235" t="str">
        <f>IF((COLUMN()-4)&gt;$C26,"",IFERROR(COUNTIFS('recuperación efectiva'!$E:$E,$A26,'recuperación efectiva'!$K:$K,"&lt;="&amp;(COLUMN()-4))/$B26,0))</f>
        <v/>
      </c>
      <c r="AG26" s="235" t="str">
        <f>IF((COLUMN()-4)&gt;$C26,"",IFERROR(COUNTIFS('recuperación efectiva'!$E:$E,$A26,'recuperación efectiva'!$K:$K,"&lt;="&amp;(COLUMN()-4))/$B26,0))</f>
        <v/>
      </c>
      <c r="AH26" s="235" t="str">
        <f>IF((COLUMN()-4)&gt;$C26,"",IFERROR(COUNTIFS('recuperación efectiva'!$E:$E,$A26,'recuperación efectiva'!$K:$K,"&lt;="&amp;(COLUMN()-4))/$B26,0))</f>
        <v/>
      </c>
      <c r="AI26" s="235" t="str">
        <f>IF((COLUMN()-4)&gt;$C26,"",IFERROR(COUNTIFS('recuperación efectiva'!$E:$E,$A26,'recuperación efectiva'!$K:$K,"&lt;="&amp;(COLUMN()-4))/$B26,0))</f>
        <v/>
      </c>
      <c r="AJ26" s="235" t="str">
        <f>IF((COLUMN()-4)&gt;$C26,"",IFERROR(COUNTIFS('recuperación efectiva'!$E:$E,$A26,'recuperación efectiva'!$K:$K,"&lt;="&amp;(COLUMN()-4))/$B26,0))</f>
        <v/>
      </c>
      <c r="AK26" s="235" t="str">
        <f>IF((COLUMN()-4)&gt;$C26,"",IFERROR(COUNTIFS('recuperación efectiva'!$E:$E,$A26,'recuperación efectiva'!$K:$K,"&lt;="&amp;(COLUMN()-4))/$B26,0))</f>
        <v/>
      </c>
      <c r="AL26" s="235" t="str">
        <f>IF((COLUMN()-4)&gt;$C26,"",IFERROR(COUNTIFS('recuperación efectiva'!$E:$E,$A26,'recuperación efectiva'!$K:$K,"&lt;="&amp;(COLUMN()-4))/$B26,0))</f>
        <v/>
      </c>
      <c r="AM26" s="235" t="str">
        <f>IF((COLUMN()-4)&gt;$C26,"",IFERROR(COUNTIFS('recuperación efectiva'!$E:$E,$A26,'recuperación efectiva'!$K:$K,"&lt;="&amp;(COLUMN()-4))/$B26,0))</f>
        <v/>
      </c>
      <c r="AN26" s="235" t="str">
        <f>IF((COLUMN()-4)&gt;$C26,"",IFERROR(COUNTIFS('recuperación efectiva'!$E:$E,$A26,'recuperación efectiva'!$K:$K,"&lt;="&amp;(COLUMN()-4))/$B26,0))</f>
        <v/>
      </c>
    </row>
    <row r="27" spans="1:40" ht="15.75" customHeight="1" x14ac:dyDescent="0.35">
      <c r="A27" s="231" t="s">
        <v>37</v>
      </c>
      <c r="B27" s="232">
        <f>COUNTIF(Export!$E:$E,A27)</f>
        <v>56</v>
      </c>
      <c r="C27" s="233">
        <f t="shared" si="0"/>
        <v>6</v>
      </c>
      <c r="D27" s="234">
        <f>IF((COLUMN()-4)&gt;$C27,"",IFERROR(COUNTIFS('recuperación efectiva'!$E:$E,$A27,'recuperación efectiva'!$K:$K,"&lt;="&amp;(COLUMN()-4))/$B27,0))</f>
        <v>0</v>
      </c>
      <c r="E27" s="234">
        <f>IF((COLUMN()-4)&gt;$C27,"",IFERROR(COUNTIFS('recuperación efectiva'!$E:$E,$A27,'recuperación efectiva'!$K:$K,"&lt;="&amp;(COLUMN()-4))/$B27,0))</f>
        <v>0</v>
      </c>
      <c r="F27" s="234">
        <f>IF((COLUMN()-4)&gt;$C27,"",IFERROR(COUNTIFS('recuperación efectiva'!$E:$E,$A27,'recuperación efectiva'!$K:$K,"&lt;="&amp;(COLUMN()-4))/$B27,0))</f>
        <v>1.7857142857142856E-2</v>
      </c>
      <c r="G27" s="234">
        <f>IF((COLUMN()-4)&gt;$C27,"",IFERROR(COUNTIFS('recuperación efectiva'!$E:$E,$A27,'recuperación efectiva'!$K:$K,"&lt;="&amp;(COLUMN()-4))/$B27,0))</f>
        <v>0.10714285714285714</v>
      </c>
      <c r="H27" s="234">
        <f>IF((COLUMN()-4)&gt;$C27,"",IFERROR(COUNTIFS('recuperación efectiva'!$E:$E,$A27,'recuperación efectiva'!$K:$K,"&lt;="&amp;(COLUMN()-4))/$B27,0))</f>
        <v>0.35714285714285715</v>
      </c>
      <c r="I27" s="234">
        <f>IF((COLUMN()-4)&gt;$C27,"",IFERROR(COUNTIFS('recuperación efectiva'!$E:$E,$A27,'recuperación efectiva'!$K:$K,"&lt;="&amp;(COLUMN()-4))/$B27,0))</f>
        <v>0.625</v>
      </c>
      <c r="J27" s="234">
        <f>IF((COLUMN()-4)&gt;$C27,"",IFERROR(COUNTIFS('recuperación efectiva'!$E:$E,$A27,'recuperación efectiva'!$K:$K,"&lt;="&amp;(COLUMN()-4))/$B27,0))</f>
        <v>0.7678571428571429</v>
      </c>
      <c r="K27" s="234" t="str">
        <f>IF((COLUMN()-4)&gt;$C27,"",IFERROR(COUNTIFS('recuperación efectiva'!$E:$E,$A27,'recuperación efectiva'!$K:$K,"&lt;="&amp;(COLUMN()-4))/$B27,0))</f>
        <v/>
      </c>
      <c r="L27" s="234" t="str">
        <f>IF((COLUMN()-4)&gt;$C27,"",IFERROR(COUNTIFS('recuperación efectiva'!$E:$E,$A27,'recuperación efectiva'!$K:$K,"&lt;="&amp;(COLUMN()-4))/$B27,0))</f>
        <v/>
      </c>
      <c r="M27" s="234" t="str">
        <f>IF((COLUMN()-4)&gt;$C27,"",IFERROR(COUNTIFS('recuperación efectiva'!$E:$E,$A27,'recuperación efectiva'!$K:$K,"&lt;="&amp;(COLUMN()-4))/$B27,0))</f>
        <v/>
      </c>
      <c r="N27" s="234" t="str">
        <f>IF((COLUMN()-4)&gt;$C27,"",IFERROR(COUNTIFS('recuperación efectiva'!$E:$E,$A27,'recuperación efectiva'!$K:$K,"&lt;="&amp;(COLUMN()-4))/$B27,0))</f>
        <v/>
      </c>
      <c r="O27" s="234" t="str">
        <f>IF((COLUMN()-4)&gt;$C27,"",IFERROR(COUNTIFS('recuperación efectiva'!$E:$E,$A27,'recuperación efectiva'!$K:$K,"&lt;="&amp;(COLUMN()-4))/$B27,0))</f>
        <v/>
      </c>
      <c r="P27" s="234" t="str">
        <f>IF((COLUMN()-4)&gt;$C27,"",IFERROR(COUNTIFS('recuperación efectiva'!$E:$E,$A27,'recuperación efectiva'!$K:$K,"&lt;="&amp;(COLUMN()-4))/$B27,0))</f>
        <v/>
      </c>
      <c r="Q27" s="234" t="str">
        <f>IF((COLUMN()-4)&gt;$C27,"",IFERROR(COUNTIFS('recuperación efectiva'!$E:$E,$A27,'recuperación efectiva'!$K:$K,"&lt;="&amp;(COLUMN()-4))/$B27,0))</f>
        <v/>
      </c>
      <c r="R27" s="234" t="str">
        <f>IF((COLUMN()-4)&gt;$C27,"",IFERROR(COUNTIFS('recuperación efectiva'!$E:$E,$A27,'recuperación efectiva'!$K:$K,"&lt;="&amp;(COLUMN()-4))/$B27,0))</f>
        <v/>
      </c>
      <c r="S27" s="234" t="str">
        <f>IF((COLUMN()-4)&gt;$C27,"",IFERROR(COUNTIFS('recuperación efectiva'!$E:$E,$A27,'recuperación efectiva'!$K:$K,"&lt;="&amp;(COLUMN()-4))/$B27,0))</f>
        <v/>
      </c>
      <c r="T27" s="234" t="str">
        <f>IF((COLUMN()-4)&gt;$C27,"",IFERROR(COUNTIFS('recuperación efectiva'!$E:$E,$A27,'recuperación efectiva'!$K:$K,"&lt;="&amp;(COLUMN()-4))/$B27,0))</f>
        <v/>
      </c>
      <c r="U27" s="234" t="str">
        <f>IF((COLUMN()-4)&gt;$C27,"",IFERROR(COUNTIFS('recuperación efectiva'!$E:$E,$A27,'recuperación efectiva'!$K:$K,"&lt;="&amp;(COLUMN()-4))/$B27,0))</f>
        <v/>
      </c>
      <c r="V27" s="234" t="str">
        <f>IF((COLUMN()-4)&gt;$C27,"",IFERROR(COUNTIFS('recuperación efectiva'!$E:$E,$A27,'recuperación efectiva'!$K:$K,"&lt;="&amp;(COLUMN()-4))/$B27,0))</f>
        <v/>
      </c>
      <c r="W27" s="234" t="str">
        <f>IF((COLUMN()-4)&gt;$C27,"",IFERROR(COUNTIFS('recuperación efectiva'!$E:$E,$A27,'recuperación efectiva'!$K:$K,"&lt;="&amp;(COLUMN()-4))/$B27,0))</f>
        <v/>
      </c>
      <c r="X27" s="234" t="str">
        <f>IF((COLUMN()-4)&gt;$C27,"",IFERROR(COUNTIFS('recuperación efectiva'!$E:$E,$A27,'recuperación efectiva'!$K:$K,"&lt;="&amp;(COLUMN()-4))/$B27,0))</f>
        <v/>
      </c>
      <c r="Y27" s="234" t="str">
        <f>IF((COLUMN()-4)&gt;$C27,"",IFERROR(COUNTIFS('recuperación efectiva'!$E:$E,$A27,'recuperación efectiva'!$K:$K,"&lt;="&amp;(COLUMN()-4))/$B27,0))</f>
        <v/>
      </c>
      <c r="Z27" s="234" t="str">
        <f>IF((COLUMN()-4)&gt;$C27,"",IFERROR(COUNTIFS('recuperación efectiva'!$E:$E,$A27,'recuperación efectiva'!$K:$K,"&lt;="&amp;(COLUMN()-4))/$B27,0))</f>
        <v/>
      </c>
      <c r="AA27" s="234" t="str">
        <f>IF((COLUMN()-4)&gt;$C27,"",IFERROR(COUNTIFS('recuperación efectiva'!$E:$E,$A27,'recuperación efectiva'!$K:$K,"&lt;="&amp;(COLUMN()-4))/$B27,0))</f>
        <v/>
      </c>
      <c r="AB27" s="234" t="str">
        <f>IF((COLUMN()-4)&gt;$C27,"",IFERROR(COUNTIFS('recuperación efectiva'!$E:$E,$A27,'recuperación efectiva'!$K:$K,"&lt;="&amp;(COLUMN()-4))/$B27,0))</f>
        <v/>
      </c>
      <c r="AC27" s="234" t="str">
        <f>IF((COLUMN()-4)&gt;$C27,"",IFERROR(COUNTIFS('recuperación efectiva'!$E:$E,$A27,'recuperación efectiva'!$K:$K,"&lt;="&amp;(COLUMN()-4))/$B27,0))</f>
        <v/>
      </c>
      <c r="AD27" s="234" t="str">
        <f>IF((COLUMN()-4)&gt;$C27,"",IFERROR(COUNTIFS('recuperación efectiva'!$E:$E,$A27,'recuperación efectiva'!$K:$K,"&lt;="&amp;(COLUMN()-4))/$B27,0))</f>
        <v/>
      </c>
      <c r="AE27" s="234" t="str">
        <f>IF((COLUMN()-4)&gt;$C27,"",IFERROR(COUNTIFS('recuperación efectiva'!$E:$E,$A27,'recuperación efectiva'!$K:$K,"&lt;="&amp;(COLUMN()-4))/$B27,0))</f>
        <v/>
      </c>
      <c r="AF27" s="234" t="str">
        <f>IF((COLUMN()-4)&gt;$C27,"",IFERROR(COUNTIFS('recuperación efectiva'!$E:$E,$A27,'recuperación efectiva'!$K:$K,"&lt;="&amp;(COLUMN()-4))/$B27,0))</f>
        <v/>
      </c>
      <c r="AG27" s="234" t="str">
        <f>IF((COLUMN()-4)&gt;$C27,"",IFERROR(COUNTIFS('recuperación efectiva'!$E:$E,$A27,'recuperación efectiva'!$K:$K,"&lt;="&amp;(COLUMN()-4))/$B27,0))</f>
        <v/>
      </c>
      <c r="AH27" s="234" t="str">
        <f>IF((COLUMN()-4)&gt;$C27,"",IFERROR(COUNTIFS('recuperación efectiva'!$E:$E,$A27,'recuperación efectiva'!$K:$K,"&lt;="&amp;(COLUMN()-4))/$B27,0))</f>
        <v/>
      </c>
      <c r="AI27" s="234" t="str">
        <f>IF((COLUMN()-4)&gt;$C27,"",IFERROR(COUNTIFS('recuperación efectiva'!$E:$E,$A27,'recuperación efectiva'!$K:$K,"&lt;="&amp;(COLUMN()-4))/$B27,0))</f>
        <v/>
      </c>
      <c r="AJ27" s="234" t="str">
        <f>IF((COLUMN()-4)&gt;$C27,"",IFERROR(COUNTIFS('recuperación efectiva'!$E:$E,$A27,'recuperación efectiva'!$K:$K,"&lt;="&amp;(COLUMN()-4))/$B27,0))</f>
        <v/>
      </c>
      <c r="AK27" s="234" t="str">
        <f>IF((COLUMN()-4)&gt;$C27,"",IFERROR(COUNTIFS('recuperación efectiva'!$E:$E,$A27,'recuperación efectiva'!$K:$K,"&lt;="&amp;(COLUMN()-4))/$B27,0))</f>
        <v/>
      </c>
      <c r="AL27" s="234" t="str">
        <f>IF((COLUMN()-4)&gt;$C27,"",IFERROR(COUNTIFS('recuperación efectiva'!$E:$E,$A27,'recuperación efectiva'!$K:$K,"&lt;="&amp;(COLUMN()-4))/$B27,0))</f>
        <v/>
      </c>
      <c r="AM27" s="234" t="str">
        <f>IF((COLUMN()-4)&gt;$C27,"",IFERROR(COUNTIFS('recuperación efectiva'!$E:$E,$A27,'recuperación efectiva'!$K:$K,"&lt;="&amp;(COLUMN()-4))/$B27,0))</f>
        <v/>
      </c>
      <c r="AN27" s="234" t="str">
        <f>IF((COLUMN()-4)&gt;$C27,"",IFERROR(COUNTIFS('recuperación efectiva'!$E:$E,$A27,'recuperación efectiva'!$K:$K,"&lt;="&amp;(COLUMN()-4))/$B27,0))</f>
        <v/>
      </c>
    </row>
    <row r="28" spans="1:40" ht="15.75" customHeight="1" x14ac:dyDescent="0.35">
      <c r="A28" s="231" t="s">
        <v>113</v>
      </c>
      <c r="B28" s="232">
        <f>COUNTIF(Export!$E:$E,A28)</f>
        <v>28</v>
      </c>
      <c r="C28" s="233">
        <f t="shared" si="0"/>
        <v>5</v>
      </c>
      <c r="D28" s="235">
        <f>IF((COLUMN()-4)&gt;$C28,"",IFERROR(COUNTIFS('recuperación efectiva'!$E:$E,$A28,'recuperación efectiva'!$K:$K,"&lt;="&amp;(COLUMN()-4))/$B28,0))</f>
        <v>0</v>
      </c>
      <c r="E28" s="235">
        <f>IF((COLUMN()-4)&gt;$C28,"",IFERROR(COUNTIFS('recuperación efectiva'!$E:$E,$A28,'recuperación efectiva'!$K:$K,"&lt;="&amp;(COLUMN()-4))/$B28,0))</f>
        <v>0</v>
      </c>
      <c r="F28" s="235">
        <f>IF((COLUMN()-4)&gt;$C28,"",IFERROR(COUNTIFS('recuperación efectiva'!$E:$E,$A28,'recuperación efectiva'!$K:$K,"&lt;="&amp;(COLUMN()-4))/$B28,0))</f>
        <v>3.5714285714285712E-2</v>
      </c>
      <c r="G28" s="235">
        <f>IF((COLUMN()-4)&gt;$C28,"",IFERROR(COUNTIFS('recuperación efectiva'!$E:$E,$A28,'recuperación efectiva'!$K:$K,"&lt;="&amp;(COLUMN()-4))/$B28,0))</f>
        <v>0.14285714285714285</v>
      </c>
      <c r="H28" s="235">
        <f>IF((COLUMN()-4)&gt;$C28,"",IFERROR(COUNTIFS('recuperación efectiva'!$E:$E,$A28,'recuperación efectiva'!$K:$K,"&lt;="&amp;(COLUMN()-4))/$B28,0))</f>
        <v>0.5</v>
      </c>
      <c r="I28" s="235">
        <f>IF((COLUMN()-4)&gt;$C28,"",IFERROR(COUNTIFS('recuperación efectiva'!$E:$E,$A28,'recuperación efectiva'!$K:$K,"&lt;="&amp;(COLUMN()-4))/$B28,0))</f>
        <v>0.6071428571428571</v>
      </c>
      <c r="J28" s="235" t="str">
        <f>IF((COLUMN()-4)&gt;$C28,"",IFERROR(COUNTIFS('recuperación efectiva'!$E:$E,$A28,'recuperación efectiva'!$K:$K,"&lt;="&amp;(COLUMN()-4))/$B28,0))</f>
        <v/>
      </c>
      <c r="K28" s="235" t="str">
        <f>IF((COLUMN()-4)&gt;$C28,"",IFERROR(COUNTIFS('recuperación efectiva'!$E:$E,$A28,'recuperación efectiva'!$K:$K,"&lt;="&amp;(COLUMN()-4))/$B28,0))</f>
        <v/>
      </c>
      <c r="L28" s="235" t="str">
        <f>IF((COLUMN()-4)&gt;$C28,"",IFERROR(COUNTIFS('recuperación efectiva'!$E:$E,$A28,'recuperación efectiva'!$K:$K,"&lt;="&amp;(COLUMN()-4))/$B28,0))</f>
        <v/>
      </c>
      <c r="M28" s="235" t="str">
        <f>IF((COLUMN()-4)&gt;$C28,"",IFERROR(COUNTIFS('recuperación efectiva'!$E:$E,$A28,'recuperación efectiva'!$K:$K,"&lt;="&amp;(COLUMN()-4))/$B28,0))</f>
        <v/>
      </c>
      <c r="N28" s="235" t="str">
        <f>IF((COLUMN()-4)&gt;$C28,"",IFERROR(COUNTIFS('recuperación efectiva'!$E:$E,$A28,'recuperación efectiva'!$K:$K,"&lt;="&amp;(COLUMN()-4))/$B28,0))</f>
        <v/>
      </c>
      <c r="O28" s="235" t="str">
        <f>IF((COLUMN()-4)&gt;$C28,"",IFERROR(COUNTIFS('recuperación efectiva'!$E:$E,$A28,'recuperación efectiva'!$K:$K,"&lt;="&amp;(COLUMN()-4))/$B28,0))</f>
        <v/>
      </c>
      <c r="P28" s="235" t="str">
        <f>IF((COLUMN()-4)&gt;$C28,"",IFERROR(COUNTIFS('recuperación efectiva'!$E:$E,$A28,'recuperación efectiva'!$K:$K,"&lt;="&amp;(COLUMN()-4))/$B28,0))</f>
        <v/>
      </c>
      <c r="Q28" s="235" t="str">
        <f>IF((COLUMN()-4)&gt;$C28,"",IFERROR(COUNTIFS('recuperación efectiva'!$E:$E,$A28,'recuperación efectiva'!$K:$K,"&lt;="&amp;(COLUMN()-4))/$B28,0))</f>
        <v/>
      </c>
      <c r="R28" s="235" t="str">
        <f>IF((COLUMN()-4)&gt;$C28,"",IFERROR(COUNTIFS('recuperación efectiva'!$E:$E,$A28,'recuperación efectiva'!$K:$K,"&lt;="&amp;(COLUMN()-4))/$B28,0))</f>
        <v/>
      </c>
      <c r="S28" s="235" t="str">
        <f>IF((COLUMN()-4)&gt;$C28,"",IFERROR(COUNTIFS('recuperación efectiva'!$E:$E,$A28,'recuperación efectiva'!$K:$K,"&lt;="&amp;(COLUMN()-4))/$B28,0))</f>
        <v/>
      </c>
      <c r="T28" s="235" t="str">
        <f>IF((COLUMN()-4)&gt;$C28,"",IFERROR(COUNTIFS('recuperación efectiva'!$E:$E,$A28,'recuperación efectiva'!$K:$K,"&lt;="&amp;(COLUMN()-4))/$B28,0))</f>
        <v/>
      </c>
      <c r="U28" s="235" t="str">
        <f>IF((COLUMN()-4)&gt;$C28,"",IFERROR(COUNTIFS('recuperación efectiva'!$E:$E,$A28,'recuperación efectiva'!$K:$K,"&lt;="&amp;(COLUMN()-4))/$B28,0))</f>
        <v/>
      </c>
      <c r="V28" s="235" t="str">
        <f>IF((COLUMN()-4)&gt;$C28,"",IFERROR(COUNTIFS('recuperación efectiva'!$E:$E,$A28,'recuperación efectiva'!$K:$K,"&lt;="&amp;(COLUMN()-4))/$B28,0))</f>
        <v/>
      </c>
      <c r="W28" s="235" t="str">
        <f>IF((COLUMN()-4)&gt;$C28,"",IFERROR(COUNTIFS('recuperación efectiva'!$E:$E,$A28,'recuperación efectiva'!$K:$K,"&lt;="&amp;(COLUMN()-4))/$B28,0))</f>
        <v/>
      </c>
      <c r="X28" s="235" t="str">
        <f>IF((COLUMN()-4)&gt;$C28,"",IFERROR(COUNTIFS('recuperación efectiva'!$E:$E,$A28,'recuperación efectiva'!$K:$K,"&lt;="&amp;(COLUMN()-4))/$B28,0))</f>
        <v/>
      </c>
      <c r="Y28" s="235" t="str">
        <f>IF((COLUMN()-4)&gt;$C28,"",IFERROR(COUNTIFS('recuperación efectiva'!$E:$E,$A28,'recuperación efectiva'!$K:$K,"&lt;="&amp;(COLUMN()-4))/$B28,0))</f>
        <v/>
      </c>
      <c r="Z28" s="235" t="str">
        <f>IF((COLUMN()-4)&gt;$C28,"",IFERROR(COUNTIFS('recuperación efectiva'!$E:$E,$A28,'recuperación efectiva'!$K:$K,"&lt;="&amp;(COLUMN()-4))/$B28,0))</f>
        <v/>
      </c>
      <c r="AA28" s="235" t="str">
        <f>IF((COLUMN()-4)&gt;$C28,"",IFERROR(COUNTIFS('recuperación efectiva'!$E:$E,$A28,'recuperación efectiva'!$K:$K,"&lt;="&amp;(COLUMN()-4))/$B28,0))</f>
        <v/>
      </c>
      <c r="AB28" s="235" t="str">
        <f>IF((COLUMN()-4)&gt;$C28,"",IFERROR(COUNTIFS('recuperación efectiva'!$E:$E,$A28,'recuperación efectiva'!$K:$K,"&lt;="&amp;(COLUMN()-4))/$B28,0))</f>
        <v/>
      </c>
      <c r="AC28" s="235" t="str">
        <f>IF((COLUMN()-4)&gt;$C28,"",IFERROR(COUNTIFS('recuperación efectiva'!$E:$E,$A28,'recuperación efectiva'!$K:$K,"&lt;="&amp;(COLUMN()-4))/$B28,0))</f>
        <v/>
      </c>
      <c r="AD28" s="235" t="str">
        <f>IF((COLUMN()-4)&gt;$C28,"",IFERROR(COUNTIFS('recuperación efectiva'!$E:$E,$A28,'recuperación efectiva'!$K:$K,"&lt;="&amp;(COLUMN()-4))/$B28,0))</f>
        <v/>
      </c>
      <c r="AE28" s="235" t="str">
        <f>IF((COLUMN()-4)&gt;$C28,"",IFERROR(COUNTIFS('recuperación efectiva'!$E:$E,$A28,'recuperación efectiva'!$K:$K,"&lt;="&amp;(COLUMN()-4))/$B28,0))</f>
        <v/>
      </c>
      <c r="AF28" s="235" t="str">
        <f>IF((COLUMN()-4)&gt;$C28,"",IFERROR(COUNTIFS('recuperación efectiva'!$E:$E,$A28,'recuperación efectiva'!$K:$K,"&lt;="&amp;(COLUMN()-4))/$B28,0))</f>
        <v/>
      </c>
      <c r="AG28" s="235" t="str">
        <f>IF((COLUMN()-4)&gt;$C28,"",IFERROR(COUNTIFS('recuperación efectiva'!$E:$E,$A28,'recuperación efectiva'!$K:$K,"&lt;="&amp;(COLUMN()-4))/$B28,0))</f>
        <v/>
      </c>
      <c r="AH28" s="235" t="str">
        <f>IF((COLUMN()-4)&gt;$C28,"",IFERROR(COUNTIFS('recuperación efectiva'!$E:$E,$A28,'recuperación efectiva'!$K:$K,"&lt;="&amp;(COLUMN()-4))/$B28,0))</f>
        <v/>
      </c>
      <c r="AI28" s="235" t="str">
        <f>IF((COLUMN()-4)&gt;$C28,"",IFERROR(COUNTIFS('recuperación efectiva'!$E:$E,$A28,'recuperación efectiva'!$K:$K,"&lt;="&amp;(COLUMN()-4))/$B28,0))</f>
        <v/>
      </c>
      <c r="AJ28" s="235" t="str">
        <f>IF((COLUMN()-4)&gt;$C28,"",IFERROR(COUNTIFS('recuperación efectiva'!$E:$E,$A28,'recuperación efectiva'!$K:$K,"&lt;="&amp;(COLUMN()-4))/$B28,0))</f>
        <v/>
      </c>
      <c r="AK28" s="235" t="str">
        <f>IF((COLUMN()-4)&gt;$C28,"",IFERROR(COUNTIFS('recuperación efectiva'!$E:$E,$A28,'recuperación efectiva'!$K:$K,"&lt;="&amp;(COLUMN()-4))/$B28,0))</f>
        <v/>
      </c>
      <c r="AL28" s="235" t="str">
        <f>IF((COLUMN()-4)&gt;$C28,"",IFERROR(COUNTIFS('recuperación efectiva'!$E:$E,$A28,'recuperación efectiva'!$K:$K,"&lt;="&amp;(COLUMN()-4))/$B28,0))</f>
        <v/>
      </c>
      <c r="AM28" s="235" t="str">
        <f>IF((COLUMN()-4)&gt;$C28,"",IFERROR(COUNTIFS('recuperación efectiva'!$E:$E,$A28,'recuperación efectiva'!$K:$K,"&lt;="&amp;(COLUMN()-4))/$B28,0))</f>
        <v/>
      </c>
      <c r="AN28" s="235" t="str">
        <f>IF((COLUMN()-4)&gt;$C28,"",IFERROR(COUNTIFS('recuperación efectiva'!$E:$E,$A28,'recuperación efectiva'!$K:$K,"&lt;="&amp;(COLUMN()-4))/$B28,0))</f>
        <v/>
      </c>
    </row>
    <row r="29" spans="1:40" ht="15.75" customHeight="1" x14ac:dyDescent="0.35">
      <c r="A29" s="231" t="s">
        <v>23</v>
      </c>
      <c r="B29" s="232">
        <f>COUNTIF(Export!$E:$E,A29)</f>
        <v>22</v>
      </c>
      <c r="C29" s="233">
        <f t="shared" si="0"/>
        <v>4</v>
      </c>
      <c r="D29" s="234">
        <f>IF((COLUMN()-4)&gt;$C29,"",IFERROR(COUNTIFS('recuperación efectiva'!$E:$E,$A29,'recuperación efectiva'!$K:$K,"&lt;="&amp;(COLUMN()-4))/$B29,0))</f>
        <v>0</v>
      </c>
      <c r="E29" s="234">
        <f>IF((COLUMN()-4)&gt;$C29,"",IFERROR(COUNTIFS('recuperación efectiva'!$E:$E,$A29,'recuperación efectiva'!$K:$K,"&lt;="&amp;(COLUMN()-4))/$B29,0))</f>
        <v>0.13636363636363635</v>
      </c>
      <c r="F29" s="234">
        <f>IF((COLUMN()-4)&gt;$C29,"",IFERROR(COUNTIFS('recuperación efectiva'!$E:$E,$A29,'recuperación efectiva'!$K:$K,"&lt;="&amp;(COLUMN()-4))/$B29,0))</f>
        <v>0.27272727272727271</v>
      </c>
      <c r="G29" s="234">
        <f>IF((COLUMN()-4)&gt;$C29,"",IFERROR(COUNTIFS('recuperación efectiva'!$E:$E,$A29,'recuperación efectiva'!$K:$K,"&lt;="&amp;(COLUMN()-4))/$B29,0))</f>
        <v>0.54545454545454541</v>
      </c>
      <c r="H29" s="234">
        <f>IF((COLUMN()-4)&gt;$C29,"",IFERROR(COUNTIFS('recuperación efectiva'!$E:$E,$A29,'recuperación efectiva'!$K:$K,"&lt;="&amp;(COLUMN()-4))/$B29,0))</f>
        <v>0.72727272727272729</v>
      </c>
      <c r="I29" s="234" t="str">
        <f>IF((COLUMN()-4)&gt;$C29,"",IFERROR(COUNTIFS('recuperación efectiva'!$E:$E,$A29,'recuperación efectiva'!$K:$K,"&lt;="&amp;(COLUMN()-4))/$B29,0))</f>
        <v/>
      </c>
      <c r="J29" s="234" t="str">
        <f>IF((COLUMN()-4)&gt;$C29,"",IFERROR(COUNTIFS('recuperación efectiva'!$E:$E,$A29,'recuperación efectiva'!$K:$K,"&lt;="&amp;(COLUMN()-4))/$B29,0))</f>
        <v/>
      </c>
      <c r="K29" s="234" t="str">
        <f>IF((COLUMN()-4)&gt;$C29,"",IFERROR(COUNTIFS('recuperación efectiva'!$E:$E,$A29,'recuperación efectiva'!$K:$K,"&lt;="&amp;(COLUMN()-4))/$B29,0))</f>
        <v/>
      </c>
      <c r="L29" s="234" t="str">
        <f>IF((COLUMN()-4)&gt;$C29,"",IFERROR(COUNTIFS('recuperación efectiva'!$E:$E,$A29,'recuperación efectiva'!$K:$K,"&lt;="&amp;(COLUMN()-4))/$B29,0))</f>
        <v/>
      </c>
      <c r="M29" s="234" t="str">
        <f>IF((COLUMN()-4)&gt;$C29,"",IFERROR(COUNTIFS('recuperación efectiva'!$E:$E,$A29,'recuperación efectiva'!$K:$K,"&lt;="&amp;(COLUMN()-4))/$B29,0))</f>
        <v/>
      </c>
      <c r="N29" s="234" t="str">
        <f>IF((COLUMN()-4)&gt;$C29,"",IFERROR(COUNTIFS('recuperación efectiva'!$E:$E,$A29,'recuperación efectiva'!$K:$K,"&lt;="&amp;(COLUMN()-4))/$B29,0))</f>
        <v/>
      </c>
      <c r="O29" s="234" t="str">
        <f>IF((COLUMN()-4)&gt;$C29,"",IFERROR(COUNTIFS('recuperación efectiva'!$E:$E,$A29,'recuperación efectiva'!$K:$K,"&lt;="&amp;(COLUMN()-4))/$B29,0))</f>
        <v/>
      </c>
      <c r="P29" s="234" t="str">
        <f>IF((COLUMN()-4)&gt;$C29,"",IFERROR(COUNTIFS('recuperación efectiva'!$E:$E,$A29,'recuperación efectiva'!$K:$K,"&lt;="&amp;(COLUMN()-4))/$B29,0))</f>
        <v/>
      </c>
      <c r="Q29" s="234" t="str">
        <f>IF((COLUMN()-4)&gt;$C29,"",IFERROR(COUNTIFS('recuperación efectiva'!$E:$E,$A29,'recuperación efectiva'!$K:$K,"&lt;="&amp;(COLUMN()-4))/$B29,0))</f>
        <v/>
      </c>
      <c r="R29" s="234" t="str">
        <f>IF((COLUMN()-4)&gt;$C29,"",IFERROR(COUNTIFS('recuperación efectiva'!$E:$E,$A29,'recuperación efectiva'!$K:$K,"&lt;="&amp;(COLUMN()-4))/$B29,0))</f>
        <v/>
      </c>
      <c r="S29" s="234" t="str">
        <f>IF((COLUMN()-4)&gt;$C29,"",IFERROR(COUNTIFS('recuperación efectiva'!$E:$E,$A29,'recuperación efectiva'!$K:$K,"&lt;="&amp;(COLUMN()-4))/$B29,0))</f>
        <v/>
      </c>
      <c r="T29" s="234" t="str">
        <f>IF((COLUMN()-4)&gt;$C29,"",IFERROR(COUNTIFS('recuperación efectiva'!$E:$E,$A29,'recuperación efectiva'!$K:$K,"&lt;="&amp;(COLUMN()-4))/$B29,0))</f>
        <v/>
      </c>
      <c r="U29" s="234" t="str">
        <f>IF((COLUMN()-4)&gt;$C29,"",IFERROR(COUNTIFS('recuperación efectiva'!$E:$E,$A29,'recuperación efectiva'!$K:$K,"&lt;="&amp;(COLUMN()-4))/$B29,0))</f>
        <v/>
      </c>
      <c r="V29" s="234" t="str">
        <f>IF((COLUMN()-4)&gt;$C29,"",IFERROR(COUNTIFS('recuperación efectiva'!$E:$E,$A29,'recuperación efectiva'!$K:$K,"&lt;="&amp;(COLUMN()-4))/$B29,0))</f>
        <v/>
      </c>
      <c r="W29" s="234" t="str">
        <f>IF((COLUMN()-4)&gt;$C29,"",IFERROR(COUNTIFS('recuperación efectiva'!$E:$E,$A29,'recuperación efectiva'!$K:$K,"&lt;="&amp;(COLUMN()-4))/$B29,0))</f>
        <v/>
      </c>
      <c r="X29" s="234" t="str">
        <f>IF((COLUMN()-4)&gt;$C29,"",IFERROR(COUNTIFS('recuperación efectiva'!$E:$E,$A29,'recuperación efectiva'!$K:$K,"&lt;="&amp;(COLUMN()-4))/$B29,0))</f>
        <v/>
      </c>
      <c r="Y29" s="234" t="str">
        <f>IF((COLUMN()-4)&gt;$C29,"",IFERROR(COUNTIFS('recuperación efectiva'!$E:$E,$A29,'recuperación efectiva'!$K:$K,"&lt;="&amp;(COLUMN()-4))/$B29,0))</f>
        <v/>
      </c>
      <c r="Z29" s="234" t="str">
        <f>IF((COLUMN()-4)&gt;$C29,"",IFERROR(COUNTIFS('recuperación efectiva'!$E:$E,$A29,'recuperación efectiva'!$K:$K,"&lt;="&amp;(COLUMN()-4))/$B29,0))</f>
        <v/>
      </c>
      <c r="AA29" s="234" t="str">
        <f>IF((COLUMN()-4)&gt;$C29,"",IFERROR(COUNTIFS('recuperación efectiva'!$E:$E,$A29,'recuperación efectiva'!$K:$K,"&lt;="&amp;(COLUMN()-4))/$B29,0))</f>
        <v/>
      </c>
      <c r="AB29" s="234" t="str">
        <f>IF((COLUMN()-4)&gt;$C29,"",IFERROR(COUNTIFS('recuperación efectiva'!$E:$E,$A29,'recuperación efectiva'!$K:$K,"&lt;="&amp;(COLUMN()-4))/$B29,0))</f>
        <v/>
      </c>
      <c r="AC29" s="234" t="str">
        <f>IF((COLUMN()-4)&gt;$C29,"",IFERROR(COUNTIFS('recuperación efectiva'!$E:$E,$A29,'recuperación efectiva'!$K:$K,"&lt;="&amp;(COLUMN()-4))/$B29,0))</f>
        <v/>
      </c>
      <c r="AD29" s="234" t="str">
        <f>IF((COLUMN()-4)&gt;$C29,"",IFERROR(COUNTIFS('recuperación efectiva'!$E:$E,$A29,'recuperación efectiva'!$K:$K,"&lt;="&amp;(COLUMN()-4))/$B29,0))</f>
        <v/>
      </c>
      <c r="AE29" s="234" t="str">
        <f>IF((COLUMN()-4)&gt;$C29,"",IFERROR(COUNTIFS('recuperación efectiva'!$E:$E,$A29,'recuperación efectiva'!$K:$K,"&lt;="&amp;(COLUMN()-4))/$B29,0))</f>
        <v/>
      </c>
      <c r="AF29" s="234" t="str">
        <f>IF((COLUMN()-4)&gt;$C29,"",IFERROR(COUNTIFS('recuperación efectiva'!$E:$E,$A29,'recuperación efectiva'!$K:$K,"&lt;="&amp;(COLUMN()-4))/$B29,0))</f>
        <v/>
      </c>
      <c r="AG29" s="234" t="str">
        <f>IF((COLUMN()-4)&gt;$C29,"",IFERROR(COUNTIFS('recuperación efectiva'!$E:$E,$A29,'recuperación efectiva'!$K:$K,"&lt;="&amp;(COLUMN()-4))/$B29,0))</f>
        <v/>
      </c>
      <c r="AH29" s="234" t="str">
        <f>IF((COLUMN()-4)&gt;$C29,"",IFERROR(COUNTIFS('recuperación efectiva'!$E:$E,$A29,'recuperación efectiva'!$K:$K,"&lt;="&amp;(COLUMN()-4))/$B29,0))</f>
        <v/>
      </c>
      <c r="AI29" s="234" t="str">
        <f>IF((COLUMN()-4)&gt;$C29,"",IFERROR(COUNTIFS('recuperación efectiva'!$E:$E,$A29,'recuperación efectiva'!$K:$K,"&lt;="&amp;(COLUMN()-4))/$B29,0))</f>
        <v/>
      </c>
      <c r="AJ29" s="234" t="str">
        <f>IF((COLUMN()-4)&gt;$C29,"",IFERROR(COUNTIFS('recuperación efectiva'!$E:$E,$A29,'recuperación efectiva'!$K:$K,"&lt;="&amp;(COLUMN()-4))/$B29,0))</f>
        <v/>
      </c>
      <c r="AK29" s="234" t="str">
        <f>IF((COLUMN()-4)&gt;$C29,"",IFERROR(COUNTIFS('recuperación efectiva'!$E:$E,$A29,'recuperación efectiva'!$K:$K,"&lt;="&amp;(COLUMN()-4))/$B29,0))</f>
        <v/>
      </c>
      <c r="AL29" s="234" t="str">
        <f>IF((COLUMN()-4)&gt;$C29,"",IFERROR(COUNTIFS('recuperación efectiva'!$E:$E,$A29,'recuperación efectiva'!$K:$K,"&lt;="&amp;(COLUMN()-4))/$B29,0))</f>
        <v/>
      </c>
      <c r="AM29" s="234" t="str">
        <f>IF((COLUMN()-4)&gt;$C29,"",IFERROR(COUNTIFS('recuperación efectiva'!$E:$E,$A29,'recuperación efectiva'!$K:$K,"&lt;="&amp;(COLUMN()-4))/$B29,0))</f>
        <v/>
      </c>
      <c r="AN29" s="234" t="str">
        <f>IF((COLUMN()-4)&gt;$C29,"",IFERROR(COUNTIFS('recuperación efectiva'!$E:$E,$A29,'recuperación efectiva'!$K:$K,"&lt;="&amp;(COLUMN()-4))/$B29,0))</f>
        <v/>
      </c>
    </row>
    <row r="30" spans="1:40" ht="15.75" customHeight="1" x14ac:dyDescent="0.35">
      <c r="A30" s="231" t="s">
        <v>52</v>
      </c>
      <c r="B30" s="232">
        <f>COUNTIF(Export!$E:$E,A30)</f>
        <v>2</v>
      </c>
      <c r="C30" s="233">
        <f t="shared" si="0"/>
        <v>3</v>
      </c>
      <c r="D30" s="235">
        <f>IF((COLUMN()-4)&gt;$C30,"",IFERROR(COUNTIFS('recuperación efectiva'!$E:$E,$A30,'recuperación efectiva'!$K:$K,"&lt;="&amp;(COLUMN()-4))/$B30,0))</f>
        <v>0</v>
      </c>
      <c r="E30" s="235">
        <f>IF((COLUMN()-4)&gt;$C30,"",IFERROR(COUNTIFS('recuperación efectiva'!$E:$E,$A30,'recuperación efectiva'!$K:$K,"&lt;="&amp;(COLUMN()-4))/$B30,0))</f>
        <v>0</v>
      </c>
      <c r="F30" s="235">
        <f>IF((COLUMN()-4)&gt;$C30,"",IFERROR(COUNTIFS('recuperación efectiva'!$E:$E,$A30,'recuperación efectiva'!$K:$K,"&lt;="&amp;(COLUMN()-4))/$B30,0))</f>
        <v>0.5</v>
      </c>
      <c r="G30" s="235">
        <f>IF((COLUMN()-4)&gt;$C30,"",IFERROR(COUNTIFS('recuperación efectiva'!$E:$E,$A30,'recuperación efectiva'!$K:$K,"&lt;="&amp;(COLUMN()-4))/$B30,0))</f>
        <v>0.5</v>
      </c>
      <c r="H30" s="235" t="str">
        <f>IF((COLUMN()-4)&gt;$C30,"",IFERROR(COUNTIFS('recuperación efectiva'!$E:$E,$A30,'recuperación efectiva'!$K:$K,"&lt;="&amp;(COLUMN()-4))/$B30,0))</f>
        <v/>
      </c>
      <c r="I30" s="235" t="str">
        <f>IF((COLUMN()-4)&gt;$C30,"",IFERROR(COUNTIFS('recuperación efectiva'!$E:$E,$A30,'recuperación efectiva'!$K:$K,"&lt;="&amp;(COLUMN()-4))/$B30,0))</f>
        <v/>
      </c>
      <c r="J30" s="235" t="str">
        <f>IF((COLUMN()-4)&gt;$C30,"",IFERROR(COUNTIFS('recuperación efectiva'!$E:$E,$A30,'recuperación efectiva'!$K:$K,"&lt;="&amp;(COLUMN()-4))/$B30,0))</f>
        <v/>
      </c>
      <c r="K30" s="235" t="str">
        <f>IF((COLUMN()-4)&gt;$C30,"",IFERROR(COUNTIFS('recuperación efectiva'!$E:$E,$A30,'recuperación efectiva'!$K:$K,"&lt;="&amp;(COLUMN()-4))/$B30,0))</f>
        <v/>
      </c>
      <c r="L30" s="235" t="str">
        <f>IF((COLUMN()-4)&gt;$C30,"",IFERROR(COUNTIFS('recuperación efectiva'!$E:$E,$A30,'recuperación efectiva'!$K:$K,"&lt;="&amp;(COLUMN()-4))/$B30,0))</f>
        <v/>
      </c>
      <c r="M30" s="235" t="str">
        <f>IF((COLUMN()-4)&gt;$C30,"",IFERROR(COUNTIFS('recuperación efectiva'!$E:$E,$A30,'recuperación efectiva'!$K:$K,"&lt;="&amp;(COLUMN()-4))/$B30,0))</f>
        <v/>
      </c>
      <c r="N30" s="235" t="str">
        <f>IF((COLUMN()-4)&gt;$C30,"",IFERROR(COUNTIFS('recuperación efectiva'!$E:$E,$A30,'recuperación efectiva'!$K:$K,"&lt;="&amp;(COLUMN()-4))/$B30,0))</f>
        <v/>
      </c>
      <c r="O30" s="235" t="str">
        <f>IF((COLUMN()-4)&gt;$C30,"",IFERROR(COUNTIFS('recuperación efectiva'!$E:$E,$A30,'recuperación efectiva'!$K:$K,"&lt;="&amp;(COLUMN()-4))/$B30,0))</f>
        <v/>
      </c>
      <c r="P30" s="235" t="str">
        <f>IF((COLUMN()-4)&gt;$C30,"",IFERROR(COUNTIFS('recuperación efectiva'!$E:$E,$A30,'recuperación efectiva'!$K:$K,"&lt;="&amp;(COLUMN()-4))/$B30,0))</f>
        <v/>
      </c>
      <c r="Q30" s="235" t="str">
        <f>IF((COLUMN()-4)&gt;$C30,"",IFERROR(COUNTIFS('recuperación efectiva'!$E:$E,$A30,'recuperación efectiva'!$K:$K,"&lt;="&amp;(COLUMN()-4))/$B30,0))</f>
        <v/>
      </c>
      <c r="R30" s="235" t="str">
        <f>IF((COLUMN()-4)&gt;$C30,"",IFERROR(COUNTIFS('recuperación efectiva'!$E:$E,$A30,'recuperación efectiva'!$K:$K,"&lt;="&amp;(COLUMN()-4))/$B30,0))</f>
        <v/>
      </c>
      <c r="S30" s="235" t="str">
        <f>IF((COLUMN()-4)&gt;$C30,"",IFERROR(COUNTIFS('recuperación efectiva'!$E:$E,$A30,'recuperación efectiva'!$K:$K,"&lt;="&amp;(COLUMN()-4))/$B30,0))</f>
        <v/>
      </c>
      <c r="T30" s="235" t="str">
        <f>IF((COLUMN()-4)&gt;$C30,"",IFERROR(COUNTIFS('recuperación efectiva'!$E:$E,$A30,'recuperación efectiva'!$K:$K,"&lt;="&amp;(COLUMN()-4))/$B30,0))</f>
        <v/>
      </c>
      <c r="U30" s="235" t="str">
        <f>IF((COLUMN()-4)&gt;$C30,"",IFERROR(COUNTIFS('recuperación efectiva'!$E:$E,$A30,'recuperación efectiva'!$K:$K,"&lt;="&amp;(COLUMN()-4))/$B30,0))</f>
        <v/>
      </c>
      <c r="V30" s="235" t="str">
        <f>IF((COLUMN()-4)&gt;$C30,"",IFERROR(COUNTIFS('recuperación efectiva'!$E:$E,$A30,'recuperación efectiva'!$K:$K,"&lt;="&amp;(COLUMN()-4))/$B30,0))</f>
        <v/>
      </c>
      <c r="W30" s="235" t="str">
        <f>IF((COLUMN()-4)&gt;$C30,"",IFERROR(COUNTIFS('recuperación efectiva'!$E:$E,$A30,'recuperación efectiva'!$K:$K,"&lt;="&amp;(COLUMN()-4))/$B30,0))</f>
        <v/>
      </c>
      <c r="X30" s="235" t="str">
        <f>IF((COLUMN()-4)&gt;$C30,"",IFERROR(COUNTIFS('recuperación efectiva'!$E:$E,$A30,'recuperación efectiva'!$K:$K,"&lt;="&amp;(COLUMN()-4))/$B30,0))</f>
        <v/>
      </c>
      <c r="Y30" s="235" t="str">
        <f>IF((COLUMN()-4)&gt;$C30,"",IFERROR(COUNTIFS('recuperación efectiva'!$E:$E,$A30,'recuperación efectiva'!$K:$K,"&lt;="&amp;(COLUMN()-4))/$B30,0))</f>
        <v/>
      </c>
      <c r="Z30" s="235" t="str">
        <f>IF((COLUMN()-4)&gt;$C30,"",IFERROR(COUNTIFS('recuperación efectiva'!$E:$E,$A30,'recuperación efectiva'!$K:$K,"&lt;="&amp;(COLUMN()-4))/$B30,0))</f>
        <v/>
      </c>
      <c r="AA30" s="235" t="str">
        <f>IF((COLUMN()-4)&gt;$C30,"",IFERROR(COUNTIFS('recuperación efectiva'!$E:$E,$A30,'recuperación efectiva'!$K:$K,"&lt;="&amp;(COLUMN()-4))/$B30,0))</f>
        <v/>
      </c>
      <c r="AB30" s="235" t="str">
        <f>IF((COLUMN()-4)&gt;$C30,"",IFERROR(COUNTIFS('recuperación efectiva'!$E:$E,$A30,'recuperación efectiva'!$K:$K,"&lt;="&amp;(COLUMN()-4))/$B30,0))</f>
        <v/>
      </c>
      <c r="AC30" s="235" t="str">
        <f>IF((COLUMN()-4)&gt;$C30,"",IFERROR(COUNTIFS('recuperación efectiva'!$E:$E,$A30,'recuperación efectiva'!$K:$K,"&lt;="&amp;(COLUMN()-4))/$B30,0))</f>
        <v/>
      </c>
      <c r="AD30" s="235" t="str">
        <f>IF((COLUMN()-4)&gt;$C30,"",IFERROR(COUNTIFS('recuperación efectiva'!$E:$E,$A30,'recuperación efectiva'!$K:$K,"&lt;="&amp;(COLUMN()-4))/$B30,0))</f>
        <v/>
      </c>
      <c r="AE30" s="235" t="str">
        <f>IF((COLUMN()-4)&gt;$C30,"",IFERROR(COUNTIFS('recuperación efectiva'!$E:$E,$A30,'recuperación efectiva'!$K:$K,"&lt;="&amp;(COLUMN()-4))/$B30,0))</f>
        <v/>
      </c>
      <c r="AF30" s="235" t="str">
        <f>IF((COLUMN()-4)&gt;$C30,"",IFERROR(COUNTIFS('recuperación efectiva'!$E:$E,$A30,'recuperación efectiva'!$K:$K,"&lt;="&amp;(COLUMN()-4))/$B30,0))</f>
        <v/>
      </c>
      <c r="AG30" s="235" t="str">
        <f>IF((COLUMN()-4)&gt;$C30,"",IFERROR(COUNTIFS('recuperación efectiva'!$E:$E,$A30,'recuperación efectiva'!$K:$K,"&lt;="&amp;(COLUMN()-4))/$B30,0))</f>
        <v/>
      </c>
      <c r="AH30" s="235" t="str">
        <f>IF((COLUMN()-4)&gt;$C30,"",IFERROR(COUNTIFS('recuperación efectiva'!$E:$E,$A30,'recuperación efectiva'!$K:$K,"&lt;="&amp;(COLUMN()-4))/$B30,0))</f>
        <v/>
      </c>
      <c r="AI30" s="235" t="str">
        <f>IF((COLUMN()-4)&gt;$C30,"",IFERROR(COUNTIFS('recuperación efectiva'!$E:$E,$A30,'recuperación efectiva'!$K:$K,"&lt;="&amp;(COLUMN()-4))/$B30,0))</f>
        <v/>
      </c>
      <c r="AJ30" s="235" t="str">
        <f>IF((COLUMN()-4)&gt;$C30,"",IFERROR(COUNTIFS('recuperación efectiva'!$E:$E,$A30,'recuperación efectiva'!$K:$K,"&lt;="&amp;(COLUMN()-4))/$B30,0))</f>
        <v/>
      </c>
      <c r="AK30" s="235" t="str">
        <f>IF((COLUMN()-4)&gt;$C30,"",IFERROR(COUNTIFS('recuperación efectiva'!$E:$E,$A30,'recuperación efectiva'!$K:$K,"&lt;="&amp;(COLUMN()-4))/$B30,0))</f>
        <v/>
      </c>
      <c r="AL30" s="235" t="str">
        <f>IF((COLUMN()-4)&gt;$C30,"",IFERROR(COUNTIFS('recuperación efectiva'!$E:$E,$A30,'recuperación efectiva'!$K:$K,"&lt;="&amp;(COLUMN()-4))/$B30,0))</f>
        <v/>
      </c>
      <c r="AM30" s="235" t="str">
        <f>IF((COLUMN()-4)&gt;$C30,"",IFERROR(COUNTIFS('recuperación efectiva'!$E:$E,$A30,'recuperación efectiva'!$K:$K,"&lt;="&amp;(COLUMN()-4))/$B30,0))</f>
        <v/>
      </c>
      <c r="AN30" s="235" t="str">
        <f>IF((COLUMN()-4)&gt;$C30,"",IFERROR(COUNTIFS('recuperación efectiva'!$E:$E,$A30,'recuperación efectiva'!$K:$K,"&lt;="&amp;(COLUMN()-4))/$B30,0))</f>
        <v/>
      </c>
    </row>
    <row r="31" spans="1:40" ht="15.75" customHeight="1" x14ac:dyDescent="0.35">
      <c r="A31" s="231" t="s">
        <v>30</v>
      </c>
      <c r="B31" s="232">
        <f>COUNTIF(Export!$E:$E,A31)</f>
        <v>2</v>
      </c>
      <c r="C31" s="233">
        <f t="shared" si="0"/>
        <v>2</v>
      </c>
      <c r="D31" s="234">
        <f>IF((COLUMN()-4)&gt;$C31,"",IFERROR(COUNTIFS('recuperación efectiva'!$E:$E,$A31,'recuperación efectiva'!$K:$K,"&lt;="&amp;(COLUMN()-4))/$B31,0))</f>
        <v>0</v>
      </c>
      <c r="E31" s="234">
        <f>IF((COLUMN()-4)&gt;$C31,"",IFERROR(COUNTIFS('recuperación efectiva'!$E:$E,$A31,'recuperación efectiva'!$K:$K,"&lt;="&amp;(COLUMN()-4))/$B31,0))</f>
        <v>0.5</v>
      </c>
      <c r="F31" s="234">
        <f>IF((COLUMN()-4)&gt;$C31,"",IFERROR(COUNTIFS('recuperación efectiva'!$E:$E,$A31,'recuperación efectiva'!$K:$K,"&lt;="&amp;(COLUMN()-4))/$B31,0))</f>
        <v>1</v>
      </c>
      <c r="G31" s="234" t="str">
        <f>IF((COLUMN()-4)&gt;$C31,"",IFERROR(COUNTIFS('recuperación efectiva'!$E:$E,$A31,'recuperación efectiva'!$K:$K,"&lt;="&amp;(COLUMN()-4))/$B31,0))</f>
        <v/>
      </c>
      <c r="H31" s="234" t="str">
        <f>IF((COLUMN()-4)&gt;$C31,"",IFERROR(COUNTIFS('recuperación efectiva'!$E:$E,$A31,'recuperación efectiva'!$K:$K,"&lt;="&amp;(COLUMN()-4))/$B31,0))</f>
        <v/>
      </c>
      <c r="I31" s="234" t="str">
        <f>IF((COLUMN()-4)&gt;$C31,"",IFERROR(COUNTIFS('recuperación efectiva'!$E:$E,$A31,'recuperación efectiva'!$K:$K,"&lt;="&amp;(COLUMN()-4))/$B31,0))</f>
        <v/>
      </c>
      <c r="J31" s="234" t="str">
        <f>IF((COLUMN()-4)&gt;$C31,"",IFERROR(COUNTIFS('recuperación efectiva'!$E:$E,$A31,'recuperación efectiva'!$K:$K,"&lt;="&amp;(COLUMN()-4))/$B31,0))</f>
        <v/>
      </c>
      <c r="K31" s="234" t="str">
        <f>IF((COLUMN()-4)&gt;$C31,"",IFERROR(COUNTIFS('recuperación efectiva'!$E:$E,$A31,'recuperación efectiva'!$K:$K,"&lt;="&amp;(COLUMN()-4))/$B31,0))</f>
        <v/>
      </c>
      <c r="L31" s="234" t="str">
        <f>IF((COLUMN()-4)&gt;$C31,"",IFERROR(COUNTIFS('recuperación efectiva'!$E:$E,$A31,'recuperación efectiva'!$K:$K,"&lt;="&amp;(COLUMN()-4))/$B31,0))</f>
        <v/>
      </c>
      <c r="M31" s="234" t="str">
        <f>IF((COLUMN()-4)&gt;$C31,"",IFERROR(COUNTIFS('recuperación efectiva'!$E:$E,$A31,'recuperación efectiva'!$K:$K,"&lt;="&amp;(COLUMN()-4))/$B31,0))</f>
        <v/>
      </c>
      <c r="N31" s="234" t="str">
        <f>IF((COLUMN()-4)&gt;$C31,"",IFERROR(COUNTIFS('recuperación efectiva'!$E:$E,$A31,'recuperación efectiva'!$K:$K,"&lt;="&amp;(COLUMN()-4))/$B31,0))</f>
        <v/>
      </c>
      <c r="O31" s="234" t="str">
        <f>IF((COLUMN()-4)&gt;$C31,"",IFERROR(COUNTIFS('recuperación efectiva'!$E:$E,$A31,'recuperación efectiva'!$K:$K,"&lt;="&amp;(COLUMN()-4))/$B31,0))</f>
        <v/>
      </c>
      <c r="P31" s="234" t="str">
        <f>IF((COLUMN()-4)&gt;$C31,"",IFERROR(COUNTIFS('recuperación efectiva'!$E:$E,$A31,'recuperación efectiva'!$K:$K,"&lt;="&amp;(COLUMN()-4))/$B31,0))</f>
        <v/>
      </c>
      <c r="Q31" s="234" t="str">
        <f>IF((COLUMN()-4)&gt;$C31,"",IFERROR(COUNTIFS('recuperación efectiva'!$E:$E,$A31,'recuperación efectiva'!$K:$K,"&lt;="&amp;(COLUMN()-4))/$B31,0))</f>
        <v/>
      </c>
      <c r="R31" s="234" t="str">
        <f>IF((COLUMN()-4)&gt;$C31,"",IFERROR(COUNTIFS('recuperación efectiva'!$E:$E,$A31,'recuperación efectiva'!$K:$K,"&lt;="&amp;(COLUMN()-4))/$B31,0))</f>
        <v/>
      </c>
      <c r="S31" s="234" t="str">
        <f>IF((COLUMN()-4)&gt;$C31,"",IFERROR(COUNTIFS('recuperación efectiva'!$E:$E,$A31,'recuperación efectiva'!$K:$K,"&lt;="&amp;(COLUMN()-4))/$B31,0))</f>
        <v/>
      </c>
      <c r="T31" s="234" t="str">
        <f>IF((COLUMN()-4)&gt;$C31,"",IFERROR(COUNTIFS('recuperación efectiva'!$E:$E,$A31,'recuperación efectiva'!$K:$K,"&lt;="&amp;(COLUMN()-4))/$B31,0))</f>
        <v/>
      </c>
      <c r="U31" s="234" t="str">
        <f>IF((COLUMN()-4)&gt;$C31,"",IFERROR(COUNTIFS('recuperación efectiva'!$E:$E,$A31,'recuperación efectiva'!$K:$K,"&lt;="&amp;(COLUMN()-4))/$B31,0))</f>
        <v/>
      </c>
      <c r="V31" s="234" t="str">
        <f>IF((COLUMN()-4)&gt;$C31,"",IFERROR(COUNTIFS('recuperación efectiva'!$E:$E,$A31,'recuperación efectiva'!$K:$K,"&lt;="&amp;(COLUMN()-4))/$B31,0))</f>
        <v/>
      </c>
      <c r="W31" s="234" t="str">
        <f>IF((COLUMN()-4)&gt;$C31,"",IFERROR(COUNTIFS('recuperación efectiva'!$E:$E,$A31,'recuperación efectiva'!$K:$K,"&lt;="&amp;(COLUMN()-4))/$B31,0))</f>
        <v/>
      </c>
      <c r="X31" s="234" t="str">
        <f>IF((COLUMN()-4)&gt;$C31,"",IFERROR(COUNTIFS('recuperación efectiva'!$E:$E,$A31,'recuperación efectiva'!$K:$K,"&lt;="&amp;(COLUMN()-4))/$B31,0))</f>
        <v/>
      </c>
      <c r="Y31" s="234" t="str">
        <f>IF((COLUMN()-4)&gt;$C31,"",IFERROR(COUNTIFS('recuperación efectiva'!$E:$E,$A31,'recuperación efectiva'!$K:$K,"&lt;="&amp;(COLUMN()-4))/$B31,0))</f>
        <v/>
      </c>
      <c r="Z31" s="234" t="str">
        <f>IF((COLUMN()-4)&gt;$C31,"",IFERROR(COUNTIFS('recuperación efectiva'!$E:$E,$A31,'recuperación efectiva'!$K:$K,"&lt;="&amp;(COLUMN()-4))/$B31,0))</f>
        <v/>
      </c>
      <c r="AA31" s="234" t="str">
        <f>IF((COLUMN()-4)&gt;$C31,"",IFERROR(COUNTIFS('recuperación efectiva'!$E:$E,$A31,'recuperación efectiva'!$K:$K,"&lt;="&amp;(COLUMN()-4))/$B31,0))</f>
        <v/>
      </c>
      <c r="AB31" s="234" t="str">
        <f>IF((COLUMN()-4)&gt;$C31,"",IFERROR(COUNTIFS('recuperación efectiva'!$E:$E,$A31,'recuperación efectiva'!$K:$K,"&lt;="&amp;(COLUMN()-4))/$B31,0))</f>
        <v/>
      </c>
      <c r="AC31" s="234" t="str">
        <f>IF((COLUMN()-4)&gt;$C31,"",IFERROR(COUNTIFS('recuperación efectiva'!$E:$E,$A31,'recuperación efectiva'!$K:$K,"&lt;="&amp;(COLUMN()-4))/$B31,0))</f>
        <v/>
      </c>
      <c r="AD31" s="234" t="str">
        <f>IF((COLUMN()-4)&gt;$C31,"",IFERROR(COUNTIFS('recuperación efectiva'!$E:$E,$A31,'recuperación efectiva'!$K:$K,"&lt;="&amp;(COLUMN()-4))/$B31,0))</f>
        <v/>
      </c>
      <c r="AE31" s="234" t="str">
        <f>IF((COLUMN()-4)&gt;$C31,"",IFERROR(COUNTIFS('recuperación efectiva'!$E:$E,$A31,'recuperación efectiva'!$K:$K,"&lt;="&amp;(COLUMN()-4))/$B31,0))</f>
        <v/>
      </c>
      <c r="AF31" s="234" t="str">
        <f>IF((COLUMN()-4)&gt;$C31,"",IFERROR(COUNTIFS('recuperación efectiva'!$E:$E,$A31,'recuperación efectiva'!$K:$K,"&lt;="&amp;(COLUMN()-4))/$B31,0))</f>
        <v/>
      </c>
      <c r="AG31" s="234" t="str">
        <f>IF((COLUMN()-4)&gt;$C31,"",IFERROR(COUNTIFS('recuperación efectiva'!$E:$E,$A31,'recuperación efectiva'!$K:$K,"&lt;="&amp;(COLUMN()-4))/$B31,0))</f>
        <v/>
      </c>
      <c r="AH31" s="234" t="str">
        <f>IF((COLUMN()-4)&gt;$C31,"",IFERROR(COUNTIFS('recuperación efectiva'!$E:$E,$A31,'recuperación efectiva'!$K:$K,"&lt;="&amp;(COLUMN()-4))/$B31,0))</f>
        <v/>
      </c>
      <c r="AI31" s="234" t="str">
        <f>IF((COLUMN()-4)&gt;$C31,"",IFERROR(COUNTIFS('recuperación efectiva'!$E:$E,$A31,'recuperación efectiva'!$K:$K,"&lt;="&amp;(COLUMN()-4))/$B31,0))</f>
        <v/>
      </c>
      <c r="AJ31" s="234" t="str">
        <f>IF((COLUMN()-4)&gt;$C31,"",IFERROR(COUNTIFS('recuperación efectiva'!$E:$E,$A31,'recuperación efectiva'!$K:$K,"&lt;="&amp;(COLUMN()-4))/$B31,0))</f>
        <v/>
      </c>
      <c r="AK31" s="234" t="str">
        <f>IF((COLUMN()-4)&gt;$C31,"",IFERROR(COUNTIFS('recuperación efectiva'!$E:$E,$A31,'recuperación efectiva'!$K:$K,"&lt;="&amp;(COLUMN()-4))/$B31,0))</f>
        <v/>
      </c>
      <c r="AL31" s="234" t="str">
        <f>IF((COLUMN()-4)&gt;$C31,"",IFERROR(COUNTIFS('recuperación efectiva'!$E:$E,$A31,'recuperación efectiva'!$K:$K,"&lt;="&amp;(COLUMN()-4))/$B31,0))</f>
        <v/>
      </c>
      <c r="AM31" s="234" t="str">
        <f>IF((COLUMN()-4)&gt;$C31,"",IFERROR(COUNTIFS('recuperación efectiva'!$E:$E,$A31,'recuperación efectiva'!$K:$K,"&lt;="&amp;(COLUMN()-4))/$B31,0))</f>
        <v/>
      </c>
      <c r="AN31" s="234" t="str">
        <f>IF((COLUMN()-4)&gt;$C31,"",IFERROR(COUNTIFS('recuperación efectiva'!$E:$E,$A31,'recuperación efectiva'!$K:$K,"&lt;="&amp;(COLUMN()-4))/$B31,0))</f>
        <v/>
      </c>
    </row>
    <row r="32" spans="1:40" ht="4.5" customHeight="1" x14ac:dyDescent="0.35"/>
    <row r="33" spans="1:40" ht="19.5" customHeight="1" x14ac:dyDescent="0.35">
      <c r="A33" s="236" t="s">
        <v>3905</v>
      </c>
      <c r="B33" s="236">
        <f>SUM(B5:B31)</f>
        <v>1200</v>
      </c>
      <c r="C33" s="237"/>
      <c r="D33" s="238">
        <f>IFERROR(SUMPRODUCT(($C$5:$C$31&gt;=0)*$B$5:$B$31*COUNTIFS('recuperación efectiva'!$E:$E,$A$5:$A$31,'recuperación efectiva'!$K:$K,"&lt;="&amp;0))/SUMPRODUCT(($C$5:$C$31&gt;=0)*$B$5:$B$31),0)</f>
        <v>8.1666666666666665E-2</v>
      </c>
      <c r="E33" s="238">
        <f>IFERROR(SUMPRODUCT(($C$5:$C$31&gt;=1)*$B$5:$B$31*COUNTIFS('recuperación efectiva'!$E:$E,$A$5:$A$31,'recuperación efectiva'!$K:$K,"&lt;="&amp;1))/SUMPRODUCT(($C$5:$C$31&gt;=1)*$B$5:$B$31),0)</f>
        <v>0.62666666666666671</v>
      </c>
      <c r="F33" s="238">
        <f>IFERROR(SUMPRODUCT(($C$5:$C$31&gt;=2)*$B$5:$B$31*COUNTIFS('recuperación efectiva'!$E:$E,$A$5:$A$31,'recuperación efectiva'!$K:$K,"&lt;="&amp;2))/SUMPRODUCT(($C$5:$C$31&gt;=2)*$B$5:$B$31),0)</f>
        <v>2.1491666666666664</v>
      </c>
      <c r="G33" s="238">
        <f>IFERROR(SUMPRODUCT(($C$5:$C$31&gt;=3)*$B$5:$B$31*COUNTIFS('recuperación efectiva'!$E:$E,$A$5:$A$31,'recuperación efectiva'!$K:$K,"&lt;="&amp;3))/SUMPRODUCT(($C$5:$C$31&gt;=3)*$B$5:$B$31),0)</f>
        <v>6.0993322203672786</v>
      </c>
      <c r="H33" s="238">
        <f>IFERROR(SUMPRODUCT(($C$5:$C$31&gt;=4)*$B$5:$B$31*COUNTIFS('recuperación efectiva'!$E:$E,$A$5:$A$31,'recuperación efectiva'!$K:$K,"&lt;="&amp;4))/SUMPRODUCT(($C$5:$C$31&gt;=4)*$B$5:$B$31),0)</f>
        <v>11.250836120401338</v>
      </c>
      <c r="I33" s="238">
        <f>IFERROR(SUMPRODUCT(($C$5:$C$31&gt;=5)*$B$5:$B$31*COUNTIFS('recuperación efectiva'!$E:$E,$A$5:$A$31,'recuperación efectiva'!$K:$K,"&lt;="&amp;5))/SUMPRODUCT(($C$5:$C$31&gt;=5)*$B$5:$B$31),0)</f>
        <v>17.198466780238501</v>
      </c>
      <c r="J33" s="238">
        <f>IFERROR(SUMPRODUCT(($C$5:$C$31&gt;=6)*$B$5:$B$31*COUNTIFS('recuperación efectiva'!$E:$E,$A$5:$A$31,'recuperación efectiva'!$K:$K,"&lt;="&amp;6))/SUMPRODUCT(($C$5:$C$31&gt;=6)*$B$5:$B$31),0)</f>
        <v>22.940663176265272</v>
      </c>
      <c r="K33" s="238">
        <f>IFERROR(SUMPRODUCT(($C$5:$C$31&gt;=7)*$B$5:$B$31*COUNTIFS('recuperación efectiva'!$E:$E,$A$5:$A$31,'recuperación efectiva'!$K:$K,"&lt;="&amp;7))/SUMPRODUCT(($C$5:$C$31&gt;=7)*$B$5:$B$31),0)</f>
        <v>26.510091743119265</v>
      </c>
      <c r="L33" s="238">
        <f>IFERROR(SUMPRODUCT(($C$5:$C$31&gt;=8)*$B$5:$B$31*COUNTIFS('recuperación efectiva'!$E:$E,$A$5:$A$31,'recuperación efectiva'!$K:$K,"&lt;="&amp;8))/SUMPRODUCT(($C$5:$C$31&gt;=8)*$B$5:$B$31),0)</f>
        <v>29.979452054794521</v>
      </c>
      <c r="M33" s="238">
        <f>IFERROR(SUMPRODUCT(($C$5:$C$31&gt;=9)*$B$5:$B$31*COUNTIFS('recuperación efectiva'!$E:$E,$A$5:$A$31,'recuperación efectiva'!$K:$K,"&lt;="&amp;9))/SUMPRODUCT(($C$5:$C$31&gt;=9)*$B$5:$B$31),0)</f>
        <v>33.692387904066734</v>
      </c>
      <c r="N33" s="238">
        <f>IFERROR(SUMPRODUCT(($C$5:$C$31&gt;=10)*$B$5:$B$31*COUNTIFS('recuperación efectiva'!$E:$E,$A$5:$A$31,'recuperación efectiva'!$K:$K,"&lt;="&amp;10))/SUMPRODUCT(($C$5:$C$31&gt;=10)*$B$5:$B$31),0)</f>
        <v>35.191657271702368</v>
      </c>
      <c r="O33" s="238">
        <f>IFERROR(SUMPRODUCT(($C$5:$C$31&gt;=11)*$B$5:$B$31*COUNTIFS('recuperación efectiva'!$E:$E,$A$5:$A$31,'recuperación efectiva'!$K:$K,"&lt;="&amp;11))/SUMPRODUCT(($C$5:$C$31&gt;=11)*$B$5:$B$31),0)</f>
        <v>33.833967046894806</v>
      </c>
      <c r="P33" s="238">
        <f>IFERROR(SUMPRODUCT(($C$5:$C$31&gt;=12)*$B$5:$B$31*COUNTIFS('recuperación efectiva'!$E:$E,$A$5:$A$31,'recuperación efectiva'!$K:$K,"&lt;="&amp;12))/SUMPRODUCT(($C$5:$C$31&gt;=12)*$B$5:$B$31),0)</f>
        <v>32.535816618911177</v>
      </c>
      <c r="Q33" s="238">
        <f>IFERROR(SUMPRODUCT(($C$5:$C$31&gt;=13)*$B$5:$B$31*COUNTIFS('recuperación efectiva'!$E:$E,$A$5:$A$31,'recuperación efectiva'!$K:$K,"&lt;="&amp;13))/SUMPRODUCT(($C$5:$C$31&gt;=13)*$B$5:$B$31),0)</f>
        <v>31.469551282051281</v>
      </c>
      <c r="R33" s="238">
        <f>IFERROR(SUMPRODUCT(($C$5:$C$31&gt;=14)*$B$5:$B$31*COUNTIFS('recuperación efectiva'!$E:$E,$A$5:$A$31,'recuperación efectiva'!$K:$K,"&lt;="&amp;14))/SUMPRODUCT(($C$5:$C$31&gt;=14)*$B$5:$B$31),0)</f>
        <v>29.451672862453531</v>
      </c>
      <c r="S33" s="238">
        <f>IFERROR(SUMPRODUCT(($C$5:$C$31&gt;=15)*$B$5:$B$31*COUNTIFS('recuperación efectiva'!$E:$E,$A$5:$A$31,'recuperación efectiva'!$K:$K,"&lt;="&amp;15))/SUMPRODUCT(($C$5:$C$31&gt;=15)*$B$5:$B$31),0)</f>
        <v>28.558823529411764</v>
      </c>
      <c r="T33" s="238">
        <f>IFERROR(SUMPRODUCT(($C$5:$C$31&gt;=16)*$B$5:$B$31*COUNTIFS('recuperación efectiva'!$E:$E,$A$5:$A$31,'recuperación efectiva'!$K:$K,"&lt;="&amp;16))/SUMPRODUCT(($C$5:$C$31&gt;=16)*$B$5:$B$31),0)</f>
        <v>27.533980582524272</v>
      </c>
      <c r="U33" s="238">
        <f>IFERROR(SUMPRODUCT(($C$5:$C$31&gt;=17)*$B$5:$B$31*COUNTIFS('recuperación efectiva'!$E:$E,$A$5:$A$31,'recuperación efectiva'!$K:$K,"&lt;="&amp;17))/SUMPRODUCT(($C$5:$C$31&gt;=17)*$B$5:$B$31),0)</f>
        <v>25.731638418079097</v>
      </c>
      <c r="V33" s="238">
        <f>IFERROR(SUMPRODUCT(($C$5:$C$31&gt;=18)*$B$5:$B$31*COUNTIFS('recuperación efectiva'!$E:$E,$A$5:$A$31,'recuperación efectiva'!$K:$K,"&lt;="&amp;18))/SUMPRODUCT(($C$5:$C$31&gt;=18)*$B$5:$B$31),0)</f>
        <v>21.816326530612244</v>
      </c>
      <c r="W33" s="238">
        <f>IFERROR(SUMPRODUCT(($C$5:$C$31&gt;=19)*$B$5:$B$31*COUNTIFS('recuperación efectiva'!$E:$E,$A$5:$A$31,'recuperación efectiva'!$K:$K,"&lt;="&amp;19))/SUMPRODUCT(($C$5:$C$31&gt;=19)*$B$5:$B$31),0)</f>
        <v>20.563492063492063</v>
      </c>
      <c r="X33" s="238">
        <f>IFERROR(SUMPRODUCT(($C$5:$C$31&gt;=20)*$B$5:$B$31*COUNTIFS('recuperación efectiva'!$E:$E,$A$5:$A$31,'recuperación efectiva'!$K:$K,"&lt;="&amp;20))/SUMPRODUCT(($C$5:$C$31&gt;=20)*$B$5:$B$31),0)</f>
        <v>18.799043062200958</v>
      </c>
      <c r="Y33" s="238">
        <f>IFERROR(SUMPRODUCT(($C$5:$C$31&gt;=21)*$B$5:$B$31*COUNTIFS('recuperación efectiva'!$E:$E,$A$5:$A$31,'recuperación efectiva'!$K:$K,"&lt;="&amp;21))/SUMPRODUCT(($C$5:$C$31&gt;=21)*$B$5:$B$31),0)</f>
        <v>18.635359116022098</v>
      </c>
      <c r="Z33" s="238">
        <f>IFERROR(SUMPRODUCT(($C$5:$C$31&gt;=22)*$B$5:$B$31*COUNTIFS('recuperación efectiva'!$E:$E,$A$5:$A$31,'recuperación efectiva'!$K:$K,"&lt;="&amp;22))/SUMPRODUCT(($C$5:$C$31&gt;=22)*$B$5:$B$31),0)</f>
        <v>15.435714285714285</v>
      </c>
      <c r="AA33" s="238">
        <f>IFERROR(SUMPRODUCT(($C$5:$C$31&gt;=23)*$B$5:$B$31*COUNTIFS('recuperación efectiva'!$E:$E,$A$5:$A$31,'recuperación efectiva'!$K:$K,"&lt;="&amp;23))/SUMPRODUCT(($C$5:$C$31&gt;=23)*$B$5:$B$31),0)</f>
        <v>11.732673267326733</v>
      </c>
      <c r="AB33" s="238">
        <f>IFERROR(SUMPRODUCT(($C$5:$C$31&gt;=24)*$B$5:$B$31*COUNTIFS('recuperación efectiva'!$E:$E,$A$5:$A$31,'recuperación efectiva'!$K:$K,"&lt;="&amp;24))/SUMPRODUCT(($C$5:$C$31&gt;=24)*$B$5:$B$31),0)</f>
        <v>11.024691358024691</v>
      </c>
      <c r="AC33" s="238">
        <f>IFERROR(SUMPRODUCT(($C$5:$C$31&gt;=25)*$B$5:$B$31*COUNTIFS('recuperación efectiva'!$E:$E,$A$5:$A$31,'recuperación efectiva'!$K:$K,"&lt;="&amp;25))/SUMPRODUCT(($C$5:$C$31&gt;=25)*$B$5:$B$31),0)</f>
        <v>10.3</v>
      </c>
      <c r="AD33" s="238">
        <f>IFERROR(SUMPRODUCT(($C$5:$C$31&gt;=26)*$B$5:$B$31*COUNTIFS('recuperación efectiva'!$E:$E,$A$5:$A$31,'recuperación efectiva'!$K:$K,"&lt;="&amp;26))/SUMPRODUCT(($C$5:$C$31&gt;=26)*$B$5:$B$31),0)</f>
        <v>10.571428571428571</v>
      </c>
      <c r="AE33" s="238">
        <f>IFERROR(SUMPRODUCT(($C$5:$C$31&gt;=27)*$B$5:$B$31*COUNTIFS('recuperación efectiva'!$E:$E,$A$5:$A$31,'recuperación efectiva'!$K:$K,"&lt;="&amp;27))/SUMPRODUCT(($C$5:$C$31&gt;=27)*$B$5:$B$31),0)</f>
        <v>8.5384615384615383</v>
      </c>
      <c r="AF33" s="238">
        <f>IFERROR(SUMPRODUCT(($C$5:$C$31&gt;=28)*$B$5:$B$31*COUNTIFS('recuperación efectiva'!$E:$E,$A$5:$A$31,'recuperación efectiva'!$K:$K,"&lt;="&amp;28))/SUMPRODUCT(($C$5:$C$31&gt;=28)*$B$5:$B$31),0)</f>
        <v>3</v>
      </c>
      <c r="AG33" s="238">
        <f>IFERROR(SUMPRODUCT(($C$5:$C$31&gt;=29)*$B$5:$B$31*COUNTIFS('recuperación efectiva'!$E:$E,$A$5:$A$31,'recuperación efectiva'!$K:$K,"&lt;="&amp;29))/SUMPRODUCT(($C$5:$C$31&gt;=29)*$B$5:$B$31),0)</f>
        <v>0</v>
      </c>
      <c r="AH33" s="238">
        <f>IFERROR(SUMPRODUCT(($C$5:$C$31&gt;=30)*$B$5:$B$31*COUNTIFS('recuperación efectiva'!$E:$E,$A$5:$A$31,'recuperación efectiva'!$K:$K,"&lt;="&amp;30))/SUMPRODUCT(($C$5:$C$31&gt;=30)*$B$5:$B$31),0)</f>
        <v>0</v>
      </c>
      <c r="AI33" s="238">
        <f>IFERROR(SUMPRODUCT(($C$5:$C$31&gt;=31)*$B$5:$B$31*COUNTIFS('recuperación efectiva'!$E:$E,$A$5:$A$31,'recuperación efectiva'!$K:$K,"&lt;="&amp;31))/SUMPRODUCT(($C$5:$C$31&gt;=31)*$B$5:$B$31),0)</f>
        <v>0</v>
      </c>
      <c r="AJ33" s="238">
        <f>IFERROR(SUMPRODUCT(($C$5:$C$31&gt;=32)*$B$5:$B$31*COUNTIFS('recuperación efectiva'!$E:$E,$A$5:$A$31,'recuperación efectiva'!$K:$K,"&lt;="&amp;32))/SUMPRODUCT(($C$5:$C$31&gt;=32)*$B$5:$B$31),0)</f>
        <v>0</v>
      </c>
      <c r="AK33" s="238">
        <f>IFERROR(SUMPRODUCT(($C$5:$C$31&gt;=33)*$B$5:$B$31*COUNTIFS('recuperación efectiva'!$E:$E,$A$5:$A$31,'recuperación efectiva'!$K:$K,"&lt;="&amp;33))/SUMPRODUCT(($C$5:$C$31&gt;=33)*$B$5:$B$31),0)</f>
        <v>0</v>
      </c>
      <c r="AL33" s="238">
        <f>IFERROR(SUMPRODUCT(($C$5:$C$31&gt;=34)*$B$5:$B$31*COUNTIFS('recuperación efectiva'!$E:$E,$A$5:$A$31,'recuperación efectiva'!$K:$K,"&lt;="&amp;34))/SUMPRODUCT(($C$5:$C$31&gt;=34)*$B$5:$B$31),0)</f>
        <v>0</v>
      </c>
      <c r="AM33" s="238">
        <f>IFERROR(SUMPRODUCT(($C$5:$C$31&gt;=35)*$B$5:$B$31*COUNTIFS('recuperación efectiva'!$E:$E,$A$5:$A$31,'recuperación efectiva'!$K:$K,"&lt;="&amp;35))/SUMPRODUCT(($C$5:$C$31&gt;=35)*$B$5:$B$31),0)</f>
        <v>0</v>
      </c>
      <c r="AN33" s="238">
        <f>IFERROR(SUMPRODUCT(($C$5:$C$31&gt;=36)*$B$5:$B$31*COUNTIFS('recuperación efectiva'!$E:$E,$A$5:$A$31,'recuperación efectiva'!$K:$K,"&lt;="&amp;36))/SUMPRODUCT(($C$5:$C$31&gt;=36)*$B$5:$B$31),0)</f>
        <v>0</v>
      </c>
    </row>
    <row r="35" spans="1:40" x14ac:dyDescent="0.35">
      <c r="A35" s="245" t="s">
        <v>3906</v>
      </c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</row>
  </sheetData>
  <mergeCells count="3">
    <mergeCell ref="A1:AN1"/>
    <mergeCell ref="A3:AN3"/>
    <mergeCell ref="A35:AN35"/>
  </mergeCells>
  <conditionalFormatting sqref="D5:AN31">
    <cfRule type="colorScale" priority="2">
      <colorScale>
        <cfvo type="num" val="0"/>
        <cfvo type="percentile" val="50"/>
        <cfvo type="percentile" val="100"/>
        <color rgb="FFF8F8F8"/>
        <color rgb="FFFFB940"/>
        <color rgb="FFD23C32"/>
      </colorScale>
    </cfRule>
  </conditionalFormatting>
  <conditionalFormatting sqref="D33:AN33">
    <cfRule type="colorScale" priority="3">
      <colorScale>
        <cfvo type="num" val="0"/>
        <cfvo type="percentile" val="50"/>
        <cfvo type="percentile" val="100"/>
        <color rgb="FFF8F8F8"/>
        <color rgb="FFFFB940"/>
        <color rgb="FFD23C32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Export</vt:lpstr>
      <vt:lpstr>Perfil Recuperados</vt:lpstr>
      <vt:lpstr>recuperación efectiva</vt:lpstr>
      <vt:lpstr>Originaciones</vt:lpstr>
      <vt:lpstr>Cohort Detail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Jiménez Hermosillo</cp:lastModifiedBy>
  <cp:revision>1</cp:revision>
  <dcterms:created xsi:type="dcterms:W3CDTF">2026-05-28T06:27:24Z</dcterms:created>
  <dcterms:modified xsi:type="dcterms:W3CDTF">2026-05-29T18:54:36Z</dcterms:modified>
  <dc:language>en-US</dc:language>
</cp:coreProperties>
</file>